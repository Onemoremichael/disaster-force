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4440466c774e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0dc13ca3094fcc"/>
    <x:sheet xmlns:r="http://schemas.openxmlformats.org/officeDocument/2006/relationships" name="Controls" sheetId="2" r:id="Rea3d5c8081cc4aea"/>
    <x:sheet xmlns:r="http://schemas.openxmlformats.org/officeDocument/2006/relationships" name="Decision Logic" sheetId="3" r:id="R03de5095794b4bc1"/>
    <x:sheet xmlns:r="http://schemas.openxmlformats.org/officeDocument/2006/relationships" name="Reference Articles" sheetId="4" r:id="R4709913699e24531"/>
    <x:sheet xmlns:r="http://schemas.openxmlformats.org/officeDocument/2006/relationships" name="Cell Sections" sheetId="5" r:id="R17980cda28b14dd1"/>
    <x:sheet xmlns:r="http://schemas.openxmlformats.org/officeDocument/2006/relationships" name="Configuration Masters" sheetId="6" r:id="Ra048eff83b35462d"/>
    <x:sheet xmlns:r="http://schemas.openxmlformats.org/officeDocument/2006/relationships" name="Source Packages" sheetId="7" r:id="Rc1013f49fcf749f9"/>
    <x:sheet xmlns:r="http://schemas.openxmlformats.org/officeDocument/2006/relationships" name="Source Characteristics" sheetId="8" r:id="Reb5f0bccba5d4833"/>
    <x:sheet xmlns:r="http://schemas.openxmlformats.org/officeDocument/2006/relationships" name="Water Packages" sheetId="9" r:id="R3ae897b2880c4e70"/>
    <x:sheet xmlns:r="http://schemas.openxmlformats.org/officeDocument/2006/relationships" name="Containment" sheetId="10" r:id="R036151459dac4537"/>
    <x:sheet xmlns:r="http://schemas.openxmlformats.org/officeDocument/2006/relationships" name="Receiver Proofs" sheetId="11" r:id="R380930dd171546d5"/>
    <x:sheet xmlns:r="http://schemas.openxmlformats.org/officeDocument/2006/relationships" name="Control Elements" sheetId="12" r:id="R98ebd16bda6f4894"/>
    <x:sheet xmlns:r="http://schemas.openxmlformats.org/officeDocument/2006/relationships" name="Safeing Paths" sheetId="13" r:id="Re99d229334414cfb"/>
    <x:sheet xmlns:r="http://schemas.openxmlformats.org/officeDocument/2006/relationships" name="Path Proofs" sheetId="14" r:id="Rb655643c86984d69"/>
    <x:sheet xmlns:r="http://schemas.openxmlformats.org/officeDocument/2006/relationships" name="Walkdown Definitions" sheetId="15" r:id="R0ed2a109a26b455c"/>
    <x:sheet xmlns:r="http://schemas.openxmlformats.org/officeDocument/2006/relationships" name="Walkdown Ledger" sheetId="16" r:id="R067d66096d584151"/>
    <x:sheet xmlns:r="http://schemas.openxmlformats.org/officeDocument/2006/relationships" name="Neighbor Proofs" sheetId="17" r:id="R9d4fa7893ead46b1"/>
    <x:sheet xmlns:r="http://schemas.openxmlformats.org/officeDocument/2006/relationships" name="Event Register" sheetId="18" r:id="R49db35d512744a52"/>
    <x:sheet xmlns:r="http://schemas.openxmlformats.org/officeDocument/2006/relationships" name="Event Phases" sheetId="19" r:id="R05873539deb3462e"/>
    <x:sheet xmlns:r="http://schemas.openxmlformats.org/officeDocument/2006/relationships" name="Hold Definitions" sheetId="20" r:id="Rc6d292aa34544e78"/>
    <x:sheet xmlns:r="http://schemas.openxmlformats.org/officeDocument/2006/relationships" name="Hold Ledger" sheetId="21" r:id="R58e83940864749a1"/>
    <x:sheet xmlns:r="http://schemas.openxmlformats.org/officeDocument/2006/relationships" name="Evidence Obligations" sheetId="22" r:id="Rfb0b926891954515"/>
    <x:sheet xmlns:r="http://schemas.openxmlformats.org/officeDocument/2006/relationships" name="Sample Ledger" sheetId="23" r:id="Ra3b2a681bb6d45ea"/>
    <x:sheet xmlns:r="http://schemas.openxmlformats.org/officeDocument/2006/relationships" name="Event Issue" sheetId="24" r:id="R980e02876cc34293"/>
    <x:sheet xmlns:r="http://schemas.openxmlformats.org/officeDocument/2006/relationships" name="Event Results" sheetId="25" r:id="R3a29d7d0a5e34b40"/>
    <x:sheet xmlns:r="http://schemas.openxmlformats.org/officeDocument/2006/relationships" name="Invalidity Reserve" sheetId="26" r:id="R53b3ef3c9b6a4dd1"/>
    <x:sheet xmlns:r="http://schemas.openxmlformats.org/officeDocument/2006/relationships" name="Restart" sheetId="27" r:id="R769859ae3f13491e"/>
    <x:sheet xmlns:r="http://schemas.openxmlformats.org/officeDocument/2006/relationships" name="Cause Isolation" sheetId="28" r:id="R95bb077cff914413"/>
    <x:sheet xmlns:r="http://schemas.openxmlformats.org/officeDocument/2006/relationships" name="Uncertainty" sheetId="29" r:id="R70dc08ced26946db"/>
    <x:sheet xmlns:r="http://schemas.openxmlformats.org/officeDocument/2006/relationships" name="Flow Regime" sheetId="30" r:id="Rc2f91566a4d4496f"/>
    <x:sheet xmlns:r="http://schemas.openxmlformats.org/officeDocument/2006/relationships" name="Thermal Screen" sheetId="31" r:id="R149897e5a435477e"/>
    <x:sheet xmlns:r="http://schemas.openxmlformats.org/officeDocument/2006/relationships" name="Water Headroom" sheetId="32" r:id="R5fadd63fe3ec4dfd"/>
    <x:sheet xmlns:r="http://schemas.openxmlformats.org/officeDocument/2006/relationships" name="Capacity" sheetId="33" r:id="R9fc5dfa283b74446"/>
    <x:sheet xmlns:r="http://schemas.openxmlformats.org/officeDocument/2006/relationships" name="Workforce" sheetId="34" r:id="R483b0e640139430a"/>
    <x:sheet xmlns:r="http://schemas.openxmlformats.org/officeDocument/2006/relationships" name="Capital" sheetId="35" r:id="R6911f07b6ac94476"/>
    <x:sheet xmlns:r="http://schemas.openxmlformats.org/officeDocument/2006/relationships" name="Annual Support" sheetId="36" r:id="R008a42452eca4ecd"/>
    <x:sheet xmlns:r="http://schemas.openxmlformats.org/officeDocument/2006/relationships" name="Portfolio Boundary" sheetId="37" r:id="R894e850046b441fe"/>
    <x:sheet xmlns:r="http://schemas.openxmlformats.org/officeDocument/2006/relationships" name="Technology Campaigns" sheetId="38" r:id="R622dcfffa71143ae"/>
    <x:sheet xmlns:r="http://schemas.openxmlformats.org/officeDocument/2006/relationships" name="Schedule" sheetId="39" r:id="R3a9918fa73b94dec"/>
    <x:sheet xmlns:r="http://schemas.openxmlformats.org/officeDocument/2006/relationships" name="Authorities" sheetId="40" r:id="R3d39a48c9fbe432e"/>
    <x:sheet xmlns:r="http://schemas.openxmlformats.org/officeDocument/2006/relationships" name="Release Gates" sheetId="41" r:id="R6a19fc17f71d431e"/>
    <x:sheet xmlns:r="http://schemas.openxmlformats.org/officeDocument/2006/relationships" name="Planning Gates" sheetId="42" r:id="Rf7146a4864e94a6d"/>
    <x:sheet xmlns:r="http://schemas.openxmlformats.org/officeDocument/2006/relationships" name="Physical Gates" sheetId="43" r:id="R1fcf1f295c7647d9"/>
    <x:sheet xmlns:r="http://schemas.openxmlformats.org/officeDocument/2006/relationships" name="Audit" sheetId="44" r:id="R1c7201b7433f4f30"/>
    <x:sheet xmlns:r="http://schemas.openxmlformats.org/officeDocument/2006/relationships" name="Sources" sheetId="45" r:id="Rce7a94828f5d4a4a"/>
    <x:sheet xmlns:r="http://schemas.openxmlformats.org/officeDocument/2006/relationships" name="ReadMe" sheetId="46" r:id="R208e2191138847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"/>
    <x:numFmt numFmtId="202" formatCode="0.000000"/>
  </x:numFmts>
  <x:fonts count="7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sz val="10"/>
      <x:color rgb="FF0070C0"/>
      <x:name val="Arial"/>
    </x:font>
    <x:font>
      <x:b/>
      <x:sz val="10"/>
      <x:color rgb="FF17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</x:cellXfs>
  <x:cellStyles count="1">
    <x:cellStyle name="Normal" xfId="0"/>
  </x:cellStyles>
  <x:dxfs count="270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7782f2727a494f" /><Relationship Type="http://schemas.openxmlformats.org/officeDocument/2006/relationships/theme" Target="/xl/theme/theme1.xml" Id="Rf74afb5fc9b64484" /><Relationship Type="http://schemas.openxmlformats.org/officeDocument/2006/relationships/sharedStrings" Target="/xl/sharedStrings.xml" Id="Re11a305a812a414d" /><Relationship Type="http://schemas.openxmlformats.org/officeDocument/2006/relationships/worksheet" Target="/xl/worksheets/sheet1.xml" Id="R450dc13ca3094fcc" /><Relationship Type="http://schemas.openxmlformats.org/officeDocument/2006/relationships/worksheet" Target="/xl/worksheets/sheet2.xml" Id="Rea3d5c8081cc4aea" /><Relationship Type="http://schemas.openxmlformats.org/officeDocument/2006/relationships/worksheet" Target="/xl/worksheets/sheet3.xml" Id="R03de5095794b4bc1" /><Relationship Type="http://schemas.openxmlformats.org/officeDocument/2006/relationships/worksheet" Target="/xl/worksheets/sheet4.xml" Id="R4709913699e24531" /><Relationship Type="http://schemas.openxmlformats.org/officeDocument/2006/relationships/worksheet" Target="/xl/worksheets/sheet5.xml" Id="R17980cda28b14dd1" /><Relationship Type="http://schemas.openxmlformats.org/officeDocument/2006/relationships/worksheet" Target="/xl/worksheets/sheet6.xml" Id="Ra048eff83b35462d" /><Relationship Type="http://schemas.openxmlformats.org/officeDocument/2006/relationships/worksheet" Target="/xl/worksheets/sheet7.xml" Id="Rc1013f49fcf749f9" /><Relationship Type="http://schemas.openxmlformats.org/officeDocument/2006/relationships/worksheet" Target="/xl/worksheets/sheet8.xml" Id="Reb5f0bccba5d4833" /><Relationship Type="http://schemas.openxmlformats.org/officeDocument/2006/relationships/worksheet" Target="/xl/worksheets/sheet9.xml" Id="R3ae897b2880c4e70" /><Relationship Type="http://schemas.openxmlformats.org/officeDocument/2006/relationships/worksheet" Target="/xl/worksheets/sheet10.xml" Id="R036151459dac4537" /><Relationship Type="http://schemas.openxmlformats.org/officeDocument/2006/relationships/worksheet" Target="/xl/worksheets/sheet11.xml" Id="R380930dd171546d5" /><Relationship Type="http://schemas.openxmlformats.org/officeDocument/2006/relationships/worksheet" Target="/xl/worksheets/sheet12.xml" Id="R98ebd16bda6f4894" /><Relationship Type="http://schemas.openxmlformats.org/officeDocument/2006/relationships/worksheet" Target="/xl/worksheets/sheet13.xml" Id="Re99d229334414cfb" /><Relationship Type="http://schemas.openxmlformats.org/officeDocument/2006/relationships/worksheet" Target="/xl/worksheets/sheet14.xml" Id="Rb655643c86984d69" /><Relationship Type="http://schemas.openxmlformats.org/officeDocument/2006/relationships/worksheet" Target="/xl/worksheets/sheet15.xml" Id="R0ed2a109a26b455c" /><Relationship Type="http://schemas.openxmlformats.org/officeDocument/2006/relationships/worksheet" Target="/xl/worksheets/sheet16.xml" Id="R067d66096d584151" /><Relationship Type="http://schemas.openxmlformats.org/officeDocument/2006/relationships/worksheet" Target="/xl/worksheets/sheet17.xml" Id="R9d4fa7893ead46b1" /><Relationship Type="http://schemas.openxmlformats.org/officeDocument/2006/relationships/worksheet" Target="/xl/worksheets/sheet18.xml" Id="R49db35d512744a52" /><Relationship Type="http://schemas.openxmlformats.org/officeDocument/2006/relationships/worksheet" Target="/xl/worksheets/sheet19.xml" Id="R05873539deb3462e" /><Relationship Type="http://schemas.openxmlformats.org/officeDocument/2006/relationships/worksheet" Target="/xl/worksheets/sheet20.xml" Id="Rc6d292aa34544e78" /><Relationship Type="http://schemas.openxmlformats.org/officeDocument/2006/relationships/worksheet" Target="/xl/worksheets/sheet21.xml" Id="R58e83940864749a1" /><Relationship Type="http://schemas.openxmlformats.org/officeDocument/2006/relationships/worksheet" Target="/xl/worksheets/sheet22.xml" Id="Rfb0b926891954515" /><Relationship Type="http://schemas.openxmlformats.org/officeDocument/2006/relationships/worksheet" Target="/xl/worksheets/sheet23.xml" Id="Ra3b2a681bb6d45ea" /><Relationship Type="http://schemas.openxmlformats.org/officeDocument/2006/relationships/worksheet" Target="/xl/worksheets/sheet24.xml" Id="R980e02876cc34293" /><Relationship Type="http://schemas.openxmlformats.org/officeDocument/2006/relationships/worksheet" Target="/xl/worksheets/sheet25.xml" Id="R3a29d7d0a5e34b40" /><Relationship Type="http://schemas.openxmlformats.org/officeDocument/2006/relationships/worksheet" Target="/xl/worksheets/sheet26.xml" Id="R53b3ef3c9b6a4dd1" /><Relationship Type="http://schemas.openxmlformats.org/officeDocument/2006/relationships/worksheet" Target="/xl/worksheets/sheet27.xml" Id="R769859ae3f13491e" /><Relationship Type="http://schemas.openxmlformats.org/officeDocument/2006/relationships/worksheet" Target="/xl/worksheets/sheet28.xml" Id="R95bb077cff914413" /><Relationship Type="http://schemas.openxmlformats.org/officeDocument/2006/relationships/worksheet" Target="/xl/worksheets/sheet29.xml" Id="R70dc08ced26946db" /><Relationship Type="http://schemas.openxmlformats.org/officeDocument/2006/relationships/worksheet" Target="/xl/worksheets/sheet30.xml" Id="Rc2f91566a4d4496f" /><Relationship Type="http://schemas.openxmlformats.org/officeDocument/2006/relationships/worksheet" Target="/xl/worksheets/sheet31.xml" Id="R149897e5a435477e" /><Relationship Type="http://schemas.openxmlformats.org/officeDocument/2006/relationships/worksheet" Target="/xl/worksheets/sheet32.xml" Id="R5fadd63fe3ec4dfd" /><Relationship Type="http://schemas.openxmlformats.org/officeDocument/2006/relationships/worksheet" Target="/xl/worksheets/sheet33.xml" Id="R9fc5dfa283b74446" /><Relationship Type="http://schemas.openxmlformats.org/officeDocument/2006/relationships/worksheet" Target="/xl/worksheets/sheet34.xml" Id="R483b0e640139430a" /><Relationship Type="http://schemas.openxmlformats.org/officeDocument/2006/relationships/worksheet" Target="/xl/worksheets/sheet35.xml" Id="R6911f07b6ac94476" /><Relationship Type="http://schemas.openxmlformats.org/officeDocument/2006/relationships/worksheet" Target="/xl/worksheets/sheet36.xml" Id="R008a42452eca4ecd" /><Relationship Type="http://schemas.openxmlformats.org/officeDocument/2006/relationships/worksheet" Target="/xl/worksheets/sheet37.xml" Id="R894e850046b441fe" /><Relationship Type="http://schemas.openxmlformats.org/officeDocument/2006/relationships/worksheet" Target="/xl/worksheets/sheet38.xml" Id="R622dcfffa71143ae" /><Relationship Type="http://schemas.openxmlformats.org/officeDocument/2006/relationships/worksheet" Target="/xl/worksheets/sheet39.xml" Id="R3a9918fa73b94dec" /><Relationship Type="http://schemas.openxmlformats.org/officeDocument/2006/relationships/worksheet" Target="/xl/worksheets/sheet40.xml" Id="R3d39a48c9fbe432e" /><Relationship Type="http://schemas.openxmlformats.org/officeDocument/2006/relationships/worksheet" Target="/xl/worksheets/sheet41.xml" Id="R6a19fc17f71d431e" /><Relationship Type="http://schemas.openxmlformats.org/officeDocument/2006/relationships/worksheet" Target="/xl/worksheets/sheet42.xml" Id="Rf7146a4864e94a6d" /><Relationship Type="http://schemas.openxmlformats.org/officeDocument/2006/relationships/worksheet" Target="/xl/worksheets/sheet43.xml" Id="R1fcf1f295c7647d9" /><Relationship Type="http://schemas.openxmlformats.org/officeDocument/2006/relationships/worksheet" Target="/xl/worksheets/sheet44.xml" Id="R1c7201b7433f4f30" /><Relationship Type="http://schemas.openxmlformats.org/officeDocument/2006/relationships/worksheet" Target="/xl/worksheets/sheet45.xml" Id="Rce7a94828f5d4a4a" /><Relationship Type="http://schemas.openxmlformats.org/officeDocument/2006/relationships/worksheet" Target="/xl/worksheets/sheet46.xml" Id="R208e2191138847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1" hidden="0" customWidth="1"/>
    <x:col min="3" max="3" width="112" hidden="0" customWidth="1"/>
    <x:col min="5" max="5" width="24" hidden="0" customWidth="1"/>
    <x:col min="6" max="6" width="16" hidden="0" customWidth="1"/>
    <x:col min="7" max="7" width="25" hidden="0" customWidth="1"/>
    <x:col min="8" max="8" width="17" hidden="0" customWidth="1"/>
  </x:cols>
  <x:sheetData>
    <x:row r="2">
      <x:c r="B2" s="1" t="str">
        <x:v>RAE-1 — executable quarter-source entry dossier constitution</x:v>
      </x:c>
    </x:row>
    <x:row r="3">
      <x:c r="B3" s="2" t="str">
        <x:v>A design-complete physical evidence law for the smallest public entry class; not a readiness or candidate-qualification claim.</x:v>
      </x:c>
    </x:row>
    <x:row r="6" ht="24" customHeight="1">
      <x:c r="B6" s="6" t="str">
        <x:v>Decision field</x:v>
      </x:c>
      <x:c r="C6" s="6" t="str">
        <x:v>RAE-1 position</x:v>
      </x:c>
      <x:c r="E6" s="6" t="str">
        <x:v>NUMERIC ANCHORS</x:v>
      </x:c>
      <x:c r="F6" s="6"/>
      <x:c r="G6" s="6"/>
      <x:c r="H6" s="6"/>
    </x:row>
    <x:row r="7" ht="46" customHeight="1">
      <x:c r="B7" s="7" t="str">
        <x:v>Object</x:v>
      </x:c>
      <x:c r="C7" s="10" t="str">
        <x:v>RAE-1 executable quarter-source entry dossier constitution</x:v>
      </x:c>
      <x:c r="E7" s="12" t="str">
        <x:v>Required events</x:v>
      </x:c>
      <x:c r="F7" s="12" t="n">
        <x:v>48</x:v>
      </x:c>
      <x:c r="G7" s="12" t="str">
        <x:v>Physical gates</x:v>
      </x:c>
      <x:c r="H7" s="12" t="n">
        <x:v>5050</x:v>
      </x:c>
    </x:row>
    <x:row r="8" ht="46" customHeight="1">
      <x:c r="B8" s="7" t="str">
        <x:v>Decision</x:v>
      </x:c>
      <x:c r="C8" s="10" t="str">
        <x:v>Build a public low-source reference article and physical acceptance system before any source event</x:v>
      </x:c>
      <x:c r="E8" s="12" t="str">
        <x:v>Base source t</x:v>
      </x:c>
      <x:c r="F8" s="12" t="n">
        <x:v>2.4</x:v>
      </x:c>
      <x:c r="G8" s="12" t="str">
        <x:v>Base rig-days</x:v>
      </x:c>
      <x:c r="H8" s="12" t="n">
        <x:v>120</x:v>
      </x:c>
    </x:row>
    <x:row r="9" ht="46" customHeight="1">
      <x:c r="B9" s="7" t="str">
        <x:v>Authority ceiling</x:v>
      </x:c>
      <x:c r="C9" s="10" t="str">
        <x:v>Event issue only; method, candidate, production and exterior form remain withheld</x:v>
      </x:c>
      <x:c r="E9" s="12" t="str">
        <x:v>Capital USD M</x:v>
      </x:c>
      <x:c r="F9" s="12" t="n">
        <x:v>360</x:v>
      </x:c>
      <x:c r="G9" s="12" t="str">
        <x:v>Annual USD M</x:v>
      </x:c>
      <x:c r="H9" s="12" t="n">
        <x:v>168</x:v>
      </x:c>
    </x:row>
    <x:row r="10" ht="46" customHeight="1">
      <x:c r="B10" s="7" t="str">
        <x:v>Campaign</x:v>
      </x:c>
      <x:c r="C10" s="10" t="str">
        <x:v>48 required valid events; 24 QE-01 and 24 QE-02</x:v>
      </x:c>
      <x:c r="E10" s="12" t="str">
        <x:v>24-month USD M</x:v>
      </x:c>
      <x:c r="F10" s="12" t="n">
        <x:v>696</x:v>
      </x:c>
      <x:c r="G10" s="12" t="str">
        <x:v>Net extension USD M</x:v>
      </x:c>
      <x:c r="H10" s="12" t="n">
        <x:v>0</x:v>
      </x:c>
    </x:row>
    <x:row r="11" ht="46" customHeight="1">
      <x:c r="B11" s="7" t="str">
        <x:v>Source</x:v>
      </x:c>
      <x:c r="C11" s="10" t="str">
        <x:v>2.4 t base admitted; 3.5 t gross serialized custody</x:v>
      </x:c>
      <x:c r="E11" s="12" t="str">
        <x:v>Workforce</x:v>
      </x:c>
      <x:c r="F11" s="12" t="n">
        <x:v>384</x:v>
      </x:c>
      <x:c r="G11" s="12" t="str">
        <x:v>Technology USD M</x:v>
      </x:c>
      <x:c r="H11" s="12" t="n">
        <x:v>470</x:v>
      </x:c>
    </x:row>
    <x:row r="12" ht="46" customHeight="1">
      <x:c r="B12" s="7" t="str">
        <x:v>Capacity</x:v>
      </x:c>
      <x:c r="C12" s="10" t="str">
        <x:v>120 base rig-days plus 15 invalid-attempt reserve rig-days</x:v>
      </x:c>
    </x:row>
    <x:row r="13" ht="46" customHeight="1">
      <x:c r="B13" s="7" t="str">
        <x:v>Physical ledger</x:v>
      </x:c>
      <x:c r="C13" s="10" t="str">
        <x:v>5,050 built-and-accepted records, all OPEN at planning baseline</x:v>
      </x:c>
    </x:row>
    <x:row r="14" ht="46" customHeight="1">
      <x:c r="B14" s="7" t="str">
        <x:v>Reference article</x:v>
      </x:c>
      <x:c r="C14" s="10" t="str">
        <x:v>Six REA-100 articles with 40 mm x 12 m low-volume inserts</x:v>
      </x:c>
    </x:row>
    <x:row r="15" ht="46" customHeight="1">
      <x:c r="B15" s="7" t="str">
        <x:v>Critical exclusion</x:v>
      </x:c>
      <x:c r="C15" s="10" t="str">
        <x:v>The low-volume article does not qualify the 150 mm full-source route</x:v>
      </x:c>
    </x:row>
    <x:row r="16" ht="46" customHeight="1">
      <x:c r="B16" s="7" t="str">
        <x:v>Safeing</x:v>
      </x:c>
      <x:c r="C16" s="10" t="str">
        <x:v>72 final elements, 216 unlike paths and 216 path proofs</x:v>
      </x:c>
    </x:row>
    <x:row r="17" ht="46" customHeight="1">
      <x:c r="B17" s="7" t="str">
        <x:v>Evidence</x:v>
      </x:c>
      <x:c r="C17" s="10" t="str">
        <x:v>1,152 phase records, 1,536 holds, 576 obligations and 336 samples</x:v>
      </x:c>
    </x:row>
    <x:row r="18" ht="46" customHeight="1">
      <x:c r="B18" s="7" t="str">
        <x:v>Financial frame</x:v>
      </x:c>
      <x:c r="C18" s="10" t="str">
        <x:v>$360M capital; $168M/year; $696M over 24 months; zero net portfolio extension</x:v>
      </x:c>
    </x:row>
    <x:row r="19" ht="46" customHeight="1">
      <x:c r="B19" s="7" t="str">
        <x:v>Technology</x:v>
      </x:c>
      <x:c r="C19" s="10" t="str">
        <x:v>Eight campaigns; $470M cross-classified inside the parent program</x:v>
      </x:c>
    </x:row>
    <x:row r="20" ht="46" customHeight="1">
      <x:c r="B20" s="7" t="str">
        <x:v>Exterior renderings</x:v>
      </x:c>
      <x:c r="C20" s="10" t="str">
        <x:v>Withheld until physical research constrains form</x:v>
      </x:c>
    </x:row>
    <x:row r="21" ht="46" customHeight="1">
      <x:c r="B21" s="7" t="str">
        <x:v>Next pass</x:v>
      </x:c>
      <x:c r="C21" s="10" t="str">
        <x:v>RAP-1 physical reference-article and safeing proof campaign</x:v>
      </x:c>
    </x:row>
  </x:sheetData>
  <x:mergeCells>
    <x:mergeCell ref="E6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1" hidden="0" customWidth="1"/>
    <x:col min="3" max="3" width="52" hidden="0" customWidth="1"/>
    <x:col min="4" max="4" width="18" hidden="0" customWidth="1"/>
    <x:col min="5" max="5" width="22" hidden="0" customWidth="1"/>
    <x:col min="6" max="6" width="18" hidden="0" customWidth="1"/>
    <x:col min="7" max="7" width="24" hidden="0" customWidth="1"/>
  </x:cols>
  <x:sheetData>
    <x:row r="2">
      <x:c r="B2" s="1" t="str">
        <x:v>RAE-1 controls</x:v>
      </x:c>
    </x:row>
    <x:row r="3">
      <x:c r="B3" s="2" t="str">
        <x:v>Blue-on-amber values are design inputs. Physical and downstream authority begin at zero.</x:v>
      </x:c>
    </x:row>
    <x:row r="6" ht="24" customHeight="1">
      <x:c r="B6" s="6" t="str">
        <x:v>ID</x:v>
      </x:c>
      <x:c r="C6" s="6" t="str">
        <x:v>Control</x:v>
      </x:c>
      <x:c r="D6" s="6" t="str">
        <x:v>Value</x:v>
      </x:c>
      <x:c r="E6" s="6" t="str">
        <x:v>Unit</x:v>
      </x:c>
      <x:c r="F6" s="6" t="str">
        <x:v>Class</x:v>
      </x:c>
      <x:c r="G6" s="6" t="str">
        <x:v>Internal authority</x:v>
      </x:c>
    </x:row>
    <x:row r="7">
      <x:c r="B7" s="7" t="str">
        <x:v>C01</x:v>
      </x:c>
      <x:c r="C7" s="7" t="str">
        <x:v>methods</x:v>
      </x:c>
      <x:c r="D7" s="9" t="n">
        <x:v>2</x:v>
      </x:c>
      <x:c r="E7" s="7" t="str">
        <x:v>count</x:v>
      </x:c>
      <x:c r="F7" s="7" t="str">
        <x:v>design</x:v>
      </x:c>
      <x:c r="G7" s="7" t="str">
        <x:v>RAE-1</x:v>
      </x:c>
    </x:row>
    <x:row r="8">
      <x:c r="B8" s="7" t="str">
        <x:v>C02</x:v>
      </x:c>
      <x:c r="C8" s="7" t="str">
        <x:v>truth roots per method</x:v>
      </x:c>
      <x:c r="D8" s="9" t="n">
        <x:v>2</x:v>
      </x:c>
      <x:c r="E8" s="7" t="str">
        <x:v>roots</x:v>
      </x:c>
      <x:c r="F8" s="7" t="str">
        <x:v>design</x:v>
      </x:c>
      <x:c r="G8" s="7" t="str">
        <x:v>RAS-1</x:v>
      </x:c>
    </x:row>
    <x:row r="9">
      <x:c r="B9" s="7" t="str">
        <x:v>C03</x:v>
      </x:c>
      <x:c r="C9" s="7" t="str">
        <x:v>public rigs</x:v>
      </x:c>
      <x:c r="D9" s="9" t="n">
        <x:v>6</x:v>
      </x:c>
      <x:c r="E9" s="7" t="str">
        <x:v>rigs</x:v>
      </x:c>
      <x:c r="F9" s="7" t="str">
        <x:v>inherited</x:v>
      </x:c>
      <x:c r="G9" s="7" t="str">
        <x:v>RFP-1</x:v>
      </x:c>
    </x:row>
    <x:row r="10">
      <x:c r="B10" s="7" t="str">
        <x:v>C04</x:v>
      </x:c>
      <x:c r="C10" s="7" t="str">
        <x:v>entry classes</x:v>
      </x:c>
      <x:c r="D10" s="9" t="n">
        <x:v>2</x:v>
      </x:c>
      <x:c r="E10" s="7" t="str">
        <x:v>classes</x:v>
      </x:c>
      <x:c r="F10" s="7" t="str">
        <x:v>design</x:v>
      </x:c>
      <x:c r="G10" s="7" t="str">
        <x:v>RAE-1</x:v>
      </x:c>
    </x:row>
    <x:row r="11">
      <x:c r="B11" s="7" t="str">
        <x:v>C05</x:v>
      </x:c>
      <x:c r="C11" s="7" t="str">
        <x:v>required valid events</x:v>
      </x:c>
      <x:c r="D11" s="9" t="n">
        <x:v>48</x:v>
      </x:c>
      <x:c r="E11" s="7" t="str">
        <x:v>events</x:v>
      </x:c>
      <x:c r="F11" s="7" t="str">
        <x:v>derived</x:v>
      </x:c>
      <x:c r="G11" s="7" t="str">
        <x:v>RAE-1</x:v>
      </x:c>
    </x:row>
    <x:row r="12">
      <x:c r="B12" s="7" t="str">
        <x:v>C06</x:v>
      </x:c>
      <x:c r="C12" s="7" t="str">
        <x:v>invalid-attempt reserve</x:v>
      </x:c>
      <x:c r="D12" s="9" t="n">
        <x:v>6</x:v>
      </x:c>
      <x:c r="E12" s="7" t="str">
        <x:v>tokens</x:v>
      </x:c>
      <x:c r="F12" s="7" t="str">
        <x:v>derived</x:v>
      </x:c>
      <x:c r="G12" s="7" t="str">
        <x:v>RAS-1 subset</x:v>
      </x:c>
    </x:row>
    <x:row r="13">
      <x:c r="B13" s="7" t="str">
        <x:v>C07</x:v>
      </x:c>
      <x:c r="C13" s="7" t="str">
        <x:v>source density</x:v>
      </x:c>
      <x:c r="D13" s="9" t="n">
        <x:v>800</x:v>
      </x:c>
      <x:c r="E13" s="7" t="str">
        <x:v>kg/m3</x:v>
      </x:c>
      <x:c r="F13" s="7" t="str">
        <x:v>inherited</x:v>
      </x:c>
      <x:c r="G13" s="7" t="str">
        <x:v>RFA-1</x:v>
      </x:c>
    </x:row>
    <x:row r="14">
      <x:c r="B14" s="7" t="str">
        <x:v>C08</x:v>
      </x:c>
      <x:c r="C14" s="7" t="str">
        <x:v>lower heating value</x:v>
      </x:c>
      <x:c r="D14" s="9" t="n">
        <x:v>42.588</x:v>
      </x:c>
      <x:c r="E14" s="7" t="str">
        <x:v>MJ/kg</x:v>
      </x:c>
      <x:c r="F14" s="7" t="str">
        <x:v>inherited</x:v>
      </x:c>
      <x:c r="G14" s="7" t="str">
        <x:v>RFA-1</x:v>
      </x:c>
    </x:row>
    <x:row r="15">
      <x:c r="B15" s="7" t="str">
        <x:v>C09</x:v>
      </x:c>
      <x:c r="C15" s="7" t="str">
        <x:v>dynamic viscosity</x:v>
      </x:c>
      <x:c r="D15" s="9" t="n">
        <x:v>0.004</x:v>
      </x:c>
      <x:c r="E15" s="7" t="str">
        <x:v>Pa s</x:v>
      </x:c>
      <x:c r="F15" s="7" t="str">
        <x:v>hypothesis</x:v>
      </x:c>
      <x:c r="G15" s="7" t="str">
        <x:v>RAS-1</x:v>
      </x:c>
    </x:row>
    <x:row r="16">
      <x:c r="B16" s="7" t="str">
        <x:v>C10</x:v>
      </x:c>
      <x:c r="C16" s="7" t="str">
        <x:v>surface tension</x:v>
      </x:c>
      <x:c r="D16" s="9" t="n">
        <x:v>0.025</x:v>
      </x:c>
      <x:c r="E16" s="7" t="str">
        <x:v>N/m</x:v>
      </x:c>
      <x:c r="F16" s="7" t="str">
        <x:v>hypothesis</x:v>
      </x:c>
      <x:c r="G16" s="7" t="str">
        <x:v>RAS-1</x:v>
      </x:c>
    </x:row>
    <x:row r="17">
      <x:c r="B17" s="7" t="str">
        <x:v>C11</x:v>
      </x:c>
      <x:c r="C17" s="7" t="str">
        <x:v>full source mass</x:v>
      </x:c>
      <x:c r="D17" s="9" t="n">
        <x:v>2000</x:v>
      </x:c>
      <x:c r="E17" s="7" t="str">
        <x:v>kg</x:v>
      </x:c>
      <x:c r="F17" s="7" t="str">
        <x:v>inherited</x:v>
      </x:c>
      <x:c r="G17" s="7" t="str">
        <x:v>MCR-1</x:v>
      </x:c>
    </x:row>
    <x:row r="18">
      <x:c r="B18" s="7" t="str">
        <x:v>C12</x:v>
      </x:c>
      <x:c r="C18" s="7" t="str">
        <x:v>quarter source mass</x:v>
      </x:c>
      <x:c r="D18" s="9" t="n">
        <x:v>500</x:v>
      </x:c>
      <x:c r="E18" s="7" t="str">
        <x:v>kg</x:v>
      </x:c>
      <x:c r="F18" s="7" t="str">
        <x:v>inherited</x:v>
      </x:c>
      <x:c r="G18" s="7" t="str">
        <x:v>RAS-1</x:v>
      </x:c>
    </x:row>
    <x:row r="19">
      <x:c r="B19" s="7" t="str">
        <x:v>C13</x:v>
      </x:c>
      <x:c r="C19" s="7" t="str">
        <x:v>low-source event mass</x:v>
      </x:c>
      <x:c r="D19" s="9" t="n">
        <x:v>100</x:v>
      </x:c>
      <x:c r="E19" s="7" t="str">
        <x:v>kg</x:v>
      </x:c>
      <x:c r="F19" s="7" t="str">
        <x:v>design</x:v>
      </x:c>
      <x:c r="G19" s="7" t="str">
        <x:v>RAE-1</x:v>
      </x:c>
    </x:row>
    <x:row r="20">
      <x:c r="B20" s="7" t="str">
        <x:v>C14</x:v>
      </x:c>
      <x:c r="C20" s="7" t="str">
        <x:v>source interval</x:v>
      </x:c>
      <x:c r="D20" s="9" t="n">
        <x:v>120</x:v>
      </x:c>
      <x:c r="E20" s="7" t="str">
        <x:v>s</x:v>
      </x:c>
      <x:c r="F20" s="7" t="str">
        <x:v>inherited</x:v>
      </x:c>
      <x:c r="G20" s="7" t="str">
        <x:v>RFE-1</x:v>
      </x:c>
    </x:row>
    <x:row r="21">
      <x:c r="B21" s="7" t="str">
        <x:v>C15</x:v>
      </x:c>
      <x:c r="C21" s="7" t="str">
        <x:v>reference route diameter</x:v>
      </x:c>
      <x:c r="D21" s="9" t="n">
        <x:v>0.15</x:v>
      </x:c>
      <x:c r="E21" s="7" t="str">
        <x:v>m</x:v>
      </x:c>
      <x:c r="F21" s="7" t="str">
        <x:v>inherited</x:v>
      </x:c>
      <x:c r="G21" s="7" t="str">
        <x:v>SBD-1</x:v>
      </x:c>
    </x:row>
    <x:row r="22">
      <x:c r="B22" s="7" t="str">
        <x:v>C16</x:v>
      </x:c>
      <x:c r="C22" s="7" t="str">
        <x:v>low-volume insert diameter</x:v>
      </x:c>
      <x:c r="D22" s="9" t="n">
        <x:v>0.04</x:v>
      </x:c>
      <x:c r="E22" s="7" t="str">
        <x:v>m</x:v>
      </x:c>
      <x:c r="F22" s="7" t="str">
        <x:v>design</x:v>
      </x:c>
      <x:c r="G22" s="7" t="str">
        <x:v>RAE-1</x:v>
      </x:c>
    </x:row>
    <x:row r="23">
      <x:c r="B23" s="7" t="str">
        <x:v>C17</x:v>
      </x:c>
      <x:c r="C23" s="7" t="str">
        <x:v>insert length</x:v>
      </x:c>
      <x:c r="D23" s="9" t="n">
        <x:v>12</x:v>
      </x:c>
      <x:c r="E23" s="7" t="str">
        <x:v>m</x:v>
      </x:c>
      <x:c r="F23" s="7" t="str">
        <x:v>design</x:v>
      </x:c>
      <x:c r="G23" s="7" t="str">
        <x:v>RAE-1</x:v>
      </x:c>
    </x:row>
    <x:row r="24">
      <x:c r="B24" s="7" t="str">
        <x:v>C18</x:v>
      </x:c>
      <x:c r="C24" s="7" t="str">
        <x:v>QE-02 area bound</x:v>
      </x:c>
      <x:c r="D24" s="9" t="n">
        <x:v>2.5</x:v>
      </x:c>
      <x:c r="E24" s="7" t="str">
        <x:v>m2</x:v>
      </x:c>
      <x:c r="F24" s="7" t="str">
        <x:v>inherited</x:v>
      </x:c>
      <x:c r="G24" s="7" t="str">
        <x:v>RAS-1</x:v>
      </x:c>
    </x:row>
    <x:row r="25">
      <x:c r="B25" s="7" t="str">
        <x:v>C19</x:v>
      </x:c>
      <x:c r="C25" s="7" t="str">
        <x:v>reference pan length</x:v>
      </x:c>
      <x:c r="D25" s="9" t="n">
        <x:v>2</x:v>
      </x:c>
      <x:c r="E25" s="7" t="str">
        <x:v>m</x:v>
      </x:c>
      <x:c r="F25" s="7" t="str">
        <x:v>design</x:v>
      </x:c>
      <x:c r="G25" s="7" t="str">
        <x:v>RAE-1</x:v>
      </x:c>
    </x:row>
    <x:row r="26">
      <x:c r="B26" s="7" t="str">
        <x:v>C20</x:v>
      </x:c>
      <x:c r="C26" s="7" t="str">
        <x:v>reference pan width</x:v>
      </x:c>
      <x:c r="D26" s="9" t="n">
        <x:v>1.25</x:v>
      </x:c>
      <x:c r="E26" s="7" t="str">
        <x:v>m</x:v>
      </x:c>
      <x:c r="F26" s="7" t="str">
        <x:v>design</x:v>
      </x:c>
      <x:c r="G26" s="7" t="str">
        <x:v>RAE-1</x:v>
      </x:c>
    </x:row>
    <x:row r="27">
      <x:c r="B27" s="7" t="str">
        <x:v>C21</x:v>
      </x:c>
      <x:c r="C27" s="7" t="str">
        <x:v>reference pan wall</x:v>
      </x:c>
      <x:c r="D27" s="9" t="n">
        <x:v>0.2</x:v>
      </x:c>
      <x:c r="E27" s="7" t="str">
        <x:v>m</x:v>
      </x:c>
      <x:c r="F27" s="7" t="str">
        <x:v>design</x:v>
      </x:c>
      <x:c r="G27" s="7" t="str">
        <x:v>RAE-1</x:v>
      </x:c>
    </x:row>
    <x:row r="28">
      <x:c r="B28" s="7" t="str">
        <x:v>C22</x:v>
      </x:c>
      <x:c r="C28" s="7" t="str">
        <x:v>reference pan usable fraction</x:v>
      </x:c>
      <x:c r="D28" s="9" t="n">
        <x:v>0.8</x:v>
      </x:c>
      <x:c r="E28" s="7" t="str">
        <x:v>ratio</x:v>
      </x:c>
      <x:c r="F28" s="7" t="str">
        <x:v>design</x:v>
      </x:c>
      <x:c r="G28" s="7" t="str">
        <x:v>RAE-1</x:v>
      </x:c>
    </x:row>
    <x:row r="29">
      <x:c r="B29" s="7" t="str">
        <x:v>C23</x:v>
      </x:c>
      <x:c r="C29" s="7" t="str">
        <x:v>reference receiver volume</x:v>
      </x:c>
      <x:c r="D29" s="9" t="n">
        <x:v>0.5</x:v>
      </x:c>
      <x:c r="E29" s="7" t="str">
        <x:v>m3</x:v>
      </x:c>
      <x:c r="F29" s="7" t="str">
        <x:v>design</x:v>
      </x:c>
      <x:c r="G29" s="7" t="str">
        <x:v>RAE-1</x:v>
      </x:c>
    </x:row>
    <x:row r="30">
      <x:c r="B30" s="7" t="str">
        <x:v>C24</x:v>
      </x:c>
      <x:c r="C30" s="7" t="str">
        <x:v>reference article dry-mass ceiling</x:v>
      </x:c>
      <x:c r="D30" s="9" t="n">
        <x:v>2.5</x:v>
      </x:c>
      <x:c r="E30" s="7" t="str">
        <x:v>t</x:v>
      </x:c>
      <x:c r="F30" s="7" t="str">
        <x:v>design</x:v>
      </x:c>
      <x:c r="G30" s="7" t="str">
        <x:v>RAE-1</x:v>
      </x:c>
    </x:row>
    <x:row r="31">
      <x:c r="B31" s="7" t="str">
        <x:v>C25</x:v>
      </x:c>
      <x:c r="C31" s="7" t="str">
        <x:v>burning-flux screen</x:v>
      </x:c>
      <x:c r="D31" s="9" t="n">
        <x:v>0.055</x:v>
      </x:c>
      <x:c r="E31" s="7" t="str">
        <x:v>kg/m2/s</x:v>
      </x:c>
      <x:c r="F31" s="7" t="str">
        <x:v>inherited</x:v>
      </x:c>
      <x:c r="G31" s="7" t="str">
        <x:v>RFA-1</x:v>
      </x:c>
    </x:row>
    <x:row r="32">
      <x:c r="B32" s="7" t="str">
        <x:v>C26</x:v>
      </x:c>
      <x:c r="C32" s="7" t="str">
        <x:v>radiative fraction</x:v>
      </x:c>
      <x:c r="D32" s="9" t="n">
        <x:v>0.35</x:v>
      </x:c>
      <x:c r="E32" s="7" t="str">
        <x:v>ratio</x:v>
      </x:c>
      <x:c r="F32" s="7" t="str">
        <x:v>inherited</x:v>
      </x:c>
      <x:c r="G32" s="7" t="str">
        <x:v>RFA-1</x:v>
      </x:c>
    </x:row>
    <x:row r="33">
      <x:c r="B33" s="7" t="str">
        <x:v>C27</x:v>
      </x:c>
      <x:c r="C33" s="7" t="str">
        <x:v>boundary heat-flux ceiling</x:v>
      </x:c>
      <x:c r="D33" s="9" t="n">
        <x:v>1.6</x:v>
      </x:c>
      <x:c r="E33" s="7" t="str">
        <x:v>kW/m2</x:v>
      </x:c>
      <x:c r="F33" s="7" t="str">
        <x:v>inherited</x:v>
      </x:c>
      <x:c r="G33" s="7" t="str">
        <x:v>RFP-1</x:v>
      </x:c>
    </x:row>
    <x:row r="34">
      <x:c r="B34" s="7" t="str">
        <x:v>C28</x:v>
      </x:c>
      <x:c r="C34" s="7" t="str">
        <x:v>terminal-source target</x:v>
      </x:c>
      <x:c r="D34" s="9" t="n">
        <x:v>30</x:v>
      </x:c>
      <x:c r="E34" s="7" t="str">
        <x:v>s</x:v>
      </x:c>
      <x:c r="F34" s="7" t="str">
        <x:v>inherited</x:v>
      </x:c>
      <x:c r="G34" s="7" t="str">
        <x:v>RFE-1</x:v>
      </x:c>
    </x:row>
    <x:row r="35">
      <x:c r="B35" s="7" t="str">
        <x:v>C29</x:v>
      </x:c>
      <x:c r="C35" s="7" t="str">
        <x:v>source U95 ceiling</x:v>
      </x:c>
      <x:c r="D35" s="9" t="n">
        <x:v>1.5</x:v>
      </x:c>
      <x:c r="E35" s="7" t="str">
        <x:v>kg</x:v>
      </x:c>
      <x:c r="F35" s="7" t="str">
        <x:v>design</x:v>
      </x:c>
      <x:c r="G35" s="7" t="str">
        <x:v>RAE-1</x:v>
      </x:c>
    </x:row>
    <x:row r="36">
      <x:c r="B36" s="7" t="str">
        <x:v>C30</x:v>
      </x:c>
      <x:c r="C36" s="7" t="str">
        <x:v>unaccounted source ceiling</x:v>
      </x:c>
      <x:c r="D36" s="9" t="n">
        <x:v>0.75</x:v>
      </x:c>
      <x:c r="E36" s="7" t="str">
        <x:v>kg</x:v>
      </x:c>
      <x:c r="F36" s="7" t="str">
        <x:v>design</x:v>
      </x:c>
      <x:c r="G36" s="7" t="str">
        <x:v>RAE-1</x:v>
      </x:c>
    </x:row>
    <x:row r="37">
      <x:c r="B37" s="7" t="str">
        <x:v>C31</x:v>
      </x:c>
      <x:c r="C37" s="7" t="str">
        <x:v>environmental source ceiling</x:v>
      </x:c>
      <x:c r="D37" s="9" t="n">
        <x:v>0.1</x:v>
      </x:c>
      <x:c r="E37" s="7" t="str">
        <x:v>kg</x:v>
      </x:c>
      <x:c r="F37" s="7" t="str">
        <x:v>design</x:v>
      </x:c>
      <x:c r="G37" s="7" t="str">
        <x:v>RAE-1</x:v>
      </x:c>
    </x:row>
    <x:row r="38">
      <x:c r="B38" s="7" t="str">
        <x:v>C32</x:v>
      </x:c>
      <x:c r="C38" s="7" t="str">
        <x:v>ancestry recovery floor</x:v>
      </x:c>
      <x:c r="D38" s="9" t="n">
        <x:v>0.995</x:v>
      </x:c>
      <x:c r="E38" s="7" t="str">
        <x:v>ratio</x:v>
      </x:c>
      <x:c r="F38" s="7" t="str">
        <x:v>inherited</x:v>
      </x:c>
      <x:c r="G38" s="7" t="str">
        <x:v>RAS-1</x:v>
      </x:c>
    </x:row>
    <x:row r="39">
      <x:c r="B39" s="7" t="str">
        <x:v>C33</x:v>
      </x:c>
      <x:c r="C39" s="7" t="str">
        <x:v>ancestry cross-talk ceiling</x:v>
      </x:c>
      <x:c r="D39" s="9" t="n">
        <x:v>0.005</x:v>
      </x:c>
      <x:c r="E39" s="7" t="str">
        <x:v>ratio</x:v>
      </x:c>
      <x:c r="F39" s="7" t="str">
        <x:v>inherited</x:v>
      </x:c>
      <x:c r="G39" s="7" t="str">
        <x:v>RAS-1</x:v>
      </x:c>
    </x:row>
    <x:row r="40">
      <x:c r="B40" s="7" t="str">
        <x:v>C34</x:v>
      </x:c>
      <x:c r="C40" s="7" t="str">
        <x:v>time error ceiling</x:v>
      </x:c>
      <x:c r="D40" s="9" t="n">
        <x:v>5</x:v>
      </x:c>
      <x:c r="E40" s="7" t="str">
        <x:v>microseconds</x:v>
      </x:c>
      <x:c r="F40" s="7" t="str">
        <x:v>inherited</x:v>
      </x:c>
      <x:c r="G40" s="7" t="str">
        <x:v>RAS-1</x:v>
      </x:c>
    </x:row>
    <x:row r="41">
      <x:c r="B41" s="7" t="str">
        <x:v>C35</x:v>
      </x:c>
      <x:c r="C41" s="7" t="str">
        <x:v>normal source sump</x:v>
      </x:c>
      <x:c r="D41" s="9" t="n">
        <x:v>15</x:v>
      </x:c>
      <x:c r="E41" s="7" t="str">
        <x:v>m3</x:v>
      </x:c>
      <x:c r="F41" s="7" t="str">
        <x:v>inherited</x:v>
      </x:c>
      <x:c r="G41" s="7" t="str">
        <x:v>SBD-1</x:v>
      </x:c>
    </x:row>
    <x:row r="42">
      <x:c r="B42" s="7" t="str">
        <x:v>C36</x:v>
      </x:c>
      <x:c r="C42" s="7" t="str">
        <x:v>casualty source receiver</x:v>
      </x:c>
      <x:c r="D42" s="9" t="n">
        <x:v>50</x:v>
      </x:c>
      <x:c r="E42" s="7" t="str">
        <x:v>m3</x:v>
      </x:c>
      <x:c r="F42" s="7" t="str">
        <x:v>inherited</x:v>
      </x:c>
      <x:c r="G42" s="7" t="str">
        <x:v>RFP-1</x:v>
      </x:c>
    </x:row>
    <x:row r="43">
      <x:c r="B43" s="7" t="str">
        <x:v>C37</x:v>
      </x:c>
      <x:c r="C43" s="7" t="str">
        <x:v>normal firewater vault</x:v>
      </x:c>
      <x:c r="D43" s="9" t="n">
        <x:v>40</x:v>
      </x:c>
      <x:c r="E43" s="7" t="str">
        <x:v>m3</x:v>
      </x:c>
      <x:c r="F43" s="7" t="str">
        <x:v>inherited</x:v>
      </x:c>
      <x:c r="G43" s="7" t="str">
        <x:v>SBD-1</x:v>
      </x:c>
    </x:row>
    <x:row r="44">
      <x:c r="B44" s="7" t="str">
        <x:v>C38</x:v>
      </x:c>
      <x:c r="C44" s="7" t="str">
        <x:v>casualty water receiver</x:v>
      </x:c>
      <x:c r="D44" s="9" t="n">
        <x:v>120</x:v>
      </x:c>
      <x:c r="E44" s="7" t="str">
        <x:v>m3</x:v>
      </x:c>
      <x:c r="F44" s="7" t="str">
        <x:v>inherited</x:v>
      </x:c>
      <x:c r="G44" s="7" t="str">
        <x:v>RFP-1</x:v>
      </x:c>
    </x:row>
    <x:row r="45">
      <x:c r="B45" s="7" t="str">
        <x:v>C39</x:v>
      </x:c>
      <x:c r="C45" s="7" t="str">
        <x:v>casualty receiver initial-water ceiling</x:v>
      </x:c>
      <x:c r="D45" s="9" t="n">
        <x:v>5</x:v>
      </x:c>
      <x:c r="E45" s="7" t="str">
        <x:v>m3</x:v>
      </x:c>
      <x:c r="F45" s="7" t="str">
        <x:v>design</x:v>
      </x:c>
      <x:c r="G45" s="7" t="str">
        <x:v>RAE-1</x:v>
      </x:c>
    </x:row>
    <x:row r="46">
      <x:c r="B46" s="7" t="str">
        <x:v>C40</x:v>
      </x:c>
      <x:c r="C46" s="7" t="str">
        <x:v>emergency quench provision</x:v>
      </x:c>
      <x:c r="D46" s="9" t="n">
        <x:v>48</x:v>
      </x:c>
      <x:c r="E46" s="7" t="str">
        <x:v>m3</x:v>
      </x:c>
      <x:c r="F46" s="7" t="str">
        <x:v>inherited</x:v>
      </x:c>
      <x:c r="G46" s="7" t="str">
        <x:v>RAS-1</x:v>
      </x:c>
    </x:row>
    <x:row r="47">
      <x:c r="B47" s="7" t="str">
        <x:v>C41</x:v>
      </x:c>
      <x:c r="C47" s="7" t="str">
        <x:v>controlled rainfall depth</x:v>
      </x:c>
      <x:c r="D47" s="9" t="n">
        <x:v>0.075</x:v>
      </x:c>
      <x:c r="E47" s="7" t="str">
        <x:v>m</x:v>
      </x:c>
      <x:c r="F47" s="7" t="str">
        <x:v>design</x:v>
      </x:c>
      <x:c r="G47" s="7" t="str">
        <x:v>RAE-1</x:v>
      </x:c>
    </x:row>
    <x:row r="48">
      <x:c r="B48" s="7" t="str">
        <x:v>C42</x:v>
      </x:c>
      <x:c r="C48" s="7" t="str">
        <x:v>controlled field area</x:v>
      </x:c>
      <x:c r="D48" s="9" t="n">
        <x:v>600</x:v>
      </x:c>
      <x:c r="E48" s="7" t="str">
        <x:v>m2</x:v>
      </x:c>
      <x:c r="F48" s="7" t="str">
        <x:v>inherited</x:v>
      </x:c>
      <x:c r="G48" s="7" t="str">
        <x:v>RFP-1</x:v>
      </x:c>
    </x:row>
    <x:row r="49">
      <x:c r="B49" s="7" t="str">
        <x:v>C43</x:v>
      </x:c>
      <x:c r="C49" s="7" t="str">
        <x:v>foam and rinse provision</x:v>
      </x:c>
      <x:c r="D49" s="9" t="n">
        <x:v>12</x:v>
      </x:c>
      <x:c r="E49" s="7" t="str">
        <x:v>m3</x:v>
      </x:c>
      <x:c r="F49" s="7" t="str">
        <x:v>design</x:v>
      </x:c>
      <x:c r="G49" s="7" t="str">
        <x:v>RAE-1</x:v>
      </x:c>
    </x:row>
    <x:row r="50">
      <x:c r="B50" s="7" t="str">
        <x:v>C44</x:v>
      </x:c>
      <x:c r="C50" s="7" t="str">
        <x:v>unassigned water allowance</x:v>
      </x:c>
      <x:c r="D50" s="9" t="n">
        <x:v>5</x:v>
      </x:c>
      <x:c r="E50" s="7" t="str">
        <x:v>m3</x:v>
      </x:c>
      <x:c r="F50" s="7" t="str">
        <x:v>design</x:v>
      </x:c>
      <x:c r="G50" s="7" t="str">
        <x:v>RAE-1</x:v>
      </x:c>
    </x:row>
    <x:row r="51">
      <x:c r="B51" s="7" t="str">
        <x:v>C45</x:v>
      </x:c>
      <x:c r="C51" s="7" t="str">
        <x:v>source package gross mass</x:v>
      </x:c>
      <x:c r="D51" s="9" t="n">
        <x:v>125</x:v>
      </x:c>
      <x:c r="E51" s="7" t="str">
        <x:v>kg</x:v>
      </x:c>
      <x:c r="F51" s="7" t="str">
        <x:v>design</x:v>
      </x:c>
      <x:c r="G51" s="7" t="str">
        <x:v>RAE-1</x:v>
      </x:c>
    </x:row>
    <x:row r="52">
      <x:c r="B52" s="7" t="str">
        <x:v>C46</x:v>
      </x:c>
      <x:c r="C52" s="7" t="str">
        <x:v>source package event aliquot</x:v>
      </x:c>
      <x:c r="D52" s="9" t="n">
        <x:v>100</x:v>
      </x:c>
      <x:c r="E52" s="7" t="str">
        <x:v>kg</x:v>
      </x:c>
      <x:c r="F52" s="7" t="str">
        <x:v>design</x:v>
      </x:c>
      <x:c r="G52" s="7" t="str">
        <x:v>RAE-1</x:v>
      </x:c>
    </x:row>
    <x:row r="53">
      <x:c r="B53" s="7" t="str">
        <x:v>C47</x:v>
      </x:c>
      <x:c r="C53" s="7" t="str">
        <x:v>source package assay retention</x:v>
      </x:c>
      <x:c r="D53" s="9" t="n">
        <x:v>10</x:v>
      </x:c>
      <x:c r="E53" s="7" t="str">
        <x:v>kg</x:v>
      </x:c>
      <x:c r="F53" s="7" t="str">
        <x:v>design</x:v>
      </x:c>
      <x:c r="G53" s="7" t="str">
        <x:v>RAE-1</x:v>
      </x:c>
    </x:row>
    <x:row r="54">
      <x:c r="B54" s="7" t="str">
        <x:v>C48</x:v>
      </x:c>
      <x:c r="C54" s="7" t="str">
        <x:v>source package conditioning</x:v>
      </x:c>
      <x:c r="D54" s="9" t="n">
        <x:v>10</x:v>
      </x:c>
      <x:c r="E54" s="7" t="str">
        <x:v>kg</x:v>
      </x:c>
      <x:c r="F54" s="7" t="str">
        <x:v>design</x:v>
      </x:c>
      <x:c r="G54" s="7" t="str">
        <x:v>RAE-1</x:v>
      </x:c>
    </x:row>
    <x:row r="55">
      <x:c r="B55" s="7" t="str">
        <x:v>C49</x:v>
      </x:c>
      <x:c r="C55" s="7" t="str">
        <x:v>source package quarantine</x:v>
      </x:c>
      <x:c r="D55" s="9" t="n">
        <x:v>5</x:v>
      </x:c>
      <x:c r="E55" s="7" t="str">
        <x:v>kg</x:v>
      </x:c>
      <x:c r="F55" s="7" t="str">
        <x:v>design</x:v>
      </x:c>
      <x:c r="G55" s="7" t="str">
        <x:v>RAE-1</x:v>
      </x:c>
    </x:row>
    <x:row r="56">
      <x:c r="B56" s="7" t="str">
        <x:v>C50</x:v>
      </x:c>
      <x:c r="C56" s="7" t="str">
        <x:v>source packages</x:v>
      </x:c>
      <x:c r="D56" s="9" t="n">
        <x:v>28</x:v>
      </x:c>
      <x:c r="E56" s="7" t="str">
        <x:v>packages</x:v>
      </x:c>
      <x:c r="F56" s="7" t="str">
        <x:v>derived</x:v>
      </x:c>
      <x:c r="G56" s="7" t="str">
        <x:v>RAE-1</x:v>
      </x:c>
    </x:row>
    <x:row r="57">
      <x:c r="B57" s="7" t="str">
        <x:v>C51</x:v>
      </x:c>
      <x:c r="C57" s="7" t="str">
        <x:v>native data rate</x:v>
      </x:c>
      <x:c r="D57" s="9" t="n">
        <x:v>53.40384</x:v>
      </x:c>
      <x:c r="E57" s="7" t="str">
        <x:v>MB/s</x:v>
      </x:c>
      <x:c r="F57" s="7" t="str">
        <x:v>inherited</x:v>
      </x:c>
      <x:c r="G57" s="7" t="str">
        <x:v>RFP-1</x:v>
      </x:c>
    </x:row>
    <x:row r="58">
      <x:c r="B58" s="7" t="str">
        <x:v>C52</x:v>
      </x:c>
      <x:c r="C58" s="7" t="str">
        <x:v>full-rate interval</x:v>
      </x:c>
      <x:c r="D58" s="9" t="n">
        <x:v>600</x:v>
      </x:c>
      <x:c r="E58" s="7" t="str">
        <x:v>s</x:v>
      </x:c>
      <x:c r="F58" s="7" t="str">
        <x:v>inherited</x:v>
      </x:c>
      <x:c r="G58" s="7" t="str">
        <x:v>RFP-1</x:v>
      </x:c>
    </x:row>
    <x:row r="59">
      <x:c r="B59" s="7" t="str">
        <x:v>C53</x:v>
      </x:c>
      <x:c r="C59" s="7" t="str">
        <x:v>tail interval</x:v>
      </x:c>
      <x:c r="D59" s="9" t="n">
        <x:v>21600</x:v>
      </x:c>
      <x:c r="E59" s="7" t="str">
        <x:v>s</x:v>
      </x:c>
      <x:c r="F59" s="7" t="str">
        <x:v>inherited</x:v>
      </x:c>
      <x:c r="G59" s="7" t="str">
        <x:v>RFP-1</x:v>
      </x:c>
    </x:row>
    <x:row r="60">
      <x:c r="B60" s="7" t="str">
        <x:v>C54</x:v>
      </x:c>
      <x:c r="C60" s="7" t="str">
        <x:v>tail fraction</x:v>
      </x:c>
      <x:c r="D60" s="9" t="n">
        <x:v>0.01</x:v>
      </x:c>
      <x:c r="E60" s="7" t="str">
        <x:v>ratio</x:v>
      </x:c>
      <x:c r="F60" s="7" t="str">
        <x:v>inherited</x:v>
      </x:c>
      <x:c r="G60" s="7" t="str">
        <x:v>RFP-1</x:v>
      </x:c>
    </x:row>
    <x:row r="61">
      <x:c r="B61" s="7" t="str">
        <x:v>C55</x:v>
      </x:c>
      <x:c r="C61" s="7" t="str">
        <x:v>native originals</x:v>
      </x:c>
      <x:c r="D61" s="9" t="n">
        <x:v>2</x:v>
      </x:c>
      <x:c r="E61" s="7" t="str">
        <x:v>count</x:v>
      </x:c>
      <x:c r="F61" s="7" t="str">
        <x:v>inherited</x:v>
      </x:c>
      <x:c r="G61" s="7" t="str">
        <x:v>RFP-1</x:v>
      </x:c>
    </x:row>
    <x:row r="62">
      <x:c r="B62" s="7" t="str">
        <x:v>C56</x:v>
      </x:c>
      <x:c r="C62" s="7" t="str">
        <x:v>custody factor</x:v>
      </x:c>
      <x:c r="D62" s="9" t="n">
        <x:v>1.35</x:v>
      </x:c>
      <x:c r="E62" s="7" t="str">
        <x:v>ratio</x:v>
      </x:c>
      <x:c r="F62" s="7" t="str">
        <x:v>inherited</x:v>
      </x:c>
      <x:c r="G62" s="7" t="str">
        <x:v>RFP-1</x:v>
      </x:c>
    </x:row>
    <x:row r="63">
      <x:c r="B63" s="7" t="str">
        <x:v>C57</x:v>
      </x:c>
      <x:c r="C63" s="7" t="str">
        <x:v>forensic overhead</x:v>
      </x:c>
      <x:c r="D63" s="9" t="n">
        <x:v>0.3</x:v>
      </x:c>
      <x:c r="E63" s="7" t="str">
        <x:v>ratio</x:v>
      </x:c>
      <x:c r="F63" s="7" t="str">
        <x:v>inherited</x:v>
      </x:c>
      <x:c r="G63" s="7" t="str">
        <x:v>RAS-1</x:v>
      </x:c>
    </x:row>
    <x:row r="64">
      <x:c r="B64" s="7" t="str">
        <x:v>C58</x:v>
      </x:c>
      <x:c r="C64" s="7" t="str">
        <x:v>program duration</x:v>
      </x:c>
      <x:c r="D64" s="9" t="n">
        <x:v>24</x:v>
      </x:c>
      <x:c r="E64" s="7" t="str">
        <x:v>months</x:v>
      </x:c>
      <x:c r="F64" s="7" t="str">
        <x:v>design</x:v>
      </x:c>
      <x:c r="G64" s="7" t="str">
        <x:v>RAE-1</x:v>
      </x:c>
    </x:row>
    <x:row r="65">
      <x:c r="B65" s="7" t="str">
        <x:v>C59</x:v>
      </x:c>
      <x:c r="C65" s="7" t="str">
        <x:v>ready-rig fraction</x:v>
      </x:c>
      <x:c r="D65" s="9" t="n">
        <x:v>0.6</x:v>
      </x:c>
      <x:c r="E65" s="7" t="str">
        <x:v>ratio</x:v>
      </x:c>
      <x:c r="F65" s="7" t="str">
        <x:v>design</x:v>
      </x:c>
      <x:c r="G65" s="7" t="str">
        <x:v>RAE-1</x:v>
      </x:c>
    </x:row>
    <x:row r="66">
      <x:c r="B66" s="7" t="str">
        <x:v>C60</x:v>
      </x:c>
      <x:c r="C66" s="7" t="str">
        <x:v>workforce</x:v>
      </x:c>
      <x:c r="D66" s="9" t="n">
        <x:v>384</x:v>
      </x:c>
      <x:c r="E66" s="7" t="str">
        <x:v>positions</x:v>
      </x:c>
      <x:c r="F66" s="7" t="str">
        <x:v>design</x:v>
      </x:c>
      <x:c r="G66" s="7" t="str">
        <x:v>RAE-1</x:v>
      </x:c>
    </x:row>
    <x:row r="67">
      <x:c r="B67" s="7" t="str">
        <x:v>C61</x:v>
      </x:c>
      <x:c r="C67" s="7" t="str">
        <x:v>gross capital</x:v>
      </x:c>
      <x:c r="D67" s="9" t="n">
        <x:v>360</x:v>
      </x:c>
      <x:c r="E67" s="7" t="str">
        <x:v>USD M</x:v>
      </x:c>
      <x:c r="F67" s="7" t="str">
        <x:v>design</x:v>
      </x:c>
      <x:c r="G67" s="7" t="str">
        <x:v>RAE-1</x:v>
      </x:c>
    </x:row>
    <x:row r="68">
      <x:c r="B68" s="7" t="str">
        <x:v>C62</x:v>
      </x:c>
      <x:c r="C68" s="7" t="str">
        <x:v>gross annual support</x:v>
      </x:c>
      <x:c r="D68" s="9" t="n">
        <x:v>168</x:v>
      </x:c>
      <x:c r="E68" s="7" t="str">
        <x:v>USD M/year</x:v>
      </x:c>
      <x:c r="F68" s="7" t="str">
        <x:v>design</x:v>
      </x:c>
      <x:c r="G68" s="7" t="str">
        <x:v>RAE-1</x:v>
      </x:c>
    </x:row>
    <x:row r="69">
      <x:c r="B69" s="7" t="str">
        <x:v>C63</x:v>
      </x:c>
      <x:c r="C69" s="7" t="str">
        <x:v>CISA capital share</x:v>
      </x:c>
      <x:c r="D69" s="9" t="n">
        <x:v>240</x:v>
      </x:c>
      <x:c r="E69" s="7" t="str">
        <x:v>USD M</x:v>
      </x:c>
      <x:c r="F69" s="7" t="str">
        <x:v>design</x:v>
      </x:c>
      <x:c r="G69" s="7" t="str">
        <x:v>RAE-1</x:v>
      </x:c>
    </x:row>
    <x:row r="70">
      <x:c r="B70" s="7" t="str">
        <x:v>C64</x:v>
      </x:c>
      <x:c r="C70" s="7" t="str">
        <x:v>shared capital share</x:v>
      </x:c>
      <x:c r="D70" s="9" t="n">
        <x:v>120</x:v>
      </x:c>
      <x:c r="E70" s="7" t="str">
        <x:v>USD M</x:v>
      </x:c>
      <x:c r="F70" s="7" t="str">
        <x:v>design</x:v>
      </x:c>
      <x:c r="G70" s="7" t="str">
        <x:v>RAE-1</x:v>
      </x:c>
    </x:row>
    <x:row r="71">
      <x:c r="B71" s="7" t="str">
        <x:v>C65</x:v>
      </x:c>
      <x:c r="C71" s="7" t="str">
        <x:v>CISA annual share</x:v>
      </x:c>
      <x:c r="D71" s="9" t="n">
        <x:v>112</x:v>
      </x:c>
      <x:c r="E71" s="7" t="str">
        <x:v>USD M/year</x:v>
      </x:c>
      <x:c r="F71" s="7" t="str">
        <x:v>design</x:v>
      </x:c>
      <x:c r="G71" s="7" t="str">
        <x:v>RAE-1</x:v>
      </x:c>
    </x:row>
    <x:row r="72">
      <x:c r="B72" s="7" t="str">
        <x:v>C66</x:v>
      </x:c>
      <x:c r="C72" s="7" t="str">
        <x:v>shared annual share</x:v>
      </x:c>
      <x:c r="D72" s="9" t="n">
        <x:v>56</x:v>
      </x:c>
      <x:c r="E72" s="7" t="str">
        <x:v>USD M/year</x:v>
      </x:c>
      <x:c r="F72" s="7" t="str">
        <x:v>design</x:v>
      </x:c>
      <x:c r="G72" s="7" t="str">
        <x:v>RAE-1</x:v>
      </x:c>
    </x:row>
    <x:row r="73">
      <x:c r="B73" s="7" t="str">
        <x:v>C67</x:v>
      </x:c>
      <x:c r="C73" s="7" t="str">
        <x:v>RAS-1 credited capital</x:v>
      </x:c>
      <x:c r="D73" s="9" t="n">
        <x:v>2435</x:v>
      </x:c>
      <x:c r="E73" s="7" t="str">
        <x:v>USD M</x:v>
      </x:c>
      <x:c r="F73" s="7" t="str">
        <x:v>inherited</x:v>
      </x:c>
      <x:c r="G73" s="7" t="str">
        <x:v>RAS-1</x:v>
      </x:c>
    </x:row>
    <x:row r="74">
      <x:c r="B74" s="7" t="str">
        <x:v>C68</x:v>
      </x:c>
      <x:c r="C74" s="7" t="str">
        <x:v>RAS-1 credited annual</x:v>
      </x:c>
      <x:c r="D74" s="9" t="n">
        <x:v>464</x:v>
      </x:c>
      <x:c r="E74" s="7" t="str">
        <x:v>USD M/year</x:v>
      </x:c>
      <x:c r="F74" s="7" t="str">
        <x:v>inherited</x:v>
      </x:c>
      <x:c r="G74" s="7" t="str">
        <x:v>RAS-1</x:v>
      </x:c>
    </x:row>
    <x:row r="75">
      <x:c r="B75" s="7" t="str">
        <x:v>C69</x:v>
      </x:c>
      <x:c r="C75" s="7" t="str">
        <x:v>RAS-1 uncredited capital</x:v>
      </x:c>
      <x:c r="D75" s="9" t="n">
        <x:v>3095</x:v>
      </x:c>
      <x:c r="E75" s="7" t="str">
        <x:v>USD M</x:v>
      </x:c>
      <x:c r="F75" s="7" t="str">
        <x:v>inherited</x:v>
      </x:c>
      <x:c r="G75" s="7" t="str">
        <x:v>RAS-1</x:v>
      </x:c>
    </x:row>
    <x:row r="76">
      <x:c r="B76" s="7" t="str">
        <x:v>C70</x:v>
      </x:c>
      <x:c r="C76" s="7" t="str">
        <x:v>RAS-1 uncredited annual</x:v>
      </x:c>
      <x:c r="D76" s="9" t="n">
        <x:v>637</x:v>
      </x:c>
      <x:c r="E76" s="7" t="str">
        <x:v>USD M/year</x:v>
      </x:c>
      <x:c r="F76" s="7" t="str">
        <x:v>inherited</x:v>
      </x:c>
      <x:c r="G76" s="7" t="str">
        <x:v>RAS-1</x:v>
      </x:c>
    </x:row>
    <x:row r="77">
      <x:c r="B77" s="7" t="str">
        <x:v>C71</x:v>
      </x:c>
      <x:c r="C77" s="7" t="str">
        <x:v>RAE-1 portfolio increment</x:v>
      </x:c>
      <x:c r="D77" s="9" t="n">
        <x:v>0</x:v>
      </x:c>
      <x:c r="E77" s="7" t="str">
        <x:v>USD M</x:v>
      </x:c>
      <x:c r="F77" s="7" t="str">
        <x:v>boundary</x:v>
      </x:c>
      <x:c r="G77" s="7" t="str">
        <x:v>fully nested in RAS-1</x:v>
      </x:c>
    </x:row>
    <x:row r="78">
      <x:c r="B78" s="7" t="str">
        <x:v>C72</x:v>
      </x:c>
      <x:c r="C78" s="7" t="str">
        <x:v>planning completion</x:v>
      </x:c>
      <x:c r="D78" s="9" t="n">
        <x:v>1</x:v>
      </x:c>
      <x:c r="E78" s="7" t="str">
        <x:v>binary</x:v>
      </x:c>
      <x:c r="F78" s="7" t="str">
        <x:v>design</x:v>
      </x:c>
      <x:c r="G78" s="7" t="str">
        <x:v>RAE-1</x:v>
      </x:c>
    </x:row>
    <x:row r="79">
      <x:c r="B79" s="7" t="str">
        <x:v>C73</x:v>
      </x:c>
      <x:c r="C79" s="7" t="str">
        <x:v>configuration release authority</x:v>
      </x:c>
      <x:c r="D79" s="9" t="n">
        <x:v>0</x:v>
      </x:c>
      <x:c r="E79" s="7" t="str">
        <x:v>binary</x:v>
      </x:c>
      <x:c r="F79" s="7" t="str">
        <x:v>authority</x:v>
      </x:c>
      <x:c r="G79" s="7" t="str">
        <x:v>downstream</x:v>
      </x:c>
    </x:row>
    <x:row r="80">
      <x:c r="B80" s="7" t="str">
        <x:v>C74</x:v>
      </x:c>
      <x:c r="C80" s="7" t="str">
        <x:v>source-package release authority</x:v>
      </x:c>
      <x:c r="D80" s="9" t="n">
        <x:v>0</x:v>
      </x:c>
      <x:c r="E80" s="7" t="str">
        <x:v>binary</x:v>
      </x:c>
      <x:c r="F80" s="7" t="str">
        <x:v>authority</x:v>
      </x:c>
      <x:c r="G80" s="7" t="str">
        <x:v>downstream</x:v>
      </x:c>
    </x:row>
    <x:row r="81">
      <x:c r="B81" s="7" t="str">
        <x:v>C75</x:v>
      </x:c>
      <x:c r="C81" s="7" t="str">
        <x:v>QE-01 issue authority</x:v>
      </x:c>
      <x:c r="D81" s="9" t="n">
        <x:v>0</x:v>
      </x:c>
      <x:c r="E81" s="7" t="str">
        <x:v>binary</x:v>
      </x:c>
      <x:c r="F81" s="7" t="str">
        <x:v>authority</x:v>
      </x:c>
      <x:c r="G81" s="7" t="str">
        <x:v>downstream</x:v>
      </x:c>
    </x:row>
    <x:row r="82">
      <x:c r="B82" s="7" t="str">
        <x:v>C76</x:v>
      </x:c>
      <x:c r="C82" s="7" t="str">
        <x:v>QE-02 issue authority</x:v>
      </x:c>
      <x:c r="D82" s="9" t="n">
        <x:v>0</x:v>
      </x:c>
      <x:c r="E82" s="7" t="str">
        <x:v>binary</x:v>
      </x:c>
      <x:c r="F82" s="7" t="str">
        <x:v>authority</x:v>
      </x:c>
      <x:c r="G82" s="7" t="str">
        <x:v>downstream</x:v>
      </x:c>
    </x:row>
    <x:row r="83">
      <x:c r="B83" s="7" t="str">
        <x:v>C77</x:v>
      </x:c>
      <x:c r="C83" s="7" t="str">
        <x:v>AM-05 release authority</x:v>
      </x:c>
      <x:c r="D83" s="9" t="n">
        <x:v>0</x:v>
      </x:c>
      <x:c r="E83" s="7" t="str">
        <x:v>binary</x:v>
      </x:c>
      <x:c r="F83" s="7" t="str">
        <x:v>authority</x:v>
      </x:c>
      <x:c r="G83" s="7" t="str">
        <x:v>downstream</x:v>
      </x:c>
    </x:row>
    <x:row r="84">
      <x:c r="B84" s="7" t="str">
        <x:v>C78</x:v>
      </x:c>
      <x:c r="C84" s="7" t="str">
        <x:v>AM-06 release authority</x:v>
      </x:c>
      <x:c r="D84" s="9" t="n">
        <x:v>0</x:v>
      </x:c>
      <x:c r="E84" s="7" t="str">
        <x:v>binary</x:v>
      </x:c>
      <x:c r="F84" s="7" t="str">
        <x:v>authority</x:v>
      </x:c>
      <x:c r="G84" s="7" t="str">
        <x:v>downstream</x:v>
      </x:c>
    </x:row>
    <x:row r="85">
      <x:c r="B85" s="7" t="str">
        <x:v>C79</x:v>
      </x:c>
      <x:c r="C85" s="7" t="str">
        <x:v>candidate entry authority</x:v>
      </x:c>
      <x:c r="D85" s="9" t="n">
        <x:v>0</x:v>
      </x:c>
      <x:c r="E85" s="7" t="str">
        <x:v>binary</x:v>
      </x:c>
      <x:c r="F85" s="7" t="str">
        <x:v>authority</x:v>
      </x:c>
      <x:c r="G85" s="7" t="str">
        <x:v>downstream</x:v>
      </x:c>
    </x:row>
    <x:row r="86">
      <x:c r="B86" s="7" t="str">
        <x:v>C80</x:v>
      </x:c>
      <x:c r="C86" s="7" t="str">
        <x:v>exterior-rendering authority</x:v>
      </x:c>
      <x:c r="D86" s="9" t="n">
        <x:v>0</x:v>
      </x:c>
      <x:c r="E86" s="7" t="str">
        <x:v>binary</x:v>
      </x:c>
      <x:c r="F86" s="7" t="str">
        <x:v>authority</x:v>
      </x:c>
      <x:c r="G86" s="7" t="str">
        <x:v>downstream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1" hidden="0" customWidth="1"/>
    <x:col min="4" max="4" width="55" hidden="0" customWidth="1"/>
    <x:col min="5" max="5" width="69" hidden="0" customWidth="1"/>
  </x:cols>
  <x:sheetData>
    <x:row r="2">
      <x:c r="B2" s="1" t="str">
        <x:v>Twelve decisions that bound RAE-1</x:v>
      </x:c>
    </x:row>
    <x:row r="3">
      <x:c r="B3" s="2" t="str">
        <x:v>The pass makes the first event issuable in principle without claiming that any hardware or event is accepted.</x:v>
      </x:c>
    </x:row>
    <x:row r="6" ht="24" customHeight="1">
      <x:c r="B6" s="6" t="str">
        <x:v>Decision</x:v>
      </x:c>
      <x:c r="C6" s="6" t="str">
        <x:v>Question</x:v>
      </x:c>
      <x:c r="D6" s="6" t="str">
        <x:v>RAE-1 answer</x:v>
      </x:c>
      <x:c r="E6" s="6" t="str">
        <x:v>Explicit non-authority</x:v>
      </x:c>
    </x:row>
    <x:row r="7" ht="40" customHeight="1">
      <x:c r="B7" s="7" t="str">
        <x:v>DL-01</x:v>
      </x:c>
      <x:c r="C7" s="7" t="str">
        <x:v>qualification object</x:v>
      </x:c>
      <x:c r="D7" s="10" t="str">
        <x:v>public reference entry system</x:v>
      </x:c>
      <x:c r="E7" s="10" t="str">
        <x:v>not a candidate article or production design</x:v>
      </x:c>
    </x:row>
    <x:row r="8" ht="40" customHeight="1">
      <x:c r="B8" s="7" t="str">
        <x:v>DL-02</x:v>
      </x:c>
      <x:c r="C8" s="7" t="str">
        <x:v>allowed classes</x:v>
      </x:c>
      <x:c r="D8" s="10" t="str">
        <x:v>QE-01 and QE-02 only</x:v>
      </x:c>
      <x:c r="E8" s="10" t="str">
        <x:v>no inference to quarter or full source</x:v>
      </x:c>
    </x:row>
    <x:row r="9" ht="40" customHeight="1">
      <x:c r="B9" s="7" t="str">
        <x:v>DL-03</x:v>
      </x:c>
      <x:c r="C9" s="7" t="str">
        <x:v>source state</x:v>
      </x:c>
      <x:c r="D9" s="10" t="str">
        <x:v>zero or 100 kg</x:v>
      </x:c>
      <x:c r="E9" s="10" t="str">
        <x:v>one serialized lot and one event aliquot</x:v>
      </x:c>
    </x:row>
    <x:row r="10" ht="40" customHeight="1">
      <x:c r="B10" s="7" t="str">
        <x:v>DL-04</x:v>
      </x:c>
      <x:c r="C10" s="7" t="str">
        <x:v>water state</x:v>
      </x:c>
      <x:c r="D10" s="10" t="str">
        <x:v>zero planned application</x:v>
      </x:c>
      <x:c r="E10" s="10" t="str">
        <x:v>casualty water remains armed and separately measured</x:v>
      </x:c>
    </x:row>
    <x:row r="11" ht="40" customHeight="1">
      <x:c r="B11" s="7" t="str">
        <x:v>DL-05</x:v>
      </x:c>
      <x:c r="C11" s="7" t="str">
        <x:v>ignition</x:v>
      </x:c>
      <x:c r="D11" s="10" t="str">
        <x:v>AM-06 QE-02 opportunity only</x:v>
      </x:c>
      <x:c r="E11" s="10" t="str">
        <x:v>command, flame and extinction remain separate observations</x:v>
      </x:c>
    </x:row>
    <x:row r="12" ht="40" customHeight="1">
      <x:c r="B12" s="7" t="str">
        <x:v>DL-06</x:v>
      </x:c>
      <x:c r="C12" s="7" t="str">
        <x:v>occupied area</x:v>
      </x:c>
      <x:c r="D12" s="10" t="str">
        <x:v>2.5 m2 maximum</x:v>
      </x:c>
      <x:c r="E12" s="10" t="str">
        <x:v>physical pan geometry is a class boundary</x:v>
      </x:c>
    </x:row>
    <x:row r="13" ht="40" customHeight="1">
      <x:c r="B13" s="7" t="str">
        <x:v>DL-07</x:v>
      </x:c>
      <x:c r="C13" s="7" t="str">
        <x:v>source path</x:v>
      </x:c>
      <x:c r="D13" s="10" t="str">
        <x:v>40 mm low-volume insert</x:v>
      </x:c>
      <x:c r="E13" s="10" t="str">
        <x:v>does not qualify the 150 mm full-source route</x:v>
      </x:c>
    </x:row>
    <x:row r="14" ht="40" customHeight="1">
      <x:c r="B14" s="7" t="str">
        <x:v>DL-08</x:v>
      </x:c>
      <x:c r="C14" s="7" t="str">
        <x:v>safeing credit</x:v>
      </x:c>
      <x:c r="D14" s="10" t="str">
        <x:v>observed final element</x:v>
      </x:c>
      <x:c r="E14" s="10" t="str">
        <x:v>command receipt alone earns no credit</x:v>
      </x:c>
    </x:row>
    <x:row r="15" ht="40" customHeight="1">
      <x:c r="B15" s="7" t="str">
        <x:v>DL-09</x:v>
      </x:c>
      <x:c r="C15" s="7" t="str">
        <x:v>issue law</x:v>
      </x:c>
      <x:c r="D15" s="10" t="str">
        <x:v>all holds accepted on one baseline</x:v>
      </x:c>
      <x:c r="E15" s="10" t="str">
        <x:v>silence and schedule do not issue an event</x:v>
      </x:c>
    </x:row>
    <x:row r="16" ht="40" customHeight="1">
      <x:c r="B16" s="7" t="str">
        <x:v>DL-10</x:v>
      </x:c>
      <x:c r="C16" s="7" t="str">
        <x:v>validity law</x:v>
      </x:c>
      <x:c r="D16" s="10" t="str">
        <x:v>registered proposition occurred</x:v>
      </x:c>
      <x:c r="E16" s="10" t="str">
        <x:v>valid adverse events cannot be replaced</x:v>
      </x:c>
    </x:row>
    <x:row r="17" ht="40" customHeight="1">
      <x:c r="B17" s="7" t="str">
        <x:v>DL-11</x:v>
      </x:c>
      <x:c r="C17" s="7" t="str">
        <x:v>evidence law</x:v>
      </x:c>
      <x:c r="D17" s="10" t="str">
        <x:v>native originals plus samples</x:v>
      </x:c>
      <x:c r="E17" s="10" t="str">
        <x:v>derived summaries cannot replace missing evidence</x:v>
      </x:c>
    </x:row>
    <x:row r="18" ht="40" customHeight="1">
      <x:c r="B18" s="7" t="str">
        <x:v>DL-12</x:v>
      </x:c>
      <x:c r="C18" s="7" t="str">
        <x:v>authority ceiling</x:v>
      </x:c>
      <x:c r="D18" s="10" t="str">
        <x:v>event issue only</x:v>
      </x:c>
      <x:c r="E18" s="10" t="str">
        <x:v>no method, candidate, production or exterior-form release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7" hidden="0" customWidth="1"/>
    <x:col min="3" max="3" width="14" hidden="0" customWidth="1"/>
    <x:col min="4" max="4" width="13" hidden="0" customWidth="1"/>
    <x:col min="5" max="5" width="17" hidden="0" customWidth="1"/>
    <x:col min="6" max="6" width="17" hidden="0" customWidth="1"/>
    <x:col min="7" max="7" width="17" hidden="0" customWidth="1"/>
    <x:col min="8" max="8" width="14" hidden="0" customWidth="1"/>
    <x:col min="9" max="9" width="14" hidden="0" customWidth="1"/>
    <x:col min="10" max="10" width="15" hidden="0" customWidth="1"/>
    <x:col min="11" max="11" width="21" hidden="0" customWidth="1"/>
    <x:col min="12" max="12" width="22" hidden="0" customWidth="1"/>
    <x:col min="13" max="13" width="59" hidden="0" customWidth="1"/>
    <x:col min="14" max="14" width="21" hidden="0" customWidth="1"/>
    <x:col min="15" max="15" width="14" hidden="0" customWidth="1"/>
  </x:cols>
  <x:sheetData>
    <x:row r="2">
      <x:c r="B2" s="1" t="str">
        <x:v>Six public reference entry articles</x:v>
      </x:c>
    </x:row>
    <x:row r="3">
      <x:c r="B3" s="2" t="str">
        <x:v>Each article supplies a known custody or pool state for method qualification; it is not a Root A candidate.</x:v>
      </x:c>
    </x:row>
    <x:row r="6" ht="24" customHeight="1">
      <x:c r="B6" s="6" t="str">
        <x:v>Article</x:v>
      </x:c>
      <x:c r="C6" s="6" t="str">
        <x:v>Rig</x:v>
      </x:c>
      <x:c r="D6" s="6" t="str">
        <x:v>Campus</x:v>
      </x:c>
      <x:c r="E6" s="6" t="str">
        <x:v>Envelope L m</x:v>
      </x:c>
      <x:c r="F6" s="6" t="str">
        <x:v>Envelope W m</x:v>
      </x:c>
      <x:c r="G6" s="6" t="str">
        <x:v>Envelope H m</x:v>
      </x:c>
      <x:c r="H6" s="6" t="str">
        <x:v>Pan L m</x:v>
      </x:c>
      <x:c r="I6" s="6" t="str">
        <x:v>Pan W m</x:v>
      </x:c>
      <x:c r="J6" s="6" t="str">
        <x:v>Pan wall m</x:v>
      </x:c>
      <x:c r="K6" s="6" t="str">
        <x:v>Closed receiver m3</x:v>
      </x:c>
      <x:c r="L6" s="6" t="str">
        <x:v>Dry-mass ceiling t</x:v>
      </x:c>
      <x:c r="M6" s="6" t="str">
        <x:v>Role</x:v>
      </x:c>
      <x:c r="N6" s="6" t="str">
        <x:v>Accepted UTC</x:v>
      </x:c>
      <x:c r="O6" s="6" t="str">
        <x:v>State</x:v>
      </x:c>
    </x:row>
    <x:row r="7" ht="38" customHeight="1">
      <x:c r="B7" s="7" t="str">
        <x:v>REA-100-01</x:v>
      </x:c>
      <x:c r="C7" s="7" t="str">
        <x:v>RFP-A1</x:v>
      </x:c>
      <x:c r="D7" s="7" t="str">
        <x:v>PTC-A</x:v>
      </x:c>
      <x:c r="E7" s="7" t="n">
        <x:v>2.4</x:v>
      </x:c>
      <x:c r="F7" s="7" t="n">
        <x:v>1.6</x:v>
      </x:c>
      <x:c r="G7" s="7" t="n">
        <x:v>0.6</x:v>
      </x:c>
      <x:c r="H7" s="7" t="n">
        <x:v>2</x:v>
      </x:c>
      <x:c r="I7" s="7" t="n">
        <x:v>1.25</x:v>
      </x:c>
      <x:c r="J7" s="7" t="n">
        <x:v>0.2</x:v>
      </x:c>
      <x:c r="K7" s="7" t="n">
        <x:v>0.5</x:v>
      </x:c>
      <x:c r="L7" s="7" t="n">
        <x:v>2.5</x:v>
      </x:c>
      <x:c r="M7" s="10" t="str">
        <x:v>public reference method article; no candidate mechanism</x:v>
      </x:c>
      <x:c r="N7" s="7" t="str"/>
      <x:c r="O7" s="7" t="str">
        <x:v>OPEN</x:v>
      </x:c>
    </x:row>
    <x:row r="8" ht="38" customHeight="1">
      <x:c r="B8" s="7" t="str">
        <x:v>REA-100-02</x:v>
      </x:c>
      <x:c r="C8" s="7" t="str">
        <x:v>RFP-A2</x:v>
      </x:c>
      <x:c r="D8" s="7" t="str">
        <x:v>PTC-A</x:v>
      </x:c>
      <x:c r="E8" s="7" t="n">
        <x:v>2.4</x:v>
      </x:c>
      <x:c r="F8" s="7" t="n">
        <x:v>1.6</x:v>
      </x:c>
      <x:c r="G8" s="7" t="n">
        <x:v>0.6</x:v>
      </x:c>
      <x:c r="H8" s="7" t="n">
        <x:v>2</x:v>
      </x:c>
      <x:c r="I8" s="7" t="n">
        <x:v>1.25</x:v>
      </x:c>
      <x:c r="J8" s="7" t="n">
        <x:v>0.2</x:v>
      </x:c>
      <x:c r="K8" s="7" t="n">
        <x:v>0.5</x:v>
      </x:c>
      <x:c r="L8" s="7" t="n">
        <x:v>2.5</x:v>
      </x:c>
      <x:c r="M8" s="10" t="str">
        <x:v>public reference method article; no candidate mechanism</x:v>
      </x:c>
      <x:c r="N8" s="7" t="str"/>
      <x:c r="O8" s="7" t="str">
        <x:v>OPEN</x:v>
      </x:c>
    </x:row>
    <x:row r="9" ht="38" customHeight="1">
      <x:c r="B9" s="7" t="str">
        <x:v>REA-100-03</x:v>
      </x:c>
      <x:c r="C9" s="7" t="str">
        <x:v>RFP-B1</x:v>
      </x:c>
      <x:c r="D9" s="7" t="str">
        <x:v>PTC-B</x:v>
      </x:c>
      <x:c r="E9" s="7" t="n">
        <x:v>2.4</x:v>
      </x:c>
      <x:c r="F9" s="7" t="n">
        <x:v>1.6</x:v>
      </x:c>
      <x:c r="G9" s="7" t="n">
        <x:v>0.6</x:v>
      </x:c>
      <x:c r="H9" s="7" t="n">
        <x:v>2</x:v>
      </x:c>
      <x:c r="I9" s="7" t="n">
        <x:v>1.25</x:v>
      </x:c>
      <x:c r="J9" s="7" t="n">
        <x:v>0.2</x:v>
      </x:c>
      <x:c r="K9" s="7" t="n">
        <x:v>0.5</x:v>
      </x:c>
      <x:c r="L9" s="7" t="n">
        <x:v>2.5</x:v>
      </x:c>
      <x:c r="M9" s="10" t="str">
        <x:v>public reference method article; no candidate mechanism</x:v>
      </x:c>
      <x:c r="N9" s="7" t="str"/>
      <x:c r="O9" s="7" t="str">
        <x:v>OPEN</x:v>
      </x:c>
    </x:row>
    <x:row r="10" ht="38" customHeight="1">
      <x:c r="B10" s="7" t="str">
        <x:v>REA-100-04</x:v>
      </x:c>
      <x:c r="C10" s="7" t="str">
        <x:v>RFP-B2</x:v>
      </x:c>
      <x:c r="D10" s="7" t="str">
        <x:v>PTC-B</x:v>
      </x:c>
      <x:c r="E10" s="7" t="n">
        <x:v>2.4</x:v>
      </x:c>
      <x:c r="F10" s="7" t="n">
        <x:v>1.6</x:v>
      </x:c>
      <x:c r="G10" s="7" t="n">
        <x:v>0.6</x:v>
      </x:c>
      <x:c r="H10" s="7" t="n">
        <x:v>2</x:v>
      </x:c>
      <x:c r="I10" s="7" t="n">
        <x:v>1.25</x:v>
      </x:c>
      <x:c r="J10" s="7" t="n">
        <x:v>0.2</x:v>
      </x:c>
      <x:c r="K10" s="7" t="n">
        <x:v>0.5</x:v>
      </x:c>
      <x:c r="L10" s="7" t="n">
        <x:v>2.5</x:v>
      </x:c>
      <x:c r="M10" s="10" t="str">
        <x:v>public reference method article; no candidate mechanism</x:v>
      </x:c>
      <x:c r="N10" s="7" t="str"/>
      <x:c r="O10" s="7" t="str">
        <x:v>OPEN</x:v>
      </x:c>
    </x:row>
    <x:row r="11" ht="38" customHeight="1">
      <x:c r="B11" s="7" t="str">
        <x:v>REA-100-05</x:v>
      </x:c>
      <x:c r="C11" s="7" t="str">
        <x:v>RFP-C1</x:v>
      </x:c>
      <x:c r="D11" s="7" t="str">
        <x:v>PTC-C</x:v>
      </x:c>
      <x:c r="E11" s="7" t="n">
        <x:v>2.4</x:v>
      </x:c>
      <x:c r="F11" s="7" t="n">
        <x:v>1.6</x:v>
      </x:c>
      <x:c r="G11" s="7" t="n">
        <x:v>0.6</x:v>
      </x:c>
      <x:c r="H11" s="7" t="n">
        <x:v>2</x:v>
      </x:c>
      <x:c r="I11" s="7" t="n">
        <x:v>1.25</x:v>
      </x:c>
      <x:c r="J11" s="7" t="n">
        <x:v>0.2</x:v>
      </x:c>
      <x:c r="K11" s="7" t="n">
        <x:v>0.5</x:v>
      </x:c>
      <x:c r="L11" s="7" t="n">
        <x:v>2.5</x:v>
      </x:c>
      <x:c r="M11" s="10" t="str">
        <x:v>public reference method article; no candidate mechanism</x:v>
      </x:c>
      <x:c r="N11" s="7" t="str"/>
      <x:c r="O11" s="7" t="str">
        <x:v>OPEN</x:v>
      </x:c>
    </x:row>
    <x:row r="12" ht="38" customHeight="1">
      <x:c r="B12" s="7" t="str">
        <x:v>REA-100-06</x:v>
      </x:c>
      <x:c r="C12" s="7" t="str">
        <x:v>RFP-C2</x:v>
      </x:c>
      <x:c r="D12" s="7" t="str">
        <x:v>PTC-C</x:v>
      </x:c>
      <x:c r="E12" s="7" t="n">
        <x:v>2.4</x:v>
      </x:c>
      <x:c r="F12" s="7" t="n">
        <x:v>1.6</x:v>
      </x:c>
      <x:c r="G12" s="7" t="n">
        <x:v>0.6</x:v>
      </x:c>
      <x:c r="H12" s="7" t="n">
        <x:v>2</x:v>
      </x:c>
      <x:c r="I12" s="7" t="n">
        <x:v>1.25</x:v>
      </x:c>
      <x:c r="J12" s="7" t="n">
        <x:v>0.2</x:v>
      </x:c>
      <x:c r="K12" s="7" t="n">
        <x:v>0.5</x:v>
      </x:c>
      <x:c r="L12" s="7" t="n">
        <x:v>2.5</x:v>
      </x:c>
      <x:c r="M12" s="10" t="str">
        <x:v>public reference method article; no candidate mechanism</x:v>
      </x:c>
      <x:c r="N12" s="7" t="str"/>
      <x:c r="O12" s="7" t="str">
        <x:v>OPEN</x:v>
      </x:c>
    </x:row>
  </x:sheetData>
  <x:conditionalFormatting sqref="O7:O12">
    <x:cfRule type="containsText" dxfId="0" priority="1" operator="containsText" text="FAIL"/>
    <x:cfRule type="containsText" dxfId="1" priority="2" operator="containsText" text="INVALID"/>
    <x:cfRule type="containsText" dxfId="2" priority="3" operator="containsText" text="BLOCKED"/>
    <x:cfRule type="containsText" dxfId="3" priority="4" operator="containsText" text="OPEN"/>
    <x:cfRule type="containsText" dxfId="4" priority="5" operator="containsText" text="HELD"/>
    <x:cfRule type="containsText" dxfId="5" priority="6" operator="containsText" text="DORMANT"/>
    <x:cfRule type="containsText" dxfId="6" priority="7" operator="containsText" text="PASS"/>
    <x:cfRule type="containsText" dxfId="7" priority="8" operator="containsText" text="VALID"/>
    <x:cfRule type="containsText" dxfId="8" priority="9" operator="containsText" text="ISSU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0" hidden="0" customWidth="1"/>
    <x:col min="3" max="3" width="14" hidden="0" customWidth="1"/>
    <x:col min="4" max="4" width="13" hidden="0" customWidth="1"/>
    <x:col min="5" max="5" width="14" hidden="0" customWidth="1"/>
    <x:col min="6" max="6" width="39" hidden="0" customWidth="1"/>
    <x:col min="7" max="7" width="76" hidden="0" customWidth="1"/>
    <x:col min="8" max="8" width="32" hidden="0" customWidth="1"/>
    <x:col min="9" max="9" width="21" hidden="0" customWidth="1"/>
    <x:col min="10" max="10" width="14" hidden="0" customWidth="1"/>
  </x:cols>
  <x:sheetData>
    <x:row r="2">
      <x:c r="B2" s="1" t="str">
        <x:v>One hundred twenty as-built cell sections</x:v>
      </x:c>
    </x:row>
    <x:row r="3">
      <x:c r="B3" s="2" t="str">
        <x:v>Every rig must publish measured as-built state. Design text cannot populate the observed field.</x:v>
      </x:c>
    </x:row>
    <x:row r="6" ht="24" customHeight="1">
      <x:c r="B6" s="6" t="str">
        <x:v>Section record</x:v>
      </x:c>
      <x:c r="C6" s="6" t="str">
        <x:v>Rig</x:v>
      </x:c>
      <x:c r="D6" s="6" t="str">
        <x:v>Campus</x:v>
      </x:c>
      <x:c r="E6" s="6" t="str">
        <x:v>Section</x:v>
      </x:c>
      <x:c r="F6" s="6" t="str">
        <x:v>Physical boundary</x:v>
      </x:c>
      <x:c r="G6" s="6" t="str">
        <x:v>Required content</x:v>
      </x:c>
      <x:c r="H6" s="6" t="str">
        <x:v>As-built record</x:v>
      </x:c>
      <x:c r="I6" s="6" t="str">
        <x:v>Accepted UTC</x:v>
      </x:c>
      <x:c r="J6" s="6" t="str">
        <x:v>State</x:v>
      </x:c>
    </x:row>
    <x:row r="7" ht="41" customHeight="1">
      <x:c r="B7" s="7" t="str">
        <x:v>RFP-A1-CS-01</x:v>
      </x:c>
      <x:c r="C7" s="7" t="str">
        <x:v>RFP-A1</x:v>
      </x:c>
      <x:c r="D7" s="7" t="str">
        <x:v>PTC-A</x:v>
      </x:c>
      <x:c r="E7" s="7" t="str">
        <x:v>CS-01</x:v>
      </x:c>
      <x:c r="F7" s="10" t="str">
        <x:v>public datum and six-axis survey</x:v>
      </x:c>
      <x:c r="G7" s="10" t="str">
        <x:v>coordinate root, settlement witness and protected reference monuments</x:v>
      </x:c>
      <x:c r="H7" s="7" t="str"/>
      <x:c r="I7" s="7" t="str"/>
      <x:c r="J7" s="7" t="str">
        <x:v>OPEN</x:v>
      </x:c>
    </x:row>
    <x:row r="8" ht="41" customHeight="1">
      <x:c r="B8" s="7" t="str">
        <x:v>RFP-A1-CS-02</x:v>
      </x:c>
      <x:c r="C8" s="7" t="str">
        <x:v>RFP-A1</x:v>
      </x:c>
      <x:c r="D8" s="7" t="str">
        <x:v>PTC-A</x:v>
      </x:c>
      <x:c r="E8" s="7" t="str">
        <x:v>CS-02</x:v>
      </x:c>
      <x:c r="F8" s="10" t="str">
        <x:v>source conditioning vessel</x:v>
      </x:c>
      <x:c r="G8" s="10" t="str">
        <x:v>3.5 m3 working volume; temperature, composition and mass bookends</x:v>
      </x:c>
      <x:c r="H8" s="7" t="str"/>
      <x:c r="I8" s="7" t="str"/>
      <x:c r="J8" s="7" t="str">
        <x:v>OPEN</x:v>
      </x:c>
    </x:row>
    <x:row r="9" ht="41" customHeight="1">
      <x:c r="B9" s="7" t="str">
        <x:v>RFP-A1-CS-03</x:v>
      </x:c>
      <x:c r="C9" s="7" t="str">
        <x:v>RFP-A1</x:v>
      </x:c>
      <x:c r="D9" s="7" t="str">
        <x:v>PTC-A</x:v>
      </x:c>
      <x:c r="E9" s="7" t="str">
        <x:v>CS-03</x:v>
      </x:c>
      <x:c r="F9" s="10" t="str">
        <x:v>source capsule docking</x:v>
      </x:c>
      <x:c r="G9" s="10" t="str">
        <x:v>serialized seal, keyed connection and contained disconnect</x:v>
      </x:c>
      <x:c r="H9" s="7" t="str"/>
      <x:c r="I9" s="7" t="str"/>
      <x:c r="J9" s="7" t="str">
        <x:v>OPEN</x:v>
      </x:c>
    </x:row>
    <x:row r="10" ht="41" customHeight="1">
      <x:c r="B10" s="7" t="str">
        <x:v>RFP-A1-CS-04</x:v>
      </x:c>
      <x:c r="C10" s="7" t="str">
        <x:v>RFP-A1</x:v>
      </x:c>
      <x:c r="D10" s="7" t="str">
        <x:v>PTC-A</x:v>
      </x:c>
      <x:c r="E10" s="7" t="str">
        <x:v>CS-04</x:v>
      </x:c>
      <x:c r="F10" s="10" t="str">
        <x:v>initial source weighing</x:v>
      </x:c>
      <x:c r="G10" s="10" t="str">
        <x:v>independent mass root with 0.25 kg allocation</x:v>
      </x:c>
      <x:c r="H10" s="7" t="str"/>
      <x:c r="I10" s="7" t="str"/>
      <x:c r="J10" s="7" t="str">
        <x:v>OPEN</x:v>
      </x:c>
    </x:row>
    <x:row r="11" ht="41" customHeight="1">
      <x:c r="B11" s="7" t="str">
        <x:v>RFP-A1-CS-05</x:v>
      </x:c>
      <x:c r="C11" s="7" t="str">
        <x:v>RFP-A1</x:v>
      </x:c>
      <x:c r="D11" s="7" t="str">
        <x:v>PTC-A</x:v>
      </x:c>
      <x:c r="E11" s="7" t="str">
        <x:v>CS-05</x:v>
      </x:c>
      <x:c r="F11" s="10" t="str">
        <x:v>source inlet isolation</x:v>
      </x:c>
      <x:c r="G11" s="10" t="str">
        <x:v>final element, motive energy and direct state witness</x:v>
      </x:c>
      <x:c r="H11" s="7" t="str"/>
      <x:c r="I11" s="7" t="str"/>
      <x:c r="J11" s="7" t="str">
        <x:v>OPEN</x:v>
      </x:c>
    </x:row>
    <x:row r="12" ht="41" customHeight="1">
      <x:c r="B12" s="7" t="str">
        <x:v>RFP-A1-CS-06</x:v>
      </x:c>
      <x:c r="C12" s="7" t="str">
        <x:v>RFP-A1</x:v>
      </x:c>
      <x:c r="D12" s="7" t="str">
        <x:v>PTC-A</x:v>
      </x:c>
      <x:c r="E12" s="7" t="str">
        <x:v>CS-06</x:v>
      </x:c>
      <x:c r="F12" s="10" t="str">
        <x:v>dispenser isolation</x:v>
      </x:c>
      <x:c r="G12" s="10" t="str">
        <x:v>separate final element and residual measurement</x:v>
      </x:c>
      <x:c r="H12" s="7" t="str"/>
      <x:c r="I12" s="7" t="str"/>
      <x:c r="J12" s="7" t="str">
        <x:v>OPEN</x:v>
      </x:c>
    </x:row>
    <x:row r="13" ht="41" customHeight="1">
      <x:c r="B13" s="7" t="str">
        <x:v>RFP-A1-CS-07</x:v>
      </x:c>
      <x:c r="C13" s="7" t="str">
        <x:v>RFP-A1</x:v>
      </x:c>
      <x:c r="D13" s="7" t="str">
        <x:v>PTC-A</x:v>
      </x:c>
      <x:c r="E13" s="7" t="str">
        <x:v>CS-07</x:v>
      </x:c>
      <x:c r="F13" s="10" t="str">
        <x:v>40 mm low-volume insert</x:v>
      </x:c>
      <x:c r="G13" s="10" t="str">
        <x:v>12 m measured bore, slope, hold-up and removable custody</x:v>
      </x:c>
      <x:c r="H13" s="7" t="str"/>
      <x:c r="I13" s="7" t="str"/>
      <x:c r="J13" s="7" t="str">
        <x:v>OPEN</x:v>
      </x:c>
    </x:row>
    <x:row r="14" ht="41" customHeight="1">
      <x:c r="B14" s="7" t="str">
        <x:v>RFP-A1-CS-08</x:v>
      </x:c>
      <x:c r="C14" s="7" t="str">
        <x:v>RFP-A1</x:v>
      </x:c>
      <x:c r="D14" s="7" t="str">
        <x:v>PTC-A</x:v>
      </x:c>
      <x:c r="E14" s="7" t="str">
        <x:v>CS-08</x:v>
      </x:c>
      <x:c r="F14" s="10" t="str">
        <x:v>150 mm public boundary</x:v>
      </x:c>
      <x:c r="G14" s="10" t="str">
        <x:v>blanked and witnessed; no full-route qualification</x:v>
      </x:c>
      <x:c r="H14" s="7" t="str"/>
      <x:c r="I14" s="7" t="str"/>
      <x:c r="J14" s="7" t="str">
        <x:v>OPEN</x:v>
      </x:c>
    </x:row>
    <x:row r="15" ht="41" customHeight="1">
      <x:c r="B15" s="7" t="str">
        <x:v>RFP-A1-CS-09</x:v>
      </x:c>
      <x:c r="C15" s="7" t="str">
        <x:v>RFP-A1</x:v>
      </x:c>
      <x:c r="D15" s="7" t="str">
        <x:v>PTC-A</x:v>
      </x:c>
      <x:c r="E15" s="7" t="str">
        <x:v>CS-09</x:v>
      </x:c>
      <x:c r="F15" s="10" t="str">
        <x:v>REA-100 inlet and splitter</x:v>
      </x:c>
      <x:c r="G15" s="10" t="str">
        <x:v>known geometry for AM-05 receiver or AM-06 pan state</x:v>
      </x:c>
      <x:c r="H15" s="7" t="str"/>
      <x:c r="I15" s="7" t="str"/>
      <x:c r="J15" s="7" t="str">
        <x:v>OPEN</x:v>
      </x:c>
    </x:row>
    <x:row r="16" ht="41" customHeight="1">
      <x:c r="B16" s="7" t="str">
        <x:v>RFP-A1-CS-10</x:v>
      </x:c>
      <x:c r="C16" s="7" t="str">
        <x:v>RFP-A1</x:v>
      </x:c>
      <x:c r="D16" s="7" t="str">
        <x:v>PTC-A</x:v>
      </x:c>
      <x:c r="E16" s="7" t="str">
        <x:v>CS-10</x:v>
      </x:c>
      <x:c r="F16" s="10" t="str">
        <x:v>2.5 m2 containment pan</x:v>
      </x:c>
      <x:c r="G16" s="10" t="str">
        <x:v>2.0 by 1.25 m; measured wall and usable volume</x:v>
      </x:c>
      <x:c r="H16" s="7" t="str"/>
      <x:c r="I16" s="7" t="str"/>
      <x:c r="J16" s="7" t="str">
        <x:v>OPEN</x:v>
      </x:c>
    </x:row>
    <x:row r="17" ht="41" customHeight="1">
      <x:c r="B17" s="7" t="str">
        <x:v>RFP-A1-CS-11</x:v>
      </x:c>
      <x:c r="C17" s="7" t="str">
        <x:v>RFP-A1</x:v>
      </x:c>
      <x:c r="D17" s="7" t="str">
        <x:v>PTC-A</x:v>
      </x:c>
      <x:c r="E17" s="7" t="str">
        <x:v>CS-11</x:v>
      </x:c>
      <x:c r="F17" s="10" t="str">
        <x:v>0.5 m3 reference receiver</x:v>
      </x:c>
      <x:c r="G17" s="10" t="str">
        <x:v>AM-05 closed custody and post-event recovery</x:v>
      </x:c>
      <x:c r="H17" s="7" t="str"/>
      <x:c r="I17" s="7" t="str"/>
      <x:c r="J17" s="7" t="str">
        <x:v>OPEN</x:v>
      </x:c>
    </x:row>
    <x:row r="18" ht="41" customHeight="1">
      <x:c r="B18" s="7" t="str">
        <x:v>RFP-A1-CS-12</x:v>
      </x:c>
      <x:c r="C18" s="7" t="str">
        <x:v>RFP-A1</x:v>
      </x:c>
      <x:c r="D18" s="7" t="str">
        <x:v>PTC-A</x:v>
      </x:c>
      <x:c r="E18" s="7" t="str">
        <x:v>CS-12</x:v>
      </x:c>
      <x:c r="F18" s="10" t="str">
        <x:v>15 m3 normal source sump</x:v>
      </x:c>
      <x:c r="G18" s="10" t="str">
        <x:v>initial inventory and free volume measured</x:v>
      </x:c>
      <x:c r="H18" s="7" t="str"/>
      <x:c r="I18" s="7" t="str"/>
      <x:c r="J18" s="7" t="str">
        <x:v>OPEN</x:v>
      </x:c>
    </x:row>
    <x:row r="19" ht="41" customHeight="1">
      <x:c r="B19" s="7" t="str">
        <x:v>RFP-A1-CS-13</x:v>
      </x:c>
      <x:c r="C19" s="7" t="str">
        <x:v>RFP-A1</x:v>
      </x:c>
      <x:c r="D19" s="7" t="str">
        <x:v>PTC-A</x:v>
      </x:c>
      <x:c r="E19" s="7" t="str">
        <x:v>CS-13</x:v>
      </x:c>
      <x:c r="F19" s="10" t="str">
        <x:v>50 m3 casualty source receiver</x:v>
      </x:c>
      <x:c r="G19" s="10" t="str">
        <x:v>isolated, empty-state witnessed and independently actuated</x:v>
      </x:c>
      <x:c r="H19" s="7" t="str"/>
      <x:c r="I19" s="7" t="str"/>
      <x:c r="J19" s="7" t="str">
        <x:v>OPEN</x:v>
      </x:c>
    </x:row>
    <x:row r="20" ht="41" customHeight="1">
      <x:c r="B20" s="7" t="str">
        <x:v>RFP-A1-CS-14</x:v>
      </x:c>
      <x:c r="C20" s="7" t="str">
        <x:v>RFP-A1</x:v>
      </x:c>
      <x:c r="D20" s="7" t="str">
        <x:v>PTC-A</x:v>
      </x:c>
      <x:c r="E20" s="7" t="str">
        <x:v>CS-14</x:v>
      </x:c>
      <x:c r="F20" s="10" t="str">
        <x:v>40 m3 normal firewater vault</x:v>
      </x:c>
      <x:c r="G20" s="10" t="str">
        <x:v>zero planned application; state still recorded</x:v>
      </x:c>
      <x:c r="H20" s="7" t="str"/>
      <x:c r="I20" s="7" t="str"/>
      <x:c r="J20" s="7" t="str">
        <x:v>OPEN</x:v>
      </x:c>
    </x:row>
    <x:row r="21" ht="41" customHeight="1">
      <x:c r="B21" s="7" t="str">
        <x:v>RFP-A1-CS-15</x:v>
      </x:c>
      <x:c r="C21" s="7" t="str">
        <x:v>RFP-A1</x:v>
      </x:c>
      <x:c r="D21" s="7" t="str">
        <x:v>PTC-A</x:v>
      </x:c>
      <x:c r="E21" s="7" t="str">
        <x:v>CS-15</x:v>
      </x:c>
      <x:c r="F21" s="10" t="str">
        <x:v>120 m3 casualty water receiver</x:v>
      </x:c>
      <x:c r="G21" s="10" t="str">
        <x:v>5 m3 maximum initial inventory; four headroom terms</x:v>
      </x:c>
      <x:c r="H21" s="7" t="str"/>
      <x:c r="I21" s="7" t="str"/>
      <x:c r="J21" s="7" t="str">
        <x:v>OPEN</x:v>
      </x:c>
    </x:row>
    <x:row r="22" ht="41" customHeight="1">
      <x:c r="B22" s="7" t="str">
        <x:v>RFP-A1-CS-16</x:v>
      </x:c>
      <x:c r="C22" s="7" t="str">
        <x:v>RFP-A1</x:v>
      </x:c>
      <x:c r="D22" s="7" t="str">
        <x:v>PTC-A</x:v>
      </x:c>
      <x:c r="E22" s="7" t="str">
        <x:v>CS-16</x:v>
      </x:c>
      <x:c r="F22" s="10" t="str">
        <x:v>ignition and energy removal</x:v>
      </x:c>
      <x:c r="G22" s="10" t="str">
        <x:v>four-mode interface; AM-06 QE-02 only</x:v>
      </x:c>
      <x:c r="H22" s="7" t="str"/>
      <x:c r="I22" s="7" t="str"/>
      <x:c r="J22" s="7" t="str">
        <x:v>OPEN</x:v>
      </x:c>
    </x:row>
    <x:row r="23" ht="41" customHeight="1">
      <x:c r="B23" s="7" t="str">
        <x:v>RFP-A1-CS-17</x:v>
      </x:c>
      <x:c r="C23" s="7" t="str">
        <x:v>RFP-A1</x:v>
      </x:c>
      <x:c r="D23" s="7" t="str">
        <x:v>PTC-A</x:v>
      </x:c>
      <x:c r="E23" s="7" t="str">
        <x:v>CS-17</x:v>
      </x:c>
      <x:c r="F23" s="10" t="str">
        <x:v>thermal and boundary field</x:v>
      </x:c>
      <x:c r="G23" s="10" t="str">
        <x:v>pool edge, heat release, radiant and 1.6 kW/m2 boundary</x:v>
      </x:c>
      <x:c r="H23" s="7" t="str"/>
      <x:c r="I23" s="7" t="str"/>
      <x:c r="J23" s="7" t="str">
        <x:v>OPEN</x:v>
      </x:c>
    </x:row>
    <x:row r="24" ht="41" customHeight="1">
      <x:c r="B24" s="7" t="str">
        <x:v>RFP-A1-CS-18</x:v>
      </x:c>
      <x:c r="C24" s="7" t="str">
        <x:v>RFP-A1</x:v>
      </x:c>
      <x:c r="D24" s="7" t="str">
        <x:v>PTC-A</x:v>
      </x:c>
      <x:c r="E24" s="7" t="str">
        <x:v>CS-18</x:v>
      </x:c>
      <x:c r="F24" s="10" t="str">
        <x:v>secondary and tertiary custody</x:v>
      </x:c>
      <x:c r="G24" s="10" t="str">
        <x:v>surface, drain, basin, atmosphere and environmental witnesses</x:v>
      </x:c>
      <x:c r="H24" s="7" t="str"/>
      <x:c r="I24" s="7" t="str"/>
      <x:c r="J24" s="7" t="str">
        <x:v>OPEN</x:v>
      </x:c>
    </x:row>
    <x:row r="25" ht="41" customHeight="1">
      <x:c r="B25" s="7" t="str">
        <x:v>RFP-A1-CS-19</x:v>
      </x:c>
      <x:c r="C25" s="7" t="str">
        <x:v>RFP-A1</x:v>
      </x:c>
      <x:c r="D25" s="7" t="str">
        <x:v>PTC-A</x:v>
      </x:c>
      <x:c r="E25" s="7" t="str">
        <x:v>CS-19</x:v>
      </x:c>
      <x:c r="F25" s="10" t="str">
        <x:v>independent safeing energy</x:v>
      </x:c>
      <x:c r="G25" s="10" t="str">
        <x:v>30 s actuation reserve plus 60 min protected local observation</x:v>
      </x:c>
      <x:c r="H25" s="7" t="str"/>
      <x:c r="I25" s="7" t="str"/>
      <x:c r="J25" s="7" t="str">
        <x:v>OPEN</x:v>
      </x:c>
    </x:row>
    <x:row r="26" ht="41" customHeight="1">
      <x:c r="B26" s="7" t="str">
        <x:v>RFP-A1-CS-20</x:v>
      </x:c>
      <x:c r="C26" s="7" t="str">
        <x:v>RFP-A1</x:v>
      </x:c>
      <x:c r="D26" s="7" t="str">
        <x:v>PTC-A</x:v>
      </x:c>
      <x:c r="E26" s="7" t="str">
        <x:v>CS-20</x:v>
      </x:c>
      <x:c r="F26" s="10" t="str">
        <x:v>native evidence and causal time</x:v>
      </x:c>
      <x:c r="G26" s="10" t="str">
        <x:v>two originals, local time, final-state latch and sealed packet</x:v>
      </x:c>
      <x:c r="H26" s="7" t="str"/>
      <x:c r="I26" s="7" t="str"/>
      <x:c r="J26" s="7" t="str">
        <x:v>OPEN</x:v>
      </x:c>
    </x:row>
    <x:row r="27" ht="41" customHeight="1">
      <x:c r="B27" s="7" t="str">
        <x:v>RFP-A2-CS-01</x:v>
      </x:c>
      <x:c r="C27" s="7" t="str">
        <x:v>RFP-A2</x:v>
      </x:c>
      <x:c r="D27" s="7" t="str">
        <x:v>PTC-A</x:v>
      </x:c>
      <x:c r="E27" s="7" t="str">
        <x:v>CS-01</x:v>
      </x:c>
      <x:c r="F27" s="10" t="str">
        <x:v>public datum and six-axis survey</x:v>
      </x:c>
      <x:c r="G27" s="10" t="str">
        <x:v>coordinate root, settlement witness and protected reference monuments</x:v>
      </x:c>
      <x:c r="H27" s="7" t="str"/>
      <x:c r="I27" s="7" t="str"/>
      <x:c r="J27" s="7" t="str">
        <x:v>OPEN</x:v>
      </x:c>
    </x:row>
    <x:row r="28" ht="41" customHeight="1">
      <x:c r="B28" s="7" t="str">
        <x:v>RFP-A2-CS-02</x:v>
      </x:c>
      <x:c r="C28" s="7" t="str">
        <x:v>RFP-A2</x:v>
      </x:c>
      <x:c r="D28" s="7" t="str">
        <x:v>PTC-A</x:v>
      </x:c>
      <x:c r="E28" s="7" t="str">
        <x:v>CS-02</x:v>
      </x:c>
      <x:c r="F28" s="10" t="str">
        <x:v>source conditioning vessel</x:v>
      </x:c>
      <x:c r="G28" s="10" t="str">
        <x:v>3.5 m3 working volume; temperature, composition and mass bookends</x:v>
      </x:c>
      <x:c r="H28" s="7" t="str"/>
      <x:c r="I28" s="7" t="str"/>
      <x:c r="J28" s="7" t="str">
        <x:v>OPEN</x:v>
      </x:c>
    </x:row>
    <x:row r="29" ht="41" customHeight="1">
      <x:c r="B29" s="7" t="str">
        <x:v>RFP-A2-CS-03</x:v>
      </x:c>
      <x:c r="C29" s="7" t="str">
        <x:v>RFP-A2</x:v>
      </x:c>
      <x:c r="D29" s="7" t="str">
        <x:v>PTC-A</x:v>
      </x:c>
      <x:c r="E29" s="7" t="str">
        <x:v>CS-03</x:v>
      </x:c>
      <x:c r="F29" s="10" t="str">
        <x:v>source capsule docking</x:v>
      </x:c>
      <x:c r="G29" s="10" t="str">
        <x:v>serialized seal, keyed connection and contained disconnect</x:v>
      </x:c>
      <x:c r="H29" s="7" t="str"/>
      <x:c r="I29" s="7" t="str"/>
      <x:c r="J29" s="7" t="str">
        <x:v>OPEN</x:v>
      </x:c>
    </x:row>
    <x:row r="30" ht="41" customHeight="1">
      <x:c r="B30" s="7" t="str">
        <x:v>RFP-A2-CS-04</x:v>
      </x:c>
      <x:c r="C30" s="7" t="str">
        <x:v>RFP-A2</x:v>
      </x:c>
      <x:c r="D30" s="7" t="str">
        <x:v>PTC-A</x:v>
      </x:c>
      <x:c r="E30" s="7" t="str">
        <x:v>CS-04</x:v>
      </x:c>
      <x:c r="F30" s="10" t="str">
        <x:v>initial source weighing</x:v>
      </x:c>
      <x:c r="G30" s="10" t="str">
        <x:v>independent mass root with 0.25 kg allocation</x:v>
      </x:c>
      <x:c r="H30" s="7" t="str"/>
      <x:c r="I30" s="7" t="str"/>
      <x:c r="J30" s="7" t="str">
        <x:v>OPEN</x:v>
      </x:c>
    </x:row>
    <x:row r="31" ht="41" customHeight="1">
      <x:c r="B31" s="7" t="str">
        <x:v>RFP-A2-CS-05</x:v>
      </x:c>
      <x:c r="C31" s="7" t="str">
        <x:v>RFP-A2</x:v>
      </x:c>
      <x:c r="D31" s="7" t="str">
        <x:v>PTC-A</x:v>
      </x:c>
      <x:c r="E31" s="7" t="str">
        <x:v>CS-05</x:v>
      </x:c>
      <x:c r="F31" s="10" t="str">
        <x:v>source inlet isolation</x:v>
      </x:c>
      <x:c r="G31" s="10" t="str">
        <x:v>final element, motive energy and direct state witness</x:v>
      </x:c>
      <x:c r="H31" s="7" t="str"/>
      <x:c r="I31" s="7" t="str"/>
      <x:c r="J31" s="7" t="str">
        <x:v>OPEN</x:v>
      </x:c>
    </x:row>
    <x:row r="32" ht="41" customHeight="1">
      <x:c r="B32" s="7" t="str">
        <x:v>RFP-A2-CS-06</x:v>
      </x:c>
      <x:c r="C32" s="7" t="str">
        <x:v>RFP-A2</x:v>
      </x:c>
      <x:c r="D32" s="7" t="str">
        <x:v>PTC-A</x:v>
      </x:c>
      <x:c r="E32" s="7" t="str">
        <x:v>CS-06</x:v>
      </x:c>
      <x:c r="F32" s="10" t="str">
        <x:v>dispenser isolation</x:v>
      </x:c>
      <x:c r="G32" s="10" t="str">
        <x:v>separate final element and residual measurement</x:v>
      </x:c>
      <x:c r="H32" s="7" t="str"/>
      <x:c r="I32" s="7" t="str"/>
      <x:c r="J32" s="7" t="str">
        <x:v>OPEN</x:v>
      </x:c>
    </x:row>
    <x:row r="33" ht="41" customHeight="1">
      <x:c r="B33" s="7" t="str">
        <x:v>RFP-A2-CS-07</x:v>
      </x:c>
      <x:c r="C33" s="7" t="str">
        <x:v>RFP-A2</x:v>
      </x:c>
      <x:c r="D33" s="7" t="str">
        <x:v>PTC-A</x:v>
      </x:c>
      <x:c r="E33" s="7" t="str">
        <x:v>CS-07</x:v>
      </x:c>
      <x:c r="F33" s="10" t="str">
        <x:v>40 mm low-volume insert</x:v>
      </x:c>
      <x:c r="G33" s="10" t="str">
        <x:v>12 m measured bore, slope, hold-up and removable custody</x:v>
      </x:c>
      <x:c r="H33" s="7" t="str"/>
      <x:c r="I33" s="7" t="str"/>
      <x:c r="J33" s="7" t="str">
        <x:v>OPEN</x:v>
      </x:c>
    </x:row>
    <x:row r="34" ht="41" customHeight="1">
      <x:c r="B34" s="7" t="str">
        <x:v>RFP-A2-CS-08</x:v>
      </x:c>
      <x:c r="C34" s="7" t="str">
        <x:v>RFP-A2</x:v>
      </x:c>
      <x:c r="D34" s="7" t="str">
        <x:v>PTC-A</x:v>
      </x:c>
      <x:c r="E34" s="7" t="str">
        <x:v>CS-08</x:v>
      </x:c>
      <x:c r="F34" s="10" t="str">
        <x:v>150 mm public boundary</x:v>
      </x:c>
      <x:c r="G34" s="10" t="str">
        <x:v>blanked and witnessed; no full-route qualification</x:v>
      </x:c>
      <x:c r="H34" s="7" t="str"/>
      <x:c r="I34" s="7" t="str"/>
      <x:c r="J34" s="7" t="str">
        <x:v>OPEN</x:v>
      </x:c>
    </x:row>
    <x:row r="35" ht="41" customHeight="1">
      <x:c r="B35" s="7" t="str">
        <x:v>RFP-A2-CS-09</x:v>
      </x:c>
      <x:c r="C35" s="7" t="str">
        <x:v>RFP-A2</x:v>
      </x:c>
      <x:c r="D35" s="7" t="str">
        <x:v>PTC-A</x:v>
      </x:c>
      <x:c r="E35" s="7" t="str">
        <x:v>CS-09</x:v>
      </x:c>
      <x:c r="F35" s="10" t="str">
        <x:v>REA-100 inlet and splitter</x:v>
      </x:c>
      <x:c r="G35" s="10" t="str">
        <x:v>known geometry for AM-05 receiver or AM-06 pan state</x:v>
      </x:c>
      <x:c r="H35" s="7" t="str"/>
      <x:c r="I35" s="7" t="str"/>
      <x:c r="J35" s="7" t="str">
        <x:v>OPEN</x:v>
      </x:c>
    </x:row>
    <x:row r="36" ht="41" customHeight="1">
      <x:c r="B36" s="7" t="str">
        <x:v>RFP-A2-CS-10</x:v>
      </x:c>
      <x:c r="C36" s="7" t="str">
        <x:v>RFP-A2</x:v>
      </x:c>
      <x:c r="D36" s="7" t="str">
        <x:v>PTC-A</x:v>
      </x:c>
      <x:c r="E36" s="7" t="str">
        <x:v>CS-10</x:v>
      </x:c>
      <x:c r="F36" s="10" t="str">
        <x:v>2.5 m2 containment pan</x:v>
      </x:c>
      <x:c r="G36" s="10" t="str">
        <x:v>2.0 by 1.25 m; measured wall and usable volume</x:v>
      </x:c>
      <x:c r="H36" s="7" t="str"/>
      <x:c r="I36" s="7" t="str"/>
      <x:c r="J36" s="7" t="str">
        <x:v>OPEN</x:v>
      </x:c>
    </x:row>
    <x:row r="37" ht="41" customHeight="1">
      <x:c r="B37" s="7" t="str">
        <x:v>RFP-A2-CS-11</x:v>
      </x:c>
      <x:c r="C37" s="7" t="str">
        <x:v>RFP-A2</x:v>
      </x:c>
      <x:c r="D37" s="7" t="str">
        <x:v>PTC-A</x:v>
      </x:c>
      <x:c r="E37" s="7" t="str">
        <x:v>CS-11</x:v>
      </x:c>
      <x:c r="F37" s="10" t="str">
        <x:v>0.5 m3 reference receiver</x:v>
      </x:c>
      <x:c r="G37" s="10" t="str">
        <x:v>AM-05 closed custody and post-event recovery</x:v>
      </x:c>
      <x:c r="H37" s="7" t="str"/>
      <x:c r="I37" s="7" t="str"/>
      <x:c r="J37" s="7" t="str">
        <x:v>OPEN</x:v>
      </x:c>
    </x:row>
    <x:row r="38" ht="41" customHeight="1">
      <x:c r="B38" s="7" t="str">
        <x:v>RFP-A2-CS-12</x:v>
      </x:c>
      <x:c r="C38" s="7" t="str">
        <x:v>RFP-A2</x:v>
      </x:c>
      <x:c r="D38" s="7" t="str">
        <x:v>PTC-A</x:v>
      </x:c>
      <x:c r="E38" s="7" t="str">
        <x:v>CS-12</x:v>
      </x:c>
      <x:c r="F38" s="10" t="str">
        <x:v>15 m3 normal source sump</x:v>
      </x:c>
      <x:c r="G38" s="10" t="str">
        <x:v>initial inventory and free volume measured</x:v>
      </x:c>
      <x:c r="H38" s="7" t="str"/>
      <x:c r="I38" s="7" t="str"/>
      <x:c r="J38" s="7" t="str">
        <x:v>OPEN</x:v>
      </x:c>
    </x:row>
    <x:row r="39" ht="41" customHeight="1">
      <x:c r="B39" s="7" t="str">
        <x:v>RFP-A2-CS-13</x:v>
      </x:c>
      <x:c r="C39" s="7" t="str">
        <x:v>RFP-A2</x:v>
      </x:c>
      <x:c r="D39" s="7" t="str">
        <x:v>PTC-A</x:v>
      </x:c>
      <x:c r="E39" s="7" t="str">
        <x:v>CS-13</x:v>
      </x:c>
      <x:c r="F39" s="10" t="str">
        <x:v>50 m3 casualty source receiver</x:v>
      </x:c>
      <x:c r="G39" s="10" t="str">
        <x:v>isolated, empty-state witnessed and independently actuated</x:v>
      </x:c>
      <x:c r="H39" s="7" t="str"/>
      <x:c r="I39" s="7" t="str"/>
      <x:c r="J39" s="7" t="str">
        <x:v>OPEN</x:v>
      </x:c>
    </x:row>
    <x:row r="40" ht="41" customHeight="1">
      <x:c r="B40" s="7" t="str">
        <x:v>RFP-A2-CS-14</x:v>
      </x:c>
      <x:c r="C40" s="7" t="str">
        <x:v>RFP-A2</x:v>
      </x:c>
      <x:c r="D40" s="7" t="str">
        <x:v>PTC-A</x:v>
      </x:c>
      <x:c r="E40" s="7" t="str">
        <x:v>CS-14</x:v>
      </x:c>
      <x:c r="F40" s="10" t="str">
        <x:v>40 m3 normal firewater vault</x:v>
      </x:c>
      <x:c r="G40" s="10" t="str">
        <x:v>zero planned application; state still recorded</x:v>
      </x:c>
      <x:c r="H40" s="7" t="str"/>
      <x:c r="I40" s="7" t="str"/>
      <x:c r="J40" s="7" t="str">
        <x:v>OPEN</x:v>
      </x:c>
    </x:row>
    <x:row r="41" ht="41" customHeight="1">
      <x:c r="B41" s="7" t="str">
        <x:v>RFP-A2-CS-15</x:v>
      </x:c>
      <x:c r="C41" s="7" t="str">
        <x:v>RFP-A2</x:v>
      </x:c>
      <x:c r="D41" s="7" t="str">
        <x:v>PTC-A</x:v>
      </x:c>
      <x:c r="E41" s="7" t="str">
        <x:v>CS-15</x:v>
      </x:c>
      <x:c r="F41" s="10" t="str">
        <x:v>120 m3 casualty water receiver</x:v>
      </x:c>
      <x:c r="G41" s="10" t="str">
        <x:v>5 m3 maximum initial inventory; four headroom terms</x:v>
      </x:c>
      <x:c r="H41" s="7" t="str"/>
      <x:c r="I41" s="7" t="str"/>
      <x:c r="J41" s="7" t="str">
        <x:v>OPEN</x:v>
      </x:c>
    </x:row>
    <x:row r="42" ht="41" customHeight="1">
      <x:c r="B42" s="7" t="str">
        <x:v>RFP-A2-CS-16</x:v>
      </x:c>
      <x:c r="C42" s="7" t="str">
        <x:v>RFP-A2</x:v>
      </x:c>
      <x:c r="D42" s="7" t="str">
        <x:v>PTC-A</x:v>
      </x:c>
      <x:c r="E42" s="7" t="str">
        <x:v>CS-16</x:v>
      </x:c>
      <x:c r="F42" s="10" t="str">
        <x:v>ignition and energy removal</x:v>
      </x:c>
      <x:c r="G42" s="10" t="str">
        <x:v>four-mode interface; AM-06 QE-02 only</x:v>
      </x:c>
      <x:c r="H42" s="7" t="str"/>
      <x:c r="I42" s="7" t="str"/>
      <x:c r="J42" s="7" t="str">
        <x:v>OPEN</x:v>
      </x:c>
    </x:row>
    <x:row r="43" ht="41" customHeight="1">
      <x:c r="B43" s="7" t="str">
        <x:v>RFP-A2-CS-17</x:v>
      </x:c>
      <x:c r="C43" s="7" t="str">
        <x:v>RFP-A2</x:v>
      </x:c>
      <x:c r="D43" s="7" t="str">
        <x:v>PTC-A</x:v>
      </x:c>
      <x:c r="E43" s="7" t="str">
        <x:v>CS-17</x:v>
      </x:c>
      <x:c r="F43" s="10" t="str">
        <x:v>thermal and boundary field</x:v>
      </x:c>
      <x:c r="G43" s="10" t="str">
        <x:v>pool edge, heat release, radiant and 1.6 kW/m2 boundary</x:v>
      </x:c>
      <x:c r="H43" s="7" t="str"/>
      <x:c r="I43" s="7" t="str"/>
      <x:c r="J43" s="7" t="str">
        <x:v>OPEN</x:v>
      </x:c>
    </x:row>
    <x:row r="44" ht="41" customHeight="1">
      <x:c r="B44" s="7" t="str">
        <x:v>RFP-A2-CS-18</x:v>
      </x:c>
      <x:c r="C44" s="7" t="str">
        <x:v>RFP-A2</x:v>
      </x:c>
      <x:c r="D44" s="7" t="str">
        <x:v>PTC-A</x:v>
      </x:c>
      <x:c r="E44" s="7" t="str">
        <x:v>CS-18</x:v>
      </x:c>
      <x:c r="F44" s="10" t="str">
        <x:v>secondary and tertiary custody</x:v>
      </x:c>
      <x:c r="G44" s="10" t="str">
        <x:v>surface, drain, basin, atmosphere and environmental witnesses</x:v>
      </x:c>
      <x:c r="H44" s="7" t="str"/>
      <x:c r="I44" s="7" t="str"/>
      <x:c r="J44" s="7" t="str">
        <x:v>OPEN</x:v>
      </x:c>
    </x:row>
    <x:row r="45" ht="41" customHeight="1">
      <x:c r="B45" s="7" t="str">
        <x:v>RFP-A2-CS-19</x:v>
      </x:c>
      <x:c r="C45" s="7" t="str">
        <x:v>RFP-A2</x:v>
      </x:c>
      <x:c r="D45" s="7" t="str">
        <x:v>PTC-A</x:v>
      </x:c>
      <x:c r="E45" s="7" t="str">
        <x:v>CS-19</x:v>
      </x:c>
      <x:c r="F45" s="10" t="str">
        <x:v>independent safeing energy</x:v>
      </x:c>
      <x:c r="G45" s="10" t="str">
        <x:v>30 s actuation reserve plus 60 min protected local observation</x:v>
      </x:c>
      <x:c r="H45" s="7" t="str"/>
      <x:c r="I45" s="7" t="str"/>
      <x:c r="J45" s="7" t="str">
        <x:v>OPEN</x:v>
      </x:c>
    </x:row>
    <x:row r="46" ht="41" customHeight="1">
      <x:c r="B46" s="7" t="str">
        <x:v>RFP-A2-CS-20</x:v>
      </x:c>
      <x:c r="C46" s="7" t="str">
        <x:v>RFP-A2</x:v>
      </x:c>
      <x:c r="D46" s="7" t="str">
        <x:v>PTC-A</x:v>
      </x:c>
      <x:c r="E46" s="7" t="str">
        <x:v>CS-20</x:v>
      </x:c>
      <x:c r="F46" s="10" t="str">
        <x:v>native evidence and causal time</x:v>
      </x:c>
      <x:c r="G46" s="10" t="str">
        <x:v>two originals, local time, final-state latch and sealed packet</x:v>
      </x:c>
      <x:c r="H46" s="7" t="str"/>
      <x:c r="I46" s="7" t="str"/>
      <x:c r="J46" s="7" t="str">
        <x:v>OPEN</x:v>
      </x:c>
    </x:row>
    <x:row r="47" ht="41" customHeight="1">
      <x:c r="B47" s="7" t="str">
        <x:v>RFP-B1-CS-01</x:v>
      </x:c>
      <x:c r="C47" s="7" t="str">
        <x:v>RFP-B1</x:v>
      </x:c>
      <x:c r="D47" s="7" t="str">
        <x:v>PTC-B</x:v>
      </x:c>
      <x:c r="E47" s="7" t="str">
        <x:v>CS-01</x:v>
      </x:c>
      <x:c r="F47" s="10" t="str">
        <x:v>public datum and six-axis survey</x:v>
      </x:c>
      <x:c r="G47" s="10" t="str">
        <x:v>coordinate root, settlement witness and protected reference monuments</x:v>
      </x:c>
      <x:c r="H47" s="7" t="str"/>
      <x:c r="I47" s="7" t="str"/>
      <x:c r="J47" s="7" t="str">
        <x:v>OPEN</x:v>
      </x:c>
    </x:row>
    <x:row r="48" ht="41" customHeight="1">
      <x:c r="B48" s="7" t="str">
        <x:v>RFP-B1-CS-02</x:v>
      </x:c>
      <x:c r="C48" s="7" t="str">
        <x:v>RFP-B1</x:v>
      </x:c>
      <x:c r="D48" s="7" t="str">
        <x:v>PTC-B</x:v>
      </x:c>
      <x:c r="E48" s="7" t="str">
        <x:v>CS-02</x:v>
      </x:c>
      <x:c r="F48" s="10" t="str">
        <x:v>source conditioning vessel</x:v>
      </x:c>
      <x:c r="G48" s="10" t="str">
        <x:v>3.5 m3 working volume; temperature, composition and mass bookends</x:v>
      </x:c>
      <x:c r="H48" s="7" t="str"/>
      <x:c r="I48" s="7" t="str"/>
      <x:c r="J48" s="7" t="str">
        <x:v>OPEN</x:v>
      </x:c>
    </x:row>
    <x:row r="49" ht="41" customHeight="1">
      <x:c r="B49" s="7" t="str">
        <x:v>RFP-B1-CS-03</x:v>
      </x:c>
      <x:c r="C49" s="7" t="str">
        <x:v>RFP-B1</x:v>
      </x:c>
      <x:c r="D49" s="7" t="str">
        <x:v>PTC-B</x:v>
      </x:c>
      <x:c r="E49" s="7" t="str">
        <x:v>CS-03</x:v>
      </x:c>
      <x:c r="F49" s="10" t="str">
        <x:v>source capsule docking</x:v>
      </x:c>
      <x:c r="G49" s="10" t="str">
        <x:v>serialized seal, keyed connection and contained disconnect</x:v>
      </x:c>
      <x:c r="H49" s="7" t="str"/>
      <x:c r="I49" s="7" t="str"/>
      <x:c r="J49" s="7" t="str">
        <x:v>OPEN</x:v>
      </x:c>
    </x:row>
    <x:row r="50" ht="41" customHeight="1">
      <x:c r="B50" s="7" t="str">
        <x:v>RFP-B1-CS-04</x:v>
      </x:c>
      <x:c r="C50" s="7" t="str">
        <x:v>RFP-B1</x:v>
      </x:c>
      <x:c r="D50" s="7" t="str">
        <x:v>PTC-B</x:v>
      </x:c>
      <x:c r="E50" s="7" t="str">
        <x:v>CS-04</x:v>
      </x:c>
      <x:c r="F50" s="10" t="str">
        <x:v>initial source weighing</x:v>
      </x:c>
      <x:c r="G50" s="10" t="str">
        <x:v>independent mass root with 0.25 kg allocation</x:v>
      </x:c>
      <x:c r="H50" s="7" t="str"/>
      <x:c r="I50" s="7" t="str"/>
      <x:c r="J50" s="7" t="str">
        <x:v>OPEN</x:v>
      </x:c>
    </x:row>
    <x:row r="51" ht="41" customHeight="1">
      <x:c r="B51" s="7" t="str">
        <x:v>RFP-B1-CS-05</x:v>
      </x:c>
      <x:c r="C51" s="7" t="str">
        <x:v>RFP-B1</x:v>
      </x:c>
      <x:c r="D51" s="7" t="str">
        <x:v>PTC-B</x:v>
      </x:c>
      <x:c r="E51" s="7" t="str">
        <x:v>CS-05</x:v>
      </x:c>
      <x:c r="F51" s="10" t="str">
        <x:v>source inlet isolation</x:v>
      </x:c>
      <x:c r="G51" s="10" t="str">
        <x:v>final element, motive energy and direct state witness</x:v>
      </x:c>
      <x:c r="H51" s="7" t="str"/>
      <x:c r="I51" s="7" t="str"/>
      <x:c r="J51" s="7" t="str">
        <x:v>OPEN</x:v>
      </x:c>
    </x:row>
    <x:row r="52" ht="41" customHeight="1">
      <x:c r="B52" s="7" t="str">
        <x:v>RFP-B1-CS-06</x:v>
      </x:c>
      <x:c r="C52" s="7" t="str">
        <x:v>RFP-B1</x:v>
      </x:c>
      <x:c r="D52" s="7" t="str">
        <x:v>PTC-B</x:v>
      </x:c>
      <x:c r="E52" s="7" t="str">
        <x:v>CS-06</x:v>
      </x:c>
      <x:c r="F52" s="10" t="str">
        <x:v>dispenser isolation</x:v>
      </x:c>
      <x:c r="G52" s="10" t="str">
        <x:v>separate final element and residual measurement</x:v>
      </x:c>
      <x:c r="H52" s="7" t="str"/>
      <x:c r="I52" s="7" t="str"/>
      <x:c r="J52" s="7" t="str">
        <x:v>OPEN</x:v>
      </x:c>
    </x:row>
    <x:row r="53" ht="41" customHeight="1">
      <x:c r="B53" s="7" t="str">
        <x:v>RFP-B1-CS-07</x:v>
      </x:c>
      <x:c r="C53" s="7" t="str">
        <x:v>RFP-B1</x:v>
      </x:c>
      <x:c r="D53" s="7" t="str">
        <x:v>PTC-B</x:v>
      </x:c>
      <x:c r="E53" s="7" t="str">
        <x:v>CS-07</x:v>
      </x:c>
      <x:c r="F53" s="10" t="str">
        <x:v>40 mm low-volume insert</x:v>
      </x:c>
      <x:c r="G53" s="10" t="str">
        <x:v>12 m measured bore, slope, hold-up and removable custody</x:v>
      </x:c>
      <x:c r="H53" s="7" t="str"/>
      <x:c r="I53" s="7" t="str"/>
      <x:c r="J53" s="7" t="str">
        <x:v>OPEN</x:v>
      </x:c>
    </x:row>
    <x:row r="54" ht="41" customHeight="1">
      <x:c r="B54" s="7" t="str">
        <x:v>RFP-B1-CS-08</x:v>
      </x:c>
      <x:c r="C54" s="7" t="str">
        <x:v>RFP-B1</x:v>
      </x:c>
      <x:c r="D54" s="7" t="str">
        <x:v>PTC-B</x:v>
      </x:c>
      <x:c r="E54" s="7" t="str">
        <x:v>CS-08</x:v>
      </x:c>
      <x:c r="F54" s="10" t="str">
        <x:v>150 mm public boundary</x:v>
      </x:c>
      <x:c r="G54" s="10" t="str">
        <x:v>blanked and witnessed; no full-route qualification</x:v>
      </x:c>
      <x:c r="H54" s="7" t="str"/>
      <x:c r="I54" s="7" t="str"/>
      <x:c r="J54" s="7" t="str">
        <x:v>OPEN</x:v>
      </x:c>
    </x:row>
    <x:row r="55" ht="41" customHeight="1">
      <x:c r="B55" s="7" t="str">
        <x:v>RFP-B1-CS-09</x:v>
      </x:c>
      <x:c r="C55" s="7" t="str">
        <x:v>RFP-B1</x:v>
      </x:c>
      <x:c r="D55" s="7" t="str">
        <x:v>PTC-B</x:v>
      </x:c>
      <x:c r="E55" s="7" t="str">
        <x:v>CS-09</x:v>
      </x:c>
      <x:c r="F55" s="10" t="str">
        <x:v>REA-100 inlet and splitter</x:v>
      </x:c>
      <x:c r="G55" s="10" t="str">
        <x:v>known geometry for AM-05 receiver or AM-06 pan state</x:v>
      </x:c>
      <x:c r="H55" s="7" t="str"/>
      <x:c r="I55" s="7" t="str"/>
      <x:c r="J55" s="7" t="str">
        <x:v>OPEN</x:v>
      </x:c>
    </x:row>
    <x:row r="56" ht="41" customHeight="1">
      <x:c r="B56" s="7" t="str">
        <x:v>RFP-B1-CS-10</x:v>
      </x:c>
      <x:c r="C56" s="7" t="str">
        <x:v>RFP-B1</x:v>
      </x:c>
      <x:c r="D56" s="7" t="str">
        <x:v>PTC-B</x:v>
      </x:c>
      <x:c r="E56" s="7" t="str">
        <x:v>CS-10</x:v>
      </x:c>
      <x:c r="F56" s="10" t="str">
        <x:v>2.5 m2 containment pan</x:v>
      </x:c>
      <x:c r="G56" s="10" t="str">
        <x:v>2.0 by 1.25 m; measured wall and usable volume</x:v>
      </x:c>
      <x:c r="H56" s="7" t="str"/>
      <x:c r="I56" s="7" t="str"/>
      <x:c r="J56" s="7" t="str">
        <x:v>OPEN</x:v>
      </x:c>
    </x:row>
    <x:row r="57" ht="41" customHeight="1">
      <x:c r="B57" s="7" t="str">
        <x:v>RFP-B1-CS-11</x:v>
      </x:c>
      <x:c r="C57" s="7" t="str">
        <x:v>RFP-B1</x:v>
      </x:c>
      <x:c r="D57" s="7" t="str">
        <x:v>PTC-B</x:v>
      </x:c>
      <x:c r="E57" s="7" t="str">
        <x:v>CS-11</x:v>
      </x:c>
      <x:c r="F57" s="10" t="str">
        <x:v>0.5 m3 reference receiver</x:v>
      </x:c>
      <x:c r="G57" s="10" t="str">
        <x:v>AM-05 closed custody and post-event recovery</x:v>
      </x:c>
      <x:c r="H57" s="7" t="str"/>
      <x:c r="I57" s="7" t="str"/>
      <x:c r="J57" s="7" t="str">
        <x:v>OPEN</x:v>
      </x:c>
    </x:row>
    <x:row r="58" ht="41" customHeight="1">
      <x:c r="B58" s="7" t="str">
        <x:v>RFP-B1-CS-12</x:v>
      </x:c>
      <x:c r="C58" s="7" t="str">
        <x:v>RFP-B1</x:v>
      </x:c>
      <x:c r="D58" s="7" t="str">
        <x:v>PTC-B</x:v>
      </x:c>
      <x:c r="E58" s="7" t="str">
        <x:v>CS-12</x:v>
      </x:c>
      <x:c r="F58" s="10" t="str">
        <x:v>15 m3 normal source sump</x:v>
      </x:c>
      <x:c r="G58" s="10" t="str">
        <x:v>initial inventory and free volume measured</x:v>
      </x:c>
      <x:c r="H58" s="7" t="str"/>
      <x:c r="I58" s="7" t="str"/>
      <x:c r="J58" s="7" t="str">
        <x:v>OPEN</x:v>
      </x:c>
    </x:row>
    <x:row r="59" ht="41" customHeight="1">
      <x:c r="B59" s="7" t="str">
        <x:v>RFP-B1-CS-13</x:v>
      </x:c>
      <x:c r="C59" s="7" t="str">
        <x:v>RFP-B1</x:v>
      </x:c>
      <x:c r="D59" s="7" t="str">
        <x:v>PTC-B</x:v>
      </x:c>
      <x:c r="E59" s="7" t="str">
        <x:v>CS-13</x:v>
      </x:c>
      <x:c r="F59" s="10" t="str">
        <x:v>50 m3 casualty source receiver</x:v>
      </x:c>
      <x:c r="G59" s="10" t="str">
        <x:v>isolated, empty-state witnessed and independently actuated</x:v>
      </x:c>
      <x:c r="H59" s="7" t="str"/>
      <x:c r="I59" s="7" t="str"/>
      <x:c r="J59" s="7" t="str">
        <x:v>OPEN</x:v>
      </x:c>
    </x:row>
    <x:row r="60" ht="41" customHeight="1">
      <x:c r="B60" s="7" t="str">
        <x:v>RFP-B1-CS-14</x:v>
      </x:c>
      <x:c r="C60" s="7" t="str">
        <x:v>RFP-B1</x:v>
      </x:c>
      <x:c r="D60" s="7" t="str">
        <x:v>PTC-B</x:v>
      </x:c>
      <x:c r="E60" s="7" t="str">
        <x:v>CS-14</x:v>
      </x:c>
      <x:c r="F60" s="10" t="str">
        <x:v>40 m3 normal firewater vault</x:v>
      </x:c>
      <x:c r="G60" s="10" t="str">
        <x:v>zero planned application; state still recorded</x:v>
      </x:c>
      <x:c r="H60" s="7" t="str"/>
      <x:c r="I60" s="7" t="str"/>
      <x:c r="J60" s="7" t="str">
        <x:v>OPEN</x:v>
      </x:c>
    </x:row>
    <x:row r="61" ht="41" customHeight="1">
      <x:c r="B61" s="7" t="str">
        <x:v>RFP-B1-CS-15</x:v>
      </x:c>
      <x:c r="C61" s="7" t="str">
        <x:v>RFP-B1</x:v>
      </x:c>
      <x:c r="D61" s="7" t="str">
        <x:v>PTC-B</x:v>
      </x:c>
      <x:c r="E61" s="7" t="str">
        <x:v>CS-15</x:v>
      </x:c>
      <x:c r="F61" s="10" t="str">
        <x:v>120 m3 casualty water receiver</x:v>
      </x:c>
      <x:c r="G61" s="10" t="str">
        <x:v>5 m3 maximum initial inventory; four headroom terms</x:v>
      </x:c>
      <x:c r="H61" s="7" t="str"/>
      <x:c r="I61" s="7" t="str"/>
      <x:c r="J61" s="7" t="str">
        <x:v>OPEN</x:v>
      </x:c>
    </x:row>
    <x:row r="62" ht="41" customHeight="1">
      <x:c r="B62" s="7" t="str">
        <x:v>RFP-B1-CS-16</x:v>
      </x:c>
      <x:c r="C62" s="7" t="str">
        <x:v>RFP-B1</x:v>
      </x:c>
      <x:c r="D62" s="7" t="str">
        <x:v>PTC-B</x:v>
      </x:c>
      <x:c r="E62" s="7" t="str">
        <x:v>CS-16</x:v>
      </x:c>
      <x:c r="F62" s="10" t="str">
        <x:v>ignition and energy removal</x:v>
      </x:c>
      <x:c r="G62" s="10" t="str">
        <x:v>four-mode interface; AM-06 QE-02 only</x:v>
      </x:c>
      <x:c r="H62" s="7" t="str"/>
      <x:c r="I62" s="7" t="str"/>
      <x:c r="J62" s="7" t="str">
        <x:v>OPEN</x:v>
      </x:c>
    </x:row>
    <x:row r="63" ht="41" customHeight="1">
      <x:c r="B63" s="7" t="str">
        <x:v>RFP-B1-CS-17</x:v>
      </x:c>
      <x:c r="C63" s="7" t="str">
        <x:v>RFP-B1</x:v>
      </x:c>
      <x:c r="D63" s="7" t="str">
        <x:v>PTC-B</x:v>
      </x:c>
      <x:c r="E63" s="7" t="str">
        <x:v>CS-17</x:v>
      </x:c>
      <x:c r="F63" s="10" t="str">
        <x:v>thermal and boundary field</x:v>
      </x:c>
      <x:c r="G63" s="10" t="str">
        <x:v>pool edge, heat release, radiant and 1.6 kW/m2 boundary</x:v>
      </x:c>
      <x:c r="H63" s="7" t="str"/>
      <x:c r="I63" s="7" t="str"/>
      <x:c r="J63" s="7" t="str">
        <x:v>OPEN</x:v>
      </x:c>
    </x:row>
    <x:row r="64" ht="41" customHeight="1">
      <x:c r="B64" s="7" t="str">
        <x:v>RFP-B1-CS-18</x:v>
      </x:c>
      <x:c r="C64" s="7" t="str">
        <x:v>RFP-B1</x:v>
      </x:c>
      <x:c r="D64" s="7" t="str">
        <x:v>PTC-B</x:v>
      </x:c>
      <x:c r="E64" s="7" t="str">
        <x:v>CS-18</x:v>
      </x:c>
      <x:c r="F64" s="10" t="str">
        <x:v>secondary and tertiary custody</x:v>
      </x:c>
      <x:c r="G64" s="10" t="str">
        <x:v>surface, drain, basin, atmosphere and environmental witnesses</x:v>
      </x:c>
      <x:c r="H64" s="7" t="str"/>
      <x:c r="I64" s="7" t="str"/>
      <x:c r="J64" s="7" t="str">
        <x:v>OPEN</x:v>
      </x:c>
    </x:row>
    <x:row r="65" ht="41" customHeight="1">
      <x:c r="B65" s="7" t="str">
        <x:v>RFP-B1-CS-19</x:v>
      </x:c>
      <x:c r="C65" s="7" t="str">
        <x:v>RFP-B1</x:v>
      </x:c>
      <x:c r="D65" s="7" t="str">
        <x:v>PTC-B</x:v>
      </x:c>
      <x:c r="E65" s="7" t="str">
        <x:v>CS-19</x:v>
      </x:c>
      <x:c r="F65" s="10" t="str">
        <x:v>independent safeing energy</x:v>
      </x:c>
      <x:c r="G65" s="10" t="str">
        <x:v>30 s actuation reserve plus 60 min protected local observation</x:v>
      </x:c>
      <x:c r="H65" s="7" t="str"/>
      <x:c r="I65" s="7" t="str"/>
      <x:c r="J65" s="7" t="str">
        <x:v>OPEN</x:v>
      </x:c>
    </x:row>
    <x:row r="66" ht="41" customHeight="1">
      <x:c r="B66" s="7" t="str">
        <x:v>RFP-B1-CS-20</x:v>
      </x:c>
      <x:c r="C66" s="7" t="str">
        <x:v>RFP-B1</x:v>
      </x:c>
      <x:c r="D66" s="7" t="str">
        <x:v>PTC-B</x:v>
      </x:c>
      <x:c r="E66" s="7" t="str">
        <x:v>CS-20</x:v>
      </x:c>
      <x:c r="F66" s="10" t="str">
        <x:v>native evidence and causal time</x:v>
      </x:c>
      <x:c r="G66" s="10" t="str">
        <x:v>two originals, local time, final-state latch and sealed packet</x:v>
      </x:c>
      <x:c r="H66" s="7" t="str"/>
      <x:c r="I66" s="7" t="str"/>
      <x:c r="J66" s="7" t="str">
        <x:v>OPEN</x:v>
      </x:c>
    </x:row>
    <x:row r="67" ht="41" customHeight="1">
      <x:c r="B67" s="7" t="str">
        <x:v>RFP-B2-CS-01</x:v>
      </x:c>
      <x:c r="C67" s="7" t="str">
        <x:v>RFP-B2</x:v>
      </x:c>
      <x:c r="D67" s="7" t="str">
        <x:v>PTC-B</x:v>
      </x:c>
      <x:c r="E67" s="7" t="str">
        <x:v>CS-01</x:v>
      </x:c>
      <x:c r="F67" s="10" t="str">
        <x:v>public datum and six-axis survey</x:v>
      </x:c>
      <x:c r="G67" s="10" t="str">
        <x:v>coordinate root, settlement witness and protected reference monuments</x:v>
      </x:c>
      <x:c r="H67" s="7" t="str"/>
      <x:c r="I67" s="7" t="str"/>
      <x:c r="J67" s="7" t="str">
        <x:v>OPEN</x:v>
      </x:c>
    </x:row>
    <x:row r="68" ht="41" customHeight="1">
      <x:c r="B68" s="7" t="str">
        <x:v>RFP-B2-CS-02</x:v>
      </x:c>
      <x:c r="C68" s="7" t="str">
        <x:v>RFP-B2</x:v>
      </x:c>
      <x:c r="D68" s="7" t="str">
        <x:v>PTC-B</x:v>
      </x:c>
      <x:c r="E68" s="7" t="str">
        <x:v>CS-02</x:v>
      </x:c>
      <x:c r="F68" s="10" t="str">
        <x:v>source conditioning vessel</x:v>
      </x:c>
      <x:c r="G68" s="10" t="str">
        <x:v>3.5 m3 working volume; temperature, composition and mass bookends</x:v>
      </x:c>
      <x:c r="H68" s="7" t="str"/>
      <x:c r="I68" s="7" t="str"/>
      <x:c r="J68" s="7" t="str">
        <x:v>OPEN</x:v>
      </x:c>
    </x:row>
    <x:row r="69" ht="41" customHeight="1">
      <x:c r="B69" s="7" t="str">
        <x:v>RFP-B2-CS-03</x:v>
      </x:c>
      <x:c r="C69" s="7" t="str">
        <x:v>RFP-B2</x:v>
      </x:c>
      <x:c r="D69" s="7" t="str">
        <x:v>PTC-B</x:v>
      </x:c>
      <x:c r="E69" s="7" t="str">
        <x:v>CS-03</x:v>
      </x:c>
      <x:c r="F69" s="10" t="str">
        <x:v>source capsule docking</x:v>
      </x:c>
      <x:c r="G69" s="10" t="str">
        <x:v>serialized seal, keyed connection and contained disconnect</x:v>
      </x:c>
      <x:c r="H69" s="7" t="str"/>
      <x:c r="I69" s="7" t="str"/>
      <x:c r="J69" s="7" t="str">
        <x:v>OPEN</x:v>
      </x:c>
    </x:row>
    <x:row r="70" ht="41" customHeight="1">
      <x:c r="B70" s="7" t="str">
        <x:v>RFP-B2-CS-04</x:v>
      </x:c>
      <x:c r="C70" s="7" t="str">
        <x:v>RFP-B2</x:v>
      </x:c>
      <x:c r="D70" s="7" t="str">
        <x:v>PTC-B</x:v>
      </x:c>
      <x:c r="E70" s="7" t="str">
        <x:v>CS-04</x:v>
      </x:c>
      <x:c r="F70" s="10" t="str">
        <x:v>initial source weighing</x:v>
      </x:c>
      <x:c r="G70" s="10" t="str">
        <x:v>independent mass root with 0.25 kg allocation</x:v>
      </x:c>
      <x:c r="H70" s="7" t="str"/>
      <x:c r="I70" s="7" t="str"/>
      <x:c r="J70" s="7" t="str">
        <x:v>OPEN</x:v>
      </x:c>
    </x:row>
    <x:row r="71" ht="41" customHeight="1">
      <x:c r="B71" s="7" t="str">
        <x:v>RFP-B2-CS-05</x:v>
      </x:c>
      <x:c r="C71" s="7" t="str">
        <x:v>RFP-B2</x:v>
      </x:c>
      <x:c r="D71" s="7" t="str">
        <x:v>PTC-B</x:v>
      </x:c>
      <x:c r="E71" s="7" t="str">
        <x:v>CS-05</x:v>
      </x:c>
      <x:c r="F71" s="10" t="str">
        <x:v>source inlet isolation</x:v>
      </x:c>
      <x:c r="G71" s="10" t="str">
        <x:v>final element, motive energy and direct state witness</x:v>
      </x:c>
      <x:c r="H71" s="7" t="str"/>
      <x:c r="I71" s="7" t="str"/>
      <x:c r="J71" s="7" t="str">
        <x:v>OPEN</x:v>
      </x:c>
    </x:row>
    <x:row r="72" ht="41" customHeight="1">
      <x:c r="B72" s="7" t="str">
        <x:v>RFP-B2-CS-06</x:v>
      </x:c>
      <x:c r="C72" s="7" t="str">
        <x:v>RFP-B2</x:v>
      </x:c>
      <x:c r="D72" s="7" t="str">
        <x:v>PTC-B</x:v>
      </x:c>
      <x:c r="E72" s="7" t="str">
        <x:v>CS-06</x:v>
      </x:c>
      <x:c r="F72" s="10" t="str">
        <x:v>dispenser isolation</x:v>
      </x:c>
      <x:c r="G72" s="10" t="str">
        <x:v>separate final element and residual measurement</x:v>
      </x:c>
      <x:c r="H72" s="7" t="str"/>
      <x:c r="I72" s="7" t="str"/>
      <x:c r="J72" s="7" t="str">
        <x:v>OPEN</x:v>
      </x:c>
    </x:row>
    <x:row r="73" ht="41" customHeight="1">
      <x:c r="B73" s="7" t="str">
        <x:v>RFP-B2-CS-07</x:v>
      </x:c>
      <x:c r="C73" s="7" t="str">
        <x:v>RFP-B2</x:v>
      </x:c>
      <x:c r="D73" s="7" t="str">
        <x:v>PTC-B</x:v>
      </x:c>
      <x:c r="E73" s="7" t="str">
        <x:v>CS-07</x:v>
      </x:c>
      <x:c r="F73" s="10" t="str">
        <x:v>40 mm low-volume insert</x:v>
      </x:c>
      <x:c r="G73" s="10" t="str">
        <x:v>12 m measured bore, slope, hold-up and removable custody</x:v>
      </x:c>
      <x:c r="H73" s="7" t="str"/>
      <x:c r="I73" s="7" t="str"/>
      <x:c r="J73" s="7" t="str">
        <x:v>OPEN</x:v>
      </x:c>
    </x:row>
    <x:row r="74" ht="41" customHeight="1">
      <x:c r="B74" s="7" t="str">
        <x:v>RFP-B2-CS-08</x:v>
      </x:c>
      <x:c r="C74" s="7" t="str">
        <x:v>RFP-B2</x:v>
      </x:c>
      <x:c r="D74" s="7" t="str">
        <x:v>PTC-B</x:v>
      </x:c>
      <x:c r="E74" s="7" t="str">
        <x:v>CS-08</x:v>
      </x:c>
      <x:c r="F74" s="10" t="str">
        <x:v>150 mm public boundary</x:v>
      </x:c>
      <x:c r="G74" s="10" t="str">
        <x:v>blanked and witnessed; no full-route qualification</x:v>
      </x:c>
      <x:c r="H74" s="7" t="str"/>
      <x:c r="I74" s="7" t="str"/>
      <x:c r="J74" s="7" t="str">
        <x:v>OPEN</x:v>
      </x:c>
    </x:row>
    <x:row r="75" ht="41" customHeight="1">
      <x:c r="B75" s="7" t="str">
        <x:v>RFP-B2-CS-09</x:v>
      </x:c>
      <x:c r="C75" s="7" t="str">
        <x:v>RFP-B2</x:v>
      </x:c>
      <x:c r="D75" s="7" t="str">
        <x:v>PTC-B</x:v>
      </x:c>
      <x:c r="E75" s="7" t="str">
        <x:v>CS-09</x:v>
      </x:c>
      <x:c r="F75" s="10" t="str">
        <x:v>REA-100 inlet and splitter</x:v>
      </x:c>
      <x:c r="G75" s="10" t="str">
        <x:v>known geometry for AM-05 receiver or AM-06 pan state</x:v>
      </x:c>
      <x:c r="H75" s="7" t="str"/>
      <x:c r="I75" s="7" t="str"/>
      <x:c r="J75" s="7" t="str">
        <x:v>OPEN</x:v>
      </x:c>
    </x:row>
    <x:row r="76" ht="41" customHeight="1">
      <x:c r="B76" s="7" t="str">
        <x:v>RFP-B2-CS-10</x:v>
      </x:c>
      <x:c r="C76" s="7" t="str">
        <x:v>RFP-B2</x:v>
      </x:c>
      <x:c r="D76" s="7" t="str">
        <x:v>PTC-B</x:v>
      </x:c>
      <x:c r="E76" s="7" t="str">
        <x:v>CS-10</x:v>
      </x:c>
      <x:c r="F76" s="10" t="str">
        <x:v>2.5 m2 containment pan</x:v>
      </x:c>
      <x:c r="G76" s="10" t="str">
        <x:v>2.0 by 1.25 m; measured wall and usable volume</x:v>
      </x:c>
      <x:c r="H76" s="7" t="str"/>
      <x:c r="I76" s="7" t="str"/>
      <x:c r="J76" s="7" t="str">
        <x:v>OPEN</x:v>
      </x:c>
    </x:row>
    <x:row r="77" ht="41" customHeight="1">
      <x:c r="B77" s="7" t="str">
        <x:v>RFP-B2-CS-11</x:v>
      </x:c>
      <x:c r="C77" s="7" t="str">
        <x:v>RFP-B2</x:v>
      </x:c>
      <x:c r="D77" s="7" t="str">
        <x:v>PTC-B</x:v>
      </x:c>
      <x:c r="E77" s="7" t="str">
        <x:v>CS-11</x:v>
      </x:c>
      <x:c r="F77" s="10" t="str">
        <x:v>0.5 m3 reference receiver</x:v>
      </x:c>
      <x:c r="G77" s="10" t="str">
        <x:v>AM-05 closed custody and post-event recovery</x:v>
      </x:c>
      <x:c r="H77" s="7" t="str"/>
      <x:c r="I77" s="7" t="str"/>
      <x:c r="J77" s="7" t="str">
        <x:v>OPEN</x:v>
      </x:c>
    </x:row>
    <x:row r="78" ht="41" customHeight="1">
      <x:c r="B78" s="7" t="str">
        <x:v>RFP-B2-CS-12</x:v>
      </x:c>
      <x:c r="C78" s="7" t="str">
        <x:v>RFP-B2</x:v>
      </x:c>
      <x:c r="D78" s="7" t="str">
        <x:v>PTC-B</x:v>
      </x:c>
      <x:c r="E78" s="7" t="str">
        <x:v>CS-12</x:v>
      </x:c>
      <x:c r="F78" s="10" t="str">
        <x:v>15 m3 normal source sump</x:v>
      </x:c>
      <x:c r="G78" s="10" t="str">
        <x:v>initial inventory and free volume measured</x:v>
      </x:c>
      <x:c r="H78" s="7" t="str"/>
      <x:c r="I78" s="7" t="str"/>
      <x:c r="J78" s="7" t="str">
        <x:v>OPEN</x:v>
      </x:c>
    </x:row>
    <x:row r="79" ht="41" customHeight="1">
      <x:c r="B79" s="7" t="str">
        <x:v>RFP-B2-CS-13</x:v>
      </x:c>
      <x:c r="C79" s="7" t="str">
        <x:v>RFP-B2</x:v>
      </x:c>
      <x:c r="D79" s="7" t="str">
        <x:v>PTC-B</x:v>
      </x:c>
      <x:c r="E79" s="7" t="str">
        <x:v>CS-13</x:v>
      </x:c>
      <x:c r="F79" s="10" t="str">
        <x:v>50 m3 casualty source receiver</x:v>
      </x:c>
      <x:c r="G79" s="10" t="str">
        <x:v>isolated, empty-state witnessed and independently actuated</x:v>
      </x:c>
      <x:c r="H79" s="7" t="str"/>
      <x:c r="I79" s="7" t="str"/>
      <x:c r="J79" s="7" t="str">
        <x:v>OPEN</x:v>
      </x:c>
    </x:row>
    <x:row r="80" ht="41" customHeight="1">
      <x:c r="B80" s="7" t="str">
        <x:v>RFP-B2-CS-14</x:v>
      </x:c>
      <x:c r="C80" s="7" t="str">
        <x:v>RFP-B2</x:v>
      </x:c>
      <x:c r="D80" s="7" t="str">
        <x:v>PTC-B</x:v>
      </x:c>
      <x:c r="E80" s="7" t="str">
        <x:v>CS-14</x:v>
      </x:c>
      <x:c r="F80" s="10" t="str">
        <x:v>40 m3 normal firewater vault</x:v>
      </x:c>
      <x:c r="G80" s="10" t="str">
        <x:v>zero planned application; state still recorded</x:v>
      </x:c>
      <x:c r="H80" s="7" t="str"/>
      <x:c r="I80" s="7" t="str"/>
      <x:c r="J80" s="7" t="str">
        <x:v>OPEN</x:v>
      </x:c>
    </x:row>
    <x:row r="81" ht="41" customHeight="1">
      <x:c r="B81" s="7" t="str">
        <x:v>RFP-B2-CS-15</x:v>
      </x:c>
      <x:c r="C81" s="7" t="str">
        <x:v>RFP-B2</x:v>
      </x:c>
      <x:c r="D81" s="7" t="str">
        <x:v>PTC-B</x:v>
      </x:c>
      <x:c r="E81" s="7" t="str">
        <x:v>CS-15</x:v>
      </x:c>
      <x:c r="F81" s="10" t="str">
        <x:v>120 m3 casualty water receiver</x:v>
      </x:c>
      <x:c r="G81" s="10" t="str">
        <x:v>5 m3 maximum initial inventory; four headroom terms</x:v>
      </x:c>
      <x:c r="H81" s="7" t="str"/>
      <x:c r="I81" s="7" t="str"/>
      <x:c r="J81" s="7" t="str">
        <x:v>OPEN</x:v>
      </x:c>
    </x:row>
    <x:row r="82" ht="41" customHeight="1">
      <x:c r="B82" s="7" t="str">
        <x:v>RFP-B2-CS-16</x:v>
      </x:c>
      <x:c r="C82" s="7" t="str">
        <x:v>RFP-B2</x:v>
      </x:c>
      <x:c r="D82" s="7" t="str">
        <x:v>PTC-B</x:v>
      </x:c>
      <x:c r="E82" s="7" t="str">
        <x:v>CS-16</x:v>
      </x:c>
      <x:c r="F82" s="10" t="str">
        <x:v>ignition and energy removal</x:v>
      </x:c>
      <x:c r="G82" s="10" t="str">
        <x:v>four-mode interface; AM-06 QE-02 only</x:v>
      </x:c>
      <x:c r="H82" s="7" t="str"/>
      <x:c r="I82" s="7" t="str"/>
      <x:c r="J82" s="7" t="str">
        <x:v>OPEN</x:v>
      </x:c>
    </x:row>
    <x:row r="83" ht="41" customHeight="1">
      <x:c r="B83" s="7" t="str">
        <x:v>RFP-B2-CS-17</x:v>
      </x:c>
      <x:c r="C83" s="7" t="str">
        <x:v>RFP-B2</x:v>
      </x:c>
      <x:c r="D83" s="7" t="str">
        <x:v>PTC-B</x:v>
      </x:c>
      <x:c r="E83" s="7" t="str">
        <x:v>CS-17</x:v>
      </x:c>
      <x:c r="F83" s="10" t="str">
        <x:v>thermal and boundary field</x:v>
      </x:c>
      <x:c r="G83" s="10" t="str">
        <x:v>pool edge, heat release, radiant and 1.6 kW/m2 boundary</x:v>
      </x:c>
      <x:c r="H83" s="7" t="str"/>
      <x:c r="I83" s="7" t="str"/>
      <x:c r="J83" s="7" t="str">
        <x:v>OPEN</x:v>
      </x:c>
    </x:row>
    <x:row r="84" ht="41" customHeight="1">
      <x:c r="B84" s="7" t="str">
        <x:v>RFP-B2-CS-18</x:v>
      </x:c>
      <x:c r="C84" s="7" t="str">
        <x:v>RFP-B2</x:v>
      </x:c>
      <x:c r="D84" s="7" t="str">
        <x:v>PTC-B</x:v>
      </x:c>
      <x:c r="E84" s="7" t="str">
        <x:v>CS-18</x:v>
      </x:c>
      <x:c r="F84" s="10" t="str">
        <x:v>secondary and tertiary custody</x:v>
      </x:c>
      <x:c r="G84" s="10" t="str">
        <x:v>surface, drain, basin, atmosphere and environmental witnesses</x:v>
      </x:c>
      <x:c r="H84" s="7" t="str"/>
      <x:c r="I84" s="7" t="str"/>
      <x:c r="J84" s="7" t="str">
        <x:v>OPEN</x:v>
      </x:c>
    </x:row>
    <x:row r="85" ht="41" customHeight="1">
      <x:c r="B85" s="7" t="str">
        <x:v>RFP-B2-CS-19</x:v>
      </x:c>
      <x:c r="C85" s="7" t="str">
        <x:v>RFP-B2</x:v>
      </x:c>
      <x:c r="D85" s="7" t="str">
        <x:v>PTC-B</x:v>
      </x:c>
      <x:c r="E85" s="7" t="str">
        <x:v>CS-19</x:v>
      </x:c>
      <x:c r="F85" s="10" t="str">
        <x:v>independent safeing energy</x:v>
      </x:c>
      <x:c r="G85" s="10" t="str">
        <x:v>30 s actuation reserve plus 60 min protected local observation</x:v>
      </x:c>
      <x:c r="H85" s="7" t="str"/>
      <x:c r="I85" s="7" t="str"/>
      <x:c r="J85" s="7" t="str">
        <x:v>OPEN</x:v>
      </x:c>
    </x:row>
    <x:row r="86" ht="41" customHeight="1">
      <x:c r="B86" s="7" t="str">
        <x:v>RFP-B2-CS-20</x:v>
      </x:c>
      <x:c r="C86" s="7" t="str">
        <x:v>RFP-B2</x:v>
      </x:c>
      <x:c r="D86" s="7" t="str">
        <x:v>PTC-B</x:v>
      </x:c>
      <x:c r="E86" s="7" t="str">
        <x:v>CS-20</x:v>
      </x:c>
      <x:c r="F86" s="10" t="str">
        <x:v>native evidence and causal time</x:v>
      </x:c>
      <x:c r="G86" s="10" t="str">
        <x:v>two originals, local time, final-state latch and sealed packet</x:v>
      </x:c>
      <x:c r="H86" s="7" t="str"/>
      <x:c r="I86" s="7" t="str"/>
      <x:c r="J86" s="7" t="str">
        <x:v>OPEN</x:v>
      </x:c>
    </x:row>
    <x:row r="87" ht="41" customHeight="1">
      <x:c r="B87" s="7" t="str">
        <x:v>RFP-C1-CS-01</x:v>
      </x:c>
      <x:c r="C87" s="7" t="str">
        <x:v>RFP-C1</x:v>
      </x:c>
      <x:c r="D87" s="7" t="str">
        <x:v>PTC-C</x:v>
      </x:c>
      <x:c r="E87" s="7" t="str">
        <x:v>CS-01</x:v>
      </x:c>
      <x:c r="F87" s="10" t="str">
        <x:v>public datum and six-axis survey</x:v>
      </x:c>
      <x:c r="G87" s="10" t="str">
        <x:v>coordinate root, settlement witness and protected reference monuments</x:v>
      </x:c>
      <x:c r="H87" s="7" t="str"/>
      <x:c r="I87" s="7" t="str"/>
      <x:c r="J87" s="7" t="str">
        <x:v>OPEN</x:v>
      </x:c>
    </x:row>
    <x:row r="88" ht="41" customHeight="1">
      <x:c r="B88" s="7" t="str">
        <x:v>RFP-C1-CS-02</x:v>
      </x:c>
      <x:c r="C88" s="7" t="str">
        <x:v>RFP-C1</x:v>
      </x:c>
      <x:c r="D88" s="7" t="str">
        <x:v>PTC-C</x:v>
      </x:c>
      <x:c r="E88" s="7" t="str">
        <x:v>CS-02</x:v>
      </x:c>
      <x:c r="F88" s="10" t="str">
        <x:v>source conditioning vessel</x:v>
      </x:c>
      <x:c r="G88" s="10" t="str">
        <x:v>3.5 m3 working volume; temperature, composition and mass bookends</x:v>
      </x:c>
      <x:c r="H88" s="7" t="str"/>
      <x:c r="I88" s="7" t="str"/>
      <x:c r="J88" s="7" t="str">
        <x:v>OPEN</x:v>
      </x:c>
    </x:row>
    <x:row r="89" ht="41" customHeight="1">
      <x:c r="B89" s="7" t="str">
        <x:v>RFP-C1-CS-03</x:v>
      </x:c>
      <x:c r="C89" s="7" t="str">
        <x:v>RFP-C1</x:v>
      </x:c>
      <x:c r="D89" s="7" t="str">
        <x:v>PTC-C</x:v>
      </x:c>
      <x:c r="E89" s="7" t="str">
        <x:v>CS-03</x:v>
      </x:c>
      <x:c r="F89" s="10" t="str">
        <x:v>source capsule docking</x:v>
      </x:c>
      <x:c r="G89" s="10" t="str">
        <x:v>serialized seal, keyed connection and contained disconnect</x:v>
      </x:c>
      <x:c r="H89" s="7" t="str"/>
      <x:c r="I89" s="7" t="str"/>
      <x:c r="J89" s="7" t="str">
        <x:v>OPEN</x:v>
      </x:c>
    </x:row>
    <x:row r="90" ht="41" customHeight="1">
      <x:c r="B90" s="7" t="str">
        <x:v>RFP-C1-CS-04</x:v>
      </x:c>
      <x:c r="C90" s="7" t="str">
        <x:v>RFP-C1</x:v>
      </x:c>
      <x:c r="D90" s="7" t="str">
        <x:v>PTC-C</x:v>
      </x:c>
      <x:c r="E90" s="7" t="str">
        <x:v>CS-04</x:v>
      </x:c>
      <x:c r="F90" s="10" t="str">
        <x:v>initial source weighing</x:v>
      </x:c>
      <x:c r="G90" s="10" t="str">
        <x:v>independent mass root with 0.25 kg allocation</x:v>
      </x:c>
      <x:c r="H90" s="7" t="str"/>
      <x:c r="I90" s="7" t="str"/>
      <x:c r="J90" s="7" t="str">
        <x:v>OPEN</x:v>
      </x:c>
    </x:row>
    <x:row r="91" ht="41" customHeight="1">
      <x:c r="B91" s="7" t="str">
        <x:v>RFP-C1-CS-05</x:v>
      </x:c>
      <x:c r="C91" s="7" t="str">
        <x:v>RFP-C1</x:v>
      </x:c>
      <x:c r="D91" s="7" t="str">
        <x:v>PTC-C</x:v>
      </x:c>
      <x:c r="E91" s="7" t="str">
        <x:v>CS-05</x:v>
      </x:c>
      <x:c r="F91" s="10" t="str">
        <x:v>source inlet isolation</x:v>
      </x:c>
      <x:c r="G91" s="10" t="str">
        <x:v>final element, motive energy and direct state witness</x:v>
      </x:c>
      <x:c r="H91" s="7" t="str"/>
      <x:c r="I91" s="7" t="str"/>
      <x:c r="J91" s="7" t="str">
        <x:v>OPEN</x:v>
      </x:c>
    </x:row>
    <x:row r="92" ht="41" customHeight="1">
      <x:c r="B92" s="7" t="str">
        <x:v>RFP-C1-CS-06</x:v>
      </x:c>
      <x:c r="C92" s="7" t="str">
        <x:v>RFP-C1</x:v>
      </x:c>
      <x:c r="D92" s="7" t="str">
        <x:v>PTC-C</x:v>
      </x:c>
      <x:c r="E92" s="7" t="str">
        <x:v>CS-06</x:v>
      </x:c>
      <x:c r="F92" s="10" t="str">
        <x:v>dispenser isolation</x:v>
      </x:c>
      <x:c r="G92" s="10" t="str">
        <x:v>separate final element and residual measurement</x:v>
      </x:c>
      <x:c r="H92" s="7" t="str"/>
      <x:c r="I92" s="7" t="str"/>
      <x:c r="J92" s="7" t="str">
        <x:v>OPEN</x:v>
      </x:c>
    </x:row>
    <x:row r="93" ht="41" customHeight="1">
      <x:c r="B93" s="7" t="str">
        <x:v>RFP-C1-CS-07</x:v>
      </x:c>
      <x:c r="C93" s="7" t="str">
        <x:v>RFP-C1</x:v>
      </x:c>
      <x:c r="D93" s="7" t="str">
        <x:v>PTC-C</x:v>
      </x:c>
      <x:c r="E93" s="7" t="str">
        <x:v>CS-07</x:v>
      </x:c>
      <x:c r="F93" s="10" t="str">
        <x:v>40 mm low-volume insert</x:v>
      </x:c>
      <x:c r="G93" s="10" t="str">
        <x:v>12 m measured bore, slope, hold-up and removable custody</x:v>
      </x:c>
      <x:c r="H93" s="7" t="str"/>
      <x:c r="I93" s="7" t="str"/>
      <x:c r="J93" s="7" t="str">
        <x:v>OPEN</x:v>
      </x:c>
    </x:row>
    <x:row r="94" ht="41" customHeight="1">
      <x:c r="B94" s="7" t="str">
        <x:v>RFP-C1-CS-08</x:v>
      </x:c>
      <x:c r="C94" s="7" t="str">
        <x:v>RFP-C1</x:v>
      </x:c>
      <x:c r="D94" s="7" t="str">
        <x:v>PTC-C</x:v>
      </x:c>
      <x:c r="E94" s="7" t="str">
        <x:v>CS-08</x:v>
      </x:c>
      <x:c r="F94" s="10" t="str">
        <x:v>150 mm public boundary</x:v>
      </x:c>
      <x:c r="G94" s="10" t="str">
        <x:v>blanked and witnessed; no full-route qualification</x:v>
      </x:c>
      <x:c r="H94" s="7" t="str"/>
      <x:c r="I94" s="7" t="str"/>
      <x:c r="J94" s="7" t="str">
        <x:v>OPEN</x:v>
      </x:c>
    </x:row>
    <x:row r="95" ht="41" customHeight="1">
      <x:c r="B95" s="7" t="str">
        <x:v>RFP-C1-CS-09</x:v>
      </x:c>
      <x:c r="C95" s="7" t="str">
        <x:v>RFP-C1</x:v>
      </x:c>
      <x:c r="D95" s="7" t="str">
        <x:v>PTC-C</x:v>
      </x:c>
      <x:c r="E95" s="7" t="str">
        <x:v>CS-09</x:v>
      </x:c>
      <x:c r="F95" s="10" t="str">
        <x:v>REA-100 inlet and splitter</x:v>
      </x:c>
      <x:c r="G95" s="10" t="str">
        <x:v>known geometry for AM-05 receiver or AM-06 pan state</x:v>
      </x:c>
      <x:c r="H95" s="7" t="str"/>
      <x:c r="I95" s="7" t="str"/>
      <x:c r="J95" s="7" t="str">
        <x:v>OPEN</x:v>
      </x:c>
    </x:row>
    <x:row r="96" ht="41" customHeight="1">
      <x:c r="B96" s="7" t="str">
        <x:v>RFP-C1-CS-10</x:v>
      </x:c>
      <x:c r="C96" s="7" t="str">
        <x:v>RFP-C1</x:v>
      </x:c>
      <x:c r="D96" s="7" t="str">
        <x:v>PTC-C</x:v>
      </x:c>
      <x:c r="E96" s="7" t="str">
        <x:v>CS-10</x:v>
      </x:c>
      <x:c r="F96" s="10" t="str">
        <x:v>2.5 m2 containment pan</x:v>
      </x:c>
      <x:c r="G96" s="10" t="str">
        <x:v>2.0 by 1.25 m; measured wall and usable volume</x:v>
      </x:c>
      <x:c r="H96" s="7" t="str"/>
      <x:c r="I96" s="7" t="str"/>
      <x:c r="J96" s="7" t="str">
        <x:v>OPEN</x:v>
      </x:c>
    </x:row>
    <x:row r="97" ht="41" customHeight="1">
      <x:c r="B97" s="7" t="str">
        <x:v>RFP-C1-CS-11</x:v>
      </x:c>
      <x:c r="C97" s="7" t="str">
        <x:v>RFP-C1</x:v>
      </x:c>
      <x:c r="D97" s="7" t="str">
        <x:v>PTC-C</x:v>
      </x:c>
      <x:c r="E97" s="7" t="str">
        <x:v>CS-11</x:v>
      </x:c>
      <x:c r="F97" s="10" t="str">
        <x:v>0.5 m3 reference receiver</x:v>
      </x:c>
      <x:c r="G97" s="10" t="str">
        <x:v>AM-05 closed custody and post-event recovery</x:v>
      </x:c>
      <x:c r="H97" s="7" t="str"/>
      <x:c r="I97" s="7" t="str"/>
      <x:c r="J97" s="7" t="str">
        <x:v>OPEN</x:v>
      </x:c>
    </x:row>
    <x:row r="98" ht="41" customHeight="1">
      <x:c r="B98" s="7" t="str">
        <x:v>RFP-C1-CS-12</x:v>
      </x:c>
      <x:c r="C98" s="7" t="str">
        <x:v>RFP-C1</x:v>
      </x:c>
      <x:c r="D98" s="7" t="str">
        <x:v>PTC-C</x:v>
      </x:c>
      <x:c r="E98" s="7" t="str">
        <x:v>CS-12</x:v>
      </x:c>
      <x:c r="F98" s="10" t="str">
        <x:v>15 m3 normal source sump</x:v>
      </x:c>
      <x:c r="G98" s="10" t="str">
        <x:v>initial inventory and free volume measured</x:v>
      </x:c>
      <x:c r="H98" s="7" t="str"/>
      <x:c r="I98" s="7" t="str"/>
      <x:c r="J98" s="7" t="str">
        <x:v>OPEN</x:v>
      </x:c>
    </x:row>
    <x:row r="99" ht="41" customHeight="1">
      <x:c r="B99" s="7" t="str">
        <x:v>RFP-C1-CS-13</x:v>
      </x:c>
      <x:c r="C99" s="7" t="str">
        <x:v>RFP-C1</x:v>
      </x:c>
      <x:c r="D99" s="7" t="str">
        <x:v>PTC-C</x:v>
      </x:c>
      <x:c r="E99" s="7" t="str">
        <x:v>CS-13</x:v>
      </x:c>
      <x:c r="F99" s="10" t="str">
        <x:v>50 m3 casualty source receiver</x:v>
      </x:c>
      <x:c r="G99" s="10" t="str">
        <x:v>isolated, empty-state witnessed and independently actuated</x:v>
      </x:c>
      <x:c r="H99" s="7" t="str"/>
      <x:c r="I99" s="7" t="str"/>
      <x:c r="J99" s="7" t="str">
        <x:v>OPEN</x:v>
      </x:c>
    </x:row>
    <x:row r="100" ht="41" customHeight="1">
      <x:c r="B100" s="7" t="str">
        <x:v>RFP-C1-CS-14</x:v>
      </x:c>
      <x:c r="C100" s="7" t="str">
        <x:v>RFP-C1</x:v>
      </x:c>
      <x:c r="D100" s="7" t="str">
        <x:v>PTC-C</x:v>
      </x:c>
      <x:c r="E100" s="7" t="str">
        <x:v>CS-14</x:v>
      </x:c>
      <x:c r="F100" s="10" t="str">
        <x:v>40 m3 normal firewater vault</x:v>
      </x:c>
      <x:c r="G100" s="10" t="str">
        <x:v>zero planned application; state still recorded</x:v>
      </x:c>
      <x:c r="H100" s="7" t="str"/>
      <x:c r="I100" s="7" t="str"/>
      <x:c r="J100" s="7" t="str">
        <x:v>OPEN</x:v>
      </x:c>
    </x:row>
    <x:row r="101" ht="41" customHeight="1">
      <x:c r="B101" s="7" t="str">
        <x:v>RFP-C1-CS-15</x:v>
      </x:c>
      <x:c r="C101" s="7" t="str">
        <x:v>RFP-C1</x:v>
      </x:c>
      <x:c r="D101" s="7" t="str">
        <x:v>PTC-C</x:v>
      </x:c>
      <x:c r="E101" s="7" t="str">
        <x:v>CS-15</x:v>
      </x:c>
      <x:c r="F101" s="10" t="str">
        <x:v>120 m3 casualty water receiver</x:v>
      </x:c>
      <x:c r="G101" s="10" t="str">
        <x:v>5 m3 maximum initial inventory; four headroom terms</x:v>
      </x:c>
      <x:c r="H101" s="7" t="str"/>
      <x:c r="I101" s="7" t="str"/>
      <x:c r="J101" s="7" t="str">
        <x:v>OPEN</x:v>
      </x:c>
    </x:row>
    <x:row r="102" ht="41" customHeight="1">
      <x:c r="B102" s="7" t="str">
        <x:v>RFP-C1-CS-16</x:v>
      </x:c>
      <x:c r="C102" s="7" t="str">
        <x:v>RFP-C1</x:v>
      </x:c>
      <x:c r="D102" s="7" t="str">
        <x:v>PTC-C</x:v>
      </x:c>
      <x:c r="E102" s="7" t="str">
        <x:v>CS-16</x:v>
      </x:c>
      <x:c r="F102" s="10" t="str">
        <x:v>ignition and energy removal</x:v>
      </x:c>
      <x:c r="G102" s="10" t="str">
        <x:v>four-mode interface; AM-06 QE-02 only</x:v>
      </x:c>
      <x:c r="H102" s="7" t="str"/>
      <x:c r="I102" s="7" t="str"/>
      <x:c r="J102" s="7" t="str">
        <x:v>OPEN</x:v>
      </x:c>
    </x:row>
    <x:row r="103" ht="41" customHeight="1">
      <x:c r="B103" s="7" t="str">
        <x:v>RFP-C1-CS-17</x:v>
      </x:c>
      <x:c r="C103" s="7" t="str">
        <x:v>RFP-C1</x:v>
      </x:c>
      <x:c r="D103" s="7" t="str">
        <x:v>PTC-C</x:v>
      </x:c>
      <x:c r="E103" s="7" t="str">
        <x:v>CS-17</x:v>
      </x:c>
      <x:c r="F103" s="10" t="str">
        <x:v>thermal and boundary field</x:v>
      </x:c>
      <x:c r="G103" s="10" t="str">
        <x:v>pool edge, heat release, radiant and 1.6 kW/m2 boundary</x:v>
      </x:c>
      <x:c r="H103" s="7" t="str"/>
      <x:c r="I103" s="7" t="str"/>
      <x:c r="J103" s="7" t="str">
        <x:v>OPEN</x:v>
      </x:c>
    </x:row>
    <x:row r="104" ht="41" customHeight="1">
      <x:c r="B104" s="7" t="str">
        <x:v>RFP-C1-CS-18</x:v>
      </x:c>
      <x:c r="C104" s="7" t="str">
        <x:v>RFP-C1</x:v>
      </x:c>
      <x:c r="D104" s="7" t="str">
        <x:v>PTC-C</x:v>
      </x:c>
      <x:c r="E104" s="7" t="str">
        <x:v>CS-18</x:v>
      </x:c>
      <x:c r="F104" s="10" t="str">
        <x:v>secondary and tertiary custody</x:v>
      </x:c>
      <x:c r="G104" s="10" t="str">
        <x:v>surface, drain, basin, atmosphere and environmental witnesses</x:v>
      </x:c>
      <x:c r="H104" s="7" t="str"/>
      <x:c r="I104" s="7" t="str"/>
      <x:c r="J104" s="7" t="str">
        <x:v>OPEN</x:v>
      </x:c>
    </x:row>
    <x:row r="105" ht="41" customHeight="1">
      <x:c r="B105" s="7" t="str">
        <x:v>RFP-C1-CS-19</x:v>
      </x:c>
      <x:c r="C105" s="7" t="str">
        <x:v>RFP-C1</x:v>
      </x:c>
      <x:c r="D105" s="7" t="str">
        <x:v>PTC-C</x:v>
      </x:c>
      <x:c r="E105" s="7" t="str">
        <x:v>CS-19</x:v>
      </x:c>
      <x:c r="F105" s="10" t="str">
        <x:v>independent safeing energy</x:v>
      </x:c>
      <x:c r="G105" s="10" t="str">
        <x:v>30 s actuation reserve plus 60 min protected local observation</x:v>
      </x:c>
      <x:c r="H105" s="7" t="str"/>
      <x:c r="I105" s="7" t="str"/>
      <x:c r="J105" s="7" t="str">
        <x:v>OPEN</x:v>
      </x:c>
    </x:row>
    <x:row r="106" ht="41" customHeight="1">
      <x:c r="B106" s="7" t="str">
        <x:v>RFP-C1-CS-20</x:v>
      </x:c>
      <x:c r="C106" s="7" t="str">
        <x:v>RFP-C1</x:v>
      </x:c>
      <x:c r="D106" s="7" t="str">
        <x:v>PTC-C</x:v>
      </x:c>
      <x:c r="E106" s="7" t="str">
        <x:v>CS-20</x:v>
      </x:c>
      <x:c r="F106" s="10" t="str">
        <x:v>native evidence and causal time</x:v>
      </x:c>
      <x:c r="G106" s="10" t="str">
        <x:v>two originals, local time, final-state latch and sealed packet</x:v>
      </x:c>
      <x:c r="H106" s="7" t="str"/>
      <x:c r="I106" s="7" t="str"/>
      <x:c r="J106" s="7" t="str">
        <x:v>OPEN</x:v>
      </x:c>
    </x:row>
    <x:row r="107" ht="41" customHeight="1">
      <x:c r="B107" s="7" t="str">
        <x:v>RFP-C2-CS-01</x:v>
      </x:c>
      <x:c r="C107" s="7" t="str">
        <x:v>RFP-C2</x:v>
      </x:c>
      <x:c r="D107" s="7" t="str">
        <x:v>PTC-C</x:v>
      </x:c>
      <x:c r="E107" s="7" t="str">
        <x:v>CS-01</x:v>
      </x:c>
      <x:c r="F107" s="10" t="str">
        <x:v>public datum and six-axis survey</x:v>
      </x:c>
      <x:c r="G107" s="10" t="str">
        <x:v>coordinate root, settlement witness and protected reference monuments</x:v>
      </x:c>
      <x:c r="H107" s="7" t="str"/>
      <x:c r="I107" s="7" t="str"/>
      <x:c r="J107" s="7" t="str">
        <x:v>OPEN</x:v>
      </x:c>
    </x:row>
    <x:row r="108" ht="41" customHeight="1">
      <x:c r="B108" s="7" t="str">
        <x:v>RFP-C2-CS-02</x:v>
      </x:c>
      <x:c r="C108" s="7" t="str">
        <x:v>RFP-C2</x:v>
      </x:c>
      <x:c r="D108" s="7" t="str">
        <x:v>PTC-C</x:v>
      </x:c>
      <x:c r="E108" s="7" t="str">
        <x:v>CS-02</x:v>
      </x:c>
      <x:c r="F108" s="10" t="str">
        <x:v>source conditioning vessel</x:v>
      </x:c>
      <x:c r="G108" s="10" t="str">
        <x:v>3.5 m3 working volume; temperature, composition and mass bookends</x:v>
      </x:c>
      <x:c r="H108" s="7" t="str"/>
      <x:c r="I108" s="7" t="str"/>
      <x:c r="J108" s="7" t="str">
        <x:v>OPEN</x:v>
      </x:c>
    </x:row>
    <x:row r="109" ht="41" customHeight="1">
      <x:c r="B109" s="7" t="str">
        <x:v>RFP-C2-CS-03</x:v>
      </x:c>
      <x:c r="C109" s="7" t="str">
        <x:v>RFP-C2</x:v>
      </x:c>
      <x:c r="D109" s="7" t="str">
        <x:v>PTC-C</x:v>
      </x:c>
      <x:c r="E109" s="7" t="str">
        <x:v>CS-03</x:v>
      </x:c>
      <x:c r="F109" s="10" t="str">
        <x:v>source capsule docking</x:v>
      </x:c>
      <x:c r="G109" s="10" t="str">
        <x:v>serialized seal, keyed connection and contained disconnect</x:v>
      </x:c>
      <x:c r="H109" s="7" t="str"/>
      <x:c r="I109" s="7" t="str"/>
      <x:c r="J109" s="7" t="str">
        <x:v>OPEN</x:v>
      </x:c>
    </x:row>
    <x:row r="110" ht="41" customHeight="1">
      <x:c r="B110" s="7" t="str">
        <x:v>RFP-C2-CS-04</x:v>
      </x:c>
      <x:c r="C110" s="7" t="str">
        <x:v>RFP-C2</x:v>
      </x:c>
      <x:c r="D110" s="7" t="str">
        <x:v>PTC-C</x:v>
      </x:c>
      <x:c r="E110" s="7" t="str">
        <x:v>CS-04</x:v>
      </x:c>
      <x:c r="F110" s="10" t="str">
        <x:v>initial source weighing</x:v>
      </x:c>
      <x:c r="G110" s="10" t="str">
        <x:v>independent mass root with 0.25 kg allocation</x:v>
      </x:c>
      <x:c r="H110" s="7" t="str"/>
      <x:c r="I110" s="7" t="str"/>
      <x:c r="J110" s="7" t="str">
        <x:v>OPEN</x:v>
      </x:c>
    </x:row>
    <x:row r="111" ht="41" customHeight="1">
      <x:c r="B111" s="7" t="str">
        <x:v>RFP-C2-CS-05</x:v>
      </x:c>
      <x:c r="C111" s="7" t="str">
        <x:v>RFP-C2</x:v>
      </x:c>
      <x:c r="D111" s="7" t="str">
        <x:v>PTC-C</x:v>
      </x:c>
      <x:c r="E111" s="7" t="str">
        <x:v>CS-05</x:v>
      </x:c>
      <x:c r="F111" s="10" t="str">
        <x:v>source inlet isolation</x:v>
      </x:c>
      <x:c r="G111" s="10" t="str">
        <x:v>final element, motive energy and direct state witness</x:v>
      </x:c>
      <x:c r="H111" s="7" t="str"/>
      <x:c r="I111" s="7" t="str"/>
      <x:c r="J111" s="7" t="str">
        <x:v>OPEN</x:v>
      </x:c>
    </x:row>
    <x:row r="112" ht="41" customHeight="1">
      <x:c r="B112" s="7" t="str">
        <x:v>RFP-C2-CS-06</x:v>
      </x:c>
      <x:c r="C112" s="7" t="str">
        <x:v>RFP-C2</x:v>
      </x:c>
      <x:c r="D112" s="7" t="str">
        <x:v>PTC-C</x:v>
      </x:c>
      <x:c r="E112" s="7" t="str">
        <x:v>CS-06</x:v>
      </x:c>
      <x:c r="F112" s="10" t="str">
        <x:v>dispenser isolation</x:v>
      </x:c>
      <x:c r="G112" s="10" t="str">
        <x:v>separate final element and residual measurement</x:v>
      </x:c>
      <x:c r="H112" s="7" t="str"/>
      <x:c r="I112" s="7" t="str"/>
      <x:c r="J112" s="7" t="str">
        <x:v>OPEN</x:v>
      </x:c>
    </x:row>
    <x:row r="113" ht="41" customHeight="1">
      <x:c r="B113" s="7" t="str">
        <x:v>RFP-C2-CS-07</x:v>
      </x:c>
      <x:c r="C113" s="7" t="str">
        <x:v>RFP-C2</x:v>
      </x:c>
      <x:c r="D113" s="7" t="str">
        <x:v>PTC-C</x:v>
      </x:c>
      <x:c r="E113" s="7" t="str">
        <x:v>CS-07</x:v>
      </x:c>
      <x:c r="F113" s="10" t="str">
        <x:v>40 mm low-volume insert</x:v>
      </x:c>
      <x:c r="G113" s="10" t="str">
        <x:v>12 m measured bore, slope, hold-up and removable custody</x:v>
      </x:c>
      <x:c r="H113" s="7" t="str"/>
      <x:c r="I113" s="7" t="str"/>
      <x:c r="J113" s="7" t="str">
        <x:v>OPEN</x:v>
      </x:c>
    </x:row>
    <x:row r="114" ht="41" customHeight="1">
      <x:c r="B114" s="7" t="str">
        <x:v>RFP-C2-CS-08</x:v>
      </x:c>
      <x:c r="C114" s="7" t="str">
        <x:v>RFP-C2</x:v>
      </x:c>
      <x:c r="D114" s="7" t="str">
        <x:v>PTC-C</x:v>
      </x:c>
      <x:c r="E114" s="7" t="str">
        <x:v>CS-08</x:v>
      </x:c>
      <x:c r="F114" s="10" t="str">
        <x:v>150 mm public boundary</x:v>
      </x:c>
      <x:c r="G114" s="10" t="str">
        <x:v>blanked and witnessed; no full-route qualification</x:v>
      </x:c>
      <x:c r="H114" s="7" t="str"/>
      <x:c r="I114" s="7" t="str"/>
      <x:c r="J114" s="7" t="str">
        <x:v>OPEN</x:v>
      </x:c>
    </x:row>
    <x:row r="115" ht="41" customHeight="1">
      <x:c r="B115" s="7" t="str">
        <x:v>RFP-C2-CS-09</x:v>
      </x:c>
      <x:c r="C115" s="7" t="str">
        <x:v>RFP-C2</x:v>
      </x:c>
      <x:c r="D115" s="7" t="str">
        <x:v>PTC-C</x:v>
      </x:c>
      <x:c r="E115" s="7" t="str">
        <x:v>CS-09</x:v>
      </x:c>
      <x:c r="F115" s="10" t="str">
        <x:v>REA-100 inlet and splitter</x:v>
      </x:c>
      <x:c r="G115" s="10" t="str">
        <x:v>known geometry for AM-05 receiver or AM-06 pan state</x:v>
      </x:c>
      <x:c r="H115" s="7" t="str"/>
      <x:c r="I115" s="7" t="str"/>
      <x:c r="J115" s="7" t="str">
        <x:v>OPEN</x:v>
      </x:c>
    </x:row>
    <x:row r="116" ht="41" customHeight="1">
      <x:c r="B116" s="7" t="str">
        <x:v>RFP-C2-CS-10</x:v>
      </x:c>
      <x:c r="C116" s="7" t="str">
        <x:v>RFP-C2</x:v>
      </x:c>
      <x:c r="D116" s="7" t="str">
        <x:v>PTC-C</x:v>
      </x:c>
      <x:c r="E116" s="7" t="str">
        <x:v>CS-10</x:v>
      </x:c>
      <x:c r="F116" s="10" t="str">
        <x:v>2.5 m2 containment pan</x:v>
      </x:c>
      <x:c r="G116" s="10" t="str">
        <x:v>2.0 by 1.25 m; measured wall and usable volume</x:v>
      </x:c>
      <x:c r="H116" s="7" t="str"/>
      <x:c r="I116" s="7" t="str"/>
      <x:c r="J116" s="7" t="str">
        <x:v>OPEN</x:v>
      </x:c>
    </x:row>
    <x:row r="117" ht="41" customHeight="1">
      <x:c r="B117" s="7" t="str">
        <x:v>RFP-C2-CS-11</x:v>
      </x:c>
      <x:c r="C117" s="7" t="str">
        <x:v>RFP-C2</x:v>
      </x:c>
      <x:c r="D117" s="7" t="str">
        <x:v>PTC-C</x:v>
      </x:c>
      <x:c r="E117" s="7" t="str">
        <x:v>CS-11</x:v>
      </x:c>
      <x:c r="F117" s="10" t="str">
        <x:v>0.5 m3 reference receiver</x:v>
      </x:c>
      <x:c r="G117" s="10" t="str">
        <x:v>AM-05 closed custody and post-event recovery</x:v>
      </x:c>
      <x:c r="H117" s="7" t="str"/>
      <x:c r="I117" s="7" t="str"/>
      <x:c r="J117" s="7" t="str">
        <x:v>OPEN</x:v>
      </x:c>
    </x:row>
    <x:row r="118" ht="41" customHeight="1">
      <x:c r="B118" s="7" t="str">
        <x:v>RFP-C2-CS-12</x:v>
      </x:c>
      <x:c r="C118" s="7" t="str">
        <x:v>RFP-C2</x:v>
      </x:c>
      <x:c r="D118" s="7" t="str">
        <x:v>PTC-C</x:v>
      </x:c>
      <x:c r="E118" s="7" t="str">
        <x:v>CS-12</x:v>
      </x:c>
      <x:c r="F118" s="10" t="str">
        <x:v>15 m3 normal source sump</x:v>
      </x:c>
      <x:c r="G118" s="10" t="str">
        <x:v>initial inventory and free volume measured</x:v>
      </x:c>
      <x:c r="H118" s="7" t="str"/>
      <x:c r="I118" s="7" t="str"/>
      <x:c r="J118" s="7" t="str">
        <x:v>OPEN</x:v>
      </x:c>
    </x:row>
    <x:row r="119" ht="41" customHeight="1">
      <x:c r="B119" s="7" t="str">
        <x:v>RFP-C2-CS-13</x:v>
      </x:c>
      <x:c r="C119" s="7" t="str">
        <x:v>RFP-C2</x:v>
      </x:c>
      <x:c r="D119" s="7" t="str">
        <x:v>PTC-C</x:v>
      </x:c>
      <x:c r="E119" s="7" t="str">
        <x:v>CS-13</x:v>
      </x:c>
      <x:c r="F119" s="10" t="str">
        <x:v>50 m3 casualty source receiver</x:v>
      </x:c>
      <x:c r="G119" s="10" t="str">
        <x:v>isolated, empty-state witnessed and independently actuated</x:v>
      </x:c>
      <x:c r="H119" s="7" t="str"/>
      <x:c r="I119" s="7" t="str"/>
      <x:c r="J119" s="7" t="str">
        <x:v>OPEN</x:v>
      </x:c>
    </x:row>
    <x:row r="120" ht="41" customHeight="1">
      <x:c r="B120" s="7" t="str">
        <x:v>RFP-C2-CS-14</x:v>
      </x:c>
      <x:c r="C120" s="7" t="str">
        <x:v>RFP-C2</x:v>
      </x:c>
      <x:c r="D120" s="7" t="str">
        <x:v>PTC-C</x:v>
      </x:c>
      <x:c r="E120" s="7" t="str">
        <x:v>CS-14</x:v>
      </x:c>
      <x:c r="F120" s="10" t="str">
        <x:v>40 m3 normal firewater vault</x:v>
      </x:c>
      <x:c r="G120" s="10" t="str">
        <x:v>zero planned application; state still recorded</x:v>
      </x:c>
      <x:c r="H120" s="7" t="str"/>
      <x:c r="I120" s="7" t="str"/>
      <x:c r="J120" s="7" t="str">
        <x:v>OPEN</x:v>
      </x:c>
    </x:row>
    <x:row r="121" ht="41" customHeight="1">
      <x:c r="B121" s="7" t="str">
        <x:v>RFP-C2-CS-15</x:v>
      </x:c>
      <x:c r="C121" s="7" t="str">
        <x:v>RFP-C2</x:v>
      </x:c>
      <x:c r="D121" s="7" t="str">
        <x:v>PTC-C</x:v>
      </x:c>
      <x:c r="E121" s="7" t="str">
        <x:v>CS-15</x:v>
      </x:c>
      <x:c r="F121" s="10" t="str">
        <x:v>120 m3 casualty water receiver</x:v>
      </x:c>
      <x:c r="G121" s="10" t="str">
        <x:v>5 m3 maximum initial inventory; four headroom terms</x:v>
      </x:c>
      <x:c r="H121" s="7" t="str"/>
      <x:c r="I121" s="7" t="str"/>
      <x:c r="J121" s="7" t="str">
        <x:v>OPEN</x:v>
      </x:c>
    </x:row>
    <x:row r="122" ht="41" customHeight="1">
      <x:c r="B122" s="7" t="str">
        <x:v>RFP-C2-CS-16</x:v>
      </x:c>
      <x:c r="C122" s="7" t="str">
        <x:v>RFP-C2</x:v>
      </x:c>
      <x:c r="D122" s="7" t="str">
        <x:v>PTC-C</x:v>
      </x:c>
      <x:c r="E122" s="7" t="str">
        <x:v>CS-16</x:v>
      </x:c>
      <x:c r="F122" s="10" t="str">
        <x:v>ignition and energy removal</x:v>
      </x:c>
      <x:c r="G122" s="10" t="str">
        <x:v>four-mode interface; AM-06 QE-02 only</x:v>
      </x:c>
      <x:c r="H122" s="7" t="str"/>
      <x:c r="I122" s="7" t="str"/>
      <x:c r="J122" s="7" t="str">
        <x:v>OPEN</x:v>
      </x:c>
    </x:row>
    <x:row r="123" ht="41" customHeight="1">
      <x:c r="B123" s="7" t="str">
        <x:v>RFP-C2-CS-17</x:v>
      </x:c>
      <x:c r="C123" s="7" t="str">
        <x:v>RFP-C2</x:v>
      </x:c>
      <x:c r="D123" s="7" t="str">
        <x:v>PTC-C</x:v>
      </x:c>
      <x:c r="E123" s="7" t="str">
        <x:v>CS-17</x:v>
      </x:c>
      <x:c r="F123" s="10" t="str">
        <x:v>thermal and boundary field</x:v>
      </x:c>
      <x:c r="G123" s="10" t="str">
        <x:v>pool edge, heat release, radiant and 1.6 kW/m2 boundary</x:v>
      </x:c>
      <x:c r="H123" s="7" t="str"/>
      <x:c r="I123" s="7" t="str"/>
      <x:c r="J123" s="7" t="str">
        <x:v>OPEN</x:v>
      </x:c>
    </x:row>
    <x:row r="124" ht="41" customHeight="1">
      <x:c r="B124" s="7" t="str">
        <x:v>RFP-C2-CS-18</x:v>
      </x:c>
      <x:c r="C124" s="7" t="str">
        <x:v>RFP-C2</x:v>
      </x:c>
      <x:c r="D124" s="7" t="str">
        <x:v>PTC-C</x:v>
      </x:c>
      <x:c r="E124" s="7" t="str">
        <x:v>CS-18</x:v>
      </x:c>
      <x:c r="F124" s="10" t="str">
        <x:v>secondary and tertiary custody</x:v>
      </x:c>
      <x:c r="G124" s="10" t="str">
        <x:v>surface, drain, basin, atmosphere and environmental witnesses</x:v>
      </x:c>
      <x:c r="H124" s="7" t="str"/>
      <x:c r="I124" s="7" t="str"/>
      <x:c r="J124" s="7" t="str">
        <x:v>OPEN</x:v>
      </x:c>
    </x:row>
    <x:row r="125" ht="41" customHeight="1">
      <x:c r="B125" s="7" t="str">
        <x:v>RFP-C2-CS-19</x:v>
      </x:c>
      <x:c r="C125" s="7" t="str">
        <x:v>RFP-C2</x:v>
      </x:c>
      <x:c r="D125" s="7" t="str">
        <x:v>PTC-C</x:v>
      </x:c>
      <x:c r="E125" s="7" t="str">
        <x:v>CS-19</x:v>
      </x:c>
      <x:c r="F125" s="10" t="str">
        <x:v>independent safeing energy</x:v>
      </x:c>
      <x:c r="G125" s="10" t="str">
        <x:v>30 s actuation reserve plus 60 min protected local observation</x:v>
      </x:c>
      <x:c r="H125" s="7" t="str"/>
      <x:c r="I125" s="7" t="str"/>
      <x:c r="J125" s="7" t="str">
        <x:v>OPEN</x:v>
      </x:c>
    </x:row>
    <x:row r="126" ht="41" customHeight="1">
      <x:c r="B126" s="7" t="str">
        <x:v>RFP-C2-CS-20</x:v>
      </x:c>
      <x:c r="C126" s="7" t="str">
        <x:v>RFP-C2</x:v>
      </x:c>
      <x:c r="D126" s="7" t="str">
        <x:v>PTC-C</x:v>
      </x:c>
      <x:c r="E126" s="7" t="str">
        <x:v>CS-20</x:v>
      </x:c>
      <x:c r="F126" s="10" t="str">
        <x:v>native evidence and causal time</x:v>
      </x:c>
      <x:c r="G126" s="10" t="str">
        <x:v>two originals, local time, final-state latch and sealed packet</x:v>
      </x:c>
      <x:c r="H126" s="7" t="str"/>
      <x:c r="I126" s="7" t="str"/>
      <x:c r="J126" s="7" t="str">
        <x:v>OPEN</x:v>
      </x:c>
    </x:row>
  </x:sheetData>
  <x:conditionalFormatting sqref="J7:J126">
    <x:cfRule type="containsText" dxfId="9" priority="1" operator="containsText" text="FAIL"/>
    <x:cfRule type="containsText" dxfId="10" priority="2" operator="containsText" text="INVALID"/>
    <x:cfRule type="containsText" dxfId="11" priority="3" operator="containsText" text="BLOCKED"/>
    <x:cfRule type="containsText" dxfId="12" priority="4" operator="containsText" text="OPEN"/>
    <x:cfRule type="containsText" dxfId="13" priority="5" operator="containsText" text="HELD"/>
    <x:cfRule type="containsText" dxfId="14" priority="6" operator="containsText" text="DORMANT"/>
    <x:cfRule type="containsText" dxfId="15" priority="7" operator="containsText" text="PASS"/>
    <x:cfRule type="containsText" dxfId="16" priority="8" operator="containsText" text="VALID"/>
    <x:cfRule type="containsText" dxfId="17" priority="9" operator="containsText" text="ISSU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13" hidden="0" customWidth="1"/>
    <x:col min="5" max="5" width="19" hidden="0" customWidth="1"/>
    <x:col min="6" max="6" width="15" hidden="0" customWidth="1"/>
    <x:col min="7" max="7" width="17" hidden="0" customWidth="1"/>
    <x:col min="8" max="8" width="17" hidden="0" customWidth="1"/>
    <x:col min="9" max="9" width="18" hidden="0" customWidth="1"/>
    <x:col min="10" max="10" width="19" hidden="0" customWidth="1"/>
    <x:col min="11" max="11" width="21" hidden="0" customWidth="1"/>
    <x:col min="12" max="12" width="14" hidden="0" customWidth="1"/>
  </x:cols>
  <x:sheetData>
    <x:row r="2">
      <x:c r="B2" s="1" t="str">
        <x:v>Six rig configuration masters</x:v>
      </x:c>
    </x:row>
    <x:row r="3">
      <x:c r="B3" s="2" t="str">
        <x:v>A master can pass only after its article, twenty sections, twelve final elements, thirty-six safeing paths, thirty-two walkdown records and three neighbor identities pass.</x:v>
      </x:c>
    </x:row>
    <x:row r="6" ht="24" customHeight="1">
      <x:c r="B6" s="6" t="str">
        <x:v>Master</x:v>
      </x:c>
      <x:c r="C6" s="6" t="str">
        <x:v>Rig</x:v>
      </x:c>
      <x:c r="D6" s="6" t="str">
        <x:v>Campus</x:v>
      </x:c>
      <x:c r="E6" s="6" t="str">
        <x:v>Reference article</x:v>
      </x:c>
      <x:c r="F6" s="6" t="str">
        <x:v>Sections</x:v>
      </x:c>
      <x:c r="G6" s="6" t="str">
        <x:v>Final elements</x:v>
      </x:c>
      <x:c r="H6" s="6" t="str">
        <x:v>Safeing paths</x:v>
      </x:c>
      <x:c r="I6" s="6" t="str">
        <x:v>Walkdown items</x:v>
      </x:c>
      <x:c r="J6" s="6" t="str">
        <x:v>Neighbor positions</x:v>
      </x:c>
      <x:c r="K6" s="6" t="str">
        <x:v>Accepted UTC</x:v>
      </x:c>
      <x:c r="L6" s="6" t="str">
        <x:v>State</x:v>
      </x:c>
    </x:row>
    <x:row r="7">
      <x:c r="B7" s="7" t="str">
        <x:v>RAE-CM-01</x:v>
      </x:c>
      <x:c r="C7" s="7" t="str">
        <x:v>RFP-A1</x:v>
      </x:c>
      <x:c r="D7" s="7" t="str">
        <x:v>PTC-A</x:v>
      </x:c>
      <x:c r="E7" s="7" t="str">
        <x:v>REA-100-01</x:v>
      </x:c>
      <x:c r="F7" s="7" t="n">
        <x:v>20</x:v>
      </x:c>
      <x:c r="G7" s="7" t="n">
        <x:v>12</x:v>
      </x:c>
      <x:c r="H7" s="7" t="n">
        <x:v>36</x:v>
      </x:c>
      <x:c r="I7" s="7" t="n">
        <x:v>32</x:v>
      </x:c>
      <x:c r="J7" s="7" t="n">
        <x:v>3</x:v>
      </x:c>
      <x:c r="K7" s="7" t="str"/>
      <x:c r="L7" s="7" t="str">
        <x:v>OPEN</x:v>
      </x:c>
    </x:row>
    <x:row r="8">
      <x:c r="B8" s="7" t="str">
        <x:v>RAE-CM-02</x:v>
      </x:c>
      <x:c r="C8" s="7" t="str">
        <x:v>RFP-A2</x:v>
      </x:c>
      <x:c r="D8" s="7" t="str">
        <x:v>PTC-A</x:v>
      </x:c>
      <x:c r="E8" s="7" t="str">
        <x:v>REA-100-02</x:v>
      </x:c>
      <x:c r="F8" s="7" t="n">
        <x:v>20</x:v>
      </x:c>
      <x:c r="G8" s="7" t="n">
        <x:v>12</x:v>
      </x:c>
      <x:c r="H8" s="7" t="n">
        <x:v>36</x:v>
      </x:c>
      <x:c r="I8" s="7" t="n">
        <x:v>32</x:v>
      </x:c>
      <x:c r="J8" s="7" t="n">
        <x:v>3</x:v>
      </x:c>
      <x:c r="K8" s="7" t="str"/>
      <x:c r="L8" s="7" t="str">
        <x:v>OPEN</x:v>
      </x:c>
    </x:row>
    <x:row r="9">
      <x:c r="B9" s="7" t="str">
        <x:v>RAE-CM-03</x:v>
      </x:c>
      <x:c r="C9" s="7" t="str">
        <x:v>RFP-B1</x:v>
      </x:c>
      <x:c r="D9" s="7" t="str">
        <x:v>PTC-B</x:v>
      </x:c>
      <x:c r="E9" s="7" t="str">
        <x:v>REA-100-03</x:v>
      </x:c>
      <x:c r="F9" s="7" t="n">
        <x:v>20</x:v>
      </x:c>
      <x:c r="G9" s="7" t="n">
        <x:v>12</x:v>
      </x:c>
      <x:c r="H9" s="7" t="n">
        <x:v>36</x:v>
      </x:c>
      <x:c r="I9" s="7" t="n">
        <x:v>32</x:v>
      </x:c>
      <x:c r="J9" s="7" t="n">
        <x:v>3</x:v>
      </x:c>
      <x:c r="K9" s="7" t="str"/>
      <x:c r="L9" s="7" t="str">
        <x:v>OPEN</x:v>
      </x:c>
    </x:row>
    <x:row r="10">
      <x:c r="B10" s="7" t="str">
        <x:v>RAE-CM-04</x:v>
      </x:c>
      <x:c r="C10" s="7" t="str">
        <x:v>RFP-B2</x:v>
      </x:c>
      <x:c r="D10" s="7" t="str">
        <x:v>PTC-B</x:v>
      </x:c>
      <x:c r="E10" s="7" t="str">
        <x:v>REA-100-04</x:v>
      </x:c>
      <x:c r="F10" s="7" t="n">
        <x:v>20</x:v>
      </x:c>
      <x:c r="G10" s="7" t="n">
        <x:v>12</x:v>
      </x:c>
      <x:c r="H10" s="7" t="n">
        <x:v>36</x:v>
      </x:c>
      <x:c r="I10" s="7" t="n">
        <x:v>32</x:v>
      </x:c>
      <x:c r="J10" s="7" t="n">
        <x:v>3</x:v>
      </x:c>
      <x:c r="K10" s="7" t="str"/>
      <x:c r="L10" s="7" t="str">
        <x:v>OPEN</x:v>
      </x:c>
    </x:row>
    <x:row r="11">
      <x:c r="B11" s="7" t="str">
        <x:v>RAE-CM-05</x:v>
      </x:c>
      <x:c r="C11" s="7" t="str">
        <x:v>RFP-C1</x:v>
      </x:c>
      <x:c r="D11" s="7" t="str">
        <x:v>PTC-C</x:v>
      </x:c>
      <x:c r="E11" s="7" t="str">
        <x:v>REA-100-05</x:v>
      </x:c>
      <x:c r="F11" s="7" t="n">
        <x:v>20</x:v>
      </x:c>
      <x:c r="G11" s="7" t="n">
        <x:v>12</x:v>
      </x:c>
      <x:c r="H11" s="7" t="n">
        <x:v>36</x:v>
      </x:c>
      <x:c r="I11" s="7" t="n">
        <x:v>32</x:v>
      </x:c>
      <x:c r="J11" s="7" t="n">
        <x:v>3</x:v>
      </x:c>
      <x:c r="K11" s="7" t="str"/>
      <x:c r="L11" s="7" t="str">
        <x:v>OPEN</x:v>
      </x:c>
    </x:row>
    <x:row r="12">
      <x:c r="B12" s="7" t="str">
        <x:v>RAE-CM-06</x:v>
      </x:c>
      <x:c r="C12" s="7" t="str">
        <x:v>RFP-C2</x:v>
      </x:c>
      <x:c r="D12" s="7" t="str">
        <x:v>PTC-C</x:v>
      </x:c>
      <x:c r="E12" s="7" t="str">
        <x:v>REA-100-06</x:v>
      </x:c>
      <x:c r="F12" s="7" t="n">
        <x:v>20</x:v>
      </x:c>
      <x:c r="G12" s="7" t="n">
        <x:v>12</x:v>
      </x:c>
      <x:c r="H12" s="7" t="n">
        <x:v>36</x:v>
      </x:c>
      <x:c r="I12" s="7" t="n">
        <x:v>32</x:v>
      </x:c>
      <x:c r="J12" s="7" t="n">
        <x:v>3</x:v>
      </x:c>
      <x:c r="K12" s="7" t="str"/>
      <x:c r="L12" s="7" t="str">
        <x:v>OPEN</x:v>
      </x:c>
    </x:row>
  </x:sheetData>
  <x:conditionalFormatting sqref="L7:L12">
    <x:cfRule type="containsText" dxfId="18" priority="1" operator="containsText" text="FAIL"/>
    <x:cfRule type="containsText" dxfId="19" priority="2" operator="containsText" text="INVALID"/>
    <x:cfRule type="containsText" dxfId="20" priority="3" operator="containsText" text="BLOCKED"/>
    <x:cfRule type="containsText" dxfId="21" priority="4" operator="containsText" text="OPEN"/>
    <x:cfRule type="containsText" dxfId="22" priority="5" operator="containsText" text="HELD"/>
    <x:cfRule type="containsText" dxfId="23" priority="6" operator="containsText" text="DORMANT"/>
    <x:cfRule type="containsText" dxfId="24" priority="7" operator="containsText" text="PASS"/>
    <x:cfRule type="containsText" dxfId="25" priority="8" operator="containsText" text="VALID"/>
    <x:cfRule type="containsText" dxfId="26" priority="9" operator="containsText" text="ISSU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12" hidden="0" customWidth="1"/>
    <x:col min="5" max="5" width="15" hidden="0" customWidth="1"/>
    <x:col min="6" max="6" width="13" hidden="0" customWidth="1"/>
    <x:col min="7" max="7" width="25" hidden="0" customWidth="1"/>
    <x:col min="8" max="8" width="16" hidden="0" customWidth="1"/>
    <x:col min="9" max="9" width="20" hidden="0" customWidth="1"/>
    <x:col min="10" max="10" width="21" hidden="0" customWidth="1"/>
    <x:col min="11" max="11" width="19" hidden="0" customWidth="1"/>
    <x:col min="12" max="12" width="18" hidden="0" customWidth="1"/>
    <x:col min="13" max="13" width="34" hidden="0" customWidth="1"/>
    <x:col min="14" max="14" width="21" hidden="0" customWidth="1"/>
    <x:col min="15" max="15" width="14" hidden="0" customWidth="1"/>
  </x:cols>
  <x:sheetData>
    <x:row r="2">
      <x:c r="B2" s="1" t="str">
        <x:v>Twenty-eight serialized source packages</x:v>
      </x:c>
    </x:row>
    <x:row r="3">
      <x:c r="B3" s="2" t="str">
        <x:v>Twenty-four active packages support QE-02. Four root-protected reserves exist physically, but only three reserve event tokens may activate without amendment.</x:v>
      </x:c>
    </x:row>
    <x:row r="6" ht="24" customHeight="1">
      <x:c r="B6" s="6" t="str">
        <x:v>Package</x:v>
      </x:c>
      <x:c r="C6" s="6" t="str">
        <x:v>Method</x:v>
      </x:c>
      <x:c r="D6" s="6" t="str">
        <x:v>Root</x:v>
      </x:c>
      <x:c r="E6" s="6" t="str">
        <x:v>Rig</x:v>
      </x:c>
      <x:c r="F6" s="6" t="str">
        <x:v>Campus</x:v>
      </x:c>
      <x:c r="G6" s="6" t="str">
        <x:v>Role</x:v>
      </x:c>
      <x:c r="H6" s="6" t="str">
        <x:v>Gross kg</x:v>
      </x:c>
      <x:c r="I6" s="6" t="str">
        <x:v>Event aliquot kg</x:v>
      </x:c>
      <x:c r="J6" s="6" t="str">
        <x:v>Assay retention kg</x:v>
      </x:c>
      <x:c r="K6" s="6" t="str">
        <x:v>Conditioning kg</x:v>
      </x:c>
      <x:c r="L6" s="6" t="str">
        <x:v>Quarantine kg</x:v>
      </x:c>
      <x:c r="M6" s="6" t="str">
        <x:v>Parent-lot link</x:v>
      </x:c>
      <x:c r="N6" s="6" t="str">
        <x:v>Accepted UTC</x:v>
      </x:c>
      <x:c r="O6" s="6" t="str">
        <x:v>State</x:v>
      </x:c>
    </x:row>
    <x:row r="7">
      <x:c r="B7" s="7" t="str">
        <x:v>RAE-SP-01</x:v>
      </x:c>
      <x:c r="C7" s="7" t="str">
        <x:v>AM-05</x:v>
      </x:c>
      <x:c r="D7" s="7" t="str">
        <x:v>TR-A</x:v>
      </x:c>
      <x:c r="E7" s="7" t="str">
        <x:v>RFP-A1</x:v>
      </x:c>
      <x:c r="F7" s="7" t="str">
        <x:v>PTC-A</x:v>
      </x:c>
      <x:c r="G7" s="7" t="str">
        <x:v>ACTIVE</x:v>
      </x:c>
      <x:c r="H7" s="7" t="n">
        <x:v>125</x:v>
      </x:c>
      <x:c r="I7" s="7" t="n">
        <x:v>100</x:v>
      </x:c>
      <x:c r="J7" s="7" t="n">
        <x:v>10</x:v>
      </x:c>
      <x:c r="K7" s="7" t="n">
        <x:v>10</x:v>
      </x:c>
      <x:c r="L7" s="7" t="n">
        <x:v>5</x:v>
      </x:c>
      <x:c r="M7" s="7" t="str">
        <x:v>RAS-05-TR-A-RFP-A1</x:v>
      </x:c>
      <x:c r="N7" s="7" t="str"/>
      <x:c r="O7" s="7" t="str">
        <x:v>OPEN</x:v>
      </x:c>
    </x:row>
    <x:row r="8">
      <x:c r="B8" s="7" t="str">
        <x:v>RAE-SP-02</x:v>
      </x:c>
      <x:c r="C8" s="7" t="str">
        <x:v>AM-05</x:v>
      </x:c>
      <x:c r="D8" s="7" t="str">
        <x:v>TR-A</x:v>
      </x:c>
      <x:c r="E8" s="7" t="str">
        <x:v>RFP-A2</x:v>
      </x:c>
      <x:c r="F8" s="7" t="str">
        <x:v>PTC-A</x:v>
      </x:c>
      <x:c r="G8" s="7" t="str">
        <x:v>ACTIVE</x:v>
      </x:c>
      <x:c r="H8" s="7" t="n">
        <x:v>125</x:v>
      </x:c>
      <x:c r="I8" s="7" t="n">
        <x:v>100</x:v>
      </x:c>
      <x:c r="J8" s="7" t="n">
        <x:v>10</x:v>
      </x:c>
      <x:c r="K8" s="7" t="n">
        <x:v>10</x:v>
      </x:c>
      <x:c r="L8" s="7" t="n">
        <x:v>5</x:v>
      </x:c>
      <x:c r="M8" s="7" t="str">
        <x:v>RAS-05-TR-A-RFP-A2</x:v>
      </x:c>
      <x:c r="N8" s="7" t="str"/>
      <x:c r="O8" s="7" t="str">
        <x:v>OPEN</x:v>
      </x:c>
    </x:row>
    <x:row r="9">
      <x:c r="B9" s="7" t="str">
        <x:v>RAE-SP-03</x:v>
      </x:c>
      <x:c r="C9" s="7" t="str">
        <x:v>AM-05</x:v>
      </x:c>
      <x:c r="D9" s="7" t="str">
        <x:v>TR-A</x:v>
      </x:c>
      <x:c r="E9" s="7" t="str">
        <x:v>RFP-B1</x:v>
      </x:c>
      <x:c r="F9" s="7" t="str">
        <x:v>PTC-B</x:v>
      </x:c>
      <x:c r="G9" s="7" t="str">
        <x:v>ACTIVE</x:v>
      </x:c>
      <x:c r="H9" s="7" t="n">
        <x:v>125</x:v>
      </x:c>
      <x:c r="I9" s="7" t="n">
        <x:v>100</x:v>
      </x:c>
      <x:c r="J9" s="7" t="n">
        <x:v>10</x:v>
      </x:c>
      <x:c r="K9" s="7" t="n">
        <x:v>10</x:v>
      </x:c>
      <x:c r="L9" s="7" t="n">
        <x:v>5</x:v>
      </x:c>
      <x:c r="M9" s="7" t="str">
        <x:v>RAS-05-TR-A-RFP-B1</x:v>
      </x:c>
      <x:c r="N9" s="7" t="str"/>
      <x:c r="O9" s="7" t="str">
        <x:v>OPEN</x:v>
      </x:c>
    </x:row>
    <x:row r="10">
      <x:c r="B10" s="7" t="str">
        <x:v>RAE-SP-04</x:v>
      </x:c>
      <x:c r="C10" s="7" t="str">
        <x:v>AM-05</x:v>
      </x:c>
      <x:c r="D10" s="7" t="str">
        <x:v>TR-A</x:v>
      </x:c>
      <x:c r="E10" s="7" t="str">
        <x:v>RFP-B2</x:v>
      </x:c>
      <x:c r="F10" s="7" t="str">
        <x:v>PTC-B</x:v>
      </x:c>
      <x:c r="G10" s="7" t="str">
        <x:v>ACTIVE</x:v>
      </x:c>
      <x:c r="H10" s="7" t="n">
        <x:v>125</x:v>
      </x:c>
      <x:c r="I10" s="7" t="n">
        <x:v>100</x:v>
      </x:c>
      <x:c r="J10" s="7" t="n">
        <x:v>10</x:v>
      </x:c>
      <x:c r="K10" s="7" t="n">
        <x:v>10</x:v>
      </x:c>
      <x:c r="L10" s="7" t="n">
        <x:v>5</x:v>
      </x:c>
      <x:c r="M10" s="7" t="str">
        <x:v>RAS-05-TR-A-RFP-B2</x:v>
      </x:c>
      <x:c r="N10" s="7" t="str"/>
      <x:c r="O10" s="7" t="str">
        <x:v>OPEN</x:v>
      </x:c>
    </x:row>
    <x:row r="11">
      <x:c r="B11" s="7" t="str">
        <x:v>RAE-SP-05</x:v>
      </x:c>
      <x:c r="C11" s="7" t="str">
        <x:v>AM-05</x:v>
      </x:c>
      <x:c r="D11" s="7" t="str">
        <x:v>TR-A</x:v>
      </x:c>
      <x:c r="E11" s="7" t="str">
        <x:v>RFP-C1</x:v>
      </x:c>
      <x:c r="F11" s="7" t="str">
        <x:v>PTC-C</x:v>
      </x:c>
      <x:c r="G11" s="7" t="str">
        <x:v>ACTIVE</x:v>
      </x:c>
      <x:c r="H11" s="7" t="n">
        <x:v>125</x:v>
      </x:c>
      <x:c r="I11" s="7" t="n">
        <x:v>100</x:v>
      </x:c>
      <x:c r="J11" s="7" t="n">
        <x:v>10</x:v>
      </x:c>
      <x:c r="K11" s="7" t="n">
        <x:v>10</x:v>
      </x:c>
      <x:c r="L11" s="7" t="n">
        <x:v>5</x:v>
      </x:c>
      <x:c r="M11" s="7" t="str">
        <x:v>RAS-05-TR-A-RFP-C1</x:v>
      </x:c>
      <x:c r="N11" s="7" t="str"/>
      <x:c r="O11" s="7" t="str">
        <x:v>OPEN</x:v>
      </x:c>
    </x:row>
    <x:row r="12">
      <x:c r="B12" s="7" t="str">
        <x:v>RAE-SP-06</x:v>
      </x:c>
      <x:c r="C12" s="7" t="str">
        <x:v>AM-05</x:v>
      </x:c>
      <x:c r="D12" s="7" t="str">
        <x:v>TR-A</x:v>
      </x:c>
      <x:c r="E12" s="7" t="str">
        <x:v>RFP-C2</x:v>
      </x:c>
      <x:c r="F12" s="7" t="str">
        <x:v>PTC-C</x:v>
      </x:c>
      <x:c r="G12" s="7" t="str">
        <x:v>ACTIVE</x:v>
      </x:c>
      <x:c r="H12" s="7" t="n">
        <x:v>125</x:v>
      </x:c>
      <x:c r="I12" s="7" t="n">
        <x:v>100</x:v>
      </x:c>
      <x:c r="J12" s="7" t="n">
        <x:v>10</x:v>
      </x:c>
      <x:c r="K12" s="7" t="n">
        <x:v>10</x:v>
      </x:c>
      <x:c r="L12" s="7" t="n">
        <x:v>5</x:v>
      </x:c>
      <x:c r="M12" s="7" t="str">
        <x:v>RAS-05-TR-A-RFP-C2</x:v>
      </x:c>
      <x:c r="N12" s="7" t="str"/>
      <x:c r="O12" s="7" t="str">
        <x:v>OPEN</x:v>
      </x:c>
    </x:row>
    <x:row r="13">
      <x:c r="B13" s="7" t="str">
        <x:v>RAE-SP-07</x:v>
      </x:c>
      <x:c r="C13" s="7" t="str">
        <x:v>AM-05</x:v>
      </x:c>
      <x:c r="D13" s="7" t="str">
        <x:v>TR-B</x:v>
      </x:c>
      <x:c r="E13" s="7" t="str">
        <x:v>RFP-A1</x:v>
      </x:c>
      <x:c r="F13" s="7" t="str">
        <x:v>PTC-A</x:v>
      </x:c>
      <x:c r="G13" s="7" t="str">
        <x:v>ACTIVE</x:v>
      </x:c>
      <x:c r="H13" s="7" t="n">
        <x:v>125</x:v>
      </x:c>
      <x:c r="I13" s="7" t="n">
        <x:v>100</x:v>
      </x:c>
      <x:c r="J13" s="7" t="n">
        <x:v>10</x:v>
      </x:c>
      <x:c r="K13" s="7" t="n">
        <x:v>10</x:v>
      </x:c>
      <x:c r="L13" s="7" t="n">
        <x:v>5</x:v>
      </x:c>
      <x:c r="M13" s="7" t="str">
        <x:v>RAS-05-TR-B-RFP-A1</x:v>
      </x:c>
      <x:c r="N13" s="7" t="str"/>
      <x:c r="O13" s="7" t="str">
        <x:v>OPEN</x:v>
      </x:c>
    </x:row>
    <x:row r="14">
      <x:c r="B14" s="7" t="str">
        <x:v>RAE-SP-08</x:v>
      </x:c>
      <x:c r="C14" s="7" t="str">
        <x:v>AM-05</x:v>
      </x:c>
      <x:c r="D14" s="7" t="str">
        <x:v>TR-B</x:v>
      </x:c>
      <x:c r="E14" s="7" t="str">
        <x:v>RFP-A2</x:v>
      </x:c>
      <x:c r="F14" s="7" t="str">
        <x:v>PTC-A</x:v>
      </x:c>
      <x:c r="G14" s="7" t="str">
        <x:v>ACTIVE</x:v>
      </x:c>
      <x:c r="H14" s="7" t="n">
        <x:v>125</x:v>
      </x:c>
      <x:c r="I14" s="7" t="n">
        <x:v>100</x:v>
      </x:c>
      <x:c r="J14" s="7" t="n">
        <x:v>10</x:v>
      </x:c>
      <x:c r="K14" s="7" t="n">
        <x:v>10</x:v>
      </x:c>
      <x:c r="L14" s="7" t="n">
        <x:v>5</x:v>
      </x:c>
      <x:c r="M14" s="7" t="str">
        <x:v>RAS-05-TR-B-RFP-A2</x:v>
      </x:c>
      <x:c r="N14" s="7" t="str"/>
      <x:c r="O14" s="7" t="str">
        <x:v>OPEN</x:v>
      </x:c>
    </x:row>
    <x:row r="15">
      <x:c r="B15" s="7" t="str">
        <x:v>RAE-SP-09</x:v>
      </x:c>
      <x:c r="C15" s="7" t="str">
        <x:v>AM-05</x:v>
      </x:c>
      <x:c r="D15" s="7" t="str">
        <x:v>TR-B</x:v>
      </x:c>
      <x:c r="E15" s="7" t="str">
        <x:v>RFP-B1</x:v>
      </x:c>
      <x:c r="F15" s="7" t="str">
        <x:v>PTC-B</x:v>
      </x:c>
      <x:c r="G15" s="7" t="str">
        <x:v>ACTIVE</x:v>
      </x:c>
      <x:c r="H15" s="7" t="n">
        <x:v>125</x:v>
      </x:c>
      <x:c r="I15" s="7" t="n">
        <x:v>100</x:v>
      </x:c>
      <x:c r="J15" s="7" t="n">
        <x:v>10</x:v>
      </x:c>
      <x:c r="K15" s="7" t="n">
        <x:v>10</x:v>
      </x:c>
      <x:c r="L15" s="7" t="n">
        <x:v>5</x:v>
      </x:c>
      <x:c r="M15" s="7" t="str">
        <x:v>RAS-05-TR-B-RFP-B1</x:v>
      </x:c>
      <x:c r="N15" s="7" t="str"/>
      <x:c r="O15" s="7" t="str">
        <x:v>OPEN</x:v>
      </x:c>
    </x:row>
    <x:row r="16">
      <x:c r="B16" s="7" t="str">
        <x:v>RAE-SP-10</x:v>
      </x:c>
      <x:c r="C16" s="7" t="str">
        <x:v>AM-05</x:v>
      </x:c>
      <x:c r="D16" s="7" t="str">
        <x:v>TR-B</x:v>
      </x:c>
      <x:c r="E16" s="7" t="str">
        <x:v>RFP-B2</x:v>
      </x:c>
      <x:c r="F16" s="7" t="str">
        <x:v>PTC-B</x:v>
      </x:c>
      <x:c r="G16" s="7" t="str">
        <x:v>ACTIVE</x:v>
      </x:c>
      <x:c r="H16" s="7" t="n">
        <x:v>125</x:v>
      </x:c>
      <x:c r="I16" s="7" t="n">
        <x:v>100</x:v>
      </x:c>
      <x:c r="J16" s="7" t="n">
        <x:v>10</x:v>
      </x:c>
      <x:c r="K16" s="7" t="n">
        <x:v>10</x:v>
      </x:c>
      <x:c r="L16" s="7" t="n">
        <x:v>5</x:v>
      </x:c>
      <x:c r="M16" s="7" t="str">
        <x:v>RAS-05-TR-B-RFP-B2</x:v>
      </x:c>
      <x:c r="N16" s="7" t="str"/>
      <x:c r="O16" s="7" t="str">
        <x:v>OPEN</x:v>
      </x:c>
    </x:row>
    <x:row r="17">
      <x:c r="B17" s="7" t="str">
        <x:v>RAE-SP-11</x:v>
      </x:c>
      <x:c r="C17" s="7" t="str">
        <x:v>AM-05</x:v>
      </x:c>
      <x:c r="D17" s="7" t="str">
        <x:v>TR-B</x:v>
      </x:c>
      <x:c r="E17" s="7" t="str">
        <x:v>RFP-C1</x:v>
      </x:c>
      <x:c r="F17" s="7" t="str">
        <x:v>PTC-C</x:v>
      </x:c>
      <x:c r="G17" s="7" t="str">
        <x:v>ACTIVE</x:v>
      </x:c>
      <x:c r="H17" s="7" t="n">
        <x:v>125</x:v>
      </x:c>
      <x:c r="I17" s="7" t="n">
        <x:v>100</x:v>
      </x:c>
      <x:c r="J17" s="7" t="n">
        <x:v>10</x:v>
      </x:c>
      <x:c r="K17" s="7" t="n">
        <x:v>10</x:v>
      </x:c>
      <x:c r="L17" s="7" t="n">
        <x:v>5</x:v>
      </x:c>
      <x:c r="M17" s="7" t="str">
        <x:v>RAS-05-TR-B-RFP-C1</x:v>
      </x:c>
      <x:c r="N17" s="7" t="str"/>
      <x:c r="O17" s="7" t="str">
        <x:v>OPEN</x:v>
      </x:c>
    </x:row>
    <x:row r="18">
      <x:c r="B18" s="7" t="str">
        <x:v>RAE-SP-12</x:v>
      </x:c>
      <x:c r="C18" s="7" t="str">
        <x:v>AM-05</x:v>
      </x:c>
      <x:c r="D18" s="7" t="str">
        <x:v>TR-B</x:v>
      </x:c>
      <x:c r="E18" s="7" t="str">
        <x:v>RFP-C2</x:v>
      </x:c>
      <x:c r="F18" s="7" t="str">
        <x:v>PTC-C</x:v>
      </x:c>
      <x:c r="G18" s="7" t="str">
        <x:v>ACTIVE</x:v>
      </x:c>
      <x:c r="H18" s="7" t="n">
        <x:v>125</x:v>
      </x:c>
      <x:c r="I18" s="7" t="n">
        <x:v>100</x:v>
      </x:c>
      <x:c r="J18" s="7" t="n">
        <x:v>10</x:v>
      </x:c>
      <x:c r="K18" s="7" t="n">
        <x:v>10</x:v>
      </x:c>
      <x:c r="L18" s="7" t="n">
        <x:v>5</x:v>
      </x:c>
      <x:c r="M18" s="7" t="str">
        <x:v>RAS-05-TR-B-RFP-C2</x:v>
      </x:c>
      <x:c r="N18" s="7" t="str"/>
      <x:c r="O18" s="7" t="str">
        <x:v>OPEN</x:v>
      </x:c>
    </x:row>
    <x:row r="19">
      <x:c r="B19" s="7" t="str">
        <x:v>RAE-SP-13</x:v>
      </x:c>
      <x:c r="C19" s="7" t="str">
        <x:v>AM-06</x:v>
      </x:c>
      <x:c r="D19" s="7" t="str">
        <x:v>TR-A</x:v>
      </x:c>
      <x:c r="E19" s="7" t="str">
        <x:v>RFP-A1</x:v>
      </x:c>
      <x:c r="F19" s="7" t="str">
        <x:v>PTC-A</x:v>
      </x:c>
      <x:c r="G19" s="7" t="str">
        <x:v>ACTIVE</x:v>
      </x:c>
      <x:c r="H19" s="7" t="n">
        <x:v>125</x:v>
      </x:c>
      <x:c r="I19" s="7" t="n">
        <x:v>100</x:v>
      </x:c>
      <x:c r="J19" s="7" t="n">
        <x:v>10</x:v>
      </x:c>
      <x:c r="K19" s="7" t="n">
        <x:v>10</x:v>
      </x:c>
      <x:c r="L19" s="7" t="n">
        <x:v>5</x:v>
      </x:c>
      <x:c r="M19" s="7" t="str">
        <x:v>RAS-06-TR-A-RFP-A1</x:v>
      </x:c>
      <x:c r="N19" s="7" t="str"/>
      <x:c r="O19" s="7" t="str">
        <x:v>OPEN</x:v>
      </x:c>
    </x:row>
    <x:row r="20">
      <x:c r="B20" s="7" t="str">
        <x:v>RAE-SP-14</x:v>
      </x:c>
      <x:c r="C20" s="7" t="str">
        <x:v>AM-06</x:v>
      </x:c>
      <x:c r="D20" s="7" t="str">
        <x:v>TR-A</x:v>
      </x:c>
      <x:c r="E20" s="7" t="str">
        <x:v>RFP-A2</x:v>
      </x:c>
      <x:c r="F20" s="7" t="str">
        <x:v>PTC-A</x:v>
      </x:c>
      <x:c r="G20" s="7" t="str">
        <x:v>ACTIVE</x:v>
      </x:c>
      <x:c r="H20" s="7" t="n">
        <x:v>125</x:v>
      </x:c>
      <x:c r="I20" s="7" t="n">
        <x:v>100</x:v>
      </x:c>
      <x:c r="J20" s="7" t="n">
        <x:v>10</x:v>
      </x:c>
      <x:c r="K20" s="7" t="n">
        <x:v>10</x:v>
      </x:c>
      <x:c r="L20" s="7" t="n">
        <x:v>5</x:v>
      </x:c>
      <x:c r="M20" s="7" t="str">
        <x:v>RAS-06-TR-A-RFP-A2</x:v>
      </x:c>
      <x:c r="N20" s="7" t="str"/>
      <x:c r="O20" s="7" t="str">
        <x:v>OPEN</x:v>
      </x:c>
    </x:row>
    <x:row r="21">
      <x:c r="B21" s="7" t="str">
        <x:v>RAE-SP-15</x:v>
      </x:c>
      <x:c r="C21" s="7" t="str">
        <x:v>AM-06</x:v>
      </x:c>
      <x:c r="D21" s="7" t="str">
        <x:v>TR-A</x:v>
      </x:c>
      <x:c r="E21" s="7" t="str">
        <x:v>RFP-B1</x:v>
      </x:c>
      <x:c r="F21" s="7" t="str">
        <x:v>PTC-B</x:v>
      </x:c>
      <x:c r="G21" s="7" t="str">
        <x:v>ACTIVE</x:v>
      </x:c>
      <x:c r="H21" s="7" t="n">
        <x:v>125</x:v>
      </x:c>
      <x:c r="I21" s="7" t="n">
        <x:v>100</x:v>
      </x:c>
      <x:c r="J21" s="7" t="n">
        <x:v>10</x:v>
      </x:c>
      <x:c r="K21" s="7" t="n">
        <x:v>10</x:v>
      </x:c>
      <x:c r="L21" s="7" t="n">
        <x:v>5</x:v>
      </x:c>
      <x:c r="M21" s="7" t="str">
        <x:v>RAS-06-TR-A-RFP-B1</x:v>
      </x:c>
      <x:c r="N21" s="7" t="str"/>
      <x:c r="O21" s="7" t="str">
        <x:v>OPEN</x:v>
      </x:c>
    </x:row>
    <x:row r="22">
      <x:c r="B22" s="7" t="str">
        <x:v>RAE-SP-16</x:v>
      </x:c>
      <x:c r="C22" s="7" t="str">
        <x:v>AM-06</x:v>
      </x:c>
      <x:c r="D22" s="7" t="str">
        <x:v>TR-A</x:v>
      </x:c>
      <x:c r="E22" s="7" t="str">
        <x:v>RFP-B2</x:v>
      </x:c>
      <x:c r="F22" s="7" t="str">
        <x:v>PTC-B</x:v>
      </x:c>
      <x:c r="G22" s="7" t="str">
        <x:v>ACTIVE</x:v>
      </x:c>
      <x:c r="H22" s="7" t="n">
        <x:v>125</x:v>
      </x:c>
      <x:c r="I22" s="7" t="n">
        <x:v>100</x:v>
      </x:c>
      <x:c r="J22" s="7" t="n">
        <x:v>10</x:v>
      </x:c>
      <x:c r="K22" s="7" t="n">
        <x:v>10</x:v>
      </x:c>
      <x:c r="L22" s="7" t="n">
        <x:v>5</x:v>
      </x:c>
      <x:c r="M22" s="7" t="str">
        <x:v>RAS-06-TR-A-RFP-B2</x:v>
      </x:c>
      <x:c r="N22" s="7" t="str"/>
      <x:c r="O22" s="7" t="str">
        <x:v>OPEN</x:v>
      </x:c>
    </x:row>
    <x:row r="23">
      <x:c r="B23" s="7" t="str">
        <x:v>RAE-SP-17</x:v>
      </x:c>
      <x:c r="C23" s="7" t="str">
        <x:v>AM-06</x:v>
      </x:c>
      <x:c r="D23" s="7" t="str">
        <x:v>TR-A</x:v>
      </x:c>
      <x:c r="E23" s="7" t="str">
        <x:v>RFP-C1</x:v>
      </x:c>
      <x:c r="F23" s="7" t="str">
        <x:v>PTC-C</x:v>
      </x:c>
      <x:c r="G23" s="7" t="str">
        <x:v>ACTIVE</x:v>
      </x:c>
      <x:c r="H23" s="7" t="n">
        <x:v>125</x:v>
      </x:c>
      <x:c r="I23" s="7" t="n">
        <x:v>100</x:v>
      </x:c>
      <x:c r="J23" s="7" t="n">
        <x:v>10</x:v>
      </x:c>
      <x:c r="K23" s="7" t="n">
        <x:v>10</x:v>
      </x:c>
      <x:c r="L23" s="7" t="n">
        <x:v>5</x:v>
      </x:c>
      <x:c r="M23" s="7" t="str">
        <x:v>RAS-06-TR-A-RFP-C1</x:v>
      </x:c>
      <x:c r="N23" s="7" t="str"/>
      <x:c r="O23" s="7" t="str">
        <x:v>OPEN</x:v>
      </x:c>
    </x:row>
    <x:row r="24">
      <x:c r="B24" s="7" t="str">
        <x:v>RAE-SP-18</x:v>
      </x:c>
      <x:c r="C24" s="7" t="str">
        <x:v>AM-06</x:v>
      </x:c>
      <x:c r="D24" s="7" t="str">
        <x:v>TR-A</x:v>
      </x:c>
      <x:c r="E24" s="7" t="str">
        <x:v>RFP-C2</x:v>
      </x:c>
      <x:c r="F24" s="7" t="str">
        <x:v>PTC-C</x:v>
      </x:c>
      <x:c r="G24" s="7" t="str">
        <x:v>ACTIVE</x:v>
      </x:c>
      <x:c r="H24" s="7" t="n">
        <x:v>125</x:v>
      </x:c>
      <x:c r="I24" s="7" t="n">
        <x:v>100</x:v>
      </x:c>
      <x:c r="J24" s="7" t="n">
        <x:v>10</x:v>
      </x:c>
      <x:c r="K24" s="7" t="n">
        <x:v>10</x:v>
      </x:c>
      <x:c r="L24" s="7" t="n">
        <x:v>5</x:v>
      </x:c>
      <x:c r="M24" s="7" t="str">
        <x:v>RAS-06-TR-A-RFP-C2</x:v>
      </x:c>
      <x:c r="N24" s="7" t="str"/>
      <x:c r="O24" s="7" t="str">
        <x:v>OPEN</x:v>
      </x:c>
    </x:row>
    <x:row r="25">
      <x:c r="B25" s="7" t="str">
        <x:v>RAE-SP-19</x:v>
      </x:c>
      <x:c r="C25" s="7" t="str">
        <x:v>AM-06</x:v>
      </x:c>
      <x:c r="D25" s="7" t="str">
        <x:v>TR-B</x:v>
      </x:c>
      <x:c r="E25" s="7" t="str">
        <x:v>RFP-A1</x:v>
      </x:c>
      <x:c r="F25" s="7" t="str">
        <x:v>PTC-A</x:v>
      </x:c>
      <x:c r="G25" s="7" t="str">
        <x:v>ACTIVE</x:v>
      </x:c>
      <x:c r="H25" s="7" t="n">
        <x:v>125</x:v>
      </x:c>
      <x:c r="I25" s="7" t="n">
        <x:v>100</x:v>
      </x:c>
      <x:c r="J25" s="7" t="n">
        <x:v>10</x:v>
      </x:c>
      <x:c r="K25" s="7" t="n">
        <x:v>10</x:v>
      </x:c>
      <x:c r="L25" s="7" t="n">
        <x:v>5</x:v>
      </x:c>
      <x:c r="M25" s="7" t="str">
        <x:v>RAS-06-TR-B-RFP-A1</x:v>
      </x:c>
      <x:c r="N25" s="7" t="str"/>
      <x:c r="O25" s="7" t="str">
        <x:v>OPEN</x:v>
      </x:c>
    </x:row>
    <x:row r="26">
      <x:c r="B26" s="7" t="str">
        <x:v>RAE-SP-20</x:v>
      </x:c>
      <x:c r="C26" s="7" t="str">
        <x:v>AM-06</x:v>
      </x:c>
      <x:c r="D26" s="7" t="str">
        <x:v>TR-B</x:v>
      </x:c>
      <x:c r="E26" s="7" t="str">
        <x:v>RFP-A2</x:v>
      </x:c>
      <x:c r="F26" s="7" t="str">
        <x:v>PTC-A</x:v>
      </x:c>
      <x:c r="G26" s="7" t="str">
        <x:v>ACTIVE</x:v>
      </x:c>
      <x:c r="H26" s="7" t="n">
        <x:v>125</x:v>
      </x:c>
      <x:c r="I26" s="7" t="n">
        <x:v>100</x:v>
      </x:c>
      <x:c r="J26" s="7" t="n">
        <x:v>10</x:v>
      </x:c>
      <x:c r="K26" s="7" t="n">
        <x:v>10</x:v>
      </x:c>
      <x:c r="L26" s="7" t="n">
        <x:v>5</x:v>
      </x:c>
      <x:c r="M26" s="7" t="str">
        <x:v>RAS-06-TR-B-RFP-A2</x:v>
      </x:c>
      <x:c r="N26" s="7" t="str"/>
      <x:c r="O26" s="7" t="str">
        <x:v>OPEN</x:v>
      </x:c>
    </x:row>
    <x:row r="27">
      <x:c r="B27" s="7" t="str">
        <x:v>RAE-SP-21</x:v>
      </x:c>
      <x:c r="C27" s="7" t="str">
        <x:v>AM-06</x:v>
      </x:c>
      <x:c r="D27" s="7" t="str">
        <x:v>TR-B</x:v>
      </x:c>
      <x:c r="E27" s="7" t="str">
        <x:v>RFP-B1</x:v>
      </x:c>
      <x:c r="F27" s="7" t="str">
        <x:v>PTC-B</x:v>
      </x:c>
      <x:c r="G27" s="7" t="str">
        <x:v>ACTIVE</x:v>
      </x:c>
      <x:c r="H27" s="7" t="n">
        <x:v>125</x:v>
      </x:c>
      <x:c r="I27" s="7" t="n">
        <x:v>100</x:v>
      </x:c>
      <x:c r="J27" s="7" t="n">
        <x:v>10</x:v>
      </x:c>
      <x:c r="K27" s="7" t="n">
        <x:v>10</x:v>
      </x:c>
      <x:c r="L27" s="7" t="n">
        <x:v>5</x:v>
      </x:c>
      <x:c r="M27" s="7" t="str">
        <x:v>RAS-06-TR-B-RFP-B1</x:v>
      </x:c>
      <x:c r="N27" s="7" t="str"/>
      <x:c r="O27" s="7" t="str">
        <x:v>OPEN</x:v>
      </x:c>
    </x:row>
    <x:row r="28">
      <x:c r="B28" s="7" t="str">
        <x:v>RAE-SP-22</x:v>
      </x:c>
      <x:c r="C28" s="7" t="str">
        <x:v>AM-06</x:v>
      </x:c>
      <x:c r="D28" s="7" t="str">
        <x:v>TR-B</x:v>
      </x:c>
      <x:c r="E28" s="7" t="str">
        <x:v>RFP-B2</x:v>
      </x:c>
      <x:c r="F28" s="7" t="str">
        <x:v>PTC-B</x:v>
      </x:c>
      <x:c r="G28" s="7" t="str">
        <x:v>ACTIVE</x:v>
      </x:c>
      <x:c r="H28" s="7" t="n">
        <x:v>125</x:v>
      </x:c>
      <x:c r="I28" s="7" t="n">
        <x:v>100</x:v>
      </x:c>
      <x:c r="J28" s="7" t="n">
        <x:v>10</x:v>
      </x:c>
      <x:c r="K28" s="7" t="n">
        <x:v>10</x:v>
      </x:c>
      <x:c r="L28" s="7" t="n">
        <x:v>5</x:v>
      </x:c>
      <x:c r="M28" s="7" t="str">
        <x:v>RAS-06-TR-B-RFP-B2</x:v>
      </x:c>
      <x:c r="N28" s="7" t="str"/>
      <x:c r="O28" s="7" t="str">
        <x:v>OPEN</x:v>
      </x:c>
    </x:row>
    <x:row r="29">
      <x:c r="B29" s="7" t="str">
        <x:v>RAE-SP-23</x:v>
      </x:c>
      <x:c r="C29" s="7" t="str">
        <x:v>AM-06</x:v>
      </x:c>
      <x:c r="D29" s="7" t="str">
        <x:v>TR-B</x:v>
      </x:c>
      <x:c r="E29" s="7" t="str">
        <x:v>RFP-C1</x:v>
      </x:c>
      <x:c r="F29" s="7" t="str">
        <x:v>PTC-C</x:v>
      </x:c>
      <x:c r="G29" s="7" t="str">
        <x:v>ACTIVE</x:v>
      </x:c>
      <x:c r="H29" s="7" t="n">
        <x:v>125</x:v>
      </x:c>
      <x:c r="I29" s="7" t="n">
        <x:v>100</x:v>
      </x:c>
      <x:c r="J29" s="7" t="n">
        <x:v>10</x:v>
      </x:c>
      <x:c r="K29" s="7" t="n">
        <x:v>10</x:v>
      </x:c>
      <x:c r="L29" s="7" t="n">
        <x:v>5</x:v>
      </x:c>
      <x:c r="M29" s="7" t="str">
        <x:v>RAS-06-TR-B-RFP-C1</x:v>
      </x:c>
      <x:c r="N29" s="7" t="str"/>
      <x:c r="O29" s="7" t="str">
        <x:v>OPEN</x:v>
      </x:c>
    </x:row>
    <x:row r="30">
      <x:c r="B30" s="7" t="str">
        <x:v>RAE-SP-24</x:v>
      </x:c>
      <x:c r="C30" s="7" t="str">
        <x:v>AM-06</x:v>
      </x:c>
      <x:c r="D30" s="7" t="str">
        <x:v>TR-B</x:v>
      </x:c>
      <x:c r="E30" s="7" t="str">
        <x:v>RFP-C2</x:v>
      </x:c>
      <x:c r="F30" s="7" t="str">
        <x:v>PTC-C</x:v>
      </x:c>
      <x:c r="G30" s="7" t="str">
        <x:v>ACTIVE</x:v>
      </x:c>
      <x:c r="H30" s="7" t="n">
        <x:v>125</x:v>
      </x:c>
      <x:c r="I30" s="7" t="n">
        <x:v>100</x:v>
      </x:c>
      <x:c r="J30" s="7" t="n">
        <x:v>10</x:v>
      </x:c>
      <x:c r="K30" s="7" t="n">
        <x:v>10</x:v>
      </x:c>
      <x:c r="L30" s="7" t="n">
        <x:v>5</x:v>
      </x:c>
      <x:c r="M30" s="7" t="str">
        <x:v>RAS-06-TR-B-RFP-C2</x:v>
      </x:c>
      <x:c r="N30" s="7" t="str"/>
      <x:c r="O30" s="7" t="str">
        <x:v>OPEN</x:v>
      </x:c>
    </x:row>
    <x:row r="31">
      <x:c r="B31" s="7" t="str">
        <x:v>RAE-SP-25</x:v>
      </x:c>
      <x:c r="C31" s="7" t="str">
        <x:v>AM-05</x:v>
      </x:c>
      <x:c r="D31" s="7" t="str">
        <x:v>TR-A</x:v>
      </x:c>
      <x:c r="E31" s="7" t="str">
        <x:v>UNASSIGNED</x:v>
      </x:c>
      <x:c r="F31" s="7" t="str">
        <x:v>PUBLIC</x:v>
      </x:c>
      <x:c r="G31" s="7" t="str">
        <x:v>ROOT-PROTECTED RESERVE</x:v>
      </x:c>
      <x:c r="H31" s="7" t="n">
        <x:v>125</x:v>
      </x:c>
      <x:c r="I31" s="7" t="n">
        <x:v>100</x:v>
      </x:c>
      <x:c r="J31" s="7" t="n">
        <x:v>10</x:v>
      </x:c>
      <x:c r="K31" s="7" t="n">
        <x:v>10</x:v>
      </x:c>
      <x:c r="L31" s="7" t="n">
        <x:v>5</x:v>
      </x:c>
      <x:c r="M31" s="7" t="str">
        <x:v>RAS-05-TR-A-RESERVE</x:v>
      </x:c>
      <x:c r="N31" s="7" t="str"/>
      <x:c r="O31" s="7" t="str">
        <x:v>OPEN</x:v>
      </x:c>
    </x:row>
    <x:row r="32">
      <x:c r="B32" s="7" t="str">
        <x:v>RAE-SP-26</x:v>
      </x:c>
      <x:c r="C32" s="7" t="str">
        <x:v>AM-05</x:v>
      </x:c>
      <x:c r="D32" s="7" t="str">
        <x:v>TR-B</x:v>
      </x:c>
      <x:c r="E32" s="7" t="str">
        <x:v>UNASSIGNED</x:v>
      </x:c>
      <x:c r="F32" s="7" t="str">
        <x:v>PUBLIC</x:v>
      </x:c>
      <x:c r="G32" s="7" t="str">
        <x:v>ROOT-PROTECTED RESERVE</x:v>
      </x:c>
      <x:c r="H32" s="7" t="n">
        <x:v>125</x:v>
      </x:c>
      <x:c r="I32" s="7" t="n">
        <x:v>100</x:v>
      </x:c>
      <x:c r="J32" s="7" t="n">
        <x:v>10</x:v>
      </x:c>
      <x:c r="K32" s="7" t="n">
        <x:v>10</x:v>
      </x:c>
      <x:c r="L32" s="7" t="n">
        <x:v>5</x:v>
      </x:c>
      <x:c r="M32" s="7" t="str">
        <x:v>RAS-05-TR-B-RESERVE</x:v>
      </x:c>
      <x:c r="N32" s="7" t="str"/>
      <x:c r="O32" s="7" t="str">
        <x:v>OPEN</x:v>
      </x:c>
    </x:row>
    <x:row r="33">
      <x:c r="B33" s="7" t="str">
        <x:v>RAE-SP-27</x:v>
      </x:c>
      <x:c r="C33" s="7" t="str">
        <x:v>AM-06</x:v>
      </x:c>
      <x:c r="D33" s="7" t="str">
        <x:v>TR-A</x:v>
      </x:c>
      <x:c r="E33" s="7" t="str">
        <x:v>UNASSIGNED</x:v>
      </x:c>
      <x:c r="F33" s="7" t="str">
        <x:v>PUBLIC</x:v>
      </x:c>
      <x:c r="G33" s="7" t="str">
        <x:v>ROOT-PROTECTED RESERVE</x:v>
      </x:c>
      <x:c r="H33" s="7" t="n">
        <x:v>125</x:v>
      </x:c>
      <x:c r="I33" s="7" t="n">
        <x:v>100</x:v>
      </x:c>
      <x:c r="J33" s="7" t="n">
        <x:v>10</x:v>
      </x:c>
      <x:c r="K33" s="7" t="n">
        <x:v>10</x:v>
      </x:c>
      <x:c r="L33" s="7" t="n">
        <x:v>5</x:v>
      </x:c>
      <x:c r="M33" s="7" t="str">
        <x:v>RAS-06-TR-A-RESERVE</x:v>
      </x:c>
      <x:c r="N33" s="7" t="str"/>
      <x:c r="O33" s="7" t="str">
        <x:v>OPEN</x:v>
      </x:c>
    </x:row>
    <x:row r="34">
      <x:c r="B34" s="7" t="str">
        <x:v>RAE-SP-28</x:v>
      </x:c>
      <x:c r="C34" s="7" t="str">
        <x:v>AM-06</x:v>
      </x:c>
      <x:c r="D34" s="7" t="str">
        <x:v>TR-B</x:v>
      </x:c>
      <x:c r="E34" s="7" t="str">
        <x:v>UNASSIGNED</x:v>
      </x:c>
      <x:c r="F34" s="7" t="str">
        <x:v>PUBLIC</x:v>
      </x:c>
      <x:c r="G34" s="7" t="str">
        <x:v>ROOT-PROTECTED RESERVE</x:v>
      </x:c>
      <x:c r="H34" s="7" t="n">
        <x:v>125</x:v>
      </x:c>
      <x:c r="I34" s="7" t="n">
        <x:v>100</x:v>
      </x:c>
      <x:c r="J34" s="7" t="n">
        <x:v>10</x:v>
      </x:c>
      <x:c r="K34" s="7" t="n">
        <x:v>10</x:v>
      </x:c>
      <x:c r="L34" s="7" t="n">
        <x:v>5</x:v>
      </x:c>
      <x:c r="M34" s="7" t="str">
        <x:v>RAS-06-TR-B-RESERVE</x:v>
      </x:c>
      <x:c r="N34" s="7" t="str"/>
      <x:c r="O34" s="7" t="str">
        <x:v>OPEN</x:v>
      </x:c>
    </x:row>
    <x:row r="36">
      <x:c r="B36" s="12" t="str">
        <x:v>TOTAL</x:v>
      </x:c>
      <x:c r="C36" s="12" t="str"/>
      <x:c r="D36" s="12" t="str"/>
      <x:c r="E36" s="12" t="str"/>
      <x:c r="F36" s="12" t="str"/>
      <x:c r="G36" s="12" t="str"/>
      <x:c r="H36" s="12" t="n">
        <x:v>3500</x:v>
      </x:c>
      <x:c r="I36" s="12" t="n">
        <x:v>2800</x:v>
      </x:c>
      <x:c r="J36" s="12" t="n">
        <x:v>280</x:v>
      </x:c>
      <x:c r="K36" s="12" t="n">
        <x:v>280</x:v>
      </x:c>
      <x:c r="L36" s="12" t="n">
        <x:v>140</x:v>
      </x:c>
      <x:c r="M36" s="12" t="str"/>
      <x:c r="N36" s="12" t="str"/>
      <x:c r="O36" s="12" t="str"/>
    </x:row>
  </x:sheetData>
  <x:conditionalFormatting sqref="O7:O34">
    <x:cfRule type="containsText" dxfId="27" priority="1" operator="containsText" text="FAIL"/>
    <x:cfRule type="containsText" dxfId="28" priority="2" operator="containsText" text="INVALID"/>
    <x:cfRule type="containsText" dxfId="29" priority="3" operator="containsText" text="BLOCKED"/>
    <x:cfRule type="containsText" dxfId="30" priority="4" operator="containsText" text="OPEN"/>
    <x:cfRule type="containsText" dxfId="31" priority="5" operator="containsText" text="HELD"/>
    <x:cfRule type="containsText" dxfId="32" priority="6" operator="containsText" text="DORMANT"/>
    <x:cfRule type="containsText" dxfId="33" priority="7" operator="containsText" text="PASS"/>
    <x:cfRule type="containsText" dxfId="34" priority="8" operator="containsText" text="VALID"/>
    <x:cfRule type="containsText" dxfId="35" priority="9" operator="containsText" text="ISSUE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5" hidden="0" customWidth="1"/>
    <x:col min="3" max="3" width="16" hidden="0" customWidth="1"/>
    <x:col min="4" max="4" width="14" hidden="0" customWidth="1"/>
    <x:col min="5" max="5" width="12" hidden="0" customWidth="1"/>
    <x:col min="6" max="6" width="13" hidden="0" customWidth="1"/>
    <x:col min="7" max="7" width="31" hidden="0" customWidth="1"/>
    <x:col min="8" max="8" width="18" hidden="0" customWidth="1"/>
    <x:col min="9" max="9" width="18" hidden="0" customWidth="1"/>
    <x:col min="10" max="10" width="14" hidden="0" customWidth="1"/>
    <x:col min="11" max="11" width="39" hidden="0" customWidth="1"/>
    <x:col min="12" max="12" width="19" hidden="0" customWidth="1"/>
    <x:col min="13" max="13" width="21" hidden="0" customWidth="1"/>
    <x:col min="14" max="14" width="14" hidden="0" customWidth="1"/>
  </x:cols>
  <x:sheetData>
    <x:row r="2">
      <x:c r="B2" s="1" t="str">
        <x:v>Two hundred eighty source-package characteristics</x:v>
      </x:c>
    </x:row>
    <x:row r="3">
      <x:c r="B3" s="2" t="str">
        <x:v>Measured values and uncertainty remain blank. Text states require exact identity rather than numeric substitution.</x:v>
      </x:c>
    </x:row>
    <x:row r="6" ht="24" customHeight="1">
      <x:c r="B6" s="6" t="str">
        <x:v>Characteristic</x:v>
      </x:c>
      <x:c r="C6" s="6" t="str">
        <x:v>Package</x:v>
      </x:c>
      <x:c r="D6" s="6" t="str">
        <x:v>Method</x:v>
      </x:c>
      <x:c r="E6" s="6" t="str">
        <x:v>Root</x:v>
      </x:c>
      <x:c r="F6" s="6" t="str">
        <x:v>Code</x:v>
      </x:c>
      <x:c r="G6" s="6" t="str">
        <x:v>Quantity</x:v>
      </x:c>
      <x:c r="H6" s="6" t="str">
        <x:v>Target</x:v>
      </x:c>
      <x:c r="I6" s="6" t="str">
        <x:v>Tolerance</x:v>
      </x:c>
      <x:c r="J6" s="6" t="str">
        <x:v>Unit</x:v>
      </x:c>
      <x:c r="K6" s="6" t="str">
        <x:v>Truth method</x:v>
      </x:c>
      <x:c r="L6" s="6" t="str">
        <x:v>Measured</x:v>
      </x:c>
      <x:c r="M6" s="6" t="str">
        <x:v>Accepted UTC</x:v>
      </x:c>
      <x:c r="N6" s="6" t="str">
        <x:v>State</x:v>
      </x:c>
    </x:row>
    <x:row r="7" ht="36" customHeight="1">
      <x:c r="B7" s="7" t="str">
        <x:v>RAE-SP-01-CH-01</x:v>
      </x:c>
      <x:c r="C7" s="7" t="str">
        <x:v>RAE-SP-01</x:v>
      </x:c>
      <x:c r="D7" s="7" t="str">
        <x:v>AM-05</x:v>
      </x:c>
      <x:c r="E7" s="7" t="str">
        <x:v>TR-A</x:v>
      </x:c>
      <x:c r="F7" s="7" t="str">
        <x:v>CH-01</x:v>
      </x:c>
      <x:c r="G7" s="10" t="str">
        <x:v>gross package mass</x:v>
      </x:c>
      <x:c r="H7" s="7" t="n">
        <x:v>125</x:v>
      </x:c>
      <x:c r="I7" s="7" t="n">
        <x:v>0.25</x:v>
      </x:c>
      <x:c r="J7" s="7" t="str">
        <x:v>kg</x:v>
      </x:c>
      <x:c r="K7" s="10" t="str">
        <x:v>gravimetric root</x:v>
      </x:c>
      <x:c r="L7" s="7" t="str"/>
      <x:c r="M7" s="7" t="str"/>
      <x:c r="N7" s="7" t="str">
        <x:v>OPEN</x:v>
      </x:c>
    </x:row>
    <x:row r="8" ht="36" customHeight="1">
      <x:c r="B8" s="7" t="str">
        <x:v>RAE-SP-01-CH-02</x:v>
      </x:c>
      <x:c r="C8" s="7" t="str">
        <x:v>RAE-SP-01</x:v>
      </x:c>
      <x:c r="D8" s="7" t="str">
        <x:v>AM-05</x:v>
      </x:c>
      <x:c r="E8" s="7" t="str">
        <x:v>TR-A</x:v>
      </x:c>
      <x:c r="F8" s="7" t="str">
        <x:v>CH-02</x:v>
      </x:c>
      <x:c r="G8" s="10" t="str">
        <x:v>event aliquot mass</x:v>
      </x:c>
      <x:c r="H8" s="7" t="n">
        <x:v>100</x:v>
      </x:c>
      <x:c r="I8" s="7" t="n">
        <x:v>0.5</x:v>
      </x:c>
      <x:c r="J8" s="7" t="str">
        <x:v>kg</x:v>
      </x:c>
      <x:c r="K8" s="10" t="str">
        <x:v>gravimetric transfer</x:v>
      </x:c>
      <x:c r="L8" s="7" t="str"/>
      <x:c r="M8" s="7" t="str"/>
      <x:c r="N8" s="7" t="str">
        <x:v>OPEN</x:v>
      </x:c>
    </x:row>
    <x:row r="9" ht="36" customHeight="1">
      <x:c r="B9" s="7" t="str">
        <x:v>RAE-SP-01-CH-03</x:v>
      </x:c>
      <x:c r="C9" s="7" t="str">
        <x:v>RAE-SP-01</x:v>
      </x:c>
      <x:c r="D9" s="7" t="str">
        <x:v>AM-05</x:v>
      </x:c>
      <x:c r="E9" s="7" t="str">
        <x:v>TR-A</x:v>
      </x:c>
      <x:c r="F9" s="7" t="str">
        <x:v>CH-03</x:v>
      </x:c>
      <x:c r="G9" s="10" t="str">
        <x:v>density</x:v>
      </x:c>
      <x:c r="H9" s="7" t="n">
        <x:v>800</x:v>
      </x:c>
      <x:c r="I9" s="7" t="n">
        <x:v>8</x:v>
      </x:c>
      <x:c r="J9" s="7" t="str">
        <x:v>kg/m3</x:v>
      </x:c>
      <x:c r="K9" s="10" t="str">
        <x:v>temperature-conditioned reference</x:v>
      </x:c>
      <x:c r="L9" s="7" t="str"/>
      <x:c r="M9" s="7" t="str"/>
      <x:c r="N9" s="7" t="str">
        <x:v>OPEN</x:v>
      </x:c>
    </x:row>
    <x:row r="10" ht="36" customHeight="1">
      <x:c r="B10" s="7" t="str">
        <x:v>RAE-SP-01-CH-04</x:v>
      </x:c>
      <x:c r="C10" s="7" t="str">
        <x:v>RAE-SP-01</x:v>
      </x:c>
      <x:c r="D10" s="7" t="str">
        <x:v>AM-05</x:v>
      </x:c>
      <x:c r="E10" s="7" t="str">
        <x:v>TR-A</x:v>
      </x:c>
      <x:c r="F10" s="7" t="str">
        <x:v>CH-04</x:v>
      </x:c>
      <x:c r="G10" s="10" t="str">
        <x:v>lower heating value</x:v>
      </x:c>
      <x:c r="H10" s="7" t="n">
        <x:v>42.588</x:v>
      </x:c>
      <x:c r="I10" s="7" t="n">
        <x:v>0.426</x:v>
      </x:c>
      <x:c r="J10" s="7" t="str">
        <x:v>MJ/kg</x:v>
      </x:c>
      <x:c r="K10" s="10" t="str">
        <x:v>retained laboratory assay</x:v>
      </x:c>
      <x:c r="L10" s="7" t="str"/>
      <x:c r="M10" s="7" t="str"/>
      <x:c r="N10" s="7" t="str">
        <x:v>OPEN</x:v>
      </x:c>
    </x:row>
    <x:row r="11" ht="36" customHeight="1">
      <x:c r="B11" s="7" t="str">
        <x:v>RAE-SP-01-CH-05</x:v>
      </x:c>
      <x:c r="C11" s="7" t="str">
        <x:v>RAE-SP-01</x:v>
      </x:c>
      <x:c r="D11" s="7" t="str">
        <x:v>AM-05</x:v>
      </x:c>
      <x:c r="E11" s="7" t="str">
        <x:v>TR-A</x:v>
      </x:c>
      <x:c r="F11" s="7" t="str">
        <x:v>CH-05</x:v>
      </x:c>
      <x:c r="G11" s="10" t="str">
        <x:v>temperature</x:v>
      </x:c>
      <x:c r="H11" s="7" t="n">
        <x:v>20</x:v>
      </x:c>
      <x:c r="I11" s="7" t="n">
        <x:v>2</x:v>
      </x:c>
      <x:c r="J11" s="7" t="str">
        <x:v>deg C</x:v>
      </x:c>
      <x:c r="K11" s="10" t="str">
        <x:v>two unlike probes</x:v>
      </x:c>
      <x:c r="L11" s="7" t="str"/>
      <x:c r="M11" s="7" t="str"/>
      <x:c r="N11" s="7" t="str">
        <x:v>OPEN</x:v>
      </x:c>
    </x:row>
    <x:row r="12" ht="36" customHeight="1">
      <x:c r="B12" s="7" t="str">
        <x:v>RAE-SP-01-CH-06</x:v>
      </x:c>
      <x:c r="C12" s="7" t="str">
        <x:v>RAE-SP-01</x:v>
      </x:c>
      <x:c r="D12" s="7" t="str">
        <x:v>AM-05</x:v>
      </x:c>
      <x:c r="E12" s="7" t="str">
        <x:v>TR-A</x:v>
      </x:c>
      <x:c r="F12" s="7" t="str">
        <x:v>CH-06</x:v>
      </x:c>
      <x:c r="G12" s="10" t="str">
        <x:v>water fraction ceiling</x:v>
      </x:c>
      <x:c r="H12" s="7" t="n">
        <x:v>0.001</x:v>
      </x:c>
      <x:c r="I12" s="7" t="n">
        <x:v>0.0002</x:v>
      </x:c>
      <x:c r="J12" s="7" t="str">
        <x:v>ratio</x:v>
      </x:c>
      <x:c r="K12" s="10" t="str">
        <x:v>retained assay</x:v>
      </x:c>
      <x:c r="L12" s="7" t="str"/>
      <x:c r="M12" s="7" t="str"/>
      <x:c r="N12" s="7" t="str">
        <x:v>OPEN</x:v>
      </x:c>
    </x:row>
    <x:row r="13" ht="36" customHeight="1">
      <x:c r="B13" s="7" t="str">
        <x:v>RAE-SP-01-CH-07</x:v>
      </x:c>
      <x:c r="C13" s="7" t="str">
        <x:v>RAE-SP-01</x:v>
      </x:c>
      <x:c r="D13" s="7" t="str">
        <x:v>AM-05</x:v>
      </x:c>
      <x:c r="E13" s="7" t="str">
        <x:v>TR-A</x:v>
      </x:c>
      <x:c r="F13" s="7" t="str">
        <x:v>CH-07</x:v>
      </x:c>
      <x:c r="G13" s="10" t="str">
        <x:v>foreign-solids ceiling</x:v>
      </x:c>
      <x:c r="H13" s="7" t="n">
        <x:v>0.001</x:v>
      </x:c>
      <x:c r="I13" s="7" t="n">
        <x:v>0.0002</x:v>
      </x:c>
      <x:c r="J13" s="7" t="str">
        <x:v>ratio</x:v>
      </x:c>
      <x:c r="K13" s="10" t="str">
        <x:v>filter and retained assay</x:v>
      </x:c>
      <x:c r="L13" s="7" t="str"/>
      <x:c r="M13" s="7" t="str"/>
      <x:c r="N13" s="7" t="str">
        <x:v>OPEN</x:v>
      </x:c>
    </x:row>
    <x:row r="14" ht="36" customHeight="1">
      <x:c r="B14" s="7" t="str">
        <x:v>RAE-SP-01-CH-08</x:v>
      </x:c>
      <x:c r="C14" s="7" t="str">
        <x:v>RAE-SP-01</x:v>
      </x:c>
      <x:c r="D14" s="7" t="str">
        <x:v>AM-05</x:v>
      </x:c>
      <x:c r="E14" s="7" t="str">
        <x:v>TR-A</x:v>
      </x:c>
      <x:c r="F14" s="7" t="str">
        <x:v>CH-08</x:v>
      </x:c>
      <x:c r="G14" s="10" t="str">
        <x:v>ancestry recovery floor</x:v>
      </x:c>
      <x:c r="H14" s="7" t="n">
        <x:v>0.995</x:v>
      </x:c>
      <x:c r="I14" s="7" t="n">
        <x:v>0.001</x:v>
      </x:c>
      <x:c r="J14" s="7" t="str">
        <x:v>ratio</x:v>
      </x:c>
      <x:c r="K14" s="10" t="str">
        <x:v>root-specific code</x:v>
      </x:c>
      <x:c r="L14" s="7" t="str"/>
      <x:c r="M14" s="7" t="str"/>
      <x:c r="N14" s="7" t="str">
        <x:v>OPEN</x:v>
      </x:c>
    </x:row>
    <x:row r="15" ht="36" customHeight="1">
      <x:c r="B15" s="7" t="str">
        <x:v>RAE-SP-01-CH-09</x:v>
      </x:c>
      <x:c r="C15" s="7" t="str">
        <x:v>RAE-SP-01</x:v>
      </x:c>
      <x:c r="D15" s="7" t="str">
        <x:v>AM-05</x:v>
      </x:c>
      <x:c r="E15" s="7" t="str">
        <x:v>TR-A</x:v>
      </x:c>
      <x:c r="F15" s="7" t="str">
        <x:v>CH-09</x:v>
      </x:c>
      <x:c r="G15" s="10" t="str">
        <x:v>custody seal</x:v>
      </x:c>
      <x:c r="H15" s="7" t="str">
        <x:v>MATCH</x:v>
      </x:c>
      <x:c r="I15" s="7" t="str">
        <x:v>n.a.</x:v>
      </x:c>
      <x:c r="J15" s="7" t="str">
        <x:v>state</x:v>
      </x:c>
      <x:c r="K15" s="10" t="str">
        <x:v>two-person seal verification</x:v>
      </x:c>
      <x:c r="L15" s="7" t="str"/>
      <x:c r="M15" s="7" t="str"/>
      <x:c r="N15" s="7" t="str">
        <x:v>OPEN</x:v>
      </x:c>
    </x:row>
    <x:row r="16" ht="36" customHeight="1">
      <x:c r="B16" s="7" t="str">
        <x:v>RAE-SP-01-CH-10</x:v>
      </x:c>
      <x:c r="C16" s="7" t="str">
        <x:v>RAE-SP-01</x:v>
      </x:c>
      <x:c r="D16" s="7" t="str">
        <x:v>AM-05</x:v>
      </x:c>
      <x:c r="E16" s="7" t="str">
        <x:v>TR-A</x:v>
      </x:c>
      <x:c r="F16" s="7" t="str">
        <x:v>CH-10</x:v>
      </x:c>
      <x:c r="G16" s="10" t="str">
        <x:v>retained sample set</x:v>
      </x:c>
      <x:c r="H16" s="7" t="str">
        <x:v>THREE</x:v>
      </x:c>
      <x:c r="I16" s="7" t="str">
        <x:v>n.a.</x:v>
      </x:c>
      <x:c r="J16" s="7" t="str">
        <x:v>count</x:v>
      </x:c>
      <x:c r="K16" s="10" t="str">
        <x:v>pre, post and archive</x:v>
      </x:c>
      <x:c r="L16" s="7" t="str"/>
      <x:c r="M16" s="7" t="str"/>
      <x:c r="N16" s="7" t="str">
        <x:v>OPEN</x:v>
      </x:c>
    </x:row>
    <x:row r="17" ht="36" customHeight="1">
      <x:c r="B17" s="7" t="str">
        <x:v>RAE-SP-02-CH-01</x:v>
      </x:c>
      <x:c r="C17" s="7" t="str">
        <x:v>RAE-SP-02</x:v>
      </x:c>
      <x:c r="D17" s="7" t="str">
        <x:v>AM-05</x:v>
      </x:c>
      <x:c r="E17" s="7" t="str">
        <x:v>TR-A</x:v>
      </x:c>
      <x:c r="F17" s="7" t="str">
        <x:v>CH-01</x:v>
      </x:c>
      <x:c r="G17" s="10" t="str">
        <x:v>gross package mass</x:v>
      </x:c>
      <x:c r="H17" s="7" t="n">
        <x:v>125</x:v>
      </x:c>
      <x:c r="I17" s="7" t="n">
        <x:v>0.25</x:v>
      </x:c>
      <x:c r="J17" s="7" t="str">
        <x:v>kg</x:v>
      </x:c>
      <x:c r="K17" s="10" t="str">
        <x:v>gravimetric root</x:v>
      </x:c>
      <x:c r="L17" s="7" t="str"/>
      <x:c r="M17" s="7" t="str"/>
      <x:c r="N17" s="7" t="str">
        <x:v>OPEN</x:v>
      </x:c>
    </x:row>
    <x:row r="18" ht="36" customHeight="1">
      <x:c r="B18" s="7" t="str">
        <x:v>RAE-SP-02-CH-02</x:v>
      </x:c>
      <x:c r="C18" s="7" t="str">
        <x:v>RAE-SP-02</x:v>
      </x:c>
      <x:c r="D18" s="7" t="str">
        <x:v>AM-05</x:v>
      </x:c>
      <x:c r="E18" s="7" t="str">
        <x:v>TR-A</x:v>
      </x:c>
      <x:c r="F18" s="7" t="str">
        <x:v>CH-02</x:v>
      </x:c>
      <x:c r="G18" s="10" t="str">
        <x:v>event aliquot mass</x:v>
      </x:c>
      <x:c r="H18" s="7" t="n">
        <x:v>100</x:v>
      </x:c>
      <x:c r="I18" s="7" t="n">
        <x:v>0.5</x:v>
      </x:c>
      <x:c r="J18" s="7" t="str">
        <x:v>kg</x:v>
      </x:c>
      <x:c r="K18" s="10" t="str">
        <x:v>gravimetric transfer</x:v>
      </x:c>
      <x:c r="L18" s="7" t="str"/>
      <x:c r="M18" s="7" t="str"/>
      <x:c r="N18" s="7" t="str">
        <x:v>OPEN</x:v>
      </x:c>
    </x:row>
    <x:row r="19" ht="36" customHeight="1">
      <x:c r="B19" s="7" t="str">
        <x:v>RAE-SP-02-CH-03</x:v>
      </x:c>
      <x:c r="C19" s="7" t="str">
        <x:v>RAE-SP-02</x:v>
      </x:c>
      <x:c r="D19" s="7" t="str">
        <x:v>AM-05</x:v>
      </x:c>
      <x:c r="E19" s="7" t="str">
        <x:v>TR-A</x:v>
      </x:c>
      <x:c r="F19" s="7" t="str">
        <x:v>CH-03</x:v>
      </x:c>
      <x:c r="G19" s="10" t="str">
        <x:v>density</x:v>
      </x:c>
      <x:c r="H19" s="7" t="n">
        <x:v>800</x:v>
      </x:c>
      <x:c r="I19" s="7" t="n">
        <x:v>8</x:v>
      </x:c>
      <x:c r="J19" s="7" t="str">
        <x:v>kg/m3</x:v>
      </x:c>
      <x:c r="K19" s="10" t="str">
        <x:v>temperature-conditioned reference</x:v>
      </x:c>
      <x:c r="L19" s="7" t="str"/>
      <x:c r="M19" s="7" t="str"/>
      <x:c r="N19" s="7" t="str">
        <x:v>OPEN</x:v>
      </x:c>
    </x:row>
    <x:row r="20" ht="36" customHeight="1">
      <x:c r="B20" s="7" t="str">
        <x:v>RAE-SP-02-CH-04</x:v>
      </x:c>
      <x:c r="C20" s="7" t="str">
        <x:v>RAE-SP-02</x:v>
      </x:c>
      <x:c r="D20" s="7" t="str">
        <x:v>AM-05</x:v>
      </x:c>
      <x:c r="E20" s="7" t="str">
        <x:v>TR-A</x:v>
      </x:c>
      <x:c r="F20" s="7" t="str">
        <x:v>CH-04</x:v>
      </x:c>
      <x:c r="G20" s="10" t="str">
        <x:v>lower heating value</x:v>
      </x:c>
      <x:c r="H20" s="7" t="n">
        <x:v>42.588</x:v>
      </x:c>
      <x:c r="I20" s="7" t="n">
        <x:v>0.426</x:v>
      </x:c>
      <x:c r="J20" s="7" t="str">
        <x:v>MJ/kg</x:v>
      </x:c>
      <x:c r="K20" s="10" t="str">
        <x:v>retained laboratory assay</x:v>
      </x:c>
      <x:c r="L20" s="7" t="str"/>
      <x:c r="M20" s="7" t="str"/>
      <x:c r="N20" s="7" t="str">
        <x:v>OPEN</x:v>
      </x:c>
    </x:row>
    <x:row r="21" ht="36" customHeight="1">
      <x:c r="B21" s="7" t="str">
        <x:v>RAE-SP-02-CH-05</x:v>
      </x:c>
      <x:c r="C21" s="7" t="str">
        <x:v>RAE-SP-02</x:v>
      </x:c>
      <x:c r="D21" s="7" t="str">
        <x:v>AM-05</x:v>
      </x:c>
      <x:c r="E21" s="7" t="str">
        <x:v>TR-A</x:v>
      </x:c>
      <x:c r="F21" s="7" t="str">
        <x:v>CH-05</x:v>
      </x:c>
      <x:c r="G21" s="10" t="str">
        <x:v>temperature</x:v>
      </x:c>
      <x:c r="H21" s="7" t="n">
        <x:v>20</x:v>
      </x:c>
      <x:c r="I21" s="7" t="n">
        <x:v>2</x:v>
      </x:c>
      <x:c r="J21" s="7" t="str">
        <x:v>deg C</x:v>
      </x:c>
      <x:c r="K21" s="10" t="str">
        <x:v>two unlike probes</x:v>
      </x:c>
      <x:c r="L21" s="7" t="str"/>
      <x:c r="M21" s="7" t="str"/>
      <x:c r="N21" s="7" t="str">
        <x:v>OPEN</x:v>
      </x:c>
    </x:row>
    <x:row r="22" ht="36" customHeight="1">
      <x:c r="B22" s="7" t="str">
        <x:v>RAE-SP-02-CH-06</x:v>
      </x:c>
      <x:c r="C22" s="7" t="str">
        <x:v>RAE-SP-02</x:v>
      </x:c>
      <x:c r="D22" s="7" t="str">
        <x:v>AM-05</x:v>
      </x:c>
      <x:c r="E22" s="7" t="str">
        <x:v>TR-A</x:v>
      </x:c>
      <x:c r="F22" s="7" t="str">
        <x:v>CH-06</x:v>
      </x:c>
      <x:c r="G22" s="10" t="str">
        <x:v>water fraction ceiling</x:v>
      </x:c>
      <x:c r="H22" s="7" t="n">
        <x:v>0.001</x:v>
      </x:c>
      <x:c r="I22" s="7" t="n">
        <x:v>0.0002</x:v>
      </x:c>
      <x:c r="J22" s="7" t="str">
        <x:v>ratio</x:v>
      </x:c>
      <x:c r="K22" s="10" t="str">
        <x:v>retained assay</x:v>
      </x:c>
      <x:c r="L22" s="7" t="str"/>
      <x:c r="M22" s="7" t="str"/>
      <x:c r="N22" s="7" t="str">
        <x:v>OPEN</x:v>
      </x:c>
    </x:row>
    <x:row r="23" ht="36" customHeight="1">
      <x:c r="B23" s="7" t="str">
        <x:v>RAE-SP-02-CH-07</x:v>
      </x:c>
      <x:c r="C23" s="7" t="str">
        <x:v>RAE-SP-02</x:v>
      </x:c>
      <x:c r="D23" s="7" t="str">
        <x:v>AM-05</x:v>
      </x:c>
      <x:c r="E23" s="7" t="str">
        <x:v>TR-A</x:v>
      </x:c>
      <x:c r="F23" s="7" t="str">
        <x:v>CH-07</x:v>
      </x:c>
      <x:c r="G23" s="10" t="str">
        <x:v>foreign-solids ceiling</x:v>
      </x:c>
      <x:c r="H23" s="7" t="n">
        <x:v>0.001</x:v>
      </x:c>
      <x:c r="I23" s="7" t="n">
        <x:v>0.0002</x:v>
      </x:c>
      <x:c r="J23" s="7" t="str">
        <x:v>ratio</x:v>
      </x:c>
      <x:c r="K23" s="10" t="str">
        <x:v>filter and retained assay</x:v>
      </x:c>
      <x:c r="L23" s="7" t="str"/>
      <x:c r="M23" s="7" t="str"/>
      <x:c r="N23" s="7" t="str">
        <x:v>OPEN</x:v>
      </x:c>
    </x:row>
    <x:row r="24" ht="36" customHeight="1">
      <x:c r="B24" s="7" t="str">
        <x:v>RAE-SP-02-CH-08</x:v>
      </x:c>
      <x:c r="C24" s="7" t="str">
        <x:v>RAE-SP-02</x:v>
      </x:c>
      <x:c r="D24" s="7" t="str">
        <x:v>AM-05</x:v>
      </x:c>
      <x:c r="E24" s="7" t="str">
        <x:v>TR-A</x:v>
      </x:c>
      <x:c r="F24" s="7" t="str">
        <x:v>CH-08</x:v>
      </x:c>
      <x:c r="G24" s="10" t="str">
        <x:v>ancestry recovery floor</x:v>
      </x:c>
      <x:c r="H24" s="7" t="n">
        <x:v>0.995</x:v>
      </x:c>
      <x:c r="I24" s="7" t="n">
        <x:v>0.001</x:v>
      </x:c>
      <x:c r="J24" s="7" t="str">
        <x:v>ratio</x:v>
      </x:c>
      <x:c r="K24" s="10" t="str">
        <x:v>root-specific code</x:v>
      </x:c>
      <x:c r="L24" s="7" t="str"/>
      <x:c r="M24" s="7" t="str"/>
      <x:c r="N24" s="7" t="str">
        <x:v>OPEN</x:v>
      </x:c>
    </x:row>
    <x:row r="25" ht="36" customHeight="1">
      <x:c r="B25" s="7" t="str">
        <x:v>RAE-SP-02-CH-09</x:v>
      </x:c>
      <x:c r="C25" s="7" t="str">
        <x:v>RAE-SP-02</x:v>
      </x:c>
      <x:c r="D25" s="7" t="str">
        <x:v>AM-05</x:v>
      </x:c>
      <x:c r="E25" s="7" t="str">
        <x:v>TR-A</x:v>
      </x:c>
      <x:c r="F25" s="7" t="str">
        <x:v>CH-09</x:v>
      </x:c>
      <x:c r="G25" s="10" t="str">
        <x:v>custody seal</x:v>
      </x:c>
      <x:c r="H25" s="7" t="str">
        <x:v>MATCH</x:v>
      </x:c>
      <x:c r="I25" s="7" t="str">
        <x:v>n.a.</x:v>
      </x:c>
      <x:c r="J25" s="7" t="str">
        <x:v>state</x:v>
      </x:c>
      <x:c r="K25" s="10" t="str">
        <x:v>two-person seal verification</x:v>
      </x:c>
      <x:c r="L25" s="7" t="str"/>
      <x:c r="M25" s="7" t="str"/>
      <x:c r="N25" s="7" t="str">
        <x:v>OPEN</x:v>
      </x:c>
    </x:row>
    <x:row r="26" ht="36" customHeight="1">
      <x:c r="B26" s="7" t="str">
        <x:v>RAE-SP-02-CH-10</x:v>
      </x:c>
      <x:c r="C26" s="7" t="str">
        <x:v>RAE-SP-02</x:v>
      </x:c>
      <x:c r="D26" s="7" t="str">
        <x:v>AM-05</x:v>
      </x:c>
      <x:c r="E26" s="7" t="str">
        <x:v>TR-A</x:v>
      </x:c>
      <x:c r="F26" s="7" t="str">
        <x:v>CH-10</x:v>
      </x:c>
      <x:c r="G26" s="10" t="str">
        <x:v>retained sample set</x:v>
      </x:c>
      <x:c r="H26" s="7" t="str">
        <x:v>THREE</x:v>
      </x:c>
      <x:c r="I26" s="7" t="str">
        <x:v>n.a.</x:v>
      </x:c>
      <x:c r="J26" s="7" t="str">
        <x:v>count</x:v>
      </x:c>
      <x:c r="K26" s="10" t="str">
        <x:v>pre, post and archive</x:v>
      </x:c>
      <x:c r="L26" s="7" t="str"/>
      <x:c r="M26" s="7" t="str"/>
      <x:c r="N26" s="7" t="str">
        <x:v>OPEN</x:v>
      </x:c>
    </x:row>
    <x:row r="27" ht="36" customHeight="1">
      <x:c r="B27" s="7" t="str">
        <x:v>RAE-SP-03-CH-01</x:v>
      </x:c>
      <x:c r="C27" s="7" t="str">
        <x:v>RAE-SP-03</x:v>
      </x:c>
      <x:c r="D27" s="7" t="str">
        <x:v>AM-05</x:v>
      </x:c>
      <x:c r="E27" s="7" t="str">
        <x:v>TR-A</x:v>
      </x:c>
      <x:c r="F27" s="7" t="str">
        <x:v>CH-01</x:v>
      </x:c>
      <x:c r="G27" s="10" t="str">
        <x:v>gross package mass</x:v>
      </x:c>
      <x:c r="H27" s="7" t="n">
        <x:v>125</x:v>
      </x:c>
      <x:c r="I27" s="7" t="n">
        <x:v>0.25</x:v>
      </x:c>
      <x:c r="J27" s="7" t="str">
        <x:v>kg</x:v>
      </x:c>
      <x:c r="K27" s="10" t="str">
        <x:v>gravimetric root</x:v>
      </x:c>
      <x:c r="L27" s="7" t="str"/>
      <x:c r="M27" s="7" t="str"/>
      <x:c r="N27" s="7" t="str">
        <x:v>OPEN</x:v>
      </x:c>
    </x:row>
    <x:row r="28" ht="36" customHeight="1">
      <x:c r="B28" s="7" t="str">
        <x:v>RAE-SP-03-CH-02</x:v>
      </x:c>
      <x:c r="C28" s="7" t="str">
        <x:v>RAE-SP-03</x:v>
      </x:c>
      <x:c r="D28" s="7" t="str">
        <x:v>AM-05</x:v>
      </x:c>
      <x:c r="E28" s="7" t="str">
        <x:v>TR-A</x:v>
      </x:c>
      <x:c r="F28" s="7" t="str">
        <x:v>CH-02</x:v>
      </x:c>
      <x:c r="G28" s="10" t="str">
        <x:v>event aliquot mass</x:v>
      </x:c>
      <x:c r="H28" s="7" t="n">
        <x:v>100</x:v>
      </x:c>
      <x:c r="I28" s="7" t="n">
        <x:v>0.5</x:v>
      </x:c>
      <x:c r="J28" s="7" t="str">
        <x:v>kg</x:v>
      </x:c>
      <x:c r="K28" s="10" t="str">
        <x:v>gravimetric transfer</x:v>
      </x:c>
      <x:c r="L28" s="7" t="str"/>
      <x:c r="M28" s="7" t="str"/>
      <x:c r="N28" s="7" t="str">
        <x:v>OPEN</x:v>
      </x:c>
    </x:row>
    <x:row r="29" ht="36" customHeight="1">
      <x:c r="B29" s="7" t="str">
        <x:v>RAE-SP-03-CH-03</x:v>
      </x:c>
      <x:c r="C29" s="7" t="str">
        <x:v>RAE-SP-03</x:v>
      </x:c>
      <x:c r="D29" s="7" t="str">
        <x:v>AM-05</x:v>
      </x:c>
      <x:c r="E29" s="7" t="str">
        <x:v>TR-A</x:v>
      </x:c>
      <x:c r="F29" s="7" t="str">
        <x:v>CH-03</x:v>
      </x:c>
      <x:c r="G29" s="10" t="str">
        <x:v>density</x:v>
      </x:c>
      <x:c r="H29" s="7" t="n">
        <x:v>800</x:v>
      </x:c>
      <x:c r="I29" s="7" t="n">
        <x:v>8</x:v>
      </x:c>
      <x:c r="J29" s="7" t="str">
        <x:v>kg/m3</x:v>
      </x:c>
      <x:c r="K29" s="10" t="str">
        <x:v>temperature-conditioned reference</x:v>
      </x:c>
      <x:c r="L29" s="7" t="str"/>
      <x:c r="M29" s="7" t="str"/>
      <x:c r="N29" s="7" t="str">
        <x:v>OPEN</x:v>
      </x:c>
    </x:row>
    <x:row r="30" ht="36" customHeight="1">
      <x:c r="B30" s="7" t="str">
        <x:v>RAE-SP-03-CH-04</x:v>
      </x:c>
      <x:c r="C30" s="7" t="str">
        <x:v>RAE-SP-03</x:v>
      </x:c>
      <x:c r="D30" s="7" t="str">
        <x:v>AM-05</x:v>
      </x:c>
      <x:c r="E30" s="7" t="str">
        <x:v>TR-A</x:v>
      </x:c>
      <x:c r="F30" s="7" t="str">
        <x:v>CH-04</x:v>
      </x:c>
      <x:c r="G30" s="10" t="str">
        <x:v>lower heating value</x:v>
      </x:c>
      <x:c r="H30" s="7" t="n">
        <x:v>42.588</x:v>
      </x:c>
      <x:c r="I30" s="7" t="n">
        <x:v>0.426</x:v>
      </x:c>
      <x:c r="J30" s="7" t="str">
        <x:v>MJ/kg</x:v>
      </x:c>
      <x:c r="K30" s="10" t="str">
        <x:v>retained laboratory assay</x:v>
      </x:c>
      <x:c r="L30" s="7" t="str"/>
      <x:c r="M30" s="7" t="str"/>
      <x:c r="N30" s="7" t="str">
        <x:v>OPEN</x:v>
      </x:c>
    </x:row>
    <x:row r="31" ht="36" customHeight="1">
      <x:c r="B31" s="7" t="str">
        <x:v>RAE-SP-03-CH-05</x:v>
      </x:c>
      <x:c r="C31" s="7" t="str">
        <x:v>RAE-SP-03</x:v>
      </x:c>
      <x:c r="D31" s="7" t="str">
        <x:v>AM-05</x:v>
      </x:c>
      <x:c r="E31" s="7" t="str">
        <x:v>TR-A</x:v>
      </x:c>
      <x:c r="F31" s="7" t="str">
        <x:v>CH-05</x:v>
      </x:c>
      <x:c r="G31" s="10" t="str">
        <x:v>temperature</x:v>
      </x:c>
      <x:c r="H31" s="7" t="n">
        <x:v>20</x:v>
      </x:c>
      <x:c r="I31" s="7" t="n">
        <x:v>2</x:v>
      </x:c>
      <x:c r="J31" s="7" t="str">
        <x:v>deg C</x:v>
      </x:c>
      <x:c r="K31" s="10" t="str">
        <x:v>two unlike probes</x:v>
      </x:c>
      <x:c r="L31" s="7" t="str"/>
      <x:c r="M31" s="7" t="str"/>
      <x:c r="N31" s="7" t="str">
        <x:v>OPEN</x:v>
      </x:c>
    </x:row>
    <x:row r="32" ht="36" customHeight="1">
      <x:c r="B32" s="7" t="str">
        <x:v>RAE-SP-03-CH-06</x:v>
      </x:c>
      <x:c r="C32" s="7" t="str">
        <x:v>RAE-SP-03</x:v>
      </x:c>
      <x:c r="D32" s="7" t="str">
        <x:v>AM-05</x:v>
      </x:c>
      <x:c r="E32" s="7" t="str">
        <x:v>TR-A</x:v>
      </x:c>
      <x:c r="F32" s="7" t="str">
        <x:v>CH-06</x:v>
      </x:c>
      <x:c r="G32" s="10" t="str">
        <x:v>water fraction ceiling</x:v>
      </x:c>
      <x:c r="H32" s="7" t="n">
        <x:v>0.001</x:v>
      </x:c>
      <x:c r="I32" s="7" t="n">
        <x:v>0.0002</x:v>
      </x:c>
      <x:c r="J32" s="7" t="str">
        <x:v>ratio</x:v>
      </x:c>
      <x:c r="K32" s="10" t="str">
        <x:v>retained assay</x:v>
      </x:c>
      <x:c r="L32" s="7" t="str"/>
      <x:c r="M32" s="7" t="str"/>
      <x:c r="N32" s="7" t="str">
        <x:v>OPEN</x:v>
      </x:c>
    </x:row>
    <x:row r="33" ht="36" customHeight="1">
      <x:c r="B33" s="7" t="str">
        <x:v>RAE-SP-03-CH-07</x:v>
      </x:c>
      <x:c r="C33" s="7" t="str">
        <x:v>RAE-SP-03</x:v>
      </x:c>
      <x:c r="D33" s="7" t="str">
        <x:v>AM-05</x:v>
      </x:c>
      <x:c r="E33" s="7" t="str">
        <x:v>TR-A</x:v>
      </x:c>
      <x:c r="F33" s="7" t="str">
        <x:v>CH-07</x:v>
      </x:c>
      <x:c r="G33" s="10" t="str">
        <x:v>foreign-solids ceiling</x:v>
      </x:c>
      <x:c r="H33" s="7" t="n">
        <x:v>0.001</x:v>
      </x:c>
      <x:c r="I33" s="7" t="n">
        <x:v>0.0002</x:v>
      </x:c>
      <x:c r="J33" s="7" t="str">
        <x:v>ratio</x:v>
      </x:c>
      <x:c r="K33" s="10" t="str">
        <x:v>filter and retained assay</x:v>
      </x:c>
      <x:c r="L33" s="7" t="str"/>
      <x:c r="M33" s="7" t="str"/>
      <x:c r="N33" s="7" t="str">
        <x:v>OPEN</x:v>
      </x:c>
    </x:row>
    <x:row r="34" ht="36" customHeight="1">
      <x:c r="B34" s="7" t="str">
        <x:v>RAE-SP-03-CH-08</x:v>
      </x:c>
      <x:c r="C34" s="7" t="str">
        <x:v>RAE-SP-03</x:v>
      </x:c>
      <x:c r="D34" s="7" t="str">
        <x:v>AM-05</x:v>
      </x:c>
      <x:c r="E34" s="7" t="str">
        <x:v>TR-A</x:v>
      </x:c>
      <x:c r="F34" s="7" t="str">
        <x:v>CH-08</x:v>
      </x:c>
      <x:c r="G34" s="10" t="str">
        <x:v>ancestry recovery floor</x:v>
      </x:c>
      <x:c r="H34" s="7" t="n">
        <x:v>0.995</x:v>
      </x:c>
      <x:c r="I34" s="7" t="n">
        <x:v>0.001</x:v>
      </x:c>
      <x:c r="J34" s="7" t="str">
        <x:v>ratio</x:v>
      </x:c>
      <x:c r="K34" s="10" t="str">
        <x:v>root-specific code</x:v>
      </x:c>
      <x:c r="L34" s="7" t="str"/>
      <x:c r="M34" s="7" t="str"/>
      <x:c r="N34" s="7" t="str">
        <x:v>OPEN</x:v>
      </x:c>
    </x:row>
    <x:row r="35" ht="36" customHeight="1">
      <x:c r="B35" s="7" t="str">
        <x:v>RAE-SP-03-CH-09</x:v>
      </x:c>
      <x:c r="C35" s="7" t="str">
        <x:v>RAE-SP-03</x:v>
      </x:c>
      <x:c r="D35" s="7" t="str">
        <x:v>AM-05</x:v>
      </x:c>
      <x:c r="E35" s="7" t="str">
        <x:v>TR-A</x:v>
      </x:c>
      <x:c r="F35" s="7" t="str">
        <x:v>CH-09</x:v>
      </x:c>
      <x:c r="G35" s="10" t="str">
        <x:v>custody seal</x:v>
      </x:c>
      <x:c r="H35" s="7" t="str">
        <x:v>MATCH</x:v>
      </x:c>
      <x:c r="I35" s="7" t="str">
        <x:v>n.a.</x:v>
      </x:c>
      <x:c r="J35" s="7" t="str">
        <x:v>state</x:v>
      </x:c>
      <x:c r="K35" s="10" t="str">
        <x:v>two-person seal verification</x:v>
      </x:c>
      <x:c r="L35" s="7" t="str"/>
      <x:c r="M35" s="7" t="str"/>
      <x:c r="N35" s="7" t="str">
        <x:v>OPEN</x:v>
      </x:c>
    </x:row>
    <x:row r="36" ht="36" customHeight="1">
      <x:c r="B36" s="7" t="str">
        <x:v>RAE-SP-03-CH-10</x:v>
      </x:c>
      <x:c r="C36" s="7" t="str">
        <x:v>RAE-SP-03</x:v>
      </x:c>
      <x:c r="D36" s="7" t="str">
        <x:v>AM-05</x:v>
      </x:c>
      <x:c r="E36" s="7" t="str">
        <x:v>TR-A</x:v>
      </x:c>
      <x:c r="F36" s="7" t="str">
        <x:v>CH-10</x:v>
      </x:c>
      <x:c r="G36" s="10" t="str">
        <x:v>retained sample set</x:v>
      </x:c>
      <x:c r="H36" s="7" t="str">
        <x:v>THREE</x:v>
      </x:c>
      <x:c r="I36" s="7" t="str">
        <x:v>n.a.</x:v>
      </x:c>
      <x:c r="J36" s="7" t="str">
        <x:v>count</x:v>
      </x:c>
      <x:c r="K36" s="10" t="str">
        <x:v>pre, post and archive</x:v>
      </x:c>
      <x:c r="L36" s="7" t="str"/>
      <x:c r="M36" s="7" t="str"/>
      <x:c r="N36" s="7" t="str">
        <x:v>OPEN</x:v>
      </x:c>
    </x:row>
    <x:row r="37" ht="36" customHeight="1">
      <x:c r="B37" s="7" t="str">
        <x:v>RAE-SP-04-CH-01</x:v>
      </x:c>
      <x:c r="C37" s="7" t="str">
        <x:v>RAE-SP-04</x:v>
      </x:c>
      <x:c r="D37" s="7" t="str">
        <x:v>AM-05</x:v>
      </x:c>
      <x:c r="E37" s="7" t="str">
        <x:v>TR-A</x:v>
      </x:c>
      <x:c r="F37" s="7" t="str">
        <x:v>CH-01</x:v>
      </x:c>
      <x:c r="G37" s="10" t="str">
        <x:v>gross package mass</x:v>
      </x:c>
      <x:c r="H37" s="7" t="n">
        <x:v>125</x:v>
      </x:c>
      <x:c r="I37" s="7" t="n">
        <x:v>0.25</x:v>
      </x:c>
      <x:c r="J37" s="7" t="str">
        <x:v>kg</x:v>
      </x:c>
      <x:c r="K37" s="10" t="str">
        <x:v>gravimetric root</x:v>
      </x:c>
      <x:c r="L37" s="7" t="str"/>
      <x:c r="M37" s="7" t="str"/>
      <x:c r="N37" s="7" t="str">
        <x:v>OPEN</x:v>
      </x:c>
    </x:row>
    <x:row r="38" ht="36" customHeight="1">
      <x:c r="B38" s="7" t="str">
        <x:v>RAE-SP-04-CH-02</x:v>
      </x:c>
      <x:c r="C38" s="7" t="str">
        <x:v>RAE-SP-04</x:v>
      </x:c>
      <x:c r="D38" s="7" t="str">
        <x:v>AM-05</x:v>
      </x:c>
      <x:c r="E38" s="7" t="str">
        <x:v>TR-A</x:v>
      </x:c>
      <x:c r="F38" s="7" t="str">
        <x:v>CH-02</x:v>
      </x:c>
      <x:c r="G38" s="10" t="str">
        <x:v>event aliquot mass</x:v>
      </x:c>
      <x:c r="H38" s="7" t="n">
        <x:v>100</x:v>
      </x:c>
      <x:c r="I38" s="7" t="n">
        <x:v>0.5</x:v>
      </x:c>
      <x:c r="J38" s="7" t="str">
        <x:v>kg</x:v>
      </x:c>
      <x:c r="K38" s="10" t="str">
        <x:v>gravimetric transfer</x:v>
      </x:c>
      <x:c r="L38" s="7" t="str"/>
      <x:c r="M38" s="7" t="str"/>
      <x:c r="N38" s="7" t="str">
        <x:v>OPEN</x:v>
      </x:c>
    </x:row>
    <x:row r="39" ht="36" customHeight="1">
      <x:c r="B39" s="7" t="str">
        <x:v>RAE-SP-04-CH-03</x:v>
      </x:c>
      <x:c r="C39" s="7" t="str">
        <x:v>RAE-SP-04</x:v>
      </x:c>
      <x:c r="D39" s="7" t="str">
        <x:v>AM-05</x:v>
      </x:c>
      <x:c r="E39" s="7" t="str">
        <x:v>TR-A</x:v>
      </x:c>
      <x:c r="F39" s="7" t="str">
        <x:v>CH-03</x:v>
      </x:c>
      <x:c r="G39" s="10" t="str">
        <x:v>density</x:v>
      </x:c>
      <x:c r="H39" s="7" t="n">
        <x:v>800</x:v>
      </x:c>
      <x:c r="I39" s="7" t="n">
        <x:v>8</x:v>
      </x:c>
      <x:c r="J39" s="7" t="str">
        <x:v>kg/m3</x:v>
      </x:c>
      <x:c r="K39" s="10" t="str">
        <x:v>temperature-conditioned reference</x:v>
      </x:c>
      <x:c r="L39" s="7" t="str"/>
      <x:c r="M39" s="7" t="str"/>
      <x:c r="N39" s="7" t="str">
        <x:v>OPEN</x:v>
      </x:c>
    </x:row>
    <x:row r="40" ht="36" customHeight="1">
      <x:c r="B40" s="7" t="str">
        <x:v>RAE-SP-04-CH-04</x:v>
      </x:c>
      <x:c r="C40" s="7" t="str">
        <x:v>RAE-SP-04</x:v>
      </x:c>
      <x:c r="D40" s="7" t="str">
        <x:v>AM-05</x:v>
      </x:c>
      <x:c r="E40" s="7" t="str">
        <x:v>TR-A</x:v>
      </x:c>
      <x:c r="F40" s="7" t="str">
        <x:v>CH-04</x:v>
      </x:c>
      <x:c r="G40" s="10" t="str">
        <x:v>lower heating value</x:v>
      </x:c>
      <x:c r="H40" s="7" t="n">
        <x:v>42.588</x:v>
      </x:c>
      <x:c r="I40" s="7" t="n">
        <x:v>0.426</x:v>
      </x:c>
      <x:c r="J40" s="7" t="str">
        <x:v>MJ/kg</x:v>
      </x:c>
      <x:c r="K40" s="10" t="str">
        <x:v>retained laboratory assay</x:v>
      </x:c>
      <x:c r="L40" s="7" t="str"/>
      <x:c r="M40" s="7" t="str"/>
      <x:c r="N40" s="7" t="str">
        <x:v>OPEN</x:v>
      </x:c>
    </x:row>
    <x:row r="41" ht="36" customHeight="1">
      <x:c r="B41" s="7" t="str">
        <x:v>RAE-SP-04-CH-05</x:v>
      </x:c>
      <x:c r="C41" s="7" t="str">
        <x:v>RAE-SP-04</x:v>
      </x:c>
      <x:c r="D41" s="7" t="str">
        <x:v>AM-05</x:v>
      </x:c>
      <x:c r="E41" s="7" t="str">
        <x:v>TR-A</x:v>
      </x:c>
      <x:c r="F41" s="7" t="str">
        <x:v>CH-05</x:v>
      </x:c>
      <x:c r="G41" s="10" t="str">
        <x:v>temperature</x:v>
      </x:c>
      <x:c r="H41" s="7" t="n">
        <x:v>20</x:v>
      </x:c>
      <x:c r="I41" s="7" t="n">
        <x:v>2</x:v>
      </x:c>
      <x:c r="J41" s="7" t="str">
        <x:v>deg C</x:v>
      </x:c>
      <x:c r="K41" s="10" t="str">
        <x:v>two unlike probes</x:v>
      </x:c>
      <x:c r="L41" s="7" t="str"/>
      <x:c r="M41" s="7" t="str"/>
      <x:c r="N41" s="7" t="str">
        <x:v>OPEN</x:v>
      </x:c>
    </x:row>
    <x:row r="42" ht="36" customHeight="1">
      <x:c r="B42" s="7" t="str">
        <x:v>RAE-SP-04-CH-06</x:v>
      </x:c>
      <x:c r="C42" s="7" t="str">
        <x:v>RAE-SP-04</x:v>
      </x:c>
      <x:c r="D42" s="7" t="str">
        <x:v>AM-05</x:v>
      </x:c>
      <x:c r="E42" s="7" t="str">
        <x:v>TR-A</x:v>
      </x:c>
      <x:c r="F42" s="7" t="str">
        <x:v>CH-06</x:v>
      </x:c>
      <x:c r="G42" s="10" t="str">
        <x:v>water fraction ceiling</x:v>
      </x:c>
      <x:c r="H42" s="7" t="n">
        <x:v>0.001</x:v>
      </x:c>
      <x:c r="I42" s="7" t="n">
        <x:v>0.0002</x:v>
      </x:c>
      <x:c r="J42" s="7" t="str">
        <x:v>ratio</x:v>
      </x:c>
      <x:c r="K42" s="10" t="str">
        <x:v>retained assay</x:v>
      </x:c>
      <x:c r="L42" s="7" t="str"/>
      <x:c r="M42" s="7" t="str"/>
      <x:c r="N42" s="7" t="str">
        <x:v>OPEN</x:v>
      </x:c>
    </x:row>
    <x:row r="43" ht="36" customHeight="1">
      <x:c r="B43" s="7" t="str">
        <x:v>RAE-SP-04-CH-07</x:v>
      </x:c>
      <x:c r="C43" s="7" t="str">
        <x:v>RAE-SP-04</x:v>
      </x:c>
      <x:c r="D43" s="7" t="str">
        <x:v>AM-05</x:v>
      </x:c>
      <x:c r="E43" s="7" t="str">
        <x:v>TR-A</x:v>
      </x:c>
      <x:c r="F43" s="7" t="str">
        <x:v>CH-07</x:v>
      </x:c>
      <x:c r="G43" s="10" t="str">
        <x:v>foreign-solids ceiling</x:v>
      </x:c>
      <x:c r="H43" s="7" t="n">
        <x:v>0.001</x:v>
      </x:c>
      <x:c r="I43" s="7" t="n">
        <x:v>0.0002</x:v>
      </x:c>
      <x:c r="J43" s="7" t="str">
        <x:v>ratio</x:v>
      </x:c>
      <x:c r="K43" s="10" t="str">
        <x:v>filter and retained assay</x:v>
      </x:c>
      <x:c r="L43" s="7" t="str"/>
      <x:c r="M43" s="7" t="str"/>
      <x:c r="N43" s="7" t="str">
        <x:v>OPEN</x:v>
      </x:c>
    </x:row>
    <x:row r="44" ht="36" customHeight="1">
      <x:c r="B44" s="7" t="str">
        <x:v>RAE-SP-04-CH-08</x:v>
      </x:c>
      <x:c r="C44" s="7" t="str">
        <x:v>RAE-SP-04</x:v>
      </x:c>
      <x:c r="D44" s="7" t="str">
        <x:v>AM-05</x:v>
      </x:c>
      <x:c r="E44" s="7" t="str">
        <x:v>TR-A</x:v>
      </x:c>
      <x:c r="F44" s="7" t="str">
        <x:v>CH-08</x:v>
      </x:c>
      <x:c r="G44" s="10" t="str">
        <x:v>ancestry recovery floor</x:v>
      </x:c>
      <x:c r="H44" s="7" t="n">
        <x:v>0.995</x:v>
      </x:c>
      <x:c r="I44" s="7" t="n">
        <x:v>0.001</x:v>
      </x:c>
      <x:c r="J44" s="7" t="str">
        <x:v>ratio</x:v>
      </x:c>
      <x:c r="K44" s="10" t="str">
        <x:v>root-specific code</x:v>
      </x:c>
      <x:c r="L44" s="7" t="str"/>
      <x:c r="M44" s="7" t="str"/>
      <x:c r="N44" s="7" t="str">
        <x:v>OPEN</x:v>
      </x:c>
    </x:row>
    <x:row r="45" ht="36" customHeight="1">
      <x:c r="B45" s="7" t="str">
        <x:v>RAE-SP-04-CH-09</x:v>
      </x:c>
      <x:c r="C45" s="7" t="str">
        <x:v>RAE-SP-04</x:v>
      </x:c>
      <x:c r="D45" s="7" t="str">
        <x:v>AM-05</x:v>
      </x:c>
      <x:c r="E45" s="7" t="str">
        <x:v>TR-A</x:v>
      </x:c>
      <x:c r="F45" s="7" t="str">
        <x:v>CH-09</x:v>
      </x:c>
      <x:c r="G45" s="10" t="str">
        <x:v>custody seal</x:v>
      </x:c>
      <x:c r="H45" s="7" t="str">
        <x:v>MATCH</x:v>
      </x:c>
      <x:c r="I45" s="7" t="str">
        <x:v>n.a.</x:v>
      </x:c>
      <x:c r="J45" s="7" t="str">
        <x:v>state</x:v>
      </x:c>
      <x:c r="K45" s="10" t="str">
        <x:v>two-person seal verification</x:v>
      </x:c>
      <x:c r="L45" s="7" t="str"/>
      <x:c r="M45" s="7" t="str"/>
      <x:c r="N45" s="7" t="str">
        <x:v>OPEN</x:v>
      </x:c>
    </x:row>
    <x:row r="46" ht="36" customHeight="1">
      <x:c r="B46" s="7" t="str">
        <x:v>RAE-SP-04-CH-10</x:v>
      </x:c>
      <x:c r="C46" s="7" t="str">
        <x:v>RAE-SP-04</x:v>
      </x:c>
      <x:c r="D46" s="7" t="str">
        <x:v>AM-05</x:v>
      </x:c>
      <x:c r="E46" s="7" t="str">
        <x:v>TR-A</x:v>
      </x:c>
      <x:c r="F46" s="7" t="str">
        <x:v>CH-10</x:v>
      </x:c>
      <x:c r="G46" s="10" t="str">
        <x:v>retained sample set</x:v>
      </x:c>
      <x:c r="H46" s="7" t="str">
        <x:v>THREE</x:v>
      </x:c>
      <x:c r="I46" s="7" t="str">
        <x:v>n.a.</x:v>
      </x:c>
      <x:c r="J46" s="7" t="str">
        <x:v>count</x:v>
      </x:c>
      <x:c r="K46" s="10" t="str">
        <x:v>pre, post and archive</x:v>
      </x:c>
      <x:c r="L46" s="7" t="str"/>
      <x:c r="M46" s="7" t="str"/>
      <x:c r="N46" s="7" t="str">
        <x:v>OPEN</x:v>
      </x:c>
    </x:row>
    <x:row r="47" ht="36" customHeight="1">
      <x:c r="B47" s="7" t="str">
        <x:v>RAE-SP-05-CH-01</x:v>
      </x:c>
      <x:c r="C47" s="7" t="str">
        <x:v>RAE-SP-05</x:v>
      </x:c>
      <x:c r="D47" s="7" t="str">
        <x:v>AM-05</x:v>
      </x:c>
      <x:c r="E47" s="7" t="str">
        <x:v>TR-A</x:v>
      </x:c>
      <x:c r="F47" s="7" t="str">
        <x:v>CH-01</x:v>
      </x:c>
      <x:c r="G47" s="10" t="str">
        <x:v>gross package mass</x:v>
      </x:c>
      <x:c r="H47" s="7" t="n">
        <x:v>125</x:v>
      </x:c>
      <x:c r="I47" s="7" t="n">
        <x:v>0.25</x:v>
      </x:c>
      <x:c r="J47" s="7" t="str">
        <x:v>kg</x:v>
      </x:c>
      <x:c r="K47" s="10" t="str">
        <x:v>gravimetric root</x:v>
      </x:c>
      <x:c r="L47" s="7" t="str"/>
      <x:c r="M47" s="7" t="str"/>
      <x:c r="N47" s="7" t="str">
        <x:v>OPEN</x:v>
      </x:c>
    </x:row>
    <x:row r="48" ht="36" customHeight="1">
      <x:c r="B48" s="7" t="str">
        <x:v>RAE-SP-05-CH-02</x:v>
      </x:c>
      <x:c r="C48" s="7" t="str">
        <x:v>RAE-SP-05</x:v>
      </x:c>
      <x:c r="D48" s="7" t="str">
        <x:v>AM-05</x:v>
      </x:c>
      <x:c r="E48" s="7" t="str">
        <x:v>TR-A</x:v>
      </x:c>
      <x:c r="F48" s="7" t="str">
        <x:v>CH-02</x:v>
      </x:c>
      <x:c r="G48" s="10" t="str">
        <x:v>event aliquot mass</x:v>
      </x:c>
      <x:c r="H48" s="7" t="n">
        <x:v>100</x:v>
      </x:c>
      <x:c r="I48" s="7" t="n">
        <x:v>0.5</x:v>
      </x:c>
      <x:c r="J48" s="7" t="str">
        <x:v>kg</x:v>
      </x:c>
      <x:c r="K48" s="10" t="str">
        <x:v>gravimetric transfer</x:v>
      </x:c>
      <x:c r="L48" s="7" t="str"/>
      <x:c r="M48" s="7" t="str"/>
      <x:c r="N48" s="7" t="str">
        <x:v>OPEN</x:v>
      </x:c>
    </x:row>
    <x:row r="49" ht="36" customHeight="1">
      <x:c r="B49" s="7" t="str">
        <x:v>RAE-SP-05-CH-03</x:v>
      </x:c>
      <x:c r="C49" s="7" t="str">
        <x:v>RAE-SP-05</x:v>
      </x:c>
      <x:c r="D49" s="7" t="str">
        <x:v>AM-05</x:v>
      </x:c>
      <x:c r="E49" s="7" t="str">
        <x:v>TR-A</x:v>
      </x:c>
      <x:c r="F49" s="7" t="str">
        <x:v>CH-03</x:v>
      </x:c>
      <x:c r="G49" s="10" t="str">
        <x:v>density</x:v>
      </x:c>
      <x:c r="H49" s="7" t="n">
        <x:v>800</x:v>
      </x:c>
      <x:c r="I49" s="7" t="n">
        <x:v>8</x:v>
      </x:c>
      <x:c r="J49" s="7" t="str">
        <x:v>kg/m3</x:v>
      </x:c>
      <x:c r="K49" s="10" t="str">
        <x:v>temperature-conditioned reference</x:v>
      </x:c>
      <x:c r="L49" s="7" t="str"/>
      <x:c r="M49" s="7" t="str"/>
      <x:c r="N49" s="7" t="str">
        <x:v>OPEN</x:v>
      </x:c>
    </x:row>
    <x:row r="50" ht="36" customHeight="1">
      <x:c r="B50" s="7" t="str">
        <x:v>RAE-SP-05-CH-04</x:v>
      </x:c>
      <x:c r="C50" s="7" t="str">
        <x:v>RAE-SP-05</x:v>
      </x:c>
      <x:c r="D50" s="7" t="str">
        <x:v>AM-05</x:v>
      </x:c>
      <x:c r="E50" s="7" t="str">
        <x:v>TR-A</x:v>
      </x:c>
      <x:c r="F50" s="7" t="str">
        <x:v>CH-04</x:v>
      </x:c>
      <x:c r="G50" s="10" t="str">
        <x:v>lower heating value</x:v>
      </x:c>
      <x:c r="H50" s="7" t="n">
        <x:v>42.588</x:v>
      </x:c>
      <x:c r="I50" s="7" t="n">
        <x:v>0.426</x:v>
      </x:c>
      <x:c r="J50" s="7" t="str">
        <x:v>MJ/kg</x:v>
      </x:c>
      <x:c r="K50" s="10" t="str">
        <x:v>retained laboratory assay</x:v>
      </x:c>
      <x:c r="L50" s="7" t="str"/>
      <x:c r="M50" s="7" t="str"/>
      <x:c r="N50" s="7" t="str">
        <x:v>OPEN</x:v>
      </x:c>
    </x:row>
    <x:row r="51" ht="36" customHeight="1">
      <x:c r="B51" s="7" t="str">
        <x:v>RAE-SP-05-CH-05</x:v>
      </x:c>
      <x:c r="C51" s="7" t="str">
        <x:v>RAE-SP-05</x:v>
      </x:c>
      <x:c r="D51" s="7" t="str">
        <x:v>AM-05</x:v>
      </x:c>
      <x:c r="E51" s="7" t="str">
        <x:v>TR-A</x:v>
      </x:c>
      <x:c r="F51" s="7" t="str">
        <x:v>CH-05</x:v>
      </x:c>
      <x:c r="G51" s="10" t="str">
        <x:v>temperature</x:v>
      </x:c>
      <x:c r="H51" s="7" t="n">
        <x:v>20</x:v>
      </x:c>
      <x:c r="I51" s="7" t="n">
        <x:v>2</x:v>
      </x:c>
      <x:c r="J51" s="7" t="str">
        <x:v>deg C</x:v>
      </x:c>
      <x:c r="K51" s="10" t="str">
        <x:v>two unlike probes</x:v>
      </x:c>
      <x:c r="L51" s="7" t="str"/>
      <x:c r="M51" s="7" t="str"/>
      <x:c r="N51" s="7" t="str">
        <x:v>OPEN</x:v>
      </x:c>
    </x:row>
    <x:row r="52" ht="36" customHeight="1">
      <x:c r="B52" s="7" t="str">
        <x:v>RAE-SP-05-CH-06</x:v>
      </x:c>
      <x:c r="C52" s="7" t="str">
        <x:v>RAE-SP-05</x:v>
      </x:c>
      <x:c r="D52" s="7" t="str">
        <x:v>AM-05</x:v>
      </x:c>
      <x:c r="E52" s="7" t="str">
        <x:v>TR-A</x:v>
      </x:c>
      <x:c r="F52" s="7" t="str">
        <x:v>CH-06</x:v>
      </x:c>
      <x:c r="G52" s="10" t="str">
        <x:v>water fraction ceiling</x:v>
      </x:c>
      <x:c r="H52" s="7" t="n">
        <x:v>0.001</x:v>
      </x:c>
      <x:c r="I52" s="7" t="n">
        <x:v>0.0002</x:v>
      </x:c>
      <x:c r="J52" s="7" t="str">
        <x:v>ratio</x:v>
      </x:c>
      <x:c r="K52" s="10" t="str">
        <x:v>retained assay</x:v>
      </x:c>
      <x:c r="L52" s="7" t="str"/>
      <x:c r="M52" s="7" t="str"/>
      <x:c r="N52" s="7" t="str">
        <x:v>OPEN</x:v>
      </x:c>
    </x:row>
    <x:row r="53" ht="36" customHeight="1">
      <x:c r="B53" s="7" t="str">
        <x:v>RAE-SP-05-CH-07</x:v>
      </x:c>
      <x:c r="C53" s="7" t="str">
        <x:v>RAE-SP-05</x:v>
      </x:c>
      <x:c r="D53" s="7" t="str">
        <x:v>AM-05</x:v>
      </x:c>
      <x:c r="E53" s="7" t="str">
        <x:v>TR-A</x:v>
      </x:c>
      <x:c r="F53" s="7" t="str">
        <x:v>CH-07</x:v>
      </x:c>
      <x:c r="G53" s="10" t="str">
        <x:v>foreign-solids ceiling</x:v>
      </x:c>
      <x:c r="H53" s="7" t="n">
        <x:v>0.001</x:v>
      </x:c>
      <x:c r="I53" s="7" t="n">
        <x:v>0.0002</x:v>
      </x:c>
      <x:c r="J53" s="7" t="str">
        <x:v>ratio</x:v>
      </x:c>
      <x:c r="K53" s="10" t="str">
        <x:v>filter and retained assay</x:v>
      </x:c>
      <x:c r="L53" s="7" t="str"/>
      <x:c r="M53" s="7" t="str"/>
      <x:c r="N53" s="7" t="str">
        <x:v>OPEN</x:v>
      </x:c>
    </x:row>
    <x:row r="54" ht="36" customHeight="1">
      <x:c r="B54" s="7" t="str">
        <x:v>RAE-SP-05-CH-08</x:v>
      </x:c>
      <x:c r="C54" s="7" t="str">
        <x:v>RAE-SP-05</x:v>
      </x:c>
      <x:c r="D54" s="7" t="str">
        <x:v>AM-05</x:v>
      </x:c>
      <x:c r="E54" s="7" t="str">
        <x:v>TR-A</x:v>
      </x:c>
      <x:c r="F54" s="7" t="str">
        <x:v>CH-08</x:v>
      </x:c>
      <x:c r="G54" s="10" t="str">
        <x:v>ancestry recovery floor</x:v>
      </x:c>
      <x:c r="H54" s="7" t="n">
        <x:v>0.995</x:v>
      </x:c>
      <x:c r="I54" s="7" t="n">
        <x:v>0.001</x:v>
      </x:c>
      <x:c r="J54" s="7" t="str">
        <x:v>ratio</x:v>
      </x:c>
      <x:c r="K54" s="10" t="str">
        <x:v>root-specific code</x:v>
      </x:c>
      <x:c r="L54" s="7" t="str"/>
      <x:c r="M54" s="7" t="str"/>
      <x:c r="N54" s="7" t="str">
        <x:v>OPEN</x:v>
      </x:c>
    </x:row>
    <x:row r="55" ht="36" customHeight="1">
      <x:c r="B55" s="7" t="str">
        <x:v>RAE-SP-05-CH-09</x:v>
      </x:c>
      <x:c r="C55" s="7" t="str">
        <x:v>RAE-SP-05</x:v>
      </x:c>
      <x:c r="D55" s="7" t="str">
        <x:v>AM-05</x:v>
      </x:c>
      <x:c r="E55" s="7" t="str">
        <x:v>TR-A</x:v>
      </x:c>
      <x:c r="F55" s="7" t="str">
        <x:v>CH-09</x:v>
      </x:c>
      <x:c r="G55" s="10" t="str">
        <x:v>custody seal</x:v>
      </x:c>
      <x:c r="H55" s="7" t="str">
        <x:v>MATCH</x:v>
      </x:c>
      <x:c r="I55" s="7" t="str">
        <x:v>n.a.</x:v>
      </x:c>
      <x:c r="J55" s="7" t="str">
        <x:v>state</x:v>
      </x:c>
      <x:c r="K55" s="10" t="str">
        <x:v>two-person seal verification</x:v>
      </x:c>
      <x:c r="L55" s="7" t="str"/>
      <x:c r="M55" s="7" t="str"/>
      <x:c r="N55" s="7" t="str">
        <x:v>OPEN</x:v>
      </x:c>
    </x:row>
    <x:row r="56" ht="36" customHeight="1">
      <x:c r="B56" s="7" t="str">
        <x:v>RAE-SP-05-CH-10</x:v>
      </x:c>
      <x:c r="C56" s="7" t="str">
        <x:v>RAE-SP-05</x:v>
      </x:c>
      <x:c r="D56" s="7" t="str">
        <x:v>AM-05</x:v>
      </x:c>
      <x:c r="E56" s="7" t="str">
        <x:v>TR-A</x:v>
      </x:c>
      <x:c r="F56" s="7" t="str">
        <x:v>CH-10</x:v>
      </x:c>
      <x:c r="G56" s="10" t="str">
        <x:v>retained sample set</x:v>
      </x:c>
      <x:c r="H56" s="7" t="str">
        <x:v>THREE</x:v>
      </x:c>
      <x:c r="I56" s="7" t="str">
        <x:v>n.a.</x:v>
      </x:c>
      <x:c r="J56" s="7" t="str">
        <x:v>count</x:v>
      </x:c>
      <x:c r="K56" s="10" t="str">
        <x:v>pre, post and archive</x:v>
      </x:c>
      <x:c r="L56" s="7" t="str"/>
      <x:c r="M56" s="7" t="str"/>
      <x:c r="N56" s="7" t="str">
        <x:v>OPEN</x:v>
      </x:c>
    </x:row>
    <x:row r="57" ht="36" customHeight="1">
      <x:c r="B57" s="7" t="str">
        <x:v>RAE-SP-06-CH-01</x:v>
      </x:c>
      <x:c r="C57" s="7" t="str">
        <x:v>RAE-SP-06</x:v>
      </x:c>
      <x:c r="D57" s="7" t="str">
        <x:v>AM-05</x:v>
      </x:c>
      <x:c r="E57" s="7" t="str">
        <x:v>TR-A</x:v>
      </x:c>
      <x:c r="F57" s="7" t="str">
        <x:v>CH-01</x:v>
      </x:c>
      <x:c r="G57" s="10" t="str">
        <x:v>gross package mass</x:v>
      </x:c>
      <x:c r="H57" s="7" t="n">
        <x:v>125</x:v>
      </x:c>
      <x:c r="I57" s="7" t="n">
        <x:v>0.25</x:v>
      </x:c>
      <x:c r="J57" s="7" t="str">
        <x:v>kg</x:v>
      </x:c>
      <x:c r="K57" s="10" t="str">
        <x:v>gravimetric root</x:v>
      </x:c>
      <x:c r="L57" s="7" t="str"/>
      <x:c r="M57" s="7" t="str"/>
      <x:c r="N57" s="7" t="str">
        <x:v>OPEN</x:v>
      </x:c>
    </x:row>
    <x:row r="58" ht="36" customHeight="1">
      <x:c r="B58" s="7" t="str">
        <x:v>RAE-SP-06-CH-02</x:v>
      </x:c>
      <x:c r="C58" s="7" t="str">
        <x:v>RAE-SP-06</x:v>
      </x:c>
      <x:c r="D58" s="7" t="str">
        <x:v>AM-05</x:v>
      </x:c>
      <x:c r="E58" s="7" t="str">
        <x:v>TR-A</x:v>
      </x:c>
      <x:c r="F58" s="7" t="str">
        <x:v>CH-02</x:v>
      </x:c>
      <x:c r="G58" s="10" t="str">
        <x:v>event aliquot mass</x:v>
      </x:c>
      <x:c r="H58" s="7" t="n">
        <x:v>100</x:v>
      </x:c>
      <x:c r="I58" s="7" t="n">
        <x:v>0.5</x:v>
      </x:c>
      <x:c r="J58" s="7" t="str">
        <x:v>kg</x:v>
      </x:c>
      <x:c r="K58" s="10" t="str">
        <x:v>gravimetric transfer</x:v>
      </x:c>
      <x:c r="L58" s="7" t="str"/>
      <x:c r="M58" s="7" t="str"/>
      <x:c r="N58" s="7" t="str">
        <x:v>OPEN</x:v>
      </x:c>
    </x:row>
    <x:row r="59" ht="36" customHeight="1">
      <x:c r="B59" s="7" t="str">
        <x:v>RAE-SP-06-CH-03</x:v>
      </x:c>
      <x:c r="C59" s="7" t="str">
        <x:v>RAE-SP-06</x:v>
      </x:c>
      <x:c r="D59" s="7" t="str">
        <x:v>AM-05</x:v>
      </x:c>
      <x:c r="E59" s="7" t="str">
        <x:v>TR-A</x:v>
      </x:c>
      <x:c r="F59" s="7" t="str">
        <x:v>CH-03</x:v>
      </x:c>
      <x:c r="G59" s="10" t="str">
        <x:v>density</x:v>
      </x:c>
      <x:c r="H59" s="7" t="n">
        <x:v>800</x:v>
      </x:c>
      <x:c r="I59" s="7" t="n">
        <x:v>8</x:v>
      </x:c>
      <x:c r="J59" s="7" t="str">
        <x:v>kg/m3</x:v>
      </x:c>
      <x:c r="K59" s="10" t="str">
        <x:v>temperature-conditioned reference</x:v>
      </x:c>
      <x:c r="L59" s="7" t="str"/>
      <x:c r="M59" s="7" t="str"/>
      <x:c r="N59" s="7" t="str">
        <x:v>OPEN</x:v>
      </x:c>
    </x:row>
    <x:row r="60" ht="36" customHeight="1">
      <x:c r="B60" s="7" t="str">
        <x:v>RAE-SP-06-CH-04</x:v>
      </x:c>
      <x:c r="C60" s="7" t="str">
        <x:v>RAE-SP-06</x:v>
      </x:c>
      <x:c r="D60" s="7" t="str">
        <x:v>AM-05</x:v>
      </x:c>
      <x:c r="E60" s="7" t="str">
        <x:v>TR-A</x:v>
      </x:c>
      <x:c r="F60" s="7" t="str">
        <x:v>CH-04</x:v>
      </x:c>
      <x:c r="G60" s="10" t="str">
        <x:v>lower heating value</x:v>
      </x:c>
      <x:c r="H60" s="7" t="n">
        <x:v>42.588</x:v>
      </x:c>
      <x:c r="I60" s="7" t="n">
        <x:v>0.426</x:v>
      </x:c>
      <x:c r="J60" s="7" t="str">
        <x:v>MJ/kg</x:v>
      </x:c>
      <x:c r="K60" s="10" t="str">
        <x:v>retained laboratory assay</x:v>
      </x:c>
      <x:c r="L60" s="7" t="str"/>
      <x:c r="M60" s="7" t="str"/>
      <x:c r="N60" s="7" t="str">
        <x:v>OPEN</x:v>
      </x:c>
    </x:row>
    <x:row r="61" ht="36" customHeight="1">
      <x:c r="B61" s="7" t="str">
        <x:v>RAE-SP-06-CH-05</x:v>
      </x:c>
      <x:c r="C61" s="7" t="str">
        <x:v>RAE-SP-06</x:v>
      </x:c>
      <x:c r="D61" s="7" t="str">
        <x:v>AM-05</x:v>
      </x:c>
      <x:c r="E61" s="7" t="str">
        <x:v>TR-A</x:v>
      </x:c>
      <x:c r="F61" s="7" t="str">
        <x:v>CH-05</x:v>
      </x:c>
      <x:c r="G61" s="10" t="str">
        <x:v>temperature</x:v>
      </x:c>
      <x:c r="H61" s="7" t="n">
        <x:v>20</x:v>
      </x:c>
      <x:c r="I61" s="7" t="n">
        <x:v>2</x:v>
      </x:c>
      <x:c r="J61" s="7" t="str">
        <x:v>deg C</x:v>
      </x:c>
      <x:c r="K61" s="10" t="str">
        <x:v>two unlike probes</x:v>
      </x:c>
      <x:c r="L61" s="7" t="str"/>
      <x:c r="M61" s="7" t="str"/>
      <x:c r="N61" s="7" t="str">
        <x:v>OPEN</x:v>
      </x:c>
    </x:row>
    <x:row r="62" ht="36" customHeight="1">
      <x:c r="B62" s="7" t="str">
        <x:v>RAE-SP-06-CH-06</x:v>
      </x:c>
      <x:c r="C62" s="7" t="str">
        <x:v>RAE-SP-06</x:v>
      </x:c>
      <x:c r="D62" s="7" t="str">
        <x:v>AM-05</x:v>
      </x:c>
      <x:c r="E62" s="7" t="str">
        <x:v>TR-A</x:v>
      </x:c>
      <x:c r="F62" s="7" t="str">
        <x:v>CH-06</x:v>
      </x:c>
      <x:c r="G62" s="10" t="str">
        <x:v>water fraction ceiling</x:v>
      </x:c>
      <x:c r="H62" s="7" t="n">
        <x:v>0.001</x:v>
      </x:c>
      <x:c r="I62" s="7" t="n">
        <x:v>0.0002</x:v>
      </x:c>
      <x:c r="J62" s="7" t="str">
        <x:v>ratio</x:v>
      </x:c>
      <x:c r="K62" s="10" t="str">
        <x:v>retained assay</x:v>
      </x:c>
      <x:c r="L62" s="7" t="str"/>
      <x:c r="M62" s="7" t="str"/>
      <x:c r="N62" s="7" t="str">
        <x:v>OPEN</x:v>
      </x:c>
    </x:row>
    <x:row r="63" ht="36" customHeight="1">
      <x:c r="B63" s="7" t="str">
        <x:v>RAE-SP-06-CH-07</x:v>
      </x:c>
      <x:c r="C63" s="7" t="str">
        <x:v>RAE-SP-06</x:v>
      </x:c>
      <x:c r="D63" s="7" t="str">
        <x:v>AM-05</x:v>
      </x:c>
      <x:c r="E63" s="7" t="str">
        <x:v>TR-A</x:v>
      </x:c>
      <x:c r="F63" s="7" t="str">
        <x:v>CH-07</x:v>
      </x:c>
      <x:c r="G63" s="10" t="str">
        <x:v>foreign-solids ceiling</x:v>
      </x:c>
      <x:c r="H63" s="7" t="n">
        <x:v>0.001</x:v>
      </x:c>
      <x:c r="I63" s="7" t="n">
        <x:v>0.0002</x:v>
      </x:c>
      <x:c r="J63" s="7" t="str">
        <x:v>ratio</x:v>
      </x:c>
      <x:c r="K63" s="10" t="str">
        <x:v>filter and retained assay</x:v>
      </x:c>
      <x:c r="L63" s="7" t="str"/>
      <x:c r="M63" s="7" t="str"/>
      <x:c r="N63" s="7" t="str">
        <x:v>OPEN</x:v>
      </x:c>
    </x:row>
    <x:row r="64" ht="36" customHeight="1">
      <x:c r="B64" s="7" t="str">
        <x:v>RAE-SP-06-CH-08</x:v>
      </x:c>
      <x:c r="C64" s="7" t="str">
        <x:v>RAE-SP-06</x:v>
      </x:c>
      <x:c r="D64" s="7" t="str">
        <x:v>AM-05</x:v>
      </x:c>
      <x:c r="E64" s="7" t="str">
        <x:v>TR-A</x:v>
      </x:c>
      <x:c r="F64" s="7" t="str">
        <x:v>CH-08</x:v>
      </x:c>
      <x:c r="G64" s="10" t="str">
        <x:v>ancestry recovery floor</x:v>
      </x:c>
      <x:c r="H64" s="7" t="n">
        <x:v>0.995</x:v>
      </x:c>
      <x:c r="I64" s="7" t="n">
        <x:v>0.001</x:v>
      </x:c>
      <x:c r="J64" s="7" t="str">
        <x:v>ratio</x:v>
      </x:c>
      <x:c r="K64" s="10" t="str">
        <x:v>root-specific code</x:v>
      </x:c>
      <x:c r="L64" s="7" t="str"/>
      <x:c r="M64" s="7" t="str"/>
      <x:c r="N64" s="7" t="str">
        <x:v>OPEN</x:v>
      </x:c>
    </x:row>
    <x:row r="65" ht="36" customHeight="1">
      <x:c r="B65" s="7" t="str">
        <x:v>RAE-SP-06-CH-09</x:v>
      </x:c>
      <x:c r="C65" s="7" t="str">
        <x:v>RAE-SP-06</x:v>
      </x:c>
      <x:c r="D65" s="7" t="str">
        <x:v>AM-05</x:v>
      </x:c>
      <x:c r="E65" s="7" t="str">
        <x:v>TR-A</x:v>
      </x:c>
      <x:c r="F65" s="7" t="str">
        <x:v>CH-09</x:v>
      </x:c>
      <x:c r="G65" s="10" t="str">
        <x:v>custody seal</x:v>
      </x:c>
      <x:c r="H65" s="7" t="str">
        <x:v>MATCH</x:v>
      </x:c>
      <x:c r="I65" s="7" t="str">
        <x:v>n.a.</x:v>
      </x:c>
      <x:c r="J65" s="7" t="str">
        <x:v>state</x:v>
      </x:c>
      <x:c r="K65" s="10" t="str">
        <x:v>two-person seal verification</x:v>
      </x:c>
      <x:c r="L65" s="7" t="str"/>
      <x:c r="M65" s="7" t="str"/>
      <x:c r="N65" s="7" t="str">
        <x:v>OPEN</x:v>
      </x:c>
    </x:row>
    <x:row r="66" ht="36" customHeight="1">
      <x:c r="B66" s="7" t="str">
        <x:v>RAE-SP-06-CH-10</x:v>
      </x:c>
      <x:c r="C66" s="7" t="str">
        <x:v>RAE-SP-06</x:v>
      </x:c>
      <x:c r="D66" s="7" t="str">
        <x:v>AM-05</x:v>
      </x:c>
      <x:c r="E66" s="7" t="str">
        <x:v>TR-A</x:v>
      </x:c>
      <x:c r="F66" s="7" t="str">
        <x:v>CH-10</x:v>
      </x:c>
      <x:c r="G66" s="10" t="str">
        <x:v>retained sample set</x:v>
      </x:c>
      <x:c r="H66" s="7" t="str">
        <x:v>THREE</x:v>
      </x:c>
      <x:c r="I66" s="7" t="str">
        <x:v>n.a.</x:v>
      </x:c>
      <x:c r="J66" s="7" t="str">
        <x:v>count</x:v>
      </x:c>
      <x:c r="K66" s="10" t="str">
        <x:v>pre, post and archive</x:v>
      </x:c>
      <x:c r="L66" s="7" t="str"/>
      <x:c r="M66" s="7" t="str"/>
      <x:c r="N66" s="7" t="str">
        <x:v>OPEN</x:v>
      </x:c>
    </x:row>
    <x:row r="67" ht="36" customHeight="1">
      <x:c r="B67" s="7" t="str">
        <x:v>RAE-SP-07-CH-01</x:v>
      </x:c>
      <x:c r="C67" s="7" t="str">
        <x:v>RAE-SP-07</x:v>
      </x:c>
      <x:c r="D67" s="7" t="str">
        <x:v>AM-05</x:v>
      </x:c>
      <x:c r="E67" s="7" t="str">
        <x:v>TR-B</x:v>
      </x:c>
      <x:c r="F67" s="7" t="str">
        <x:v>CH-01</x:v>
      </x:c>
      <x:c r="G67" s="10" t="str">
        <x:v>gross package mass</x:v>
      </x:c>
      <x:c r="H67" s="7" t="n">
        <x:v>125</x:v>
      </x:c>
      <x:c r="I67" s="7" t="n">
        <x:v>0.25</x:v>
      </x:c>
      <x:c r="J67" s="7" t="str">
        <x:v>kg</x:v>
      </x:c>
      <x:c r="K67" s="10" t="str">
        <x:v>gravimetric root</x:v>
      </x:c>
      <x:c r="L67" s="7" t="str"/>
      <x:c r="M67" s="7" t="str"/>
      <x:c r="N67" s="7" t="str">
        <x:v>OPEN</x:v>
      </x:c>
    </x:row>
    <x:row r="68" ht="36" customHeight="1">
      <x:c r="B68" s="7" t="str">
        <x:v>RAE-SP-07-CH-02</x:v>
      </x:c>
      <x:c r="C68" s="7" t="str">
        <x:v>RAE-SP-07</x:v>
      </x:c>
      <x:c r="D68" s="7" t="str">
        <x:v>AM-05</x:v>
      </x:c>
      <x:c r="E68" s="7" t="str">
        <x:v>TR-B</x:v>
      </x:c>
      <x:c r="F68" s="7" t="str">
        <x:v>CH-02</x:v>
      </x:c>
      <x:c r="G68" s="10" t="str">
        <x:v>event aliquot mass</x:v>
      </x:c>
      <x:c r="H68" s="7" t="n">
        <x:v>100</x:v>
      </x:c>
      <x:c r="I68" s="7" t="n">
        <x:v>0.5</x:v>
      </x:c>
      <x:c r="J68" s="7" t="str">
        <x:v>kg</x:v>
      </x:c>
      <x:c r="K68" s="10" t="str">
        <x:v>gravimetric transfer</x:v>
      </x:c>
      <x:c r="L68" s="7" t="str"/>
      <x:c r="M68" s="7" t="str"/>
      <x:c r="N68" s="7" t="str">
        <x:v>OPEN</x:v>
      </x:c>
    </x:row>
    <x:row r="69" ht="36" customHeight="1">
      <x:c r="B69" s="7" t="str">
        <x:v>RAE-SP-07-CH-03</x:v>
      </x:c>
      <x:c r="C69" s="7" t="str">
        <x:v>RAE-SP-07</x:v>
      </x:c>
      <x:c r="D69" s="7" t="str">
        <x:v>AM-05</x:v>
      </x:c>
      <x:c r="E69" s="7" t="str">
        <x:v>TR-B</x:v>
      </x:c>
      <x:c r="F69" s="7" t="str">
        <x:v>CH-03</x:v>
      </x:c>
      <x:c r="G69" s="10" t="str">
        <x:v>density</x:v>
      </x:c>
      <x:c r="H69" s="7" t="n">
        <x:v>800</x:v>
      </x:c>
      <x:c r="I69" s="7" t="n">
        <x:v>8</x:v>
      </x:c>
      <x:c r="J69" s="7" t="str">
        <x:v>kg/m3</x:v>
      </x:c>
      <x:c r="K69" s="10" t="str">
        <x:v>temperature-conditioned reference</x:v>
      </x:c>
      <x:c r="L69" s="7" t="str"/>
      <x:c r="M69" s="7" t="str"/>
      <x:c r="N69" s="7" t="str">
        <x:v>OPEN</x:v>
      </x:c>
    </x:row>
    <x:row r="70" ht="36" customHeight="1">
      <x:c r="B70" s="7" t="str">
        <x:v>RAE-SP-07-CH-04</x:v>
      </x:c>
      <x:c r="C70" s="7" t="str">
        <x:v>RAE-SP-07</x:v>
      </x:c>
      <x:c r="D70" s="7" t="str">
        <x:v>AM-05</x:v>
      </x:c>
      <x:c r="E70" s="7" t="str">
        <x:v>TR-B</x:v>
      </x:c>
      <x:c r="F70" s="7" t="str">
        <x:v>CH-04</x:v>
      </x:c>
      <x:c r="G70" s="10" t="str">
        <x:v>lower heating value</x:v>
      </x:c>
      <x:c r="H70" s="7" t="n">
        <x:v>42.588</x:v>
      </x:c>
      <x:c r="I70" s="7" t="n">
        <x:v>0.426</x:v>
      </x:c>
      <x:c r="J70" s="7" t="str">
        <x:v>MJ/kg</x:v>
      </x:c>
      <x:c r="K70" s="10" t="str">
        <x:v>retained laboratory assay</x:v>
      </x:c>
      <x:c r="L70" s="7" t="str"/>
      <x:c r="M70" s="7" t="str"/>
      <x:c r="N70" s="7" t="str">
        <x:v>OPEN</x:v>
      </x:c>
    </x:row>
    <x:row r="71" ht="36" customHeight="1">
      <x:c r="B71" s="7" t="str">
        <x:v>RAE-SP-07-CH-05</x:v>
      </x:c>
      <x:c r="C71" s="7" t="str">
        <x:v>RAE-SP-07</x:v>
      </x:c>
      <x:c r="D71" s="7" t="str">
        <x:v>AM-05</x:v>
      </x:c>
      <x:c r="E71" s="7" t="str">
        <x:v>TR-B</x:v>
      </x:c>
      <x:c r="F71" s="7" t="str">
        <x:v>CH-05</x:v>
      </x:c>
      <x:c r="G71" s="10" t="str">
        <x:v>temperature</x:v>
      </x:c>
      <x:c r="H71" s="7" t="n">
        <x:v>20</x:v>
      </x:c>
      <x:c r="I71" s="7" t="n">
        <x:v>2</x:v>
      </x:c>
      <x:c r="J71" s="7" t="str">
        <x:v>deg C</x:v>
      </x:c>
      <x:c r="K71" s="10" t="str">
        <x:v>two unlike probes</x:v>
      </x:c>
      <x:c r="L71" s="7" t="str"/>
      <x:c r="M71" s="7" t="str"/>
      <x:c r="N71" s="7" t="str">
        <x:v>OPEN</x:v>
      </x:c>
    </x:row>
    <x:row r="72" ht="36" customHeight="1">
      <x:c r="B72" s="7" t="str">
        <x:v>RAE-SP-07-CH-06</x:v>
      </x:c>
      <x:c r="C72" s="7" t="str">
        <x:v>RAE-SP-07</x:v>
      </x:c>
      <x:c r="D72" s="7" t="str">
        <x:v>AM-05</x:v>
      </x:c>
      <x:c r="E72" s="7" t="str">
        <x:v>TR-B</x:v>
      </x:c>
      <x:c r="F72" s="7" t="str">
        <x:v>CH-06</x:v>
      </x:c>
      <x:c r="G72" s="10" t="str">
        <x:v>water fraction ceiling</x:v>
      </x:c>
      <x:c r="H72" s="7" t="n">
        <x:v>0.001</x:v>
      </x:c>
      <x:c r="I72" s="7" t="n">
        <x:v>0.0002</x:v>
      </x:c>
      <x:c r="J72" s="7" t="str">
        <x:v>ratio</x:v>
      </x:c>
      <x:c r="K72" s="10" t="str">
        <x:v>retained assay</x:v>
      </x:c>
      <x:c r="L72" s="7" t="str"/>
      <x:c r="M72" s="7" t="str"/>
      <x:c r="N72" s="7" t="str">
        <x:v>OPEN</x:v>
      </x:c>
    </x:row>
    <x:row r="73" ht="36" customHeight="1">
      <x:c r="B73" s="7" t="str">
        <x:v>RAE-SP-07-CH-07</x:v>
      </x:c>
      <x:c r="C73" s="7" t="str">
        <x:v>RAE-SP-07</x:v>
      </x:c>
      <x:c r="D73" s="7" t="str">
        <x:v>AM-05</x:v>
      </x:c>
      <x:c r="E73" s="7" t="str">
        <x:v>TR-B</x:v>
      </x:c>
      <x:c r="F73" s="7" t="str">
        <x:v>CH-07</x:v>
      </x:c>
      <x:c r="G73" s="10" t="str">
        <x:v>foreign-solids ceiling</x:v>
      </x:c>
      <x:c r="H73" s="7" t="n">
        <x:v>0.001</x:v>
      </x:c>
      <x:c r="I73" s="7" t="n">
        <x:v>0.0002</x:v>
      </x:c>
      <x:c r="J73" s="7" t="str">
        <x:v>ratio</x:v>
      </x:c>
      <x:c r="K73" s="10" t="str">
        <x:v>filter and retained assay</x:v>
      </x:c>
      <x:c r="L73" s="7" t="str"/>
      <x:c r="M73" s="7" t="str"/>
      <x:c r="N73" s="7" t="str">
        <x:v>OPEN</x:v>
      </x:c>
    </x:row>
    <x:row r="74" ht="36" customHeight="1">
      <x:c r="B74" s="7" t="str">
        <x:v>RAE-SP-07-CH-08</x:v>
      </x:c>
      <x:c r="C74" s="7" t="str">
        <x:v>RAE-SP-07</x:v>
      </x:c>
      <x:c r="D74" s="7" t="str">
        <x:v>AM-05</x:v>
      </x:c>
      <x:c r="E74" s="7" t="str">
        <x:v>TR-B</x:v>
      </x:c>
      <x:c r="F74" s="7" t="str">
        <x:v>CH-08</x:v>
      </x:c>
      <x:c r="G74" s="10" t="str">
        <x:v>ancestry recovery floor</x:v>
      </x:c>
      <x:c r="H74" s="7" t="n">
        <x:v>0.995</x:v>
      </x:c>
      <x:c r="I74" s="7" t="n">
        <x:v>0.001</x:v>
      </x:c>
      <x:c r="J74" s="7" t="str">
        <x:v>ratio</x:v>
      </x:c>
      <x:c r="K74" s="10" t="str">
        <x:v>root-specific code</x:v>
      </x:c>
      <x:c r="L74" s="7" t="str"/>
      <x:c r="M74" s="7" t="str"/>
      <x:c r="N74" s="7" t="str">
        <x:v>OPEN</x:v>
      </x:c>
    </x:row>
    <x:row r="75" ht="36" customHeight="1">
      <x:c r="B75" s="7" t="str">
        <x:v>RAE-SP-07-CH-09</x:v>
      </x:c>
      <x:c r="C75" s="7" t="str">
        <x:v>RAE-SP-07</x:v>
      </x:c>
      <x:c r="D75" s="7" t="str">
        <x:v>AM-05</x:v>
      </x:c>
      <x:c r="E75" s="7" t="str">
        <x:v>TR-B</x:v>
      </x:c>
      <x:c r="F75" s="7" t="str">
        <x:v>CH-09</x:v>
      </x:c>
      <x:c r="G75" s="10" t="str">
        <x:v>custody seal</x:v>
      </x:c>
      <x:c r="H75" s="7" t="str">
        <x:v>MATCH</x:v>
      </x:c>
      <x:c r="I75" s="7" t="str">
        <x:v>n.a.</x:v>
      </x:c>
      <x:c r="J75" s="7" t="str">
        <x:v>state</x:v>
      </x:c>
      <x:c r="K75" s="10" t="str">
        <x:v>two-person seal verification</x:v>
      </x:c>
      <x:c r="L75" s="7" t="str"/>
      <x:c r="M75" s="7" t="str"/>
      <x:c r="N75" s="7" t="str">
        <x:v>OPEN</x:v>
      </x:c>
    </x:row>
    <x:row r="76" ht="36" customHeight="1">
      <x:c r="B76" s="7" t="str">
        <x:v>RAE-SP-07-CH-10</x:v>
      </x:c>
      <x:c r="C76" s="7" t="str">
        <x:v>RAE-SP-07</x:v>
      </x:c>
      <x:c r="D76" s="7" t="str">
        <x:v>AM-05</x:v>
      </x:c>
      <x:c r="E76" s="7" t="str">
        <x:v>TR-B</x:v>
      </x:c>
      <x:c r="F76" s="7" t="str">
        <x:v>CH-10</x:v>
      </x:c>
      <x:c r="G76" s="10" t="str">
        <x:v>retained sample set</x:v>
      </x:c>
      <x:c r="H76" s="7" t="str">
        <x:v>THREE</x:v>
      </x:c>
      <x:c r="I76" s="7" t="str">
        <x:v>n.a.</x:v>
      </x:c>
      <x:c r="J76" s="7" t="str">
        <x:v>count</x:v>
      </x:c>
      <x:c r="K76" s="10" t="str">
        <x:v>pre, post and archive</x:v>
      </x:c>
      <x:c r="L76" s="7" t="str"/>
      <x:c r="M76" s="7" t="str"/>
      <x:c r="N76" s="7" t="str">
        <x:v>OPEN</x:v>
      </x:c>
    </x:row>
    <x:row r="77" ht="36" customHeight="1">
      <x:c r="B77" s="7" t="str">
        <x:v>RAE-SP-08-CH-01</x:v>
      </x:c>
      <x:c r="C77" s="7" t="str">
        <x:v>RAE-SP-08</x:v>
      </x:c>
      <x:c r="D77" s="7" t="str">
        <x:v>AM-05</x:v>
      </x:c>
      <x:c r="E77" s="7" t="str">
        <x:v>TR-B</x:v>
      </x:c>
      <x:c r="F77" s="7" t="str">
        <x:v>CH-01</x:v>
      </x:c>
      <x:c r="G77" s="10" t="str">
        <x:v>gross package mass</x:v>
      </x:c>
      <x:c r="H77" s="7" t="n">
        <x:v>125</x:v>
      </x:c>
      <x:c r="I77" s="7" t="n">
        <x:v>0.25</x:v>
      </x:c>
      <x:c r="J77" s="7" t="str">
        <x:v>kg</x:v>
      </x:c>
      <x:c r="K77" s="10" t="str">
        <x:v>gravimetric root</x:v>
      </x:c>
      <x:c r="L77" s="7" t="str"/>
      <x:c r="M77" s="7" t="str"/>
      <x:c r="N77" s="7" t="str">
        <x:v>OPEN</x:v>
      </x:c>
    </x:row>
    <x:row r="78" ht="36" customHeight="1">
      <x:c r="B78" s="7" t="str">
        <x:v>RAE-SP-08-CH-02</x:v>
      </x:c>
      <x:c r="C78" s="7" t="str">
        <x:v>RAE-SP-08</x:v>
      </x:c>
      <x:c r="D78" s="7" t="str">
        <x:v>AM-05</x:v>
      </x:c>
      <x:c r="E78" s="7" t="str">
        <x:v>TR-B</x:v>
      </x:c>
      <x:c r="F78" s="7" t="str">
        <x:v>CH-02</x:v>
      </x:c>
      <x:c r="G78" s="10" t="str">
        <x:v>event aliquot mass</x:v>
      </x:c>
      <x:c r="H78" s="7" t="n">
        <x:v>100</x:v>
      </x:c>
      <x:c r="I78" s="7" t="n">
        <x:v>0.5</x:v>
      </x:c>
      <x:c r="J78" s="7" t="str">
        <x:v>kg</x:v>
      </x:c>
      <x:c r="K78" s="10" t="str">
        <x:v>gravimetric transfer</x:v>
      </x:c>
      <x:c r="L78" s="7" t="str"/>
      <x:c r="M78" s="7" t="str"/>
      <x:c r="N78" s="7" t="str">
        <x:v>OPEN</x:v>
      </x:c>
    </x:row>
    <x:row r="79" ht="36" customHeight="1">
      <x:c r="B79" s="7" t="str">
        <x:v>RAE-SP-08-CH-03</x:v>
      </x:c>
      <x:c r="C79" s="7" t="str">
        <x:v>RAE-SP-08</x:v>
      </x:c>
      <x:c r="D79" s="7" t="str">
        <x:v>AM-05</x:v>
      </x:c>
      <x:c r="E79" s="7" t="str">
        <x:v>TR-B</x:v>
      </x:c>
      <x:c r="F79" s="7" t="str">
        <x:v>CH-03</x:v>
      </x:c>
      <x:c r="G79" s="10" t="str">
        <x:v>density</x:v>
      </x:c>
      <x:c r="H79" s="7" t="n">
        <x:v>800</x:v>
      </x:c>
      <x:c r="I79" s="7" t="n">
        <x:v>8</x:v>
      </x:c>
      <x:c r="J79" s="7" t="str">
        <x:v>kg/m3</x:v>
      </x:c>
      <x:c r="K79" s="10" t="str">
        <x:v>temperature-conditioned reference</x:v>
      </x:c>
      <x:c r="L79" s="7" t="str"/>
      <x:c r="M79" s="7" t="str"/>
      <x:c r="N79" s="7" t="str">
        <x:v>OPEN</x:v>
      </x:c>
    </x:row>
    <x:row r="80" ht="36" customHeight="1">
      <x:c r="B80" s="7" t="str">
        <x:v>RAE-SP-08-CH-04</x:v>
      </x:c>
      <x:c r="C80" s="7" t="str">
        <x:v>RAE-SP-08</x:v>
      </x:c>
      <x:c r="D80" s="7" t="str">
        <x:v>AM-05</x:v>
      </x:c>
      <x:c r="E80" s="7" t="str">
        <x:v>TR-B</x:v>
      </x:c>
      <x:c r="F80" s="7" t="str">
        <x:v>CH-04</x:v>
      </x:c>
      <x:c r="G80" s="10" t="str">
        <x:v>lower heating value</x:v>
      </x:c>
      <x:c r="H80" s="7" t="n">
        <x:v>42.588</x:v>
      </x:c>
      <x:c r="I80" s="7" t="n">
        <x:v>0.426</x:v>
      </x:c>
      <x:c r="J80" s="7" t="str">
        <x:v>MJ/kg</x:v>
      </x:c>
      <x:c r="K80" s="10" t="str">
        <x:v>retained laboratory assay</x:v>
      </x:c>
      <x:c r="L80" s="7" t="str"/>
      <x:c r="M80" s="7" t="str"/>
      <x:c r="N80" s="7" t="str">
        <x:v>OPEN</x:v>
      </x:c>
    </x:row>
    <x:row r="81" ht="36" customHeight="1">
      <x:c r="B81" s="7" t="str">
        <x:v>RAE-SP-08-CH-05</x:v>
      </x:c>
      <x:c r="C81" s="7" t="str">
        <x:v>RAE-SP-08</x:v>
      </x:c>
      <x:c r="D81" s="7" t="str">
        <x:v>AM-05</x:v>
      </x:c>
      <x:c r="E81" s="7" t="str">
        <x:v>TR-B</x:v>
      </x:c>
      <x:c r="F81" s="7" t="str">
        <x:v>CH-05</x:v>
      </x:c>
      <x:c r="G81" s="10" t="str">
        <x:v>temperature</x:v>
      </x:c>
      <x:c r="H81" s="7" t="n">
        <x:v>20</x:v>
      </x:c>
      <x:c r="I81" s="7" t="n">
        <x:v>2</x:v>
      </x:c>
      <x:c r="J81" s="7" t="str">
        <x:v>deg C</x:v>
      </x:c>
      <x:c r="K81" s="10" t="str">
        <x:v>two unlike probes</x:v>
      </x:c>
      <x:c r="L81" s="7" t="str"/>
      <x:c r="M81" s="7" t="str"/>
      <x:c r="N81" s="7" t="str">
        <x:v>OPEN</x:v>
      </x:c>
    </x:row>
    <x:row r="82" ht="36" customHeight="1">
      <x:c r="B82" s="7" t="str">
        <x:v>RAE-SP-08-CH-06</x:v>
      </x:c>
      <x:c r="C82" s="7" t="str">
        <x:v>RAE-SP-08</x:v>
      </x:c>
      <x:c r="D82" s="7" t="str">
        <x:v>AM-05</x:v>
      </x:c>
      <x:c r="E82" s="7" t="str">
        <x:v>TR-B</x:v>
      </x:c>
      <x:c r="F82" s="7" t="str">
        <x:v>CH-06</x:v>
      </x:c>
      <x:c r="G82" s="10" t="str">
        <x:v>water fraction ceiling</x:v>
      </x:c>
      <x:c r="H82" s="7" t="n">
        <x:v>0.001</x:v>
      </x:c>
      <x:c r="I82" s="7" t="n">
        <x:v>0.0002</x:v>
      </x:c>
      <x:c r="J82" s="7" t="str">
        <x:v>ratio</x:v>
      </x:c>
      <x:c r="K82" s="10" t="str">
        <x:v>retained assay</x:v>
      </x:c>
      <x:c r="L82" s="7" t="str"/>
      <x:c r="M82" s="7" t="str"/>
      <x:c r="N82" s="7" t="str">
        <x:v>OPEN</x:v>
      </x:c>
    </x:row>
    <x:row r="83" ht="36" customHeight="1">
      <x:c r="B83" s="7" t="str">
        <x:v>RAE-SP-08-CH-07</x:v>
      </x:c>
      <x:c r="C83" s="7" t="str">
        <x:v>RAE-SP-08</x:v>
      </x:c>
      <x:c r="D83" s="7" t="str">
        <x:v>AM-05</x:v>
      </x:c>
      <x:c r="E83" s="7" t="str">
        <x:v>TR-B</x:v>
      </x:c>
      <x:c r="F83" s="7" t="str">
        <x:v>CH-07</x:v>
      </x:c>
      <x:c r="G83" s="10" t="str">
        <x:v>foreign-solids ceiling</x:v>
      </x:c>
      <x:c r="H83" s="7" t="n">
        <x:v>0.001</x:v>
      </x:c>
      <x:c r="I83" s="7" t="n">
        <x:v>0.0002</x:v>
      </x:c>
      <x:c r="J83" s="7" t="str">
        <x:v>ratio</x:v>
      </x:c>
      <x:c r="K83" s="10" t="str">
        <x:v>filter and retained assay</x:v>
      </x:c>
      <x:c r="L83" s="7" t="str"/>
      <x:c r="M83" s="7" t="str"/>
      <x:c r="N83" s="7" t="str">
        <x:v>OPEN</x:v>
      </x:c>
    </x:row>
    <x:row r="84" ht="36" customHeight="1">
      <x:c r="B84" s="7" t="str">
        <x:v>RAE-SP-08-CH-08</x:v>
      </x:c>
      <x:c r="C84" s="7" t="str">
        <x:v>RAE-SP-08</x:v>
      </x:c>
      <x:c r="D84" s="7" t="str">
        <x:v>AM-05</x:v>
      </x:c>
      <x:c r="E84" s="7" t="str">
        <x:v>TR-B</x:v>
      </x:c>
      <x:c r="F84" s="7" t="str">
        <x:v>CH-08</x:v>
      </x:c>
      <x:c r="G84" s="10" t="str">
        <x:v>ancestry recovery floor</x:v>
      </x:c>
      <x:c r="H84" s="7" t="n">
        <x:v>0.995</x:v>
      </x:c>
      <x:c r="I84" s="7" t="n">
        <x:v>0.001</x:v>
      </x:c>
      <x:c r="J84" s="7" t="str">
        <x:v>ratio</x:v>
      </x:c>
      <x:c r="K84" s="10" t="str">
        <x:v>root-specific code</x:v>
      </x:c>
      <x:c r="L84" s="7" t="str"/>
      <x:c r="M84" s="7" t="str"/>
      <x:c r="N84" s="7" t="str">
        <x:v>OPEN</x:v>
      </x:c>
    </x:row>
    <x:row r="85" ht="36" customHeight="1">
      <x:c r="B85" s="7" t="str">
        <x:v>RAE-SP-08-CH-09</x:v>
      </x:c>
      <x:c r="C85" s="7" t="str">
        <x:v>RAE-SP-08</x:v>
      </x:c>
      <x:c r="D85" s="7" t="str">
        <x:v>AM-05</x:v>
      </x:c>
      <x:c r="E85" s="7" t="str">
        <x:v>TR-B</x:v>
      </x:c>
      <x:c r="F85" s="7" t="str">
        <x:v>CH-09</x:v>
      </x:c>
      <x:c r="G85" s="10" t="str">
        <x:v>custody seal</x:v>
      </x:c>
      <x:c r="H85" s="7" t="str">
        <x:v>MATCH</x:v>
      </x:c>
      <x:c r="I85" s="7" t="str">
        <x:v>n.a.</x:v>
      </x:c>
      <x:c r="J85" s="7" t="str">
        <x:v>state</x:v>
      </x:c>
      <x:c r="K85" s="10" t="str">
        <x:v>two-person seal verification</x:v>
      </x:c>
      <x:c r="L85" s="7" t="str"/>
      <x:c r="M85" s="7" t="str"/>
      <x:c r="N85" s="7" t="str">
        <x:v>OPEN</x:v>
      </x:c>
    </x:row>
    <x:row r="86" ht="36" customHeight="1">
      <x:c r="B86" s="7" t="str">
        <x:v>RAE-SP-08-CH-10</x:v>
      </x:c>
      <x:c r="C86" s="7" t="str">
        <x:v>RAE-SP-08</x:v>
      </x:c>
      <x:c r="D86" s="7" t="str">
        <x:v>AM-05</x:v>
      </x:c>
      <x:c r="E86" s="7" t="str">
        <x:v>TR-B</x:v>
      </x:c>
      <x:c r="F86" s="7" t="str">
        <x:v>CH-10</x:v>
      </x:c>
      <x:c r="G86" s="10" t="str">
        <x:v>retained sample set</x:v>
      </x:c>
      <x:c r="H86" s="7" t="str">
        <x:v>THREE</x:v>
      </x:c>
      <x:c r="I86" s="7" t="str">
        <x:v>n.a.</x:v>
      </x:c>
      <x:c r="J86" s="7" t="str">
        <x:v>count</x:v>
      </x:c>
      <x:c r="K86" s="10" t="str">
        <x:v>pre, post and archive</x:v>
      </x:c>
      <x:c r="L86" s="7" t="str"/>
      <x:c r="M86" s="7" t="str"/>
      <x:c r="N86" s="7" t="str">
        <x:v>OPEN</x:v>
      </x:c>
    </x:row>
    <x:row r="87" ht="36" customHeight="1">
      <x:c r="B87" s="7" t="str">
        <x:v>RAE-SP-09-CH-01</x:v>
      </x:c>
      <x:c r="C87" s="7" t="str">
        <x:v>RAE-SP-09</x:v>
      </x:c>
      <x:c r="D87" s="7" t="str">
        <x:v>AM-05</x:v>
      </x:c>
      <x:c r="E87" s="7" t="str">
        <x:v>TR-B</x:v>
      </x:c>
      <x:c r="F87" s="7" t="str">
        <x:v>CH-01</x:v>
      </x:c>
      <x:c r="G87" s="10" t="str">
        <x:v>gross package mass</x:v>
      </x:c>
      <x:c r="H87" s="7" t="n">
        <x:v>125</x:v>
      </x:c>
      <x:c r="I87" s="7" t="n">
        <x:v>0.25</x:v>
      </x:c>
      <x:c r="J87" s="7" t="str">
        <x:v>kg</x:v>
      </x:c>
      <x:c r="K87" s="10" t="str">
        <x:v>gravimetric root</x:v>
      </x:c>
      <x:c r="L87" s="7" t="str"/>
      <x:c r="M87" s="7" t="str"/>
      <x:c r="N87" s="7" t="str">
        <x:v>OPEN</x:v>
      </x:c>
    </x:row>
    <x:row r="88" ht="36" customHeight="1">
      <x:c r="B88" s="7" t="str">
        <x:v>RAE-SP-09-CH-02</x:v>
      </x:c>
      <x:c r="C88" s="7" t="str">
        <x:v>RAE-SP-09</x:v>
      </x:c>
      <x:c r="D88" s="7" t="str">
        <x:v>AM-05</x:v>
      </x:c>
      <x:c r="E88" s="7" t="str">
        <x:v>TR-B</x:v>
      </x:c>
      <x:c r="F88" s="7" t="str">
        <x:v>CH-02</x:v>
      </x:c>
      <x:c r="G88" s="10" t="str">
        <x:v>event aliquot mass</x:v>
      </x:c>
      <x:c r="H88" s="7" t="n">
        <x:v>100</x:v>
      </x:c>
      <x:c r="I88" s="7" t="n">
        <x:v>0.5</x:v>
      </x:c>
      <x:c r="J88" s="7" t="str">
        <x:v>kg</x:v>
      </x:c>
      <x:c r="K88" s="10" t="str">
        <x:v>gravimetric transfer</x:v>
      </x:c>
      <x:c r="L88" s="7" t="str"/>
      <x:c r="M88" s="7" t="str"/>
      <x:c r="N88" s="7" t="str">
        <x:v>OPEN</x:v>
      </x:c>
    </x:row>
    <x:row r="89" ht="36" customHeight="1">
      <x:c r="B89" s="7" t="str">
        <x:v>RAE-SP-09-CH-03</x:v>
      </x:c>
      <x:c r="C89" s="7" t="str">
        <x:v>RAE-SP-09</x:v>
      </x:c>
      <x:c r="D89" s="7" t="str">
        <x:v>AM-05</x:v>
      </x:c>
      <x:c r="E89" s="7" t="str">
        <x:v>TR-B</x:v>
      </x:c>
      <x:c r="F89" s="7" t="str">
        <x:v>CH-03</x:v>
      </x:c>
      <x:c r="G89" s="10" t="str">
        <x:v>density</x:v>
      </x:c>
      <x:c r="H89" s="7" t="n">
        <x:v>800</x:v>
      </x:c>
      <x:c r="I89" s="7" t="n">
        <x:v>8</x:v>
      </x:c>
      <x:c r="J89" s="7" t="str">
        <x:v>kg/m3</x:v>
      </x:c>
      <x:c r="K89" s="10" t="str">
        <x:v>temperature-conditioned reference</x:v>
      </x:c>
      <x:c r="L89" s="7" t="str"/>
      <x:c r="M89" s="7" t="str"/>
      <x:c r="N89" s="7" t="str">
        <x:v>OPEN</x:v>
      </x:c>
    </x:row>
    <x:row r="90" ht="36" customHeight="1">
      <x:c r="B90" s="7" t="str">
        <x:v>RAE-SP-09-CH-04</x:v>
      </x:c>
      <x:c r="C90" s="7" t="str">
        <x:v>RAE-SP-09</x:v>
      </x:c>
      <x:c r="D90" s="7" t="str">
        <x:v>AM-05</x:v>
      </x:c>
      <x:c r="E90" s="7" t="str">
        <x:v>TR-B</x:v>
      </x:c>
      <x:c r="F90" s="7" t="str">
        <x:v>CH-04</x:v>
      </x:c>
      <x:c r="G90" s="10" t="str">
        <x:v>lower heating value</x:v>
      </x:c>
      <x:c r="H90" s="7" t="n">
        <x:v>42.588</x:v>
      </x:c>
      <x:c r="I90" s="7" t="n">
        <x:v>0.426</x:v>
      </x:c>
      <x:c r="J90" s="7" t="str">
        <x:v>MJ/kg</x:v>
      </x:c>
      <x:c r="K90" s="10" t="str">
        <x:v>retained laboratory assay</x:v>
      </x:c>
      <x:c r="L90" s="7" t="str"/>
      <x:c r="M90" s="7" t="str"/>
      <x:c r="N90" s="7" t="str">
        <x:v>OPEN</x:v>
      </x:c>
    </x:row>
    <x:row r="91" ht="36" customHeight="1">
      <x:c r="B91" s="7" t="str">
        <x:v>RAE-SP-09-CH-05</x:v>
      </x:c>
      <x:c r="C91" s="7" t="str">
        <x:v>RAE-SP-09</x:v>
      </x:c>
      <x:c r="D91" s="7" t="str">
        <x:v>AM-05</x:v>
      </x:c>
      <x:c r="E91" s="7" t="str">
        <x:v>TR-B</x:v>
      </x:c>
      <x:c r="F91" s="7" t="str">
        <x:v>CH-05</x:v>
      </x:c>
      <x:c r="G91" s="10" t="str">
        <x:v>temperature</x:v>
      </x:c>
      <x:c r="H91" s="7" t="n">
        <x:v>20</x:v>
      </x:c>
      <x:c r="I91" s="7" t="n">
        <x:v>2</x:v>
      </x:c>
      <x:c r="J91" s="7" t="str">
        <x:v>deg C</x:v>
      </x:c>
      <x:c r="K91" s="10" t="str">
        <x:v>two unlike probes</x:v>
      </x:c>
      <x:c r="L91" s="7" t="str"/>
      <x:c r="M91" s="7" t="str"/>
      <x:c r="N91" s="7" t="str">
        <x:v>OPEN</x:v>
      </x:c>
    </x:row>
    <x:row r="92" ht="36" customHeight="1">
      <x:c r="B92" s="7" t="str">
        <x:v>RAE-SP-09-CH-06</x:v>
      </x:c>
      <x:c r="C92" s="7" t="str">
        <x:v>RAE-SP-09</x:v>
      </x:c>
      <x:c r="D92" s="7" t="str">
        <x:v>AM-05</x:v>
      </x:c>
      <x:c r="E92" s="7" t="str">
        <x:v>TR-B</x:v>
      </x:c>
      <x:c r="F92" s="7" t="str">
        <x:v>CH-06</x:v>
      </x:c>
      <x:c r="G92" s="10" t="str">
        <x:v>water fraction ceiling</x:v>
      </x:c>
      <x:c r="H92" s="7" t="n">
        <x:v>0.001</x:v>
      </x:c>
      <x:c r="I92" s="7" t="n">
        <x:v>0.0002</x:v>
      </x:c>
      <x:c r="J92" s="7" t="str">
        <x:v>ratio</x:v>
      </x:c>
      <x:c r="K92" s="10" t="str">
        <x:v>retained assay</x:v>
      </x:c>
      <x:c r="L92" s="7" t="str"/>
      <x:c r="M92" s="7" t="str"/>
      <x:c r="N92" s="7" t="str">
        <x:v>OPEN</x:v>
      </x:c>
    </x:row>
    <x:row r="93" ht="36" customHeight="1">
      <x:c r="B93" s="7" t="str">
        <x:v>RAE-SP-09-CH-07</x:v>
      </x:c>
      <x:c r="C93" s="7" t="str">
        <x:v>RAE-SP-09</x:v>
      </x:c>
      <x:c r="D93" s="7" t="str">
        <x:v>AM-05</x:v>
      </x:c>
      <x:c r="E93" s="7" t="str">
        <x:v>TR-B</x:v>
      </x:c>
      <x:c r="F93" s="7" t="str">
        <x:v>CH-07</x:v>
      </x:c>
      <x:c r="G93" s="10" t="str">
        <x:v>foreign-solids ceiling</x:v>
      </x:c>
      <x:c r="H93" s="7" t="n">
        <x:v>0.001</x:v>
      </x:c>
      <x:c r="I93" s="7" t="n">
        <x:v>0.0002</x:v>
      </x:c>
      <x:c r="J93" s="7" t="str">
        <x:v>ratio</x:v>
      </x:c>
      <x:c r="K93" s="10" t="str">
        <x:v>filter and retained assay</x:v>
      </x:c>
      <x:c r="L93" s="7" t="str"/>
      <x:c r="M93" s="7" t="str"/>
      <x:c r="N93" s="7" t="str">
        <x:v>OPEN</x:v>
      </x:c>
    </x:row>
    <x:row r="94" ht="36" customHeight="1">
      <x:c r="B94" s="7" t="str">
        <x:v>RAE-SP-09-CH-08</x:v>
      </x:c>
      <x:c r="C94" s="7" t="str">
        <x:v>RAE-SP-09</x:v>
      </x:c>
      <x:c r="D94" s="7" t="str">
        <x:v>AM-05</x:v>
      </x:c>
      <x:c r="E94" s="7" t="str">
        <x:v>TR-B</x:v>
      </x:c>
      <x:c r="F94" s="7" t="str">
        <x:v>CH-08</x:v>
      </x:c>
      <x:c r="G94" s="10" t="str">
        <x:v>ancestry recovery floor</x:v>
      </x:c>
      <x:c r="H94" s="7" t="n">
        <x:v>0.995</x:v>
      </x:c>
      <x:c r="I94" s="7" t="n">
        <x:v>0.001</x:v>
      </x:c>
      <x:c r="J94" s="7" t="str">
        <x:v>ratio</x:v>
      </x:c>
      <x:c r="K94" s="10" t="str">
        <x:v>root-specific code</x:v>
      </x:c>
      <x:c r="L94" s="7" t="str"/>
      <x:c r="M94" s="7" t="str"/>
      <x:c r="N94" s="7" t="str">
        <x:v>OPEN</x:v>
      </x:c>
    </x:row>
    <x:row r="95" ht="36" customHeight="1">
      <x:c r="B95" s="7" t="str">
        <x:v>RAE-SP-09-CH-09</x:v>
      </x:c>
      <x:c r="C95" s="7" t="str">
        <x:v>RAE-SP-09</x:v>
      </x:c>
      <x:c r="D95" s="7" t="str">
        <x:v>AM-05</x:v>
      </x:c>
      <x:c r="E95" s="7" t="str">
        <x:v>TR-B</x:v>
      </x:c>
      <x:c r="F95" s="7" t="str">
        <x:v>CH-09</x:v>
      </x:c>
      <x:c r="G95" s="10" t="str">
        <x:v>custody seal</x:v>
      </x:c>
      <x:c r="H95" s="7" t="str">
        <x:v>MATCH</x:v>
      </x:c>
      <x:c r="I95" s="7" t="str">
        <x:v>n.a.</x:v>
      </x:c>
      <x:c r="J95" s="7" t="str">
        <x:v>state</x:v>
      </x:c>
      <x:c r="K95" s="10" t="str">
        <x:v>two-person seal verification</x:v>
      </x:c>
      <x:c r="L95" s="7" t="str"/>
      <x:c r="M95" s="7" t="str"/>
      <x:c r="N95" s="7" t="str">
        <x:v>OPEN</x:v>
      </x:c>
    </x:row>
    <x:row r="96" ht="36" customHeight="1">
      <x:c r="B96" s="7" t="str">
        <x:v>RAE-SP-09-CH-10</x:v>
      </x:c>
      <x:c r="C96" s="7" t="str">
        <x:v>RAE-SP-09</x:v>
      </x:c>
      <x:c r="D96" s="7" t="str">
        <x:v>AM-05</x:v>
      </x:c>
      <x:c r="E96" s="7" t="str">
        <x:v>TR-B</x:v>
      </x:c>
      <x:c r="F96" s="7" t="str">
        <x:v>CH-10</x:v>
      </x:c>
      <x:c r="G96" s="10" t="str">
        <x:v>retained sample set</x:v>
      </x:c>
      <x:c r="H96" s="7" t="str">
        <x:v>THREE</x:v>
      </x:c>
      <x:c r="I96" s="7" t="str">
        <x:v>n.a.</x:v>
      </x:c>
      <x:c r="J96" s="7" t="str">
        <x:v>count</x:v>
      </x:c>
      <x:c r="K96" s="10" t="str">
        <x:v>pre, post and archive</x:v>
      </x:c>
      <x:c r="L96" s="7" t="str"/>
      <x:c r="M96" s="7" t="str"/>
      <x:c r="N96" s="7" t="str">
        <x:v>OPEN</x:v>
      </x:c>
    </x:row>
    <x:row r="97" ht="36" customHeight="1">
      <x:c r="B97" s="7" t="str">
        <x:v>RAE-SP-10-CH-01</x:v>
      </x:c>
      <x:c r="C97" s="7" t="str">
        <x:v>RAE-SP-10</x:v>
      </x:c>
      <x:c r="D97" s="7" t="str">
        <x:v>AM-05</x:v>
      </x:c>
      <x:c r="E97" s="7" t="str">
        <x:v>TR-B</x:v>
      </x:c>
      <x:c r="F97" s="7" t="str">
        <x:v>CH-01</x:v>
      </x:c>
      <x:c r="G97" s="10" t="str">
        <x:v>gross package mass</x:v>
      </x:c>
      <x:c r="H97" s="7" t="n">
        <x:v>125</x:v>
      </x:c>
      <x:c r="I97" s="7" t="n">
        <x:v>0.25</x:v>
      </x:c>
      <x:c r="J97" s="7" t="str">
        <x:v>kg</x:v>
      </x:c>
      <x:c r="K97" s="10" t="str">
        <x:v>gravimetric root</x:v>
      </x:c>
      <x:c r="L97" s="7" t="str"/>
      <x:c r="M97" s="7" t="str"/>
      <x:c r="N97" s="7" t="str">
        <x:v>OPEN</x:v>
      </x:c>
    </x:row>
    <x:row r="98" ht="36" customHeight="1">
      <x:c r="B98" s="7" t="str">
        <x:v>RAE-SP-10-CH-02</x:v>
      </x:c>
      <x:c r="C98" s="7" t="str">
        <x:v>RAE-SP-10</x:v>
      </x:c>
      <x:c r="D98" s="7" t="str">
        <x:v>AM-05</x:v>
      </x:c>
      <x:c r="E98" s="7" t="str">
        <x:v>TR-B</x:v>
      </x:c>
      <x:c r="F98" s="7" t="str">
        <x:v>CH-02</x:v>
      </x:c>
      <x:c r="G98" s="10" t="str">
        <x:v>event aliquot mass</x:v>
      </x:c>
      <x:c r="H98" s="7" t="n">
        <x:v>100</x:v>
      </x:c>
      <x:c r="I98" s="7" t="n">
        <x:v>0.5</x:v>
      </x:c>
      <x:c r="J98" s="7" t="str">
        <x:v>kg</x:v>
      </x:c>
      <x:c r="K98" s="10" t="str">
        <x:v>gravimetric transfer</x:v>
      </x:c>
      <x:c r="L98" s="7" t="str"/>
      <x:c r="M98" s="7" t="str"/>
      <x:c r="N98" s="7" t="str">
        <x:v>OPEN</x:v>
      </x:c>
    </x:row>
    <x:row r="99" ht="36" customHeight="1">
      <x:c r="B99" s="7" t="str">
        <x:v>RAE-SP-10-CH-03</x:v>
      </x:c>
      <x:c r="C99" s="7" t="str">
        <x:v>RAE-SP-10</x:v>
      </x:c>
      <x:c r="D99" s="7" t="str">
        <x:v>AM-05</x:v>
      </x:c>
      <x:c r="E99" s="7" t="str">
        <x:v>TR-B</x:v>
      </x:c>
      <x:c r="F99" s="7" t="str">
        <x:v>CH-03</x:v>
      </x:c>
      <x:c r="G99" s="10" t="str">
        <x:v>density</x:v>
      </x:c>
      <x:c r="H99" s="7" t="n">
        <x:v>800</x:v>
      </x:c>
      <x:c r="I99" s="7" t="n">
        <x:v>8</x:v>
      </x:c>
      <x:c r="J99" s="7" t="str">
        <x:v>kg/m3</x:v>
      </x:c>
      <x:c r="K99" s="10" t="str">
        <x:v>temperature-conditioned reference</x:v>
      </x:c>
      <x:c r="L99" s="7" t="str"/>
      <x:c r="M99" s="7" t="str"/>
      <x:c r="N99" s="7" t="str">
        <x:v>OPEN</x:v>
      </x:c>
    </x:row>
    <x:row r="100" ht="36" customHeight="1">
      <x:c r="B100" s="7" t="str">
        <x:v>RAE-SP-10-CH-04</x:v>
      </x:c>
      <x:c r="C100" s="7" t="str">
        <x:v>RAE-SP-10</x:v>
      </x:c>
      <x:c r="D100" s="7" t="str">
        <x:v>AM-05</x:v>
      </x:c>
      <x:c r="E100" s="7" t="str">
        <x:v>TR-B</x:v>
      </x:c>
      <x:c r="F100" s="7" t="str">
        <x:v>CH-04</x:v>
      </x:c>
      <x:c r="G100" s="10" t="str">
        <x:v>lower heating value</x:v>
      </x:c>
      <x:c r="H100" s="7" t="n">
        <x:v>42.588</x:v>
      </x:c>
      <x:c r="I100" s="7" t="n">
        <x:v>0.426</x:v>
      </x:c>
      <x:c r="J100" s="7" t="str">
        <x:v>MJ/kg</x:v>
      </x:c>
      <x:c r="K100" s="10" t="str">
        <x:v>retained laboratory assay</x:v>
      </x:c>
      <x:c r="L100" s="7" t="str"/>
      <x:c r="M100" s="7" t="str"/>
      <x:c r="N100" s="7" t="str">
        <x:v>OPEN</x:v>
      </x:c>
    </x:row>
    <x:row r="101" ht="36" customHeight="1">
      <x:c r="B101" s="7" t="str">
        <x:v>RAE-SP-10-CH-05</x:v>
      </x:c>
      <x:c r="C101" s="7" t="str">
        <x:v>RAE-SP-10</x:v>
      </x:c>
      <x:c r="D101" s="7" t="str">
        <x:v>AM-05</x:v>
      </x:c>
      <x:c r="E101" s="7" t="str">
        <x:v>TR-B</x:v>
      </x:c>
      <x:c r="F101" s="7" t="str">
        <x:v>CH-05</x:v>
      </x:c>
      <x:c r="G101" s="10" t="str">
        <x:v>temperature</x:v>
      </x:c>
      <x:c r="H101" s="7" t="n">
        <x:v>20</x:v>
      </x:c>
      <x:c r="I101" s="7" t="n">
        <x:v>2</x:v>
      </x:c>
      <x:c r="J101" s="7" t="str">
        <x:v>deg C</x:v>
      </x:c>
      <x:c r="K101" s="10" t="str">
        <x:v>two unlike probes</x:v>
      </x:c>
      <x:c r="L101" s="7" t="str"/>
      <x:c r="M101" s="7" t="str"/>
      <x:c r="N101" s="7" t="str">
        <x:v>OPEN</x:v>
      </x:c>
    </x:row>
    <x:row r="102" ht="36" customHeight="1">
      <x:c r="B102" s="7" t="str">
        <x:v>RAE-SP-10-CH-06</x:v>
      </x:c>
      <x:c r="C102" s="7" t="str">
        <x:v>RAE-SP-10</x:v>
      </x:c>
      <x:c r="D102" s="7" t="str">
        <x:v>AM-05</x:v>
      </x:c>
      <x:c r="E102" s="7" t="str">
        <x:v>TR-B</x:v>
      </x:c>
      <x:c r="F102" s="7" t="str">
        <x:v>CH-06</x:v>
      </x:c>
      <x:c r="G102" s="10" t="str">
        <x:v>water fraction ceiling</x:v>
      </x:c>
      <x:c r="H102" s="7" t="n">
        <x:v>0.001</x:v>
      </x:c>
      <x:c r="I102" s="7" t="n">
        <x:v>0.0002</x:v>
      </x:c>
      <x:c r="J102" s="7" t="str">
        <x:v>ratio</x:v>
      </x:c>
      <x:c r="K102" s="10" t="str">
        <x:v>retained assay</x:v>
      </x:c>
      <x:c r="L102" s="7" t="str"/>
      <x:c r="M102" s="7" t="str"/>
      <x:c r="N102" s="7" t="str">
        <x:v>OPEN</x:v>
      </x:c>
    </x:row>
    <x:row r="103" ht="36" customHeight="1">
      <x:c r="B103" s="7" t="str">
        <x:v>RAE-SP-10-CH-07</x:v>
      </x:c>
      <x:c r="C103" s="7" t="str">
        <x:v>RAE-SP-10</x:v>
      </x:c>
      <x:c r="D103" s="7" t="str">
        <x:v>AM-05</x:v>
      </x:c>
      <x:c r="E103" s="7" t="str">
        <x:v>TR-B</x:v>
      </x:c>
      <x:c r="F103" s="7" t="str">
        <x:v>CH-07</x:v>
      </x:c>
      <x:c r="G103" s="10" t="str">
        <x:v>foreign-solids ceiling</x:v>
      </x:c>
      <x:c r="H103" s="7" t="n">
        <x:v>0.001</x:v>
      </x:c>
      <x:c r="I103" s="7" t="n">
        <x:v>0.0002</x:v>
      </x:c>
      <x:c r="J103" s="7" t="str">
        <x:v>ratio</x:v>
      </x:c>
      <x:c r="K103" s="10" t="str">
        <x:v>filter and retained assay</x:v>
      </x:c>
      <x:c r="L103" s="7" t="str"/>
      <x:c r="M103" s="7" t="str"/>
      <x:c r="N103" s="7" t="str">
        <x:v>OPEN</x:v>
      </x:c>
    </x:row>
    <x:row r="104" ht="36" customHeight="1">
      <x:c r="B104" s="7" t="str">
        <x:v>RAE-SP-10-CH-08</x:v>
      </x:c>
      <x:c r="C104" s="7" t="str">
        <x:v>RAE-SP-10</x:v>
      </x:c>
      <x:c r="D104" s="7" t="str">
        <x:v>AM-05</x:v>
      </x:c>
      <x:c r="E104" s="7" t="str">
        <x:v>TR-B</x:v>
      </x:c>
      <x:c r="F104" s="7" t="str">
        <x:v>CH-08</x:v>
      </x:c>
      <x:c r="G104" s="10" t="str">
        <x:v>ancestry recovery floor</x:v>
      </x:c>
      <x:c r="H104" s="7" t="n">
        <x:v>0.995</x:v>
      </x:c>
      <x:c r="I104" s="7" t="n">
        <x:v>0.001</x:v>
      </x:c>
      <x:c r="J104" s="7" t="str">
        <x:v>ratio</x:v>
      </x:c>
      <x:c r="K104" s="10" t="str">
        <x:v>root-specific code</x:v>
      </x:c>
      <x:c r="L104" s="7" t="str"/>
      <x:c r="M104" s="7" t="str"/>
      <x:c r="N104" s="7" t="str">
        <x:v>OPEN</x:v>
      </x:c>
    </x:row>
    <x:row r="105" ht="36" customHeight="1">
      <x:c r="B105" s="7" t="str">
        <x:v>RAE-SP-10-CH-09</x:v>
      </x:c>
      <x:c r="C105" s="7" t="str">
        <x:v>RAE-SP-10</x:v>
      </x:c>
      <x:c r="D105" s="7" t="str">
        <x:v>AM-05</x:v>
      </x:c>
      <x:c r="E105" s="7" t="str">
        <x:v>TR-B</x:v>
      </x:c>
      <x:c r="F105" s="7" t="str">
        <x:v>CH-09</x:v>
      </x:c>
      <x:c r="G105" s="10" t="str">
        <x:v>custody seal</x:v>
      </x:c>
      <x:c r="H105" s="7" t="str">
        <x:v>MATCH</x:v>
      </x:c>
      <x:c r="I105" s="7" t="str">
        <x:v>n.a.</x:v>
      </x:c>
      <x:c r="J105" s="7" t="str">
        <x:v>state</x:v>
      </x:c>
      <x:c r="K105" s="10" t="str">
        <x:v>two-person seal verification</x:v>
      </x:c>
      <x:c r="L105" s="7" t="str"/>
      <x:c r="M105" s="7" t="str"/>
      <x:c r="N105" s="7" t="str">
        <x:v>OPEN</x:v>
      </x:c>
    </x:row>
    <x:row r="106" ht="36" customHeight="1">
      <x:c r="B106" s="7" t="str">
        <x:v>RAE-SP-10-CH-10</x:v>
      </x:c>
      <x:c r="C106" s="7" t="str">
        <x:v>RAE-SP-10</x:v>
      </x:c>
      <x:c r="D106" s="7" t="str">
        <x:v>AM-05</x:v>
      </x:c>
      <x:c r="E106" s="7" t="str">
        <x:v>TR-B</x:v>
      </x:c>
      <x:c r="F106" s="7" t="str">
        <x:v>CH-10</x:v>
      </x:c>
      <x:c r="G106" s="10" t="str">
        <x:v>retained sample set</x:v>
      </x:c>
      <x:c r="H106" s="7" t="str">
        <x:v>THREE</x:v>
      </x:c>
      <x:c r="I106" s="7" t="str">
        <x:v>n.a.</x:v>
      </x:c>
      <x:c r="J106" s="7" t="str">
        <x:v>count</x:v>
      </x:c>
      <x:c r="K106" s="10" t="str">
        <x:v>pre, post and archive</x:v>
      </x:c>
      <x:c r="L106" s="7" t="str"/>
      <x:c r="M106" s="7" t="str"/>
      <x:c r="N106" s="7" t="str">
        <x:v>OPEN</x:v>
      </x:c>
    </x:row>
    <x:row r="107" ht="36" customHeight="1">
      <x:c r="B107" s="7" t="str">
        <x:v>RAE-SP-11-CH-01</x:v>
      </x:c>
      <x:c r="C107" s="7" t="str">
        <x:v>RAE-SP-11</x:v>
      </x:c>
      <x:c r="D107" s="7" t="str">
        <x:v>AM-05</x:v>
      </x:c>
      <x:c r="E107" s="7" t="str">
        <x:v>TR-B</x:v>
      </x:c>
      <x:c r="F107" s="7" t="str">
        <x:v>CH-01</x:v>
      </x:c>
      <x:c r="G107" s="10" t="str">
        <x:v>gross package mass</x:v>
      </x:c>
      <x:c r="H107" s="7" t="n">
        <x:v>125</x:v>
      </x:c>
      <x:c r="I107" s="7" t="n">
        <x:v>0.25</x:v>
      </x:c>
      <x:c r="J107" s="7" t="str">
        <x:v>kg</x:v>
      </x:c>
      <x:c r="K107" s="10" t="str">
        <x:v>gravimetric root</x:v>
      </x:c>
      <x:c r="L107" s="7" t="str"/>
      <x:c r="M107" s="7" t="str"/>
      <x:c r="N107" s="7" t="str">
        <x:v>OPEN</x:v>
      </x:c>
    </x:row>
    <x:row r="108" ht="36" customHeight="1">
      <x:c r="B108" s="7" t="str">
        <x:v>RAE-SP-11-CH-02</x:v>
      </x:c>
      <x:c r="C108" s="7" t="str">
        <x:v>RAE-SP-11</x:v>
      </x:c>
      <x:c r="D108" s="7" t="str">
        <x:v>AM-05</x:v>
      </x:c>
      <x:c r="E108" s="7" t="str">
        <x:v>TR-B</x:v>
      </x:c>
      <x:c r="F108" s="7" t="str">
        <x:v>CH-02</x:v>
      </x:c>
      <x:c r="G108" s="10" t="str">
        <x:v>event aliquot mass</x:v>
      </x:c>
      <x:c r="H108" s="7" t="n">
        <x:v>100</x:v>
      </x:c>
      <x:c r="I108" s="7" t="n">
        <x:v>0.5</x:v>
      </x:c>
      <x:c r="J108" s="7" t="str">
        <x:v>kg</x:v>
      </x:c>
      <x:c r="K108" s="10" t="str">
        <x:v>gravimetric transfer</x:v>
      </x:c>
      <x:c r="L108" s="7" t="str"/>
      <x:c r="M108" s="7" t="str"/>
      <x:c r="N108" s="7" t="str">
        <x:v>OPEN</x:v>
      </x:c>
    </x:row>
    <x:row r="109" ht="36" customHeight="1">
      <x:c r="B109" s="7" t="str">
        <x:v>RAE-SP-11-CH-03</x:v>
      </x:c>
      <x:c r="C109" s="7" t="str">
        <x:v>RAE-SP-11</x:v>
      </x:c>
      <x:c r="D109" s="7" t="str">
        <x:v>AM-05</x:v>
      </x:c>
      <x:c r="E109" s="7" t="str">
        <x:v>TR-B</x:v>
      </x:c>
      <x:c r="F109" s="7" t="str">
        <x:v>CH-03</x:v>
      </x:c>
      <x:c r="G109" s="10" t="str">
        <x:v>density</x:v>
      </x:c>
      <x:c r="H109" s="7" t="n">
        <x:v>800</x:v>
      </x:c>
      <x:c r="I109" s="7" t="n">
        <x:v>8</x:v>
      </x:c>
      <x:c r="J109" s="7" t="str">
        <x:v>kg/m3</x:v>
      </x:c>
      <x:c r="K109" s="10" t="str">
        <x:v>temperature-conditioned reference</x:v>
      </x:c>
      <x:c r="L109" s="7" t="str"/>
      <x:c r="M109" s="7" t="str"/>
      <x:c r="N109" s="7" t="str">
        <x:v>OPEN</x:v>
      </x:c>
    </x:row>
    <x:row r="110" ht="36" customHeight="1">
      <x:c r="B110" s="7" t="str">
        <x:v>RAE-SP-11-CH-04</x:v>
      </x:c>
      <x:c r="C110" s="7" t="str">
        <x:v>RAE-SP-11</x:v>
      </x:c>
      <x:c r="D110" s="7" t="str">
        <x:v>AM-05</x:v>
      </x:c>
      <x:c r="E110" s="7" t="str">
        <x:v>TR-B</x:v>
      </x:c>
      <x:c r="F110" s="7" t="str">
        <x:v>CH-04</x:v>
      </x:c>
      <x:c r="G110" s="10" t="str">
        <x:v>lower heating value</x:v>
      </x:c>
      <x:c r="H110" s="7" t="n">
        <x:v>42.588</x:v>
      </x:c>
      <x:c r="I110" s="7" t="n">
        <x:v>0.426</x:v>
      </x:c>
      <x:c r="J110" s="7" t="str">
        <x:v>MJ/kg</x:v>
      </x:c>
      <x:c r="K110" s="10" t="str">
        <x:v>retained laboratory assay</x:v>
      </x:c>
      <x:c r="L110" s="7" t="str"/>
      <x:c r="M110" s="7" t="str"/>
      <x:c r="N110" s="7" t="str">
        <x:v>OPEN</x:v>
      </x:c>
    </x:row>
    <x:row r="111" ht="36" customHeight="1">
      <x:c r="B111" s="7" t="str">
        <x:v>RAE-SP-11-CH-05</x:v>
      </x:c>
      <x:c r="C111" s="7" t="str">
        <x:v>RAE-SP-11</x:v>
      </x:c>
      <x:c r="D111" s="7" t="str">
        <x:v>AM-05</x:v>
      </x:c>
      <x:c r="E111" s="7" t="str">
        <x:v>TR-B</x:v>
      </x:c>
      <x:c r="F111" s="7" t="str">
        <x:v>CH-05</x:v>
      </x:c>
      <x:c r="G111" s="10" t="str">
        <x:v>temperature</x:v>
      </x:c>
      <x:c r="H111" s="7" t="n">
        <x:v>20</x:v>
      </x:c>
      <x:c r="I111" s="7" t="n">
        <x:v>2</x:v>
      </x:c>
      <x:c r="J111" s="7" t="str">
        <x:v>deg C</x:v>
      </x:c>
      <x:c r="K111" s="10" t="str">
        <x:v>two unlike probes</x:v>
      </x:c>
      <x:c r="L111" s="7" t="str"/>
      <x:c r="M111" s="7" t="str"/>
      <x:c r="N111" s="7" t="str">
        <x:v>OPEN</x:v>
      </x:c>
    </x:row>
    <x:row r="112" ht="36" customHeight="1">
      <x:c r="B112" s="7" t="str">
        <x:v>RAE-SP-11-CH-06</x:v>
      </x:c>
      <x:c r="C112" s="7" t="str">
        <x:v>RAE-SP-11</x:v>
      </x:c>
      <x:c r="D112" s="7" t="str">
        <x:v>AM-05</x:v>
      </x:c>
      <x:c r="E112" s="7" t="str">
        <x:v>TR-B</x:v>
      </x:c>
      <x:c r="F112" s="7" t="str">
        <x:v>CH-06</x:v>
      </x:c>
      <x:c r="G112" s="10" t="str">
        <x:v>water fraction ceiling</x:v>
      </x:c>
      <x:c r="H112" s="7" t="n">
        <x:v>0.001</x:v>
      </x:c>
      <x:c r="I112" s="7" t="n">
        <x:v>0.0002</x:v>
      </x:c>
      <x:c r="J112" s="7" t="str">
        <x:v>ratio</x:v>
      </x:c>
      <x:c r="K112" s="10" t="str">
        <x:v>retained assay</x:v>
      </x:c>
      <x:c r="L112" s="7" t="str"/>
      <x:c r="M112" s="7" t="str"/>
      <x:c r="N112" s="7" t="str">
        <x:v>OPEN</x:v>
      </x:c>
    </x:row>
    <x:row r="113" ht="36" customHeight="1">
      <x:c r="B113" s="7" t="str">
        <x:v>RAE-SP-11-CH-07</x:v>
      </x:c>
      <x:c r="C113" s="7" t="str">
        <x:v>RAE-SP-11</x:v>
      </x:c>
      <x:c r="D113" s="7" t="str">
        <x:v>AM-05</x:v>
      </x:c>
      <x:c r="E113" s="7" t="str">
        <x:v>TR-B</x:v>
      </x:c>
      <x:c r="F113" s="7" t="str">
        <x:v>CH-07</x:v>
      </x:c>
      <x:c r="G113" s="10" t="str">
        <x:v>foreign-solids ceiling</x:v>
      </x:c>
      <x:c r="H113" s="7" t="n">
        <x:v>0.001</x:v>
      </x:c>
      <x:c r="I113" s="7" t="n">
        <x:v>0.0002</x:v>
      </x:c>
      <x:c r="J113" s="7" t="str">
        <x:v>ratio</x:v>
      </x:c>
      <x:c r="K113" s="10" t="str">
        <x:v>filter and retained assay</x:v>
      </x:c>
      <x:c r="L113" s="7" t="str"/>
      <x:c r="M113" s="7" t="str"/>
      <x:c r="N113" s="7" t="str">
        <x:v>OPEN</x:v>
      </x:c>
    </x:row>
    <x:row r="114" ht="36" customHeight="1">
      <x:c r="B114" s="7" t="str">
        <x:v>RAE-SP-11-CH-08</x:v>
      </x:c>
      <x:c r="C114" s="7" t="str">
        <x:v>RAE-SP-11</x:v>
      </x:c>
      <x:c r="D114" s="7" t="str">
        <x:v>AM-05</x:v>
      </x:c>
      <x:c r="E114" s="7" t="str">
        <x:v>TR-B</x:v>
      </x:c>
      <x:c r="F114" s="7" t="str">
        <x:v>CH-08</x:v>
      </x:c>
      <x:c r="G114" s="10" t="str">
        <x:v>ancestry recovery floor</x:v>
      </x:c>
      <x:c r="H114" s="7" t="n">
        <x:v>0.995</x:v>
      </x:c>
      <x:c r="I114" s="7" t="n">
        <x:v>0.001</x:v>
      </x:c>
      <x:c r="J114" s="7" t="str">
        <x:v>ratio</x:v>
      </x:c>
      <x:c r="K114" s="10" t="str">
        <x:v>root-specific code</x:v>
      </x:c>
      <x:c r="L114" s="7" t="str"/>
      <x:c r="M114" s="7" t="str"/>
      <x:c r="N114" s="7" t="str">
        <x:v>OPEN</x:v>
      </x:c>
    </x:row>
    <x:row r="115" ht="36" customHeight="1">
      <x:c r="B115" s="7" t="str">
        <x:v>RAE-SP-11-CH-09</x:v>
      </x:c>
      <x:c r="C115" s="7" t="str">
        <x:v>RAE-SP-11</x:v>
      </x:c>
      <x:c r="D115" s="7" t="str">
        <x:v>AM-05</x:v>
      </x:c>
      <x:c r="E115" s="7" t="str">
        <x:v>TR-B</x:v>
      </x:c>
      <x:c r="F115" s="7" t="str">
        <x:v>CH-09</x:v>
      </x:c>
      <x:c r="G115" s="10" t="str">
        <x:v>custody seal</x:v>
      </x:c>
      <x:c r="H115" s="7" t="str">
        <x:v>MATCH</x:v>
      </x:c>
      <x:c r="I115" s="7" t="str">
        <x:v>n.a.</x:v>
      </x:c>
      <x:c r="J115" s="7" t="str">
        <x:v>state</x:v>
      </x:c>
      <x:c r="K115" s="10" t="str">
        <x:v>two-person seal verification</x:v>
      </x:c>
      <x:c r="L115" s="7" t="str"/>
      <x:c r="M115" s="7" t="str"/>
      <x:c r="N115" s="7" t="str">
        <x:v>OPEN</x:v>
      </x:c>
    </x:row>
    <x:row r="116" ht="36" customHeight="1">
      <x:c r="B116" s="7" t="str">
        <x:v>RAE-SP-11-CH-10</x:v>
      </x:c>
      <x:c r="C116" s="7" t="str">
        <x:v>RAE-SP-11</x:v>
      </x:c>
      <x:c r="D116" s="7" t="str">
        <x:v>AM-05</x:v>
      </x:c>
      <x:c r="E116" s="7" t="str">
        <x:v>TR-B</x:v>
      </x:c>
      <x:c r="F116" s="7" t="str">
        <x:v>CH-10</x:v>
      </x:c>
      <x:c r="G116" s="10" t="str">
        <x:v>retained sample set</x:v>
      </x:c>
      <x:c r="H116" s="7" t="str">
        <x:v>THREE</x:v>
      </x:c>
      <x:c r="I116" s="7" t="str">
        <x:v>n.a.</x:v>
      </x:c>
      <x:c r="J116" s="7" t="str">
        <x:v>count</x:v>
      </x:c>
      <x:c r="K116" s="10" t="str">
        <x:v>pre, post and archive</x:v>
      </x:c>
      <x:c r="L116" s="7" t="str"/>
      <x:c r="M116" s="7" t="str"/>
      <x:c r="N116" s="7" t="str">
        <x:v>OPEN</x:v>
      </x:c>
    </x:row>
    <x:row r="117" ht="36" customHeight="1">
      <x:c r="B117" s="7" t="str">
        <x:v>RAE-SP-12-CH-01</x:v>
      </x:c>
      <x:c r="C117" s="7" t="str">
        <x:v>RAE-SP-12</x:v>
      </x:c>
      <x:c r="D117" s="7" t="str">
        <x:v>AM-05</x:v>
      </x:c>
      <x:c r="E117" s="7" t="str">
        <x:v>TR-B</x:v>
      </x:c>
      <x:c r="F117" s="7" t="str">
        <x:v>CH-01</x:v>
      </x:c>
      <x:c r="G117" s="10" t="str">
        <x:v>gross package mass</x:v>
      </x:c>
      <x:c r="H117" s="7" t="n">
        <x:v>125</x:v>
      </x:c>
      <x:c r="I117" s="7" t="n">
        <x:v>0.25</x:v>
      </x:c>
      <x:c r="J117" s="7" t="str">
        <x:v>kg</x:v>
      </x:c>
      <x:c r="K117" s="10" t="str">
        <x:v>gravimetric root</x:v>
      </x:c>
      <x:c r="L117" s="7" t="str"/>
      <x:c r="M117" s="7" t="str"/>
      <x:c r="N117" s="7" t="str">
        <x:v>OPEN</x:v>
      </x:c>
    </x:row>
    <x:row r="118" ht="36" customHeight="1">
      <x:c r="B118" s="7" t="str">
        <x:v>RAE-SP-12-CH-02</x:v>
      </x:c>
      <x:c r="C118" s="7" t="str">
        <x:v>RAE-SP-12</x:v>
      </x:c>
      <x:c r="D118" s="7" t="str">
        <x:v>AM-05</x:v>
      </x:c>
      <x:c r="E118" s="7" t="str">
        <x:v>TR-B</x:v>
      </x:c>
      <x:c r="F118" s="7" t="str">
        <x:v>CH-02</x:v>
      </x:c>
      <x:c r="G118" s="10" t="str">
        <x:v>event aliquot mass</x:v>
      </x:c>
      <x:c r="H118" s="7" t="n">
        <x:v>100</x:v>
      </x:c>
      <x:c r="I118" s="7" t="n">
        <x:v>0.5</x:v>
      </x:c>
      <x:c r="J118" s="7" t="str">
        <x:v>kg</x:v>
      </x:c>
      <x:c r="K118" s="10" t="str">
        <x:v>gravimetric transfer</x:v>
      </x:c>
      <x:c r="L118" s="7" t="str"/>
      <x:c r="M118" s="7" t="str"/>
      <x:c r="N118" s="7" t="str">
        <x:v>OPEN</x:v>
      </x:c>
    </x:row>
    <x:row r="119" ht="36" customHeight="1">
      <x:c r="B119" s="7" t="str">
        <x:v>RAE-SP-12-CH-03</x:v>
      </x:c>
      <x:c r="C119" s="7" t="str">
        <x:v>RAE-SP-12</x:v>
      </x:c>
      <x:c r="D119" s="7" t="str">
        <x:v>AM-05</x:v>
      </x:c>
      <x:c r="E119" s="7" t="str">
        <x:v>TR-B</x:v>
      </x:c>
      <x:c r="F119" s="7" t="str">
        <x:v>CH-03</x:v>
      </x:c>
      <x:c r="G119" s="10" t="str">
        <x:v>density</x:v>
      </x:c>
      <x:c r="H119" s="7" t="n">
        <x:v>800</x:v>
      </x:c>
      <x:c r="I119" s="7" t="n">
        <x:v>8</x:v>
      </x:c>
      <x:c r="J119" s="7" t="str">
        <x:v>kg/m3</x:v>
      </x:c>
      <x:c r="K119" s="10" t="str">
        <x:v>temperature-conditioned reference</x:v>
      </x:c>
      <x:c r="L119" s="7" t="str"/>
      <x:c r="M119" s="7" t="str"/>
      <x:c r="N119" s="7" t="str">
        <x:v>OPEN</x:v>
      </x:c>
    </x:row>
    <x:row r="120" ht="36" customHeight="1">
      <x:c r="B120" s="7" t="str">
        <x:v>RAE-SP-12-CH-04</x:v>
      </x:c>
      <x:c r="C120" s="7" t="str">
        <x:v>RAE-SP-12</x:v>
      </x:c>
      <x:c r="D120" s="7" t="str">
        <x:v>AM-05</x:v>
      </x:c>
      <x:c r="E120" s="7" t="str">
        <x:v>TR-B</x:v>
      </x:c>
      <x:c r="F120" s="7" t="str">
        <x:v>CH-04</x:v>
      </x:c>
      <x:c r="G120" s="10" t="str">
        <x:v>lower heating value</x:v>
      </x:c>
      <x:c r="H120" s="7" t="n">
        <x:v>42.588</x:v>
      </x:c>
      <x:c r="I120" s="7" t="n">
        <x:v>0.426</x:v>
      </x:c>
      <x:c r="J120" s="7" t="str">
        <x:v>MJ/kg</x:v>
      </x:c>
      <x:c r="K120" s="10" t="str">
        <x:v>retained laboratory assay</x:v>
      </x:c>
      <x:c r="L120" s="7" t="str"/>
      <x:c r="M120" s="7" t="str"/>
      <x:c r="N120" s="7" t="str">
        <x:v>OPEN</x:v>
      </x:c>
    </x:row>
    <x:row r="121" ht="36" customHeight="1">
      <x:c r="B121" s="7" t="str">
        <x:v>RAE-SP-12-CH-05</x:v>
      </x:c>
      <x:c r="C121" s="7" t="str">
        <x:v>RAE-SP-12</x:v>
      </x:c>
      <x:c r="D121" s="7" t="str">
        <x:v>AM-05</x:v>
      </x:c>
      <x:c r="E121" s="7" t="str">
        <x:v>TR-B</x:v>
      </x:c>
      <x:c r="F121" s="7" t="str">
        <x:v>CH-05</x:v>
      </x:c>
      <x:c r="G121" s="10" t="str">
        <x:v>temperature</x:v>
      </x:c>
      <x:c r="H121" s="7" t="n">
        <x:v>20</x:v>
      </x:c>
      <x:c r="I121" s="7" t="n">
        <x:v>2</x:v>
      </x:c>
      <x:c r="J121" s="7" t="str">
        <x:v>deg C</x:v>
      </x:c>
      <x:c r="K121" s="10" t="str">
        <x:v>two unlike probes</x:v>
      </x:c>
      <x:c r="L121" s="7" t="str"/>
      <x:c r="M121" s="7" t="str"/>
      <x:c r="N121" s="7" t="str">
        <x:v>OPEN</x:v>
      </x:c>
    </x:row>
    <x:row r="122" ht="36" customHeight="1">
      <x:c r="B122" s="7" t="str">
        <x:v>RAE-SP-12-CH-06</x:v>
      </x:c>
      <x:c r="C122" s="7" t="str">
        <x:v>RAE-SP-12</x:v>
      </x:c>
      <x:c r="D122" s="7" t="str">
        <x:v>AM-05</x:v>
      </x:c>
      <x:c r="E122" s="7" t="str">
        <x:v>TR-B</x:v>
      </x:c>
      <x:c r="F122" s="7" t="str">
        <x:v>CH-06</x:v>
      </x:c>
      <x:c r="G122" s="10" t="str">
        <x:v>water fraction ceiling</x:v>
      </x:c>
      <x:c r="H122" s="7" t="n">
        <x:v>0.001</x:v>
      </x:c>
      <x:c r="I122" s="7" t="n">
        <x:v>0.0002</x:v>
      </x:c>
      <x:c r="J122" s="7" t="str">
        <x:v>ratio</x:v>
      </x:c>
      <x:c r="K122" s="10" t="str">
        <x:v>retained assay</x:v>
      </x:c>
      <x:c r="L122" s="7" t="str"/>
      <x:c r="M122" s="7" t="str"/>
      <x:c r="N122" s="7" t="str">
        <x:v>OPEN</x:v>
      </x:c>
    </x:row>
    <x:row r="123" ht="36" customHeight="1">
      <x:c r="B123" s="7" t="str">
        <x:v>RAE-SP-12-CH-07</x:v>
      </x:c>
      <x:c r="C123" s="7" t="str">
        <x:v>RAE-SP-12</x:v>
      </x:c>
      <x:c r="D123" s="7" t="str">
        <x:v>AM-05</x:v>
      </x:c>
      <x:c r="E123" s="7" t="str">
        <x:v>TR-B</x:v>
      </x:c>
      <x:c r="F123" s="7" t="str">
        <x:v>CH-07</x:v>
      </x:c>
      <x:c r="G123" s="10" t="str">
        <x:v>foreign-solids ceiling</x:v>
      </x:c>
      <x:c r="H123" s="7" t="n">
        <x:v>0.001</x:v>
      </x:c>
      <x:c r="I123" s="7" t="n">
        <x:v>0.0002</x:v>
      </x:c>
      <x:c r="J123" s="7" t="str">
        <x:v>ratio</x:v>
      </x:c>
      <x:c r="K123" s="10" t="str">
        <x:v>filter and retained assay</x:v>
      </x:c>
      <x:c r="L123" s="7" t="str"/>
      <x:c r="M123" s="7" t="str"/>
      <x:c r="N123" s="7" t="str">
        <x:v>OPEN</x:v>
      </x:c>
    </x:row>
    <x:row r="124" ht="36" customHeight="1">
      <x:c r="B124" s="7" t="str">
        <x:v>RAE-SP-12-CH-08</x:v>
      </x:c>
      <x:c r="C124" s="7" t="str">
        <x:v>RAE-SP-12</x:v>
      </x:c>
      <x:c r="D124" s="7" t="str">
        <x:v>AM-05</x:v>
      </x:c>
      <x:c r="E124" s="7" t="str">
        <x:v>TR-B</x:v>
      </x:c>
      <x:c r="F124" s="7" t="str">
        <x:v>CH-08</x:v>
      </x:c>
      <x:c r="G124" s="10" t="str">
        <x:v>ancestry recovery floor</x:v>
      </x:c>
      <x:c r="H124" s="7" t="n">
        <x:v>0.995</x:v>
      </x:c>
      <x:c r="I124" s="7" t="n">
        <x:v>0.001</x:v>
      </x:c>
      <x:c r="J124" s="7" t="str">
        <x:v>ratio</x:v>
      </x:c>
      <x:c r="K124" s="10" t="str">
        <x:v>root-specific code</x:v>
      </x:c>
      <x:c r="L124" s="7" t="str"/>
      <x:c r="M124" s="7" t="str"/>
      <x:c r="N124" s="7" t="str">
        <x:v>OPEN</x:v>
      </x:c>
    </x:row>
    <x:row r="125" ht="36" customHeight="1">
      <x:c r="B125" s="7" t="str">
        <x:v>RAE-SP-12-CH-09</x:v>
      </x:c>
      <x:c r="C125" s="7" t="str">
        <x:v>RAE-SP-12</x:v>
      </x:c>
      <x:c r="D125" s="7" t="str">
        <x:v>AM-05</x:v>
      </x:c>
      <x:c r="E125" s="7" t="str">
        <x:v>TR-B</x:v>
      </x:c>
      <x:c r="F125" s="7" t="str">
        <x:v>CH-09</x:v>
      </x:c>
      <x:c r="G125" s="10" t="str">
        <x:v>custody seal</x:v>
      </x:c>
      <x:c r="H125" s="7" t="str">
        <x:v>MATCH</x:v>
      </x:c>
      <x:c r="I125" s="7" t="str">
        <x:v>n.a.</x:v>
      </x:c>
      <x:c r="J125" s="7" t="str">
        <x:v>state</x:v>
      </x:c>
      <x:c r="K125" s="10" t="str">
        <x:v>two-person seal verification</x:v>
      </x:c>
      <x:c r="L125" s="7" t="str"/>
      <x:c r="M125" s="7" t="str"/>
      <x:c r="N125" s="7" t="str">
        <x:v>OPEN</x:v>
      </x:c>
    </x:row>
    <x:row r="126" ht="36" customHeight="1">
      <x:c r="B126" s="7" t="str">
        <x:v>RAE-SP-12-CH-10</x:v>
      </x:c>
      <x:c r="C126" s="7" t="str">
        <x:v>RAE-SP-12</x:v>
      </x:c>
      <x:c r="D126" s="7" t="str">
        <x:v>AM-05</x:v>
      </x:c>
      <x:c r="E126" s="7" t="str">
        <x:v>TR-B</x:v>
      </x:c>
      <x:c r="F126" s="7" t="str">
        <x:v>CH-10</x:v>
      </x:c>
      <x:c r="G126" s="10" t="str">
        <x:v>retained sample set</x:v>
      </x:c>
      <x:c r="H126" s="7" t="str">
        <x:v>THREE</x:v>
      </x:c>
      <x:c r="I126" s="7" t="str">
        <x:v>n.a.</x:v>
      </x:c>
      <x:c r="J126" s="7" t="str">
        <x:v>count</x:v>
      </x:c>
      <x:c r="K126" s="10" t="str">
        <x:v>pre, post and archive</x:v>
      </x:c>
      <x:c r="L126" s="7" t="str"/>
      <x:c r="M126" s="7" t="str"/>
      <x:c r="N126" s="7" t="str">
        <x:v>OPEN</x:v>
      </x:c>
    </x:row>
    <x:row r="127" ht="36" customHeight="1">
      <x:c r="B127" s="7" t="str">
        <x:v>RAE-SP-13-CH-01</x:v>
      </x:c>
      <x:c r="C127" s="7" t="str">
        <x:v>RAE-SP-13</x:v>
      </x:c>
      <x:c r="D127" s="7" t="str">
        <x:v>AM-06</x:v>
      </x:c>
      <x:c r="E127" s="7" t="str">
        <x:v>TR-A</x:v>
      </x:c>
      <x:c r="F127" s="7" t="str">
        <x:v>CH-01</x:v>
      </x:c>
      <x:c r="G127" s="10" t="str">
        <x:v>gross package mass</x:v>
      </x:c>
      <x:c r="H127" s="7" t="n">
        <x:v>125</x:v>
      </x:c>
      <x:c r="I127" s="7" t="n">
        <x:v>0.25</x:v>
      </x:c>
      <x:c r="J127" s="7" t="str">
        <x:v>kg</x:v>
      </x:c>
      <x:c r="K127" s="10" t="str">
        <x:v>gravimetric root</x:v>
      </x:c>
      <x:c r="L127" s="7" t="str"/>
      <x:c r="M127" s="7" t="str"/>
      <x:c r="N127" s="7" t="str">
        <x:v>OPEN</x:v>
      </x:c>
    </x:row>
    <x:row r="128" ht="36" customHeight="1">
      <x:c r="B128" s="7" t="str">
        <x:v>RAE-SP-13-CH-02</x:v>
      </x:c>
      <x:c r="C128" s="7" t="str">
        <x:v>RAE-SP-13</x:v>
      </x:c>
      <x:c r="D128" s="7" t="str">
        <x:v>AM-06</x:v>
      </x:c>
      <x:c r="E128" s="7" t="str">
        <x:v>TR-A</x:v>
      </x:c>
      <x:c r="F128" s="7" t="str">
        <x:v>CH-02</x:v>
      </x:c>
      <x:c r="G128" s="10" t="str">
        <x:v>event aliquot mass</x:v>
      </x:c>
      <x:c r="H128" s="7" t="n">
        <x:v>100</x:v>
      </x:c>
      <x:c r="I128" s="7" t="n">
        <x:v>0.5</x:v>
      </x:c>
      <x:c r="J128" s="7" t="str">
        <x:v>kg</x:v>
      </x:c>
      <x:c r="K128" s="10" t="str">
        <x:v>gravimetric transfer</x:v>
      </x:c>
      <x:c r="L128" s="7" t="str"/>
      <x:c r="M128" s="7" t="str"/>
      <x:c r="N128" s="7" t="str">
        <x:v>OPEN</x:v>
      </x:c>
    </x:row>
    <x:row r="129" ht="36" customHeight="1">
      <x:c r="B129" s="7" t="str">
        <x:v>RAE-SP-13-CH-03</x:v>
      </x:c>
      <x:c r="C129" s="7" t="str">
        <x:v>RAE-SP-13</x:v>
      </x:c>
      <x:c r="D129" s="7" t="str">
        <x:v>AM-06</x:v>
      </x:c>
      <x:c r="E129" s="7" t="str">
        <x:v>TR-A</x:v>
      </x:c>
      <x:c r="F129" s="7" t="str">
        <x:v>CH-03</x:v>
      </x:c>
      <x:c r="G129" s="10" t="str">
        <x:v>density</x:v>
      </x:c>
      <x:c r="H129" s="7" t="n">
        <x:v>800</x:v>
      </x:c>
      <x:c r="I129" s="7" t="n">
        <x:v>8</x:v>
      </x:c>
      <x:c r="J129" s="7" t="str">
        <x:v>kg/m3</x:v>
      </x:c>
      <x:c r="K129" s="10" t="str">
        <x:v>temperature-conditioned reference</x:v>
      </x:c>
      <x:c r="L129" s="7" t="str"/>
      <x:c r="M129" s="7" t="str"/>
      <x:c r="N129" s="7" t="str">
        <x:v>OPEN</x:v>
      </x:c>
    </x:row>
    <x:row r="130" ht="36" customHeight="1">
      <x:c r="B130" s="7" t="str">
        <x:v>RAE-SP-13-CH-04</x:v>
      </x:c>
      <x:c r="C130" s="7" t="str">
        <x:v>RAE-SP-13</x:v>
      </x:c>
      <x:c r="D130" s="7" t="str">
        <x:v>AM-06</x:v>
      </x:c>
      <x:c r="E130" s="7" t="str">
        <x:v>TR-A</x:v>
      </x:c>
      <x:c r="F130" s="7" t="str">
        <x:v>CH-04</x:v>
      </x:c>
      <x:c r="G130" s="10" t="str">
        <x:v>lower heating value</x:v>
      </x:c>
      <x:c r="H130" s="7" t="n">
        <x:v>42.588</x:v>
      </x:c>
      <x:c r="I130" s="7" t="n">
        <x:v>0.426</x:v>
      </x:c>
      <x:c r="J130" s="7" t="str">
        <x:v>MJ/kg</x:v>
      </x:c>
      <x:c r="K130" s="10" t="str">
        <x:v>retained laboratory assay</x:v>
      </x:c>
      <x:c r="L130" s="7" t="str"/>
      <x:c r="M130" s="7" t="str"/>
      <x:c r="N130" s="7" t="str">
        <x:v>OPEN</x:v>
      </x:c>
    </x:row>
    <x:row r="131" ht="36" customHeight="1">
      <x:c r="B131" s="7" t="str">
        <x:v>RAE-SP-13-CH-05</x:v>
      </x:c>
      <x:c r="C131" s="7" t="str">
        <x:v>RAE-SP-13</x:v>
      </x:c>
      <x:c r="D131" s="7" t="str">
        <x:v>AM-06</x:v>
      </x:c>
      <x:c r="E131" s="7" t="str">
        <x:v>TR-A</x:v>
      </x:c>
      <x:c r="F131" s="7" t="str">
        <x:v>CH-05</x:v>
      </x:c>
      <x:c r="G131" s="10" t="str">
        <x:v>temperature</x:v>
      </x:c>
      <x:c r="H131" s="7" t="n">
        <x:v>20</x:v>
      </x:c>
      <x:c r="I131" s="7" t="n">
        <x:v>2</x:v>
      </x:c>
      <x:c r="J131" s="7" t="str">
        <x:v>deg C</x:v>
      </x:c>
      <x:c r="K131" s="10" t="str">
        <x:v>two unlike probes</x:v>
      </x:c>
      <x:c r="L131" s="7" t="str"/>
      <x:c r="M131" s="7" t="str"/>
      <x:c r="N131" s="7" t="str">
        <x:v>OPEN</x:v>
      </x:c>
    </x:row>
    <x:row r="132" ht="36" customHeight="1">
      <x:c r="B132" s="7" t="str">
        <x:v>RAE-SP-13-CH-06</x:v>
      </x:c>
      <x:c r="C132" s="7" t="str">
        <x:v>RAE-SP-13</x:v>
      </x:c>
      <x:c r="D132" s="7" t="str">
        <x:v>AM-06</x:v>
      </x:c>
      <x:c r="E132" s="7" t="str">
        <x:v>TR-A</x:v>
      </x:c>
      <x:c r="F132" s="7" t="str">
        <x:v>CH-06</x:v>
      </x:c>
      <x:c r="G132" s="10" t="str">
        <x:v>water fraction ceiling</x:v>
      </x:c>
      <x:c r="H132" s="7" t="n">
        <x:v>0.001</x:v>
      </x:c>
      <x:c r="I132" s="7" t="n">
        <x:v>0.0002</x:v>
      </x:c>
      <x:c r="J132" s="7" t="str">
        <x:v>ratio</x:v>
      </x:c>
      <x:c r="K132" s="10" t="str">
        <x:v>retained assay</x:v>
      </x:c>
      <x:c r="L132" s="7" t="str"/>
      <x:c r="M132" s="7" t="str"/>
      <x:c r="N132" s="7" t="str">
        <x:v>OPEN</x:v>
      </x:c>
    </x:row>
    <x:row r="133" ht="36" customHeight="1">
      <x:c r="B133" s="7" t="str">
        <x:v>RAE-SP-13-CH-07</x:v>
      </x:c>
      <x:c r="C133" s="7" t="str">
        <x:v>RAE-SP-13</x:v>
      </x:c>
      <x:c r="D133" s="7" t="str">
        <x:v>AM-06</x:v>
      </x:c>
      <x:c r="E133" s="7" t="str">
        <x:v>TR-A</x:v>
      </x:c>
      <x:c r="F133" s="7" t="str">
        <x:v>CH-07</x:v>
      </x:c>
      <x:c r="G133" s="10" t="str">
        <x:v>foreign-solids ceiling</x:v>
      </x:c>
      <x:c r="H133" s="7" t="n">
        <x:v>0.001</x:v>
      </x:c>
      <x:c r="I133" s="7" t="n">
        <x:v>0.0002</x:v>
      </x:c>
      <x:c r="J133" s="7" t="str">
        <x:v>ratio</x:v>
      </x:c>
      <x:c r="K133" s="10" t="str">
        <x:v>filter and retained assay</x:v>
      </x:c>
      <x:c r="L133" s="7" t="str"/>
      <x:c r="M133" s="7" t="str"/>
      <x:c r="N133" s="7" t="str">
        <x:v>OPEN</x:v>
      </x:c>
    </x:row>
    <x:row r="134" ht="36" customHeight="1">
      <x:c r="B134" s="7" t="str">
        <x:v>RAE-SP-13-CH-08</x:v>
      </x:c>
      <x:c r="C134" s="7" t="str">
        <x:v>RAE-SP-13</x:v>
      </x:c>
      <x:c r="D134" s="7" t="str">
        <x:v>AM-06</x:v>
      </x:c>
      <x:c r="E134" s="7" t="str">
        <x:v>TR-A</x:v>
      </x:c>
      <x:c r="F134" s="7" t="str">
        <x:v>CH-08</x:v>
      </x:c>
      <x:c r="G134" s="10" t="str">
        <x:v>ancestry recovery floor</x:v>
      </x:c>
      <x:c r="H134" s="7" t="n">
        <x:v>0.995</x:v>
      </x:c>
      <x:c r="I134" s="7" t="n">
        <x:v>0.001</x:v>
      </x:c>
      <x:c r="J134" s="7" t="str">
        <x:v>ratio</x:v>
      </x:c>
      <x:c r="K134" s="10" t="str">
        <x:v>root-specific code</x:v>
      </x:c>
      <x:c r="L134" s="7" t="str"/>
      <x:c r="M134" s="7" t="str"/>
      <x:c r="N134" s="7" t="str">
        <x:v>OPEN</x:v>
      </x:c>
    </x:row>
    <x:row r="135" ht="36" customHeight="1">
      <x:c r="B135" s="7" t="str">
        <x:v>RAE-SP-13-CH-09</x:v>
      </x:c>
      <x:c r="C135" s="7" t="str">
        <x:v>RAE-SP-13</x:v>
      </x:c>
      <x:c r="D135" s="7" t="str">
        <x:v>AM-06</x:v>
      </x:c>
      <x:c r="E135" s="7" t="str">
        <x:v>TR-A</x:v>
      </x:c>
      <x:c r="F135" s="7" t="str">
        <x:v>CH-09</x:v>
      </x:c>
      <x:c r="G135" s="10" t="str">
        <x:v>custody seal</x:v>
      </x:c>
      <x:c r="H135" s="7" t="str">
        <x:v>MATCH</x:v>
      </x:c>
      <x:c r="I135" s="7" t="str">
        <x:v>n.a.</x:v>
      </x:c>
      <x:c r="J135" s="7" t="str">
        <x:v>state</x:v>
      </x:c>
      <x:c r="K135" s="10" t="str">
        <x:v>two-person seal verification</x:v>
      </x:c>
      <x:c r="L135" s="7" t="str"/>
      <x:c r="M135" s="7" t="str"/>
      <x:c r="N135" s="7" t="str">
        <x:v>OPEN</x:v>
      </x:c>
    </x:row>
    <x:row r="136" ht="36" customHeight="1">
      <x:c r="B136" s="7" t="str">
        <x:v>RAE-SP-13-CH-10</x:v>
      </x:c>
      <x:c r="C136" s="7" t="str">
        <x:v>RAE-SP-13</x:v>
      </x:c>
      <x:c r="D136" s="7" t="str">
        <x:v>AM-06</x:v>
      </x:c>
      <x:c r="E136" s="7" t="str">
        <x:v>TR-A</x:v>
      </x:c>
      <x:c r="F136" s="7" t="str">
        <x:v>CH-10</x:v>
      </x:c>
      <x:c r="G136" s="10" t="str">
        <x:v>retained sample set</x:v>
      </x:c>
      <x:c r="H136" s="7" t="str">
        <x:v>THREE</x:v>
      </x:c>
      <x:c r="I136" s="7" t="str">
        <x:v>n.a.</x:v>
      </x:c>
      <x:c r="J136" s="7" t="str">
        <x:v>count</x:v>
      </x:c>
      <x:c r="K136" s="10" t="str">
        <x:v>pre, post and archive</x:v>
      </x:c>
      <x:c r="L136" s="7" t="str"/>
      <x:c r="M136" s="7" t="str"/>
      <x:c r="N136" s="7" t="str">
        <x:v>OPEN</x:v>
      </x:c>
    </x:row>
    <x:row r="137" ht="36" customHeight="1">
      <x:c r="B137" s="7" t="str">
        <x:v>RAE-SP-14-CH-01</x:v>
      </x:c>
      <x:c r="C137" s="7" t="str">
        <x:v>RAE-SP-14</x:v>
      </x:c>
      <x:c r="D137" s="7" t="str">
        <x:v>AM-06</x:v>
      </x:c>
      <x:c r="E137" s="7" t="str">
        <x:v>TR-A</x:v>
      </x:c>
      <x:c r="F137" s="7" t="str">
        <x:v>CH-01</x:v>
      </x:c>
      <x:c r="G137" s="10" t="str">
        <x:v>gross package mass</x:v>
      </x:c>
      <x:c r="H137" s="7" t="n">
        <x:v>125</x:v>
      </x:c>
      <x:c r="I137" s="7" t="n">
        <x:v>0.25</x:v>
      </x:c>
      <x:c r="J137" s="7" t="str">
        <x:v>kg</x:v>
      </x:c>
      <x:c r="K137" s="10" t="str">
        <x:v>gravimetric root</x:v>
      </x:c>
      <x:c r="L137" s="7" t="str"/>
      <x:c r="M137" s="7" t="str"/>
      <x:c r="N137" s="7" t="str">
        <x:v>OPEN</x:v>
      </x:c>
    </x:row>
    <x:row r="138" ht="36" customHeight="1">
      <x:c r="B138" s="7" t="str">
        <x:v>RAE-SP-14-CH-02</x:v>
      </x:c>
      <x:c r="C138" s="7" t="str">
        <x:v>RAE-SP-14</x:v>
      </x:c>
      <x:c r="D138" s="7" t="str">
        <x:v>AM-06</x:v>
      </x:c>
      <x:c r="E138" s="7" t="str">
        <x:v>TR-A</x:v>
      </x:c>
      <x:c r="F138" s="7" t="str">
        <x:v>CH-02</x:v>
      </x:c>
      <x:c r="G138" s="10" t="str">
        <x:v>event aliquot mass</x:v>
      </x:c>
      <x:c r="H138" s="7" t="n">
        <x:v>100</x:v>
      </x:c>
      <x:c r="I138" s="7" t="n">
        <x:v>0.5</x:v>
      </x:c>
      <x:c r="J138" s="7" t="str">
        <x:v>kg</x:v>
      </x:c>
      <x:c r="K138" s="10" t="str">
        <x:v>gravimetric transfer</x:v>
      </x:c>
      <x:c r="L138" s="7" t="str"/>
      <x:c r="M138" s="7" t="str"/>
      <x:c r="N138" s="7" t="str">
        <x:v>OPEN</x:v>
      </x:c>
    </x:row>
    <x:row r="139" ht="36" customHeight="1">
      <x:c r="B139" s="7" t="str">
        <x:v>RAE-SP-14-CH-03</x:v>
      </x:c>
      <x:c r="C139" s="7" t="str">
        <x:v>RAE-SP-14</x:v>
      </x:c>
      <x:c r="D139" s="7" t="str">
        <x:v>AM-06</x:v>
      </x:c>
      <x:c r="E139" s="7" t="str">
        <x:v>TR-A</x:v>
      </x:c>
      <x:c r="F139" s="7" t="str">
        <x:v>CH-03</x:v>
      </x:c>
      <x:c r="G139" s="10" t="str">
        <x:v>density</x:v>
      </x:c>
      <x:c r="H139" s="7" t="n">
        <x:v>800</x:v>
      </x:c>
      <x:c r="I139" s="7" t="n">
        <x:v>8</x:v>
      </x:c>
      <x:c r="J139" s="7" t="str">
        <x:v>kg/m3</x:v>
      </x:c>
      <x:c r="K139" s="10" t="str">
        <x:v>temperature-conditioned reference</x:v>
      </x:c>
      <x:c r="L139" s="7" t="str"/>
      <x:c r="M139" s="7" t="str"/>
      <x:c r="N139" s="7" t="str">
        <x:v>OPEN</x:v>
      </x:c>
    </x:row>
    <x:row r="140" ht="36" customHeight="1">
      <x:c r="B140" s="7" t="str">
        <x:v>RAE-SP-14-CH-04</x:v>
      </x:c>
      <x:c r="C140" s="7" t="str">
        <x:v>RAE-SP-14</x:v>
      </x:c>
      <x:c r="D140" s="7" t="str">
        <x:v>AM-06</x:v>
      </x:c>
      <x:c r="E140" s="7" t="str">
        <x:v>TR-A</x:v>
      </x:c>
      <x:c r="F140" s="7" t="str">
        <x:v>CH-04</x:v>
      </x:c>
      <x:c r="G140" s="10" t="str">
        <x:v>lower heating value</x:v>
      </x:c>
      <x:c r="H140" s="7" t="n">
        <x:v>42.588</x:v>
      </x:c>
      <x:c r="I140" s="7" t="n">
        <x:v>0.426</x:v>
      </x:c>
      <x:c r="J140" s="7" t="str">
        <x:v>MJ/kg</x:v>
      </x:c>
      <x:c r="K140" s="10" t="str">
        <x:v>retained laboratory assay</x:v>
      </x:c>
      <x:c r="L140" s="7" t="str"/>
      <x:c r="M140" s="7" t="str"/>
      <x:c r="N140" s="7" t="str">
        <x:v>OPEN</x:v>
      </x:c>
    </x:row>
    <x:row r="141" ht="36" customHeight="1">
      <x:c r="B141" s="7" t="str">
        <x:v>RAE-SP-14-CH-05</x:v>
      </x:c>
      <x:c r="C141" s="7" t="str">
        <x:v>RAE-SP-14</x:v>
      </x:c>
      <x:c r="D141" s="7" t="str">
        <x:v>AM-06</x:v>
      </x:c>
      <x:c r="E141" s="7" t="str">
        <x:v>TR-A</x:v>
      </x:c>
      <x:c r="F141" s="7" t="str">
        <x:v>CH-05</x:v>
      </x:c>
      <x:c r="G141" s="10" t="str">
        <x:v>temperature</x:v>
      </x:c>
      <x:c r="H141" s="7" t="n">
        <x:v>20</x:v>
      </x:c>
      <x:c r="I141" s="7" t="n">
        <x:v>2</x:v>
      </x:c>
      <x:c r="J141" s="7" t="str">
        <x:v>deg C</x:v>
      </x:c>
      <x:c r="K141" s="10" t="str">
        <x:v>two unlike probes</x:v>
      </x:c>
      <x:c r="L141" s="7" t="str"/>
      <x:c r="M141" s="7" t="str"/>
      <x:c r="N141" s="7" t="str">
        <x:v>OPEN</x:v>
      </x:c>
    </x:row>
    <x:row r="142" ht="36" customHeight="1">
      <x:c r="B142" s="7" t="str">
        <x:v>RAE-SP-14-CH-06</x:v>
      </x:c>
      <x:c r="C142" s="7" t="str">
        <x:v>RAE-SP-14</x:v>
      </x:c>
      <x:c r="D142" s="7" t="str">
        <x:v>AM-06</x:v>
      </x:c>
      <x:c r="E142" s="7" t="str">
        <x:v>TR-A</x:v>
      </x:c>
      <x:c r="F142" s="7" t="str">
        <x:v>CH-06</x:v>
      </x:c>
      <x:c r="G142" s="10" t="str">
        <x:v>water fraction ceiling</x:v>
      </x:c>
      <x:c r="H142" s="7" t="n">
        <x:v>0.001</x:v>
      </x:c>
      <x:c r="I142" s="7" t="n">
        <x:v>0.0002</x:v>
      </x:c>
      <x:c r="J142" s="7" t="str">
        <x:v>ratio</x:v>
      </x:c>
      <x:c r="K142" s="10" t="str">
        <x:v>retained assay</x:v>
      </x:c>
      <x:c r="L142" s="7" t="str"/>
      <x:c r="M142" s="7" t="str"/>
      <x:c r="N142" s="7" t="str">
        <x:v>OPEN</x:v>
      </x:c>
    </x:row>
    <x:row r="143" ht="36" customHeight="1">
      <x:c r="B143" s="7" t="str">
        <x:v>RAE-SP-14-CH-07</x:v>
      </x:c>
      <x:c r="C143" s="7" t="str">
        <x:v>RAE-SP-14</x:v>
      </x:c>
      <x:c r="D143" s="7" t="str">
        <x:v>AM-06</x:v>
      </x:c>
      <x:c r="E143" s="7" t="str">
        <x:v>TR-A</x:v>
      </x:c>
      <x:c r="F143" s="7" t="str">
        <x:v>CH-07</x:v>
      </x:c>
      <x:c r="G143" s="10" t="str">
        <x:v>foreign-solids ceiling</x:v>
      </x:c>
      <x:c r="H143" s="7" t="n">
        <x:v>0.001</x:v>
      </x:c>
      <x:c r="I143" s="7" t="n">
        <x:v>0.0002</x:v>
      </x:c>
      <x:c r="J143" s="7" t="str">
        <x:v>ratio</x:v>
      </x:c>
      <x:c r="K143" s="10" t="str">
        <x:v>filter and retained assay</x:v>
      </x:c>
      <x:c r="L143" s="7" t="str"/>
      <x:c r="M143" s="7" t="str"/>
      <x:c r="N143" s="7" t="str">
        <x:v>OPEN</x:v>
      </x:c>
    </x:row>
    <x:row r="144" ht="36" customHeight="1">
      <x:c r="B144" s="7" t="str">
        <x:v>RAE-SP-14-CH-08</x:v>
      </x:c>
      <x:c r="C144" s="7" t="str">
        <x:v>RAE-SP-14</x:v>
      </x:c>
      <x:c r="D144" s="7" t="str">
        <x:v>AM-06</x:v>
      </x:c>
      <x:c r="E144" s="7" t="str">
        <x:v>TR-A</x:v>
      </x:c>
      <x:c r="F144" s="7" t="str">
        <x:v>CH-08</x:v>
      </x:c>
      <x:c r="G144" s="10" t="str">
        <x:v>ancestry recovery floor</x:v>
      </x:c>
      <x:c r="H144" s="7" t="n">
        <x:v>0.995</x:v>
      </x:c>
      <x:c r="I144" s="7" t="n">
        <x:v>0.001</x:v>
      </x:c>
      <x:c r="J144" s="7" t="str">
        <x:v>ratio</x:v>
      </x:c>
      <x:c r="K144" s="10" t="str">
        <x:v>root-specific code</x:v>
      </x:c>
      <x:c r="L144" s="7" t="str"/>
      <x:c r="M144" s="7" t="str"/>
      <x:c r="N144" s="7" t="str">
        <x:v>OPEN</x:v>
      </x:c>
    </x:row>
    <x:row r="145" ht="36" customHeight="1">
      <x:c r="B145" s="7" t="str">
        <x:v>RAE-SP-14-CH-09</x:v>
      </x:c>
      <x:c r="C145" s="7" t="str">
        <x:v>RAE-SP-14</x:v>
      </x:c>
      <x:c r="D145" s="7" t="str">
        <x:v>AM-06</x:v>
      </x:c>
      <x:c r="E145" s="7" t="str">
        <x:v>TR-A</x:v>
      </x:c>
      <x:c r="F145" s="7" t="str">
        <x:v>CH-09</x:v>
      </x:c>
      <x:c r="G145" s="10" t="str">
        <x:v>custody seal</x:v>
      </x:c>
      <x:c r="H145" s="7" t="str">
        <x:v>MATCH</x:v>
      </x:c>
      <x:c r="I145" s="7" t="str">
        <x:v>n.a.</x:v>
      </x:c>
      <x:c r="J145" s="7" t="str">
        <x:v>state</x:v>
      </x:c>
      <x:c r="K145" s="10" t="str">
        <x:v>two-person seal verification</x:v>
      </x:c>
      <x:c r="L145" s="7" t="str"/>
      <x:c r="M145" s="7" t="str"/>
      <x:c r="N145" s="7" t="str">
        <x:v>OPEN</x:v>
      </x:c>
    </x:row>
    <x:row r="146" ht="36" customHeight="1">
      <x:c r="B146" s="7" t="str">
        <x:v>RAE-SP-14-CH-10</x:v>
      </x:c>
      <x:c r="C146" s="7" t="str">
        <x:v>RAE-SP-14</x:v>
      </x:c>
      <x:c r="D146" s="7" t="str">
        <x:v>AM-06</x:v>
      </x:c>
      <x:c r="E146" s="7" t="str">
        <x:v>TR-A</x:v>
      </x:c>
      <x:c r="F146" s="7" t="str">
        <x:v>CH-10</x:v>
      </x:c>
      <x:c r="G146" s="10" t="str">
        <x:v>retained sample set</x:v>
      </x:c>
      <x:c r="H146" s="7" t="str">
        <x:v>THREE</x:v>
      </x:c>
      <x:c r="I146" s="7" t="str">
        <x:v>n.a.</x:v>
      </x:c>
      <x:c r="J146" s="7" t="str">
        <x:v>count</x:v>
      </x:c>
      <x:c r="K146" s="10" t="str">
        <x:v>pre, post and archive</x:v>
      </x:c>
      <x:c r="L146" s="7" t="str"/>
      <x:c r="M146" s="7" t="str"/>
      <x:c r="N146" s="7" t="str">
        <x:v>OPEN</x:v>
      </x:c>
    </x:row>
    <x:row r="147" ht="36" customHeight="1">
      <x:c r="B147" s="7" t="str">
        <x:v>RAE-SP-15-CH-01</x:v>
      </x:c>
      <x:c r="C147" s="7" t="str">
        <x:v>RAE-SP-15</x:v>
      </x:c>
      <x:c r="D147" s="7" t="str">
        <x:v>AM-06</x:v>
      </x:c>
      <x:c r="E147" s="7" t="str">
        <x:v>TR-A</x:v>
      </x:c>
      <x:c r="F147" s="7" t="str">
        <x:v>CH-01</x:v>
      </x:c>
      <x:c r="G147" s="10" t="str">
        <x:v>gross package mass</x:v>
      </x:c>
      <x:c r="H147" s="7" t="n">
        <x:v>125</x:v>
      </x:c>
      <x:c r="I147" s="7" t="n">
        <x:v>0.25</x:v>
      </x:c>
      <x:c r="J147" s="7" t="str">
        <x:v>kg</x:v>
      </x:c>
      <x:c r="K147" s="10" t="str">
        <x:v>gravimetric root</x:v>
      </x:c>
      <x:c r="L147" s="7" t="str"/>
      <x:c r="M147" s="7" t="str"/>
      <x:c r="N147" s="7" t="str">
        <x:v>OPEN</x:v>
      </x:c>
    </x:row>
    <x:row r="148" ht="36" customHeight="1">
      <x:c r="B148" s="7" t="str">
        <x:v>RAE-SP-15-CH-02</x:v>
      </x:c>
      <x:c r="C148" s="7" t="str">
        <x:v>RAE-SP-15</x:v>
      </x:c>
      <x:c r="D148" s="7" t="str">
        <x:v>AM-06</x:v>
      </x:c>
      <x:c r="E148" s="7" t="str">
        <x:v>TR-A</x:v>
      </x:c>
      <x:c r="F148" s="7" t="str">
        <x:v>CH-02</x:v>
      </x:c>
      <x:c r="G148" s="10" t="str">
        <x:v>event aliquot mass</x:v>
      </x:c>
      <x:c r="H148" s="7" t="n">
        <x:v>100</x:v>
      </x:c>
      <x:c r="I148" s="7" t="n">
        <x:v>0.5</x:v>
      </x:c>
      <x:c r="J148" s="7" t="str">
        <x:v>kg</x:v>
      </x:c>
      <x:c r="K148" s="10" t="str">
        <x:v>gravimetric transfer</x:v>
      </x:c>
      <x:c r="L148" s="7" t="str"/>
      <x:c r="M148" s="7" t="str"/>
      <x:c r="N148" s="7" t="str">
        <x:v>OPEN</x:v>
      </x:c>
    </x:row>
    <x:row r="149" ht="36" customHeight="1">
      <x:c r="B149" s="7" t="str">
        <x:v>RAE-SP-15-CH-03</x:v>
      </x:c>
      <x:c r="C149" s="7" t="str">
        <x:v>RAE-SP-15</x:v>
      </x:c>
      <x:c r="D149" s="7" t="str">
        <x:v>AM-06</x:v>
      </x:c>
      <x:c r="E149" s="7" t="str">
        <x:v>TR-A</x:v>
      </x:c>
      <x:c r="F149" s="7" t="str">
        <x:v>CH-03</x:v>
      </x:c>
      <x:c r="G149" s="10" t="str">
        <x:v>density</x:v>
      </x:c>
      <x:c r="H149" s="7" t="n">
        <x:v>800</x:v>
      </x:c>
      <x:c r="I149" s="7" t="n">
        <x:v>8</x:v>
      </x:c>
      <x:c r="J149" s="7" t="str">
        <x:v>kg/m3</x:v>
      </x:c>
      <x:c r="K149" s="10" t="str">
        <x:v>temperature-conditioned reference</x:v>
      </x:c>
      <x:c r="L149" s="7" t="str"/>
      <x:c r="M149" s="7" t="str"/>
      <x:c r="N149" s="7" t="str">
        <x:v>OPEN</x:v>
      </x:c>
    </x:row>
    <x:row r="150" ht="36" customHeight="1">
      <x:c r="B150" s="7" t="str">
        <x:v>RAE-SP-15-CH-04</x:v>
      </x:c>
      <x:c r="C150" s="7" t="str">
        <x:v>RAE-SP-15</x:v>
      </x:c>
      <x:c r="D150" s="7" t="str">
        <x:v>AM-06</x:v>
      </x:c>
      <x:c r="E150" s="7" t="str">
        <x:v>TR-A</x:v>
      </x:c>
      <x:c r="F150" s="7" t="str">
        <x:v>CH-04</x:v>
      </x:c>
      <x:c r="G150" s="10" t="str">
        <x:v>lower heating value</x:v>
      </x:c>
      <x:c r="H150" s="7" t="n">
        <x:v>42.588</x:v>
      </x:c>
      <x:c r="I150" s="7" t="n">
        <x:v>0.426</x:v>
      </x:c>
      <x:c r="J150" s="7" t="str">
        <x:v>MJ/kg</x:v>
      </x:c>
      <x:c r="K150" s="10" t="str">
        <x:v>retained laboratory assay</x:v>
      </x:c>
      <x:c r="L150" s="7" t="str"/>
      <x:c r="M150" s="7" t="str"/>
      <x:c r="N150" s="7" t="str">
        <x:v>OPEN</x:v>
      </x:c>
    </x:row>
    <x:row r="151" ht="36" customHeight="1">
      <x:c r="B151" s="7" t="str">
        <x:v>RAE-SP-15-CH-05</x:v>
      </x:c>
      <x:c r="C151" s="7" t="str">
        <x:v>RAE-SP-15</x:v>
      </x:c>
      <x:c r="D151" s="7" t="str">
        <x:v>AM-06</x:v>
      </x:c>
      <x:c r="E151" s="7" t="str">
        <x:v>TR-A</x:v>
      </x:c>
      <x:c r="F151" s="7" t="str">
        <x:v>CH-05</x:v>
      </x:c>
      <x:c r="G151" s="10" t="str">
        <x:v>temperature</x:v>
      </x:c>
      <x:c r="H151" s="7" t="n">
        <x:v>20</x:v>
      </x:c>
      <x:c r="I151" s="7" t="n">
        <x:v>2</x:v>
      </x:c>
      <x:c r="J151" s="7" t="str">
        <x:v>deg C</x:v>
      </x:c>
      <x:c r="K151" s="10" t="str">
        <x:v>two unlike probes</x:v>
      </x:c>
      <x:c r="L151" s="7" t="str"/>
      <x:c r="M151" s="7" t="str"/>
      <x:c r="N151" s="7" t="str">
        <x:v>OPEN</x:v>
      </x:c>
    </x:row>
    <x:row r="152" ht="36" customHeight="1">
      <x:c r="B152" s="7" t="str">
        <x:v>RAE-SP-15-CH-06</x:v>
      </x:c>
      <x:c r="C152" s="7" t="str">
        <x:v>RAE-SP-15</x:v>
      </x:c>
      <x:c r="D152" s="7" t="str">
        <x:v>AM-06</x:v>
      </x:c>
      <x:c r="E152" s="7" t="str">
        <x:v>TR-A</x:v>
      </x:c>
      <x:c r="F152" s="7" t="str">
        <x:v>CH-06</x:v>
      </x:c>
      <x:c r="G152" s="10" t="str">
        <x:v>water fraction ceiling</x:v>
      </x:c>
      <x:c r="H152" s="7" t="n">
        <x:v>0.001</x:v>
      </x:c>
      <x:c r="I152" s="7" t="n">
        <x:v>0.0002</x:v>
      </x:c>
      <x:c r="J152" s="7" t="str">
        <x:v>ratio</x:v>
      </x:c>
      <x:c r="K152" s="10" t="str">
        <x:v>retained assay</x:v>
      </x:c>
      <x:c r="L152" s="7" t="str"/>
      <x:c r="M152" s="7" t="str"/>
      <x:c r="N152" s="7" t="str">
        <x:v>OPEN</x:v>
      </x:c>
    </x:row>
    <x:row r="153" ht="36" customHeight="1">
      <x:c r="B153" s="7" t="str">
        <x:v>RAE-SP-15-CH-07</x:v>
      </x:c>
      <x:c r="C153" s="7" t="str">
        <x:v>RAE-SP-15</x:v>
      </x:c>
      <x:c r="D153" s="7" t="str">
        <x:v>AM-06</x:v>
      </x:c>
      <x:c r="E153" s="7" t="str">
        <x:v>TR-A</x:v>
      </x:c>
      <x:c r="F153" s="7" t="str">
        <x:v>CH-07</x:v>
      </x:c>
      <x:c r="G153" s="10" t="str">
        <x:v>foreign-solids ceiling</x:v>
      </x:c>
      <x:c r="H153" s="7" t="n">
        <x:v>0.001</x:v>
      </x:c>
      <x:c r="I153" s="7" t="n">
        <x:v>0.0002</x:v>
      </x:c>
      <x:c r="J153" s="7" t="str">
        <x:v>ratio</x:v>
      </x:c>
      <x:c r="K153" s="10" t="str">
        <x:v>filter and retained assay</x:v>
      </x:c>
      <x:c r="L153" s="7" t="str"/>
      <x:c r="M153" s="7" t="str"/>
      <x:c r="N153" s="7" t="str">
        <x:v>OPEN</x:v>
      </x:c>
    </x:row>
    <x:row r="154" ht="36" customHeight="1">
      <x:c r="B154" s="7" t="str">
        <x:v>RAE-SP-15-CH-08</x:v>
      </x:c>
      <x:c r="C154" s="7" t="str">
        <x:v>RAE-SP-15</x:v>
      </x:c>
      <x:c r="D154" s="7" t="str">
        <x:v>AM-06</x:v>
      </x:c>
      <x:c r="E154" s="7" t="str">
        <x:v>TR-A</x:v>
      </x:c>
      <x:c r="F154" s="7" t="str">
        <x:v>CH-08</x:v>
      </x:c>
      <x:c r="G154" s="10" t="str">
        <x:v>ancestry recovery floor</x:v>
      </x:c>
      <x:c r="H154" s="7" t="n">
        <x:v>0.995</x:v>
      </x:c>
      <x:c r="I154" s="7" t="n">
        <x:v>0.001</x:v>
      </x:c>
      <x:c r="J154" s="7" t="str">
        <x:v>ratio</x:v>
      </x:c>
      <x:c r="K154" s="10" t="str">
        <x:v>root-specific code</x:v>
      </x:c>
      <x:c r="L154" s="7" t="str"/>
      <x:c r="M154" s="7" t="str"/>
      <x:c r="N154" s="7" t="str">
        <x:v>OPEN</x:v>
      </x:c>
    </x:row>
    <x:row r="155" ht="36" customHeight="1">
      <x:c r="B155" s="7" t="str">
        <x:v>RAE-SP-15-CH-09</x:v>
      </x:c>
      <x:c r="C155" s="7" t="str">
        <x:v>RAE-SP-15</x:v>
      </x:c>
      <x:c r="D155" s="7" t="str">
        <x:v>AM-06</x:v>
      </x:c>
      <x:c r="E155" s="7" t="str">
        <x:v>TR-A</x:v>
      </x:c>
      <x:c r="F155" s="7" t="str">
        <x:v>CH-09</x:v>
      </x:c>
      <x:c r="G155" s="10" t="str">
        <x:v>custody seal</x:v>
      </x:c>
      <x:c r="H155" s="7" t="str">
        <x:v>MATCH</x:v>
      </x:c>
      <x:c r="I155" s="7" t="str">
        <x:v>n.a.</x:v>
      </x:c>
      <x:c r="J155" s="7" t="str">
        <x:v>state</x:v>
      </x:c>
      <x:c r="K155" s="10" t="str">
        <x:v>two-person seal verification</x:v>
      </x:c>
      <x:c r="L155" s="7" t="str"/>
      <x:c r="M155" s="7" t="str"/>
      <x:c r="N155" s="7" t="str">
        <x:v>OPEN</x:v>
      </x:c>
    </x:row>
    <x:row r="156" ht="36" customHeight="1">
      <x:c r="B156" s="7" t="str">
        <x:v>RAE-SP-15-CH-10</x:v>
      </x:c>
      <x:c r="C156" s="7" t="str">
        <x:v>RAE-SP-15</x:v>
      </x:c>
      <x:c r="D156" s="7" t="str">
        <x:v>AM-06</x:v>
      </x:c>
      <x:c r="E156" s="7" t="str">
        <x:v>TR-A</x:v>
      </x:c>
      <x:c r="F156" s="7" t="str">
        <x:v>CH-10</x:v>
      </x:c>
      <x:c r="G156" s="10" t="str">
        <x:v>retained sample set</x:v>
      </x:c>
      <x:c r="H156" s="7" t="str">
        <x:v>THREE</x:v>
      </x:c>
      <x:c r="I156" s="7" t="str">
        <x:v>n.a.</x:v>
      </x:c>
      <x:c r="J156" s="7" t="str">
        <x:v>count</x:v>
      </x:c>
      <x:c r="K156" s="10" t="str">
        <x:v>pre, post and archive</x:v>
      </x:c>
      <x:c r="L156" s="7" t="str"/>
      <x:c r="M156" s="7" t="str"/>
      <x:c r="N156" s="7" t="str">
        <x:v>OPEN</x:v>
      </x:c>
    </x:row>
    <x:row r="157" ht="36" customHeight="1">
      <x:c r="B157" s="7" t="str">
        <x:v>RAE-SP-16-CH-01</x:v>
      </x:c>
      <x:c r="C157" s="7" t="str">
        <x:v>RAE-SP-16</x:v>
      </x:c>
      <x:c r="D157" s="7" t="str">
        <x:v>AM-06</x:v>
      </x:c>
      <x:c r="E157" s="7" t="str">
        <x:v>TR-A</x:v>
      </x:c>
      <x:c r="F157" s="7" t="str">
        <x:v>CH-01</x:v>
      </x:c>
      <x:c r="G157" s="10" t="str">
        <x:v>gross package mass</x:v>
      </x:c>
      <x:c r="H157" s="7" t="n">
        <x:v>125</x:v>
      </x:c>
      <x:c r="I157" s="7" t="n">
        <x:v>0.25</x:v>
      </x:c>
      <x:c r="J157" s="7" t="str">
        <x:v>kg</x:v>
      </x:c>
      <x:c r="K157" s="10" t="str">
        <x:v>gravimetric root</x:v>
      </x:c>
      <x:c r="L157" s="7" t="str"/>
      <x:c r="M157" s="7" t="str"/>
      <x:c r="N157" s="7" t="str">
        <x:v>OPEN</x:v>
      </x:c>
    </x:row>
    <x:row r="158" ht="36" customHeight="1">
      <x:c r="B158" s="7" t="str">
        <x:v>RAE-SP-16-CH-02</x:v>
      </x:c>
      <x:c r="C158" s="7" t="str">
        <x:v>RAE-SP-16</x:v>
      </x:c>
      <x:c r="D158" s="7" t="str">
        <x:v>AM-06</x:v>
      </x:c>
      <x:c r="E158" s="7" t="str">
        <x:v>TR-A</x:v>
      </x:c>
      <x:c r="F158" s="7" t="str">
        <x:v>CH-02</x:v>
      </x:c>
      <x:c r="G158" s="10" t="str">
        <x:v>event aliquot mass</x:v>
      </x:c>
      <x:c r="H158" s="7" t="n">
        <x:v>100</x:v>
      </x:c>
      <x:c r="I158" s="7" t="n">
        <x:v>0.5</x:v>
      </x:c>
      <x:c r="J158" s="7" t="str">
        <x:v>kg</x:v>
      </x:c>
      <x:c r="K158" s="10" t="str">
        <x:v>gravimetric transfer</x:v>
      </x:c>
      <x:c r="L158" s="7" t="str"/>
      <x:c r="M158" s="7" t="str"/>
      <x:c r="N158" s="7" t="str">
        <x:v>OPEN</x:v>
      </x:c>
    </x:row>
    <x:row r="159" ht="36" customHeight="1">
      <x:c r="B159" s="7" t="str">
        <x:v>RAE-SP-16-CH-03</x:v>
      </x:c>
      <x:c r="C159" s="7" t="str">
        <x:v>RAE-SP-16</x:v>
      </x:c>
      <x:c r="D159" s="7" t="str">
        <x:v>AM-06</x:v>
      </x:c>
      <x:c r="E159" s="7" t="str">
        <x:v>TR-A</x:v>
      </x:c>
      <x:c r="F159" s="7" t="str">
        <x:v>CH-03</x:v>
      </x:c>
      <x:c r="G159" s="10" t="str">
        <x:v>density</x:v>
      </x:c>
      <x:c r="H159" s="7" t="n">
        <x:v>800</x:v>
      </x:c>
      <x:c r="I159" s="7" t="n">
        <x:v>8</x:v>
      </x:c>
      <x:c r="J159" s="7" t="str">
        <x:v>kg/m3</x:v>
      </x:c>
      <x:c r="K159" s="10" t="str">
        <x:v>temperature-conditioned reference</x:v>
      </x:c>
      <x:c r="L159" s="7" t="str"/>
      <x:c r="M159" s="7" t="str"/>
      <x:c r="N159" s="7" t="str">
        <x:v>OPEN</x:v>
      </x:c>
    </x:row>
    <x:row r="160" ht="36" customHeight="1">
      <x:c r="B160" s="7" t="str">
        <x:v>RAE-SP-16-CH-04</x:v>
      </x:c>
      <x:c r="C160" s="7" t="str">
        <x:v>RAE-SP-16</x:v>
      </x:c>
      <x:c r="D160" s="7" t="str">
        <x:v>AM-06</x:v>
      </x:c>
      <x:c r="E160" s="7" t="str">
        <x:v>TR-A</x:v>
      </x:c>
      <x:c r="F160" s="7" t="str">
        <x:v>CH-04</x:v>
      </x:c>
      <x:c r="G160" s="10" t="str">
        <x:v>lower heating value</x:v>
      </x:c>
      <x:c r="H160" s="7" t="n">
        <x:v>42.588</x:v>
      </x:c>
      <x:c r="I160" s="7" t="n">
        <x:v>0.426</x:v>
      </x:c>
      <x:c r="J160" s="7" t="str">
        <x:v>MJ/kg</x:v>
      </x:c>
      <x:c r="K160" s="10" t="str">
        <x:v>retained laboratory assay</x:v>
      </x:c>
      <x:c r="L160" s="7" t="str"/>
      <x:c r="M160" s="7" t="str"/>
      <x:c r="N160" s="7" t="str">
        <x:v>OPEN</x:v>
      </x:c>
    </x:row>
    <x:row r="161" ht="36" customHeight="1">
      <x:c r="B161" s="7" t="str">
        <x:v>RAE-SP-16-CH-05</x:v>
      </x:c>
      <x:c r="C161" s="7" t="str">
        <x:v>RAE-SP-16</x:v>
      </x:c>
      <x:c r="D161" s="7" t="str">
        <x:v>AM-06</x:v>
      </x:c>
      <x:c r="E161" s="7" t="str">
        <x:v>TR-A</x:v>
      </x:c>
      <x:c r="F161" s="7" t="str">
        <x:v>CH-05</x:v>
      </x:c>
      <x:c r="G161" s="10" t="str">
        <x:v>temperature</x:v>
      </x:c>
      <x:c r="H161" s="7" t="n">
        <x:v>20</x:v>
      </x:c>
      <x:c r="I161" s="7" t="n">
        <x:v>2</x:v>
      </x:c>
      <x:c r="J161" s="7" t="str">
        <x:v>deg C</x:v>
      </x:c>
      <x:c r="K161" s="10" t="str">
        <x:v>two unlike probes</x:v>
      </x:c>
      <x:c r="L161" s="7" t="str"/>
      <x:c r="M161" s="7" t="str"/>
      <x:c r="N161" s="7" t="str">
        <x:v>OPEN</x:v>
      </x:c>
    </x:row>
    <x:row r="162" ht="36" customHeight="1">
      <x:c r="B162" s="7" t="str">
        <x:v>RAE-SP-16-CH-06</x:v>
      </x:c>
      <x:c r="C162" s="7" t="str">
        <x:v>RAE-SP-16</x:v>
      </x:c>
      <x:c r="D162" s="7" t="str">
        <x:v>AM-06</x:v>
      </x:c>
      <x:c r="E162" s="7" t="str">
        <x:v>TR-A</x:v>
      </x:c>
      <x:c r="F162" s="7" t="str">
        <x:v>CH-06</x:v>
      </x:c>
      <x:c r="G162" s="10" t="str">
        <x:v>water fraction ceiling</x:v>
      </x:c>
      <x:c r="H162" s="7" t="n">
        <x:v>0.001</x:v>
      </x:c>
      <x:c r="I162" s="7" t="n">
        <x:v>0.0002</x:v>
      </x:c>
      <x:c r="J162" s="7" t="str">
        <x:v>ratio</x:v>
      </x:c>
      <x:c r="K162" s="10" t="str">
        <x:v>retained assay</x:v>
      </x:c>
      <x:c r="L162" s="7" t="str"/>
      <x:c r="M162" s="7" t="str"/>
      <x:c r="N162" s="7" t="str">
        <x:v>OPEN</x:v>
      </x:c>
    </x:row>
    <x:row r="163" ht="36" customHeight="1">
      <x:c r="B163" s="7" t="str">
        <x:v>RAE-SP-16-CH-07</x:v>
      </x:c>
      <x:c r="C163" s="7" t="str">
        <x:v>RAE-SP-16</x:v>
      </x:c>
      <x:c r="D163" s="7" t="str">
        <x:v>AM-06</x:v>
      </x:c>
      <x:c r="E163" s="7" t="str">
        <x:v>TR-A</x:v>
      </x:c>
      <x:c r="F163" s="7" t="str">
        <x:v>CH-07</x:v>
      </x:c>
      <x:c r="G163" s="10" t="str">
        <x:v>foreign-solids ceiling</x:v>
      </x:c>
      <x:c r="H163" s="7" t="n">
        <x:v>0.001</x:v>
      </x:c>
      <x:c r="I163" s="7" t="n">
        <x:v>0.0002</x:v>
      </x:c>
      <x:c r="J163" s="7" t="str">
        <x:v>ratio</x:v>
      </x:c>
      <x:c r="K163" s="10" t="str">
        <x:v>filter and retained assay</x:v>
      </x:c>
      <x:c r="L163" s="7" t="str"/>
      <x:c r="M163" s="7" t="str"/>
      <x:c r="N163" s="7" t="str">
        <x:v>OPEN</x:v>
      </x:c>
    </x:row>
    <x:row r="164" ht="36" customHeight="1">
      <x:c r="B164" s="7" t="str">
        <x:v>RAE-SP-16-CH-08</x:v>
      </x:c>
      <x:c r="C164" s="7" t="str">
        <x:v>RAE-SP-16</x:v>
      </x:c>
      <x:c r="D164" s="7" t="str">
        <x:v>AM-06</x:v>
      </x:c>
      <x:c r="E164" s="7" t="str">
        <x:v>TR-A</x:v>
      </x:c>
      <x:c r="F164" s="7" t="str">
        <x:v>CH-08</x:v>
      </x:c>
      <x:c r="G164" s="10" t="str">
        <x:v>ancestry recovery floor</x:v>
      </x:c>
      <x:c r="H164" s="7" t="n">
        <x:v>0.995</x:v>
      </x:c>
      <x:c r="I164" s="7" t="n">
        <x:v>0.001</x:v>
      </x:c>
      <x:c r="J164" s="7" t="str">
        <x:v>ratio</x:v>
      </x:c>
      <x:c r="K164" s="10" t="str">
        <x:v>root-specific code</x:v>
      </x:c>
      <x:c r="L164" s="7" t="str"/>
      <x:c r="M164" s="7" t="str"/>
      <x:c r="N164" s="7" t="str">
        <x:v>OPEN</x:v>
      </x:c>
    </x:row>
    <x:row r="165" ht="36" customHeight="1">
      <x:c r="B165" s="7" t="str">
        <x:v>RAE-SP-16-CH-09</x:v>
      </x:c>
      <x:c r="C165" s="7" t="str">
        <x:v>RAE-SP-16</x:v>
      </x:c>
      <x:c r="D165" s="7" t="str">
        <x:v>AM-06</x:v>
      </x:c>
      <x:c r="E165" s="7" t="str">
        <x:v>TR-A</x:v>
      </x:c>
      <x:c r="F165" s="7" t="str">
        <x:v>CH-09</x:v>
      </x:c>
      <x:c r="G165" s="10" t="str">
        <x:v>custody seal</x:v>
      </x:c>
      <x:c r="H165" s="7" t="str">
        <x:v>MATCH</x:v>
      </x:c>
      <x:c r="I165" s="7" t="str">
        <x:v>n.a.</x:v>
      </x:c>
      <x:c r="J165" s="7" t="str">
        <x:v>state</x:v>
      </x:c>
      <x:c r="K165" s="10" t="str">
        <x:v>two-person seal verification</x:v>
      </x:c>
      <x:c r="L165" s="7" t="str"/>
      <x:c r="M165" s="7" t="str"/>
      <x:c r="N165" s="7" t="str">
        <x:v>OPEN</x:v>
      </x:c>
    </x:row>
    <x:row r="166" ht="36" customHeight="1">
      <x:c r="B166" s="7" t="str">
        <x:v>RAE-SP-16-CH-10</x:v>
      </x:c>
      <x:c r="C166" s="7" t="str">
        <x:v>RAE-SP-16</x:v>
      </x:c>
      <x:c r="D166" s="7" t="str">
        <x:v>AM-06</x:v>
      </x:c>
      <x:c r="E166" s="7" t="str">
        <x:v>TR-A</x:v>
      </x:c>
      <x:c r="F166" s="7" t="str">
        <x:v>CH-10</x:v>
      </x:c>
      <x:c r="G166" s="10" t="str">
        <x:v>retained sample set</x:v>
      </x:c>
      <x:c r="H166" s="7" t="str">
        <x:v>THREE</x:v>
      </x:c>
      <x:c r="I166" s="7" t="str">
        <x:v>n.a.</x:v>
      </x:c>
      <x:c r="J166" s="7" t="str">
        <x:v>count</x:v>
      </x:c>
      <x:c r="K166" s="10" t="str">
        <x:v>pre, post and archive</x:v>
      </x:c>
      <x:c r="L166" s="7" t="str"/>
      <x:c r="M166" s="7" t="str"/>
      <x:c r="N166" s="7" t="str">
        <x:v>OPEN</x:v>
      </x:c>
    </x:row>
    <x:row r="167" ht="36" customHeight="1">
      <x:c r="B167" s="7" t="str">
        <x:v>RAE-SP-17-CH-01</x:v>
      </x:c>
      <x:c r="C167" s="7" t="str">
        <x:v>RAE-SP-17</x:v>
      </x:c>
      <x:c r="D167" s="7" t="str">
        <x:v>AM-06</x:v>
      </x:c>
      <x:c r="E167" s="7" t="str">
        <x:v>TR-A</x:v>
      </x:c>
      <x:c r="F167" s="7" t="str">
        <x:v>CH-01</x:v>
      </x:c>
      <x:c r="G167" s="10" t="str">
        <x:v>gross package mass</x:v>
      </x:c>
      <x:c r="H167" s="7" t="n">
        <x:v>125</x:v>
      </x:c>
      <x:c r="I167" s="7" t="n">
        <x:v>0.25</x:v>
      </x:c>
      <x:c r="J167" s="7" t="str">
        <x:v>kg</x:v>
      </x:c>
      <x:c r="K167" s="10" t="str">
        <x:v>gravimetric root</x:v>
      </x:c>
      <x:c r="L167" s="7" t="str"/>
      <x:c r="M167" s="7" t="str"/>
      <x:c r="N167" s="7" t="str">
        <x:v>OPEN</x:v>
      </x:c>
    </x:row>
    <x:row r="168" ht="36" customHeight="1">
      <x:c r="B168" s="7" t="str">
        <x:v>RAE-SP-17-CH-02</x:v>
      </x:c>
      <x:c r="C168" s="7" t="str">
        <x:v>RAE-SP-17</x:v>
      </x:c>
      <x:c r="D168" s="7" t="str">
        <x:v>AM-06</x:v>
      </x:c>
      <x:c r="E168" s="7" t="str">
        <x:v>TR-A</x:v>
      </x:c>
      <x:c r="F168" s="7" t="str">
        <x:v>CH-02</x:v>
      </x:c>
      <x:c r="G168" s="10" t="str">
        <x:v>event aliquot mass</x:v>
      </x:c>
      <x:c r="H168" s="7" t="n">
        <x:v>100</x:v>
      </x:c>
      <x:c r="I168" s="7" t="n">
        <x:v>0.5</x:v>
      </x:c>
      <x:c r="J168" s="7" t="str">
        <x:v>kg</x:v>
      </x:c>
      <x:c r="K168" s="10" t="str">
        <x:v>gravimetric transfer</x:v>
      </x:c>
      <x:c r="L168" s="7" t="str"/>
      <x:c r="M168" s="7" t="str"/>
      <x:c r="N168" s="7" t="str">
        <x:v>OPEN</x:v>
      </x:c>
    </x:row>
    <x:row r="169" ht="36" customHeight="1">
      <x:c r="B169" s="7" t="str">
        <x:v>RAE-SP-17-CH-03</x:v>
      </x:c>
      <x:c r="C169" s="7" t="str">
        <x:v>RAE-SP-17</x:v>
      </x:c>
      <x:c r="D169" s="7" t="str">
        <x:v>AM-06</x:v>
      </x:c>
      <x:c r="E169" s="7" t="str">
        <x:v>TR-A</x:v>
      </x:c>
      <x:c r="F169" s="7" t="str">
        <x:v>CH-03</x:v>
      </x:c>
      <x:c r="G169" s="10" t="str">
        <x:v>density</x:v>
      </x:c>
      <x:c r="H169" s="7" t="n">
        <x:v>800</x:v>
      </x:c>
      <x:c r="I169" s="7" t="n">
        <x:v>8</x:v>
      </x:c>
      <x:c r="J169" s="7" t="str">
        <x:v>kg/m3</x:v>
      </x:c>
      <x:c r="K169" s="10" t="str">
        <x:v>temperature-conditioned reference</x:v>
      </x:c>
      <x:c r="L169" s="7" t="str"/>
      <x:c r="M169" s="7" t="str"/>
      <x:c r="N169" s="7" t="str">
        <x:v>OPEN</x:v>
      </x:c>
    </x:row>
    <x:row r="170" ht="36" customHeight="1">
      <x:c r="B170" s="7" t="str">
        <x:v>RAE-SP-17-CH-04</x:v>
      </x:c>
      <x:c r="C170" s="7" t="str">
        <x:v>RAE-SP-17</x:v>
      </x:c>
      <x:c r="D170" s="7" t="str">
        <x:v>AM-06</x:v>
      </x:c>
      <x:c r="E170" s="7" t="str">
        <x:v>TR-A</x:v>
      </x:c>
      <x:c r="F170" s="7" t="str">
        <x:v>CH-04</x:v>
      </x:c>
      <x:c r="G170" s="10" t="str">
        <x:v>lower heating value</x:v>
      </x:c>
      <x:c r="H170" s="7" t="n">
        <x:v>42.588</x:v>
      </x:c>
      <x:c r="I170" s="7" t="n">
        <x:v>0.426</x:v>
      </x:c>
      <x:c r="J170" s="7" t="str">
        <x:v>MJ/kg</x:v>
      </x:c>
      <x:c r="K170" s="10" t="str">
        <x:v>retained laboratory assay</x:v>
      </x:c>
      <x:c r="L170" s="7" t="str"/>
      <x:c r="M170" s="7" t="str"/>
      <x:c r="N170" s="7" t="str">
        <x:v>OPEN</x:v>
      </x:c>
    </x:row>
    <x:row r="171" ht="36" customHeight="1">
      <x:c r="B171" s="7" t="str">
        <x:v>RAE-SP-17-CH-05</x:v>
      </x:c>
      <x:c r="C171" s="7" t="str">
        <x:v>RAE-SP-17</x:v>
      </x:c>
      <x:c r="D171" s="7" t="str">
        <x:v>AM-06</x:v>
      </x:c>
      <x:c r="E171" s="7" t="str">
        <x:v>TR-A</x:v>
      </x:c>
      <x:c r="F171" s="7" t="str">
        <x:v>CH-05</x:v>
      </x:c>
      <x:c r="G171" s="10" t="str">
        <x:v>temperature</x:v>
      </x:c>
      <x:c r="H171" s="7" t="n">
        <x:v>20</x:v>
      </x:c>
      <x:c r="I171" s="7" t="n">
        <x:v>2</x:v>
      </x:c>
      <x:c r="J171" s="7" t="str">
        <x:v>deg C</x:v>
      </x:c>
      <x:c r="K171" s="10" t="str">
        <x:v>two unlike probes</x:v>
      </x:c>
      <x:c r="L171" s="7" t="str"/>
      <x:c r="M171" s="7" t="str"/>
      <x:c r="N171" s="7" t="str">
        <x:v>OPEN</x:v>
      </x:c>
    </x:row>
    <x:row r="172" ht="36" customHeight="1">
      <x:c r="B172" s="7" t="str">
        <x:v>RAE-SP-17-CH-06</x:v>
      </x:c>
      <x:c r="C172" s="7" t="str">
        <x:v>RAE-SP-17</x:v>
      </x:c>
      <x:c r="D172" s="7" t="str">
        <x:v>AM-06</x:v>
      </x:c>
      <x:c r="E172" s="7" t="str">
        <x:v>TR-A</x:v>
      </x:c>
      <x:c r="F172" s="7" t="str">
        <x:v>CH-06</x:v>
      </x:c>
      <x:c r="G172" s="10" t="str">
        <x:v>water fraction ceiling</x:v>
      </x:c>
      <x:c r="H172" s="7" t="n">
        <x:v>0.001</x:v>
      </x:c>
      <x:c r="I172" s="7" t="n">
        <x:v>0.0002</x:v>
      </x:c>
      <x:c r="J172" s="7" t="str">
        <x:v>ratio</x:v>
      </x:c>
      <x:c r="K172" s="10" t="str">
        <x:v>retained assay</x:v>
      </x:c>
      <x:c r="L172" s="7" t="str"/>
      <x:c r="M172" s="7" t="str"/>
      <x:c r="N172" s="7" t="str">
        <x:v>OPEN</x:v>
      </x:c>
    </x:row>
    <x:row r="173" ht="36" customHeight="1">
      <x:c r="B173" s="7" t="str">
        <x:v>RAE-SP-17-CH-07</x:v>
      </x:c>
      <x:c r="C173" s="7" t="str">
        <x:v>RAE-SP-17</x:v>
      </x:c>
      <x:c r="D173" s="7" t="str">
        <x:v>AM-06</x:v>
      </x:c>
      <x:c r="E173" s="7" t="str">
        <x:v>TR-A</x:v>
      </x:c>
      <x:c r="F173" s="7" t="str">
        <x:v>CH-07</x:v>
      </x:c>
      <x:c r="G173" s="10" t="str">
        <x:v>foreign-solids ceiling</x:v>
      </x:c>
      <x:c r="H173" s="7" t="n">
        <x:v>0.001</x:v>
      </x:c>
      <x:c r="I173" s="7" t="n">
        <x:v>0.0002</x:v>
      </x:c>
      <x:c r="J173" s="7" t="str">
        <x:v>ratio</x:v>
      </x:c>
      <x:c r="K173" s="10" t="str">
        <x:v>filter and retained assay</x:v>
      </x:c>
      <x:c r="L173" s="7" t="str"/>
      <x:c r="M173" s="7" t="str"/>
      <x:c r="N173" s="7" t="str">
        <x:v>OPEN</x:v>
      </x:c>
    </x:row>
    <x:row r="174" ht="36" customHeight="1">
      <x:c r="B174" s="7" t="str">
        <x:v>RAE-SP-17-CH-08</x:v>
      </x:c>
      <x:c r="C174" s="7" t="str">
        <x:v>RAE-SP-17</x:v>
      </x:c>
      <x:c r="D174" s="7" t="str">
        <x:v>AM-06</x:v>
      </x:c>
      <x:c r="E174" s="7" t="str">
        <x:v>TR-A</x:v>
      </x:c>
      <x:c r="F174" s="7" t="str">
        <x:v>CH-08</x:v>
      </x:c>
      <x:c r="G174" s="10" t="str">
        <x:v>ancestry recovery floor</x:v>
      </x:c>
      <x:c r="H174" s="7" t="n">
        <x:v>0.995</x:v>
      </x:c>
      <x:c r="I174" s="7" t="n">
        <x:v>0.001</x:v>
      </x:c>
      <x:c r="J174" s="7" t="str">
        <x:v>ratio</x:v>
      </x:c>
      <x:c r="K174" s="10" t="str">
        <x:v>root-specific code</x:v>
      </x:c>
      <x:c r="L174" s="7" t="str"/>
      <x:c r="M174" s="7" t="str"/>
      <x:c r="N174" s="7" t="str">
        <x:v>OPEN</x:v>
      </x:c>
    </x:row>
    <x:row r="175" ht="36" customHeight="1">
      <x:c r="B175" s="7" t="str">
        <x:v>RAE-SP-17-CH-09</x:v>
      </x:c>
      <x:c r="C175" s="7" t="str">
        <x:v>RAE-SP-17</x:v>
      </x:c>
      <x:c r="D175" s="7" t="str">
        <x:v>AM-06</x:v>
      </x:c>
      <x:c r="E175" s="7" t="str">
        <x:v>TR-A</x:v>
      </x:c>
      <x:c r="F175" s="7" t="str">
        <x:v>CH-09</x:v>
      </x:c>
      <x:c r="G175" s="10" t="str">
        <x:v>custody seal</x:v>
      </x:c>
      <x:c r="H175" s="7" t="str">
        <x:v>MATCH</x:v>
      </x:c>
      <x:c r="I175" s="7" t="str">
        <x:v>n.a.</x:v>
      </x:c>
      <x:c r="J175" s="7" t="str">
        <x:v>state</x:v>
      </x:c>
      <x:c r="K175" s="10" t="str">
        <x:v>two-person seal verification</x:v>
      </x:c>
      <x:c r="L175" s="7" t="str"/>
      <x:c r="M175" s="7" t="str"/>
      <x:c r="N175" s="7" t="str">
        <x:v>OPEN</x:v>
      </x:c>
    </x:row>
    <x:row r="176" ht="36" customHeight="1">
      <x:c r="B176" s="7" t="str">
        <x:v>RAE-SP-17-CH-10</x:v>
      </x:c>
      <x:c r="C176" s="7" t="str">
        <x:v>RAE-SP-17</x:v>
      </x:c>
      <x:c r="D176" s="7" t="str">
        <x:v>AM-06</x:v>
      </x:c>
      <x:c r="E176" s="7" t="str">
        <x:v>TR-A</x:v>
      </x:c>
      <x:c r="F176" s="7" t="str">
        <x:v>CH-10</x:v>
      </x:c>
      <x:c r="G176" s="10" t="str">
        <x:v>retained sample set</x:v>
      </x:c>
      <x:c r="H176" s="7" t="str">
        <x:v>THREE</x:v>
      </x:c>
      <x:c r="I176" s="7" t="str">
        <x:v>n.a.</x:v>
      </x:c>
      <x:c r="J176" s="7" t="str">
        <x:v>count</x:v>
      </x:c>
      <x:c r="K176" s="10" t="str">
        <x:v>pre, post and archive</x:v>
      </x:c>
      <x:c r="L176" s="7" t="str"/>
      <x:c r="M176" s="7" t="str"/>
      <x:c r="N176" s="7" t="str">
        <x:v>OPEN</x:v>
      </x:c>
    </x:row>
    <x:row r="177" ht="36" customHeight="1">
      <x:c r="B177" s="7" t="str">
        <x:v>RAE-SP-18-CH-01</x:v>
      </x:c>
      <x:c r="C177" s="7" t="str">
        <x:v>RAE-SP-18</x:v>
      </x:c>
      <x:c r="D177" s="7" t="str">
        <x:v>AM-06</x:v>
      </x:c>
      <x:c r="E177" s="7" t="str">
        <x:v>TR-A</x:v>
      </x:c>
      <x:c r="F177" s="7" t="str">
        <x:v>CH-01</x:v>
      </x:c>
      <x:c r="G177" s="10" t="str">
        <x:v>gross package mass</x:v>
      </x:c>
      <x:c r="H177" s="7" t="n">
        <x:v>125</x:v>
      </x:c>
      <x:c r="I177" s="7" t="n">
        <x:v>0.25</x:v>
      </x:c>
      <x:c r="J177" s="7" t="str">
        <x:v>kg</x:v>
      </x:c>
      <x:c r="K177" s="10" t="str">
        <x:v>gravimetric root</x:v>
      </x:c>
      <x:c r="L177" s="7" t="str"/>
      <x:c r="M177" s="7" t="str"/>
      <x:c r="N177" s="7" t="str">
        <x:v>OPEN</x:v>
      </x:c>
    </x:row>
    <x:row r="178" ht="36" customHeight="1">
      <x:c r="B178" s="7" t="str">
        <x:v>RAE-SP-18-CH-02</x:v>
      </x:c>
      <x:c r="C178" s="7" t="str">
        <x:v>RAE-SP-18</x:v>
      </x:c>
      <x:c r="D178" s="7" t="str">
        <x:v>AM-06</x:v>
      </x:c>
      <x:c r="E178" s="7" t="str">
        <x:v>TR-A</x:v>
      </x:c>
      <x:c r="F178" s="7" t="str">
        <x:v>CH-02</x:v>
      </x:c>
      <x:c r="G178" s="10" t="str">
        <x:v>event aliquot mass</x:v>
      </x:c>
      <x:c r="H178" s="7" t="n">
        <x:v>100</x:v>
      </x:c>
      <x:c r="I178" s="7" t="n">
        <x:v>0.5</x:v>
      </x:c>
      <x:c r="J178" s="7" t="str">
        <x:v>kg</x:v>
      </x:c>
      <x:c r="K178" s="10" t="str">
        <x:v>gravimetric transfer</x:v>
      </x:c>
      <x:c r="L178" s="7" t="str"/>
      <x:c r="M178" s="7" t="str"/>
      <x:c r="N178" s="7" t="str">
        <x:v>OPEN</x:v>
      </x:c>
    </x:row>
    <x:row r="179" ht="36" customHeight="1">
      <x:c r="B179" s="7" t="str">
        <x:v>RAE-SP-18-CH-03</x:v>
      </x:c>
      <x:c r="C179" s="7" t="str">
        <x:v>RAE-SP-18</x:v>
      </x:c>
      <x:c r="D179" s="7" t="str">
        <x:v>AM-06</x:v>
      </x:c>
      <x:c r="E179" s="7" t="str">
        <x:v>TR-A</x:v>
      </x:c>
      <x:c r="F179" s="7" t="str">
        <x:v>CH-03</x:v>
      </x:c>
      <x:c r="G179" s="10" t="str">
        <x:v>density</x:v>
      </x:c>
      <x:c r="H179" s="7" t="n">
        <x:v>800</x:v>
      </x:c>
      <x:c r="I179" s="7" t="n">
        <x:v>8</x:v>
      </x:c>
      <x:c r="J179" s="7" t="str">
        <x:v>kg/m3</x:v>
      </x:c>
      <x:c r="K179" s="10" t="str">
        <x:v>temperature-conditioned reference</x:v>
      </x:c>
      <x:c r="L179" s="7" t="str"/>
      <x:c r="M179" s="7" t="str"/>
      <x:c r="N179" s="7" t="str">
        <x:v>OPEN</x:v>
      </x:c>
    </x:row>
    <x:row r="180" ht="36" customHeight="1">
      <x:c r="B180" s="7" t="str">
        <x:v>RAE-SP-18-CH-04</x:v>
      </x:c>
      <x:c r="C180" s="7" t="str">
        <x:v>RAE-SP-18</x:v>
      </x:c>
      <x:c r="D180" s="7" t="str">
        <x:v>AM-06</x:v>
      </x:c>
      <x:c r="E180" s="7" t="str">
        <x:v>TR-A</x:v>
      </x:c>
      <x:c r="F180" s="7" t="str">
        <x:v>CH-04</x:v>
      </x:c>
      <x:c r="G180" s="10" t="str">
        <x:v>lower heating value</x:v>
      </x:c>
      <x:c r="H180" s="7" t="n">
        <x:v>42.588</x:v>
      </x:c>
      <x:c r="I180" s="7" t="n">
        <x:v>0.426</x:v>
      </x:c>
      <x:c r="J180" s="7" t="str">
        <x:v>MJ/kg</x:v>
      </x:c>
      <x:c r="K180" s="10" t="str">
        <x:v>retained laboratory assay</x:v>
      </x:c>
      <x:c r="L180" s="7" t="str"/>
      <x:c r="M180" s="7" t="str"/>
      <x:c r="N180" s="7" t="str">
        <x:v>OPEN</x:v>
      </x:c>
    </x:row>
    <x:row r="181" ht="36" customHeight="1">
      <x:c r="B181" s="7" t="str">
        <x:v>RAE-SP-18-CH-05</x:v>
      </x:c>
      <x:c r="C181" s="7" t="str">
        <x:v>RAE-SP-18</x:v>
      </x:c>
      <x:c r="D181" s="7" t="str">
        <x:v>AM-06</x:v>
      </x:c>
      <x:c r="E181" s="7" t="str">
        <x:v>TR-A</x:v>
      </x:c>
      <x:c r="F181" s="7" t="str">
        <x:v>CH-05</x:v>
      </x:c>
      <x:c r="G181" s="10" t="str">
        <x:v>temperature</x:v>
      </x:c>
      <x:c r="H181" s="7" t="n">
        <x:v>20</x:v>
      </x:c>
      <x:c r="I181" s="7" t="n">
        <x:v>2</x:v>
      </x:c>
      <x:c r="J181" s="7" t="str">
        <x:v>deg C</x:v>
      </x:c>
      <x:c r="K181" s="10" t="str">
        <x:v>two unlike probes</x:v>
      </x:c>
      <x:c r="L181" s="7" t="str"/>
      <x:c r="M181" s="7" t="str"/>
      <x:c r="N181" s="7" t="str">
        <x:v>OPEN</x:v>
      </x:c>
    </x:row>
    <x:row r="182" ht="36" customHeight="1">
      <x:c r="B182" s="7" t="str">
        <x:v>RAE-SP-18-CH-06</x:v>
      </x:c>
      <x:c r="C182" s="7" t="str">
        <x:v>RAE-SP-18</x:v>
      </x:c>
      <x:c r="D182" s="7" t="str">
        <x:v>AM-06</x:v>
      </x:c>
      <x:c r="E182" s="7" t="str">
        <x:v>TR-A</x:v>
      </x:c>
      <x:c r="F182" s="7" t="str">
        <x:v>CH-06</x:v>
      </x:c>
      <x:c r="G182" s="10" t="str">
        <x:v>water fraction ceiling</x:v>
      </x:c>
      <x:c r="H182" s="7" t="n">
        <x:v>0.001</x:v>
      </x:c>
      <x:c r="I182" s="7" t="n">
        <x:v>0.0002</x:v>
      </x:c>
      <x:c r="J182" s="7" t="str">
        <x:v>ratio</x:v>
      </x:c>
      <x:c r="K182" s="10" t="str">
        <x:v>retained assay</x:v>
      </x:c>
      <x:c r="L182" s="7" t="str"/>
      <x:c r="M182" s="7" t="str"/>
      <x:c r="N182" s="7" t="str">
        <x:v>OPEN</x:v>
      </x:c>
    </x:row>
    <x:row r="183" ht="36" customHeight="1">
      <x:c r="B183" s="7" t="str">
        <x:v>RAE-SP-18-CH-07</x:v>
      </x:c>
      <x:c r="C183" s="7" t="str">
        <x:v>RAE-SP-18</x:v>
      </x:c>
      <x:c r="D183" s="7" t="str">
        <x:v>AM-06</x:v>
      </x:c>
      <x:c r="E183" s="7" t="str">
        <x:v>TR-A</x:v>
      </x:c>
      <x:c r="F183" s="7" t="str">
        <x:v>CH-07</x:v>
      </x:c>
      <x:c r="G183" s="10" t="str">
        <x:v>foreign-solids ceiling</x:v>
      </x:c>
      <x:c r="H183" s="7" t="n">
        <x:v>0.001</x:v>
      </x:c>
      <x:c r="I183" s="7" t="n">
        <x:v>0.0002</x:v>
      </x:c>
      <x:c r="J183" s="7" t="str">
        <x:v>ratio</x:v>
      </x:c>
      <x:c r="K183" s="10" t="str">
        <x:v>filter and retained assay</x:v>
      </x:c>
      <x:c r="L183" s="7" t="str"/>
      <x:c r="M183" s="7" t="str"/>
      <x:c r="N183" s="7" t="str">
        <x:v>OPEN</x:v>
      </x:c>
    </x:row>
    <x:row r="184" ht="36" customHeight="1">
      <x:c r="B184" s="7" t="str">
        <x:v>RAE-SP-18-CH-08</x:v>
      </x:c>
      <x:c r="C184" s="7" t="str">
        <x:v>RAE-SP-18</x:v>
      </x:c>
      <x:c r="D184" s="7" t="str">
        <x:v>AM-06</x:v>
      </x:c>
      <x:c r="E184" s="7" t="str">
        <x:v>TR-A</x:v>
      </x:c>
      <x:c r="F184" s="7" t="str">
        <x:v>CH-08</x:v>
      </x:c>
      <x:c r="G184" s="10" t="str">
        <x:v>ancestry recovery floor</x:v>
      </x:c>
      <x:c r="H184" s="7" t="n">
        <x:v>0.995</x:v>
      </x:c>
      <x:c r="I184" s="7" t="n">
        <x:v>0.001</x:v>
      </x:c>
      <x:c r="J184" s="7" t="str">
        <x:v>ratio</x:v>
      </x:c>
      <x:c r="K184" s="10" t="str">
        <x:v>root-specific code</x:v>
      </x:c>
      <x:c r="L184" s="7" t="str"/>
      <x:c r="M184" s="7" t="str"/>
      <x:c r="N184" s="7" t="str">
        <x:v>OPEN</x:v>
      </x:c>
    </x:row>
    <x:row r="185" ht="36" customHeight="1">
      <x:c r="B185" s="7" t="str">
        <x:v>RAE-SP-18-CH-09</x:v>
      </x:c>
      <x:c r="C185" s="7" t="str">
        <x:v>RAE-SP-18</x:v>
      </x:c>
      <x:c r="D185" s="7" t="str">
        <x:v>AM-06</x:v>
      </x:c>
      <x:c r="E185" s="7" t="str">
        <x:v>TR-A</x:v>
      </x:c>
      <x:c r="F185" s="7" t="str">
        <x:v>CH-09</x:v>
      </x:c>
      <x:c r="G185" s="10" t="str">
        <x:v>custody seal</x:v>
      </x:c>
      <x:c r="H185" s="7" t="str">
        <x:v>MATCH</x:v>
      </x:c>
      <x:c r="I185" s="7" t="str">
        <x:v>n.a.</x:v>
      </x:c>
      <x:c r="J185" s="7" t="str">
        <x:v>state</x:v>
      </x:c>
      <x:c r="K185" s="10" t="str">
        <x:v>two-person seal verification</x:v>
      </x:c>
      <x:c r="L185" s="7" t="str"/>
      <x:c r="M185" s="7" t="str"/>
      <x:c r="N185" s="7" t="str">
        <x:v>OPEN</x:v>
      </x:c>
    </x:row>
    <x:row r="186" ht="36" customHeight="1">
      <x:c r="B186" s="7" t="str">
        <x:v>RAE-SP-18-CH-10</x:v>
      </x:c>
      <x:c r="C186" s="7" t="str">
        <x:v>RAE-SP-18</x:v>
      </x:c>
      <x:c r="D186" s="7" t="str">
        <x:v>AM-06</x:v>
      </x:c>
      <x:c r="E186" s="7" t="str">
        <x:v>TR-A</x:v>
      </x:c>
      <x:c r="F186" s="7" t="str">
        <x:v>CH-10</x:v>
      </x:c>
      <x:c r="G186" s="10" t="str">
        <x:v>retained sample set</x:v>
      </x:c>
      <x:c r="H186" s="7" t="str">
        <x:v>THREE</x:v>
      </x:c>
      <x:c r="I186" s="7" t="str">
        <x:v>n.a.</x:v>
      </x:c>
      <x:c r="J186" s="7" t="str">
        <x:v>count</x:v>
      </x:c>
      <x:c r="K186" s="10" t="str">
        <x:v>pre, post and archive</x:v>
      </x:c>
      <x:c r="L186" s="7" t="str"/>
      <x:c r="M186" s="7" t="str"/>
      <x:c r="N186" s="7" t="str">
        <x:v>OPEN</x:v>
      </x:c>
    </x:row>
    <x:row r="187" ht="36" customHeight="1">
      <x:c r="B187" s="7" t="str">
        <x:v>RAE-SP-19-CH-01</x:v>
      </x:c>
      <x:c r="C187" s="7" t="str">
        <x:v>RAE-SP-19</x:v>
      </x:c>
      <x:c r="D187" s="7" t="str">
        <x:v>AM-06</x:v>
      </x:c>
      <x:c r="E187" s="7" t="str">
        <x:v>TR-B</x:v>
      </x:c>
      <x:c r="F187" s="7" t="str">
        <x:v>CH-01</x:v>
      </x:c>
      <x:c r="G187" s="10" t="str">
        <x:v>gross package mass</x:v>
      </x:c>
      <x:c r="H187" s="7" t="n">
        <x:v>125</x:v>
      </x:c>
      <x:c r="I187" s="7" t="n">
        <x:v>0.25</x:v>
      </x:c>
      <x:c r="J187" s="7" t="str">
        <x:v>kg</x:v>
      </x:c>
      <x:c r="K187" s="10" t="str">
        <x:v>gravimetric root</x:v>
      </x:c>
      <x:c r="L187" s="7" t="str"/>
      <x:c r="M187" s="7" t="str"/>
      <x:c r="N187" s="7" t="str">
        <x:v>OPEN</x:v>
      </x:c>
    </x:row>
    <x:row r="188" ht="36" customHeight="1">
      <x:c r="B188" s="7" t="str">
        <x:v>RAE-SP-19-CH-02</x:v>
      </x:c>
      <x:c r="C188" s="7" t="str">
        <x:v>RAE-SP-19</x:v>
      </x:c>
      <x:c r="D188" s="7" t="str">
        <x:v>AM-06</x:v>
      </x:c>
      <x:c r="E188" s="7" t="str">
        <x:v>TR-B</x:v>
      </x:c>
      <x:c r="F188" s="7" t="str">
        <x:v>CH-02</x:v>
      </x:c>
      <x:c r="G188" s="10" t="str">
        <x:v>event aliquot mass</x:v>
      </x:c>
      <x:c r="H188" s="7" t="n">
        <x:v>100</x:v>
      </x:c>
      <x:c r="I188" s="7" t="n">
        <x:v>0.5</x:v>
      </x:c>
      <x:c r="J188" s="7" t="str">
        <x:v>kg</x:v>
      </x:c>
      <x:c r="K188" s="10" t="str">
        <x:v>gravimetric transfer</x:v>
      </x:c>
      <x:c r="L188" s="7" t="str"/>
      <x:c r="M188" s="7" t="str"/>
      <x:c r="N188" s="7" t="str">
        <x:v>OPEN</x:v>
      </x:c>
    </x:row>
    <x:row r="189" ht="36" customHeight="1">
      <x:c r="B189" s="7" t="str">
        <x:v>RAE-SP-19-CH-03</x:v>
      </x:c>
      <x:c r="C189" s="7" t="str">
        <x:v>RAE-SP-19</x:v>
      </x:c>
      <x:c r="D189" s="7" t="str">
        <x:v>AM-06</x:v>
      </x:c>
      <x:c r="E189" s="7" t="str">
        <x:v>TR-B</x:v>
      </x:c>
      <x:c r="F189" s="7" t="str">
        <x:v>CH-03</x:v>
      </x:c>
      <x:c r="G189" s="10" t="str">
        <x:v>density</x:v>
      </x:c>
      <x:c r="H189" s="7" t="n">
        <x:v>800</x:v>
      </x:c>
      <x:c r="I189" s="7" t="n">
        <x:v>8</x:v>
      </x:c>
      <x:c r="J189" s="7" t="str">
        <x:v>kg/m3</x:v>
      </x:c>
      <x:c r="K189" s="10" t="str">
        <x:v>temperature-conditioned reference</x:v>
      </x:c>
      <x:c r="L189" s="7" t="str"/>
      <x:c r="M189" s="7" t="str"/>
      <x:c r="N189" s="7" t="str">
        <x:v>OPEN</x:v>
      </x:c>
    </x:row>
    <x:row r="190" ht="36" customHeight="1">
      <x:c r="B190" s="7" t="str">
        <x:v>RAE-SP-19-CH-04</x:v>
      </x:c>
      <x:c r="C190" s="7" t="str">
        <x:v>RAE-SP-19</x:v>
      </x:c>
      <x:c r="D190" s="7" t="str">
        <x:v>AM-06</x:v>
      </x:c>
      <x:c r="E190" s="7" t="str">
        <x:v>TR-B</x:v>
      </x:c>
      <x:c r="F190" s="7" t="str">
        <x:v>CH-04</x:v>
      </x:c>
      <x:c r="G190" s="10" t="str">
        <x:v>lower heating value</x:v>
      </x:c>
      <x:c r="H190" s="7" t="n">
        <x:v>42.588</x:v>
      </x:c>
      <x:c r="I190" s="7" t="n">
        <x:v>0.426</x:v>
      </x:c>
      <x:c r="J190" s="7" t="str">
        <x:v>MJ/kg</x:v>
      </x:c>
      <x:c r="K190" s="10" t="str">
        <x:v>retained laboratory assay</x:v>
      </x:c>
      <x:c r="L190" s="7" t="str"/>
      <x:c r="M190" s="7" t="str"/>
      <x:c r="N190" s="7" t="str">
        <x:v>OPEN</x:v>
      </x:c>
    </x:row>
    <x:row r="191" ht="36" customHeight="1">
      <x:c r="B191" s="7" t="str">
        <x:v>RAE-SP-19-CH-05</x:v>
      </x:c>
      <x:c r="C191" s="7" t="str">
        <x:v>RAE-SP-19</x:v>
      </x:c>
      <x:c r="D191" s="7" t="str">
        <x:v>AM-06</x:v>
      </x:c>
      <x:c r="E191" s="7" t="str">
        <x:v>TR-B</x:v>
      </x:c>
      <x:c r="F191" s="7" t="str">
        <x:v>CH-05</x:v>
      </x:c>
      <x:c r="G191" s="10" t="str">
        <x:v>temperature</x:v>
      </x:c>
      <x:c r="H191" s="7" t="n">
        <x:v>20</x:v>
      </x:c>
      <x:c r="I191" s="7" t="n">
        <x:v>2</x:v>
      </x:c>
      <x:c r="J191" s="7" t="str">
        <x:v>deg C</x:v>
      </x:c>
      <x:c r="K191" s="10" t="str">
        <x:v>two unlike probes</x:v>
      </x:c>
      <x:c r="L191" s="7" t="str"/>
      <x:c r="M191" s="7" t="str"/>
      <x:c r="N191" s="7" t="str">
        <x:v>OPEN</x:v>
      </x:c>
    </x:row>
    <x:row r="192" ht="36" customHeight="1">
      <x:c r="B192" s="7" t="str">
        <x:v>RAE-SP-19-CH-06</x:v>
      </x:c>
      <x:c r="C192" s="7" t="str">
        <x:v>RAE-SP-19</x:v>
      </x:c>
      <x:c r="D192" s="7" t="str">
        <x:v>AM-06</x:v>
      </x:c>
      <x:c r="E192" s="7" t="str">
        <x:v>TR-B</x:v>
      </x:c>
      <x:c r="F192" s="7" t="str">
        <x:v>CH-06</x:v>
      </x:c>
      <x:c r="G192" s="10" t="str">
        <x:v>water fraction ceiling</x:v>
      </x:c>
      <x:c r="H192" s="7" t="n">
        <x:v>0.001</x:v>
      </x:c>
      <x:c r="I192" s="7" t="n">
        <x:v>0.0002</x:v>
      </x:c>
      <x:c r="J192" s="7" t="str">
        <x:v>ratio</x:v>
      </x:c>
      <x:c r="K192" s="10" t="str">
        <x:v>retained assay</x:v>
      </x:c>
      <x:c r="L192" s="7" t="str"/>
      <x:c r="M192" s="7" t="str"/>
      <x:c r="N192" s="7" t="str">
        <x:v>OPEN</x:v>
      </x:c>
    </x:row>
    <x:row r="193" ht="36" customHeight="1">
      <x:c r="B193" s="7" t="str">
        <x:v>RAE-SP-19-CH-07</x:v>
      </x:c>
      <x:c r="C193" s="7" t="str">
        <x:v>RAE-SP-19</x:v>
      </x:c>
      <x:c r="D193" s="7" t="str">
        <x:v>AM-06</x:v>
      </x:c>
      <x:c r="E193" s="7" t="str">
        <x:v>TR-B</x:v>
      </x:c>
      <x:c r="F193" s="7" t="str">
        <x:v>CH-07</x:v>
      </x:c>
      <x:c r="G193" s="10" t="str">
        <x:v>foreign-solids ceiling</x:v>
      </x:c>
      <x:c r="H193" s="7" t="n">
        <x:v>0.001</x:v>
      </x:c>
      <x:c r="I193" s="7" t="n">
        <x:v>0.0002</x:v>
      </x:c>
      <x:c r="J193" s="7" t="str">
        <x:v>ratio</x:v>
      </x:c>
      <x:c r="K193" s="10" t="str">
        <x:v>filter and retained assay</x:v>
      </x:c>
      <x:c r="L193" s="7" t="str"/>
      <x:c r="M193" s="7" t="str"/>
      <x:c r="N193" s="7" t="str">
        <x:v>OPEN</x:v>
      </x:c>
    </x:row>
    <x:row r="194" ht="36" customHeight="1">
      <x:c r="B194" s="7" t="str">
        <x:v>RAE-SP-19-CH-08</x:v>
      </x:c>
      <x:c r="C194" s="7" t="str">
        <x:v>RAE-SP-19</x:v>
      </x:c>
      <x:c r="D194" s="7" t="str">
        <x:v>AM-06</x:v>
      </x:c>
      <x:c r="E194" s="7" t="str">
        <x:v>TR-B</x:v>
      </x:c>
      <x:c r="F194" s="7" t="str">
        <x:v>CH-08</x:v>
      </x:c>
      <x:c r="G194" s="10" t="str">
        <x:v>ancestry recovery floor</x:v>
      </x:c>
      <x:c r="H194" s="7" t="n">
        <x:v>0.995</x:v>
      </x:c>
      <x:c r="I194" s="7" t="n">
        <x:v>0.001</x:v>
      </x:c>
      <x:c r="J194" s="7" t="str">
        <x:v>ratio</x:v>
      </x:c>
      <x:c r="K194" s="10" t="str">
        <x:v>root-specific code</x:v>
      </x:c>
      <x:c r="L194" s="7" t="str"/>
      <x:c r="M194" s="7" t="str"/>
      <x:c r="N194" s="7" t="str">
        <x:v>OPEN</x:v>
      </x:c>
    </x:row>
    <x:row r="195" ht="36" customHeight="1">
      <x:c r="B195" s="7" t="str">
        <x:v>RAE-SP-19-CH-09</x:v>
      </x:c>
      <x:c r="C195" s="7" t="str">
        <x:v>RAE-SP-19</x:v>
      </x:c>
      <x:c r="D195" s="7" t="str">
        <x:v>AM-06</x:v>
      </x:c>
      <x:c r="E195" s="7" t="str">
        <x:v>TR-B</x:v>
      </x:c>
      <x:c r="F195" s="7" t="str">
        <x:v>CH-09</x:v>
      </x:c>
      <x:c r="G195" s="10" t="str">
        <x:v>custody seal</x:v>
      </x:c>
      <x:c r="H195" s="7" t="str">
        <x:v>MATCH</x:v>
      </x:c>
      <x:c r="I195" s="7" t="str">
        <x:v>n.a.</x:v>
      </x:c>
      <x:c r="J195" s="7" t="str">
        <x:v>state</x:v>
      </x:c>
      <x:c r="K195" s="10" t="str">
        <x:v>two-person seal verification</x:v>
      </x:c>
      <x:c r="L195" s="7" t="str"/>
      <x:c r="M195" s="7" t="str"/>
      <x:c r="N195" s="7" t="str">
        <x:v>OPEN</x:v>
      </x:c>
    </x:row>
    <x:row r="196" ht="36" customHeight="1">
      <x:c r="B196" s="7" t="str">
        <x:v>RAE-SP-19-CH-10</x:v>
      </x:c>
      <x:c r="C196" s="7" t="str">
        <x:v>RAE-SP-19</x:v>
      </x:c>
      <x:c r="D196" s="7" t="str">
        <x:v>AM-06</x:v>
      </x:c>
      <x:c r="E196" s="7" t="str">
        <x:v>TR-B</x:v>
      </x:c>
      <x:c r="F196" s="7" t="str">
        <x:v>CH-10</x:v>
      </x:c>
      <x:c r="G196" s="10" t="str">
        <x:v>retained sample set</x:v>
      </x:c>
      <x:c r="H196" s="7" t="str">
        <x:v>THREE</x:v>
      </x:c>
      <x:c r="I196" s="7" t="str">
        <x:v>n.a.</x:v>
      </x:c>
      <x:c r="J196" s="7" t="str">
        <x:v>count</x:v>
      </x:c>
      <x:c r="K196" s="10" t="str">
        <x:v>pre, post and archive</x:v>
      </x:c>
      <x:c r="L196" s="7" t="str"/>
      <x:c r="M196" s="7" t="str"/>
      <x:c r="N196" s="7" t="str">
        <x:v>OPEN</x:v>
      </x:c>
    </x:row>
    <x:row r="197" ht="36" customHeight="1">
      <x:c r="B197" s="7" t="str">
        <x:v>RAE-SP-20-CH-01</x:v>
      </x:c>
      <x:c r="C197" s="7" t="str">
        <x:v>RAE-SP-20</x:v>
      </x:c>
      <x:c r="D197" s="7" t="str">
        <x:v>AM-06</x:v>
      </x:c>
      <x:c r="E197" s="7" t="str">
        <x:v>TR-B</x:v>
      </x:c>
      <x:c r="F197" s="7" t="str">
        <x:v>CH-01</x:v>
      </x:c>
      <x:c r="G197" s="10" t="str">
        <x:v>gross package mass</x:v>
      </x:c>
      <x:c r="H197" s="7" t="n">
        <x:v>125</x:v>
      </x:c>
      <x:c r="I197" s="7" t="n">
        <x:v>0.25</x:v>
      </x:c>
      <x:c r="J197" s="7" t="str">
        <x:v>kg</x:v>
      </x:c>
      <x:c r="K197" s="10" t="str">
        <x:v>gravimetric root</x:v>
      </x:c>
      <x:c r="L197" s="7" t="str"/>
      <x:c r="M197" s="7" t="str"/>
      <x:c r="N197" s="7" t="str">
        <x:v>OPEN</x:v>
      </x:c>
    </x:row>
    <x:row r="198" ht="36" customHeight="1">
      <x:c r="B198" s="7" t="str">
        <x:v>RAE-SP-20-CH-02</x:v>
      </x:c>
      <x:c r="C198" s="7" t="str">
        <x:v>RAE-SP-20</x:v>
      </x:c>
      <x:c r="D198" s="7" t="str">
        <x:v>AM-06</x:v>
      </x:c>
      <x:c r="E198" s="7" t="str">
        <x:v>TR-B</x:v>
      </x:c>
      <x:c r="F198" s="7" t="str">
        <x:v>CH-02</x:v>
      </x:c>
      <x:c r="G198" s="10" t="str">
        <x:v>event aliquot mass</x:v>
      </x:c>
      <x:c r="H198" s="7" t="n">
        <x:v>100</x:v>
      </x:c>
      <x:c r="I198" s="7" t="n">
        <x:v>0.5</x:v>
      </x:c>
      <x:c r="J198" s="7" t="str">
        <x:v>kg</x:v>
      </x:c>
      <x:c r="K198" s="10" t="str">
        <x:v>gravimetric transfer</x:v>
      </x:c>
      <x:c r="L198" s="7" t="str"/>
      <x:c r="M198" s="7" t="str"/>
      <x:c r="N198" s="7" t="str">
        <x:v>OPEN</x:v>
      </x:c>
    </x:row>
    <x:row r="199" ht="36" customHeight="1">
      <x:c r="B199" s="7" t="str">
        <x:v>RAE-SP-20-CH-03</x:v>
      </x:c>
      <x:c r="C199" s="7" t="str">
        <x:v>RAE-SP-20</x:v>
      </x:c>
      <x:c r="D199" s="7" t="str">
        <x:v>AM-06</x:v>
      </x:c>
      <x:c r="E199" s="7" t="str">
        <x:v>TR-B</x:v>
      </x:c>
      <x:c r="F199" s="7" t="str">
        <x:v>CH-03</x:v>
      </x:c>
      <x:c r="G199" s="10" t="str">
        <x:v>density</x:v>
      </x:c>
      <x:c r="H199" s="7" t="n">
        <x:v>800</x:v>
      </x:c>
      <x:c r="I199" s="7" t="n">
        <x:v>8</x:v>
      </x:c>
      <x:c r="J199" s="7" t="str">
        <x:v>kg/m3</x:v>
      </x:c>
      <x:c r="K199" s="10" t="str">
        <x:v>temperature-conditioned reference</x:v>
      </x:c>
      <x:c r="L199" s="7" t="str"/>
      <x:c r="M199" s="7" t="str"/>
      <x:c r="N199" s="7" t="str">
        <x:v>OPEN</x:v>
      </x:c>
    </x:row>
    <x:row r="200" ht="36" customHeight="1">
      <x:c r="B200" s="7" t="str">
        <x:v>RAE-SP-20-CH-04</x:v>
      </x:c>
      <x:c r="C200" s="7" t="str">
        <x:v>RAE-SP-20</x:v>
      </x:c>
      <x:c r="D200" s="7" t="str">
        <x:v>AM-06</x:v>
      </x:c>
      <x:c r="E200" s="7" t="str">
        <x:v>TR-B</x:v>
      </x:c>
      <x:c r="F200" s="7" t="str">
        <x:v>CH-04</x:v>
      </x:c>
      <x:c r="G200" s="10" t="str">
        <x:v>lower heating value</x:v>
      </x:c>
      <x:c r="H200" s="7" t="n">
        <x:v>42.588</x:v>
      </x:c>
      <x:c r="I200" s="7" t="n">
        <x:v>0.426</x:v>
      </x:c>
      <x:c r="J200" s="7" t="str">
        <x:v>MJ/kg</x:v>
      </x:c>
      <x:c r="K200" s="10" t="str">
        <x:v>retained laboratory assay</x:v>
      </x:c>
      <x:c r="L200" s="7" t="str"/>
      <x:c r="M200" s="7" t="str"/>
      <x:c r="N200" s="7" t="str">
        <x:v>OPEN</x:v>
      </x:c>
    </x:row>
    <x:row r="201" ht="36" customHeight="1">
      <x:c r="B201" s="7" t="str">
        <x:v>RAE-SP-20-CH-05</x:v>
      </x:c>
      <x:c r="C201" s="7" t="str">
        <x:v>RAE-SP-20</x:v>
      </x:c>
      <x:c r="D201" s="7" t="str">
        <x:v>AM-06</x:v>
      </x:c>
      <x:c r="E201" s="7" t="str">
        <x:v>TR-B</x:v>
      </x:c>
      <x:c r="F201" s="7" t="str">
        <x:v>CH-05</x:v>
      </x:c>
      <x:c r="G201" s="10" t="str">
        <x:v>temperature</x:v>
      </x:c>
      <x:c r="H201" s="7" t="n">
        <x:v>20</x:v>
      </x:c>
      <x:c r="I201" s="7" t="n">
        <x:v>2</x:v>
      </x:c>
      <x:c r="J201" s="7" t="str">
        <x:v>deg C</x:v>
      </x:c>
      <x:c r="K201" s="10" t="str">
        <x:v>two unlike probes</x:v>
      </x:c>
      <x:c r="L201" s="7" t="str"/>
      <x:c r="M201" s="7" t="str"/>
      <x:c r="N201" s="7" t="str">
        <x:v>OPEN</x:v>
      </x:c>
    </x:row>
    <x:row r="202" ht="36" customHeight="1">
      <x:c r="B202" s="7" t="str">
        <x:v>RAE-SP-20-CH-06</x:v>
      </x:c>
      <x:c r="C202" s="7" t="str">
        <x:v>RAE-SP-20</x:v>
      </x:c>
      <x:c r="D202" s="7" t="str">
        <x:v>AM-06</x:v>
      </x:c>
      <x:c r="E202" s="7" t="str">
        <x:v>TR-B</x:v>
      </x:c>
      <x:c r="F202" s="7" t="str">
        <x:v>CH-06</x:v>
      </x:c>
      <x:c r="G202" s="10" t="str">
        <x:v>water fraction ceiling</x:v>
      </x:c>
      <x:c r="H202" s="7" t="n">
        <x:v>0.001</x:v>
      </x:c>
      <x:c r="I202" s="7" t="n">
        <x:v>0.0002</x:v>
      </x:c>
      <x:c r="J202" s="7" t="str">
        <x:v>ratio</x:v>
      </x:c>
      <x:c r="K202" s="10" t="str">
        <x:v>retained assay</x:v>
      </x:c>
      <x:c r="L202" s="7" t="str"/>
      <x:c r="M202" s="7" t="str"/>
      <x:c r="N202" s="7" t="str">
        <x:v>OPEN</x:v>
      </x:c>
    </x:row>
    <x:row r="203" ht="36" customHeight="1">
      <x:c r="B203" s="7" t="str">
        <x:v>RAE-SP-20-CH-07</x:v>
      </x:c>
      <x:c r="C203" s="7" t="str">
        <x:v>RAE-SP-20</x:v>
      </x:c>
      <x:c r="D203" s="7" t="str">
        <x:v>AM-06</x:v>
      </x:c>
      <x:c r="E203" s="7" t="str">
        <x:v>TR-B</x:v>
      </x:c>
      <x:c r="F203" s="7" t="str">
        <x:v>CH-07</x:v>
      </x:c>
      <x:c r="G203" s="10" t="str">
        <x:v>foreign-solids ceiling</x:v>
      </x:c>
      <x:c r="H203" s="7" t="n">
        <x:v>0.001</x:v>
      </x:c>
      <x:c r="I203" s="7" t="n">
        <x:v>0.0002</x:v>
      </x:c>
      <x:c r="J203" s="7" t="str">
        <x:v>ratio</x:v>
      </x:c>
      <x:c r="K203" s="10" t="str">
        <x:v>filter and retained assay</x:v>
      </x:c>
      <x:c r="L203" s="7" t="str"/>
      <x:c r="M203" s="7" t="str"/>
      <x:c r="N203" s="7" t="str">
        <x:v>OPEN</x:v>
      </x:c>
    </x:row>
    <x:row r="204" ht="36" customHeight="1">
      <x:c r="B204" s="7" t="str">
        <x:v>RAE-SP-20-CH-08</x:v>
      </x:c>
      <x:c r="C204" s="7" t="str">
        <x:v>RAE-SP-20</x:v>
      </x:c>
      <x:c r="D204" s="7" t="str">
        <x:v>AM-06</x:v>
      </x:c>
      <x:c r="E204" s="7" t="str">
        <x:v>TR-B</x:v>
      </x:c>
      <x:c r="F204" s="7" t="str">
        <x:v>CH-08</x:v>
      </x:c>
      <x:c r="G204" s="10" t="str">
        <x:v>ancestry recovery floor</x:v>
      </x:c>
      <x:c r="H204" s="7" t="n">
        <x:v>0.995</x:v>
      </x:c>
      <x:c r="I204" s="7" t="n">
        <x:v>0.001</x:v>
      </x:c>
      <x:c r="J204" s="7" t="str">
        <x:v>ratio</x:v>
      </x:c>
      <x:c r="K204" s="10" t="str">
        <x:v>root-specific code</x:v>
      </x:c>
      <x:c r="L204" s="7" t="str"/>
      <x:c r="M204" s="7" t="str"/>
      <x:c r="N204" s="7" t="str">
        <x:v>OPEN</x:v>
      </x:c>
    </x:row>
    <x:row r="205" ht="36" customHeight="1">
      <x:c r="B205" s="7" t="str">
        <x:v>RAE-SP-20-CH-09</x:v>
      </x:c>
      <x:c r="C205" s="7" t="str">
        <x:v>RAE-SP-20</x:v>
      </x:c>
      <x:c r="D205" s="7" t="str">
        <x:v>AM-06</x:v>
      </x:c>
      <x:c r="E205" s="7" t="str">
        <x:v>TR-B</x:v>
      </x:c>
      <x:c r="F205" s="7" t="str">
        <x:v>CH-09</x:v>
      </x:c>
      <x:c r="G205" s="10" t="str">
        <x:v>custody seal</x:v>
      </x:c>
      <x:c r="H205" s="7" t="str">
        <x:v>MATCH</x:v>
      </x:c>
      <x:c r="I205" s="7" t="str">
        <x:v>n.a.</x:v>
      </x:c>
      <x:c r="J205" s="7" t="str">
        <x:v>state</x:v>
      </x:c>
      <x:c r="K205" s="10" t="str">
        <x:v>two-person seal verification</x:v>
      </x:c>
      <x:c r="L205" s="7" t="str"/>
      <x:c r="M205" s="7" t="str"/>
      <x:c r="N205" s="7" t="str">
        <x:v>OPEN</x:v>
      </x:c>
    </x:row>
    <x:row r="206" ht="36" customHeight="1">
      <x:c r="B206" s="7" t="str">
        <x:v>RAE-SP-20-CH-10</x:v>
      </x:c>
      <x:c r="C206" s="7" t="str">
        <x:v>RAE-SP-20</x:v>
      </x:c>
      <x:c r="D206" s="7" t="str">
        <x:v>AM-06</x:v>
      </x:c>
      <x:c r="E206" s="7" t="str">
        <x:v>TR-B</x:v>
      </x:c>
      <x:c r="F206" s="7" t="str">
        <x:v>CH-10</x:v>
      </x:c>
      <x:c r="G206" s="10" t="str">
        <x:v>retained sample set</x:v>
      </x:c>
      <x:c r="H206" s="7" t="str">
        <x:v>THREE</x:v>
      </x:c>
      <x:c r="I206" s="7" t="str">
        <x:v>n.a.</x:v>
      </x:c>
      <x:c r="J206" s="7" t="str">
        <x:v>count</x:v>
      </x:c>
      <x:c r="K206" s="10" t="str">
        <x:v>pre, post and archive</x:v>
      </x:c>
      <x:c r="L206" s="7" t="str"/>
      <x:c r="M206" s="7" t="str"/>
      <x:c r="N206" s="7" t="str">
        <x:v>OPEN</x:v>
      </x:c>
    </x:row>
    <x:row r="207" ht="36" customHeight="1">
      <x:c r="B207" s="7" t="str">
        <x:v>RAE-SP-21-CH-01</x:v>
      </x:c>
      <x:c r="C207" s="7" t="str">
        <x:v>RAE-SP-21</x:v>
      </x:c>
      <x:c r="D207" s="7" t="str">
        <x:v>AM-06</x:v>
      </x:c>
      <x:c r="E207" s="7" t="str">
        <x:v>TR-B</x:v>
      </x:c>
      <x:c r="F207" s="7" t="str">
        <x:v>CH-01</x:v>
      </x:c>
      <x:c r="G207" s="10" t="str">
        <x:v>gross package mass</x:v>
      </x:c>
      <x:c r="H207" s="7" t="n">
        <x:v>125</x:v>
      </x:c>
      <x:c r="I207" s="7" t="n">
        <x:v>0.25</x:v>
      </x:c>
      <x:c r="J207" s="7" t="str">
        <x:v>kg</x:v>
      </x:c>
      <x:c r="K207" s="10" t="str">
        <x:v>gravimetric root</x:v>
      </x:c>
      <x:c r="L207" s="7" t="str"/>
      <x:c r="M207" s="7" t="str"/>
      <x:c r="N207" s="7" t="str">
        <x:v>OPEN</x:v>
      </x:c>
    </x:row>
    <x:row r="208" ht="36" customHeight="1">
      <x:c r="B208" s="7" t="str">
        <x:v>RAE-SP-21-CH-02</x:v>
      </x:c>
      <x:c r="C208" s="7" t="str">
        <x:v>RAE-SP-21</x:v>
      </x:c>
      <x:c r="D208" s="7" t="str">
        <x:v>AM-06</x:v>
      </x:c>
      <x:c r="E208" s="7" t="str">
        <x:v>TR-B</x:v>
      </x:c>
      <x:c r="F208" s="7" t="str">
        <x:v>CH-02</x:v>
      </x:c>
      <x:c r="G208" s="10" t="str">
        <x:v>event aliquot mass</x:v>
      </x:c>
      <x:c r="H208" s="7" t="n">
        <x:v>100</x:v>
      </x:c>
      <x:c r="I208" s="7" t="n">
        <x:v>0.5</x:v>
      </x:c>
      <x:c r="J208" s="7" t="str">
        <x:v>kg</x:v>
      </x:c>
      <x:c r="K208" s="10" t="str">
        <x:v>gravimetric transfer</x:v>
      </x:c>
      <x:c r="L208" s="7" t="str"/>
      <x:c r="M208" s="7" t="str"/>
      <x:c r="N208" s="7" t="str">
        <x:v>OPEN</x:v>
      </x:c>
    </x:row>
    <x:row r="209" ht="36" customHeight="1">
      <x:c r="B209" s="7" t="str">
        <x:v>RAE-SP-21-CH-03</x:v>
      </x:c>
      <x:c r="C209" s="7" t="str">
        <x:v>RAE-SP-21</x:v>
      </x:c>
      <x:c r="D209" s="7" t="str">
        <x:v>AM-06</x:v>
      </x:c>
      <x:c r="E209" s="7" t="str">
        <x:v>TR-B</x:v>
      </x:c>
      <x:c r="F209" s="7" t="str">
        <x:v>CH-03</x:v>
      </x:c>
      <x:c r="G209" s="10" t="str">
        <x:v>density</x:v>
      </x:c>
      <x:c r="H209" s="7" t="n">
        <x:v>800</x:v>
      </x:c>
      <x:c r="I209" s="7" t="n">
        <x:v>8</x:v>
      </x:c>
      <x:c r="J209" s="7" t="str">
        <x:v>kg/m3</x:v>
      </x:c>
      <x:c r="K209" s="10" t="str">
        <x:v>temperature-conditioned reference</x:v>
      </x:c>
      <x:c r="L209" s="7" t="str"/>
      <x:c r="M209" s="7" t="str"/>
      <x:c r="N209" s="7" t="str">
        <x:v>OPEN</x:v>
      </x:c>
    </x:row>
    <x:row r="210" ht="36" customHeight="1">
      <x:c r="B210" s="7" t="str">
        <x:v>RAE-SP-21-CH-04</x:v>
      </x:c>
      <x:c r="C210" s="7" t="str">
        <x:v>RAE-SP-21</x:v>
      </x:c>
      <x:c r="D210" s="7" t="str">
        <x:v>AM-06</x:v>
      </x:c>
      <x:c r="E210" s="7" t="str">
        <x:v>TR-B</x:v>
      </x:c>
      <x:c r="F210" s="7" t="str">
        <x:v>CH-04</x:v>
      </x:c>
      <x:c r="G210" s="10" t="str">
        <x:v>lower heating value</x:v>
      </x:c>
      <x:c r="H210" s="7" t="n">
        <x:v>42.588</x:v>
      </x:c>
      <x:c r="I210" s="7" t="n">
        <x:v>0.426</x:v>
      </x:c>
      <x:c r="J210" s="7" t="str">
        <x:v>MJ/kg</x:v>
      </x:c>
      <x:c r="K210" s="10" t="str">
        <x:v>retained laboratory assay</x:v>
      </x:c>
      <x:c r="L210" s="7" t="str"/>
      <x:c r="M210" s="7" t="str"/>
      <x:c r="N210" s="7" t="str">
        <x:v>OPEN</x:v>
      </x:c>
    </x:row>
    <x:row r="211" ht="36" customHeight="1">
      <x:c r="B211" s="7" t="str">
        <x:v>RAE-SP-21-CH-05</x:v>
      </x:c>
      <x:c r="C211" s="7" t="str">
        <x:v>RAE-SP-21</x:v>
      </x:c>
      <x:c r="D211" s="7" t="str">
        <x:v>AM-06</x:v>
      </x:c>
      <x:c r="E211" s="7" t="str">
        <x:v>TR-B</x:v>
      </x:c>
      <x:c r="F211" s="7" t="str">
        <x:v>CH-05</x:v>
      </x:c>
      <x:c r="G211" s="10" t="str">
        <x:v>temperature</x:v>
      </x:c>
      <x:c r="H211" s="7" t="n">
        <x:v>20</x:v>
      </x:c>
      <x:c r="I211" s="7" t="n">
        <x:v>2</x:v>
      </x:c>
      <x:c r="J211" s="7" t="str">
        <x:v>deg C</x:v>
      </x:c>
      <x:c r="K211" s="10" t="str">
        <x:v>two unlike probes</x:v>
      </x:c>
      <x:c r="L211" s="7" t="str"/>
      <x:c r="M211" s="7" t="str"/>
      <x:c r="N211" s="7" t="str">
        <x:v>OPEN</x:v>
      </x:c>
    </x:row>
    <x:row r="212" ht="36" customHeight="1">
      <x:c r="B212" s="7" t="str">
        <x:v>RAE-SP-21-CH-06</x:v>
      </x:c>
      <x:c r="C212" s="7" t="str">
        <x:v>RAE-SP-21</x:v>
      </x:c>
      <x:c r="D212" s="7" t="str">
        <x:v>AM-06</x:v>
      </x:c>
      <x:c r="E212" s="7" t="str">
        <x:v>TR-B</x:v>
      </x:c>
      <x:c r="F212" s="7" t="str">
        <x:v>CH-06</x:v>
      </x:c>
      <x:c r="G212" s="10" t="str">
        <x:v>water fraction ceiling</x:v>
      </x:c>
      <x:c r="H212" s="7" t="n">
        <x:v>0.001</x:v>
      </x:c>
      <x:c r="I212" s="7" t="n">
        <x:v>0.0002</x:v>
      </x:c>
      <x:c r="J212" s="7" t="str">
        <x:v>ratio</x:v>
      </x:c>
      <x:c r="K212" s="10" t="str">
        <x:v>retained assay</x:v>
      </x:c>
      <x:c r="L212" s="7" t="str"/>
      <x:c r="M212" s="7" t="str"/>
      <x:c r="N212" s="7" t="str">
        <x:v>OPEN</x:v>
      </x:c>
    </x:row>
    <x:row r="213" ht="36" customHeight="1">
      <x:c r="B213" s="7" t="str">
        <x:v>RAE-SP-21-CH-07</x:v>
      </x:c>
      <x:c r="C213" s="7" t="str">
        <x:v>RAE-SP-21</x:v>
      </x:c>
      <x:c r="D213" s="7" t="str">
        <x:v>AM-06</x:v>
      </x:c>
      <x:c r="E213" s="7" t="str">
        <x:v>TR-B</x:v>
      </x:c>
      <x:c r="F213" s="7" t="str">
        <x:v>CH-07</x:v>
      </x:c>
      <x:c r="G213" s="10" t="str">
        <x:v>foreign-solids ceiling</x:v>
      </x:c>
      <x:c r="H213" s="7" t="n">
        <x:v>0.001</x:v>
      </x:c>
      <x:c r="I213" s="7" t="n">
        <x:v>0.0002</x:v>
      </x:c>
      <x:c r="J213" s="7" t="str">
        <x:v>ratio</x:v>
      </x:c>
      <x:c r="K213" s="10" t="str">
        <x:v>filter and retained assay</x:v>
      </x:c>
      <x:c r="L213" s="7" t="str"/>
      <x:c r="M213" s="7" t="str"/>
      <x:c r="N213" s="7" t="str">
        <x:v>OPEN</x:v>
      </x:c>
    </x:row>
    <x:row r="214" ht="36" customHeight="1">
      <x:c r="B214" s="7" t="str">
        <x:v>RAE-SP-21-CH-08</x:v>
      </x:c>
      <x:c r="C214" s="7" t="str">
        <x:v>RAE-SP-21</x:v>
      </x:c>
      <x:c r="D214" s="7" t="str">
        <x:v>AM-06</x:v>
      </x:c>
      <x:c r="E214" s="7" t="str">
        <x:v>TR-B</x:v>
      </x:c>
      <x:c r="F214" s="7" t="str">
        <x:v>CH-08</x:v>
      </x:c>
      <x:c r="G214" s="10" t="str">
        <x:v>ancestry recovery floor</x:v>
      </x:c>
      <x:c r="H214" s="7" t="n">
        <x:v>0.995</x:v>
      </x:c>
      <x:c r="I214" s="7" t="n">
        <x:v>0.001</x:v>
      </x:c>
      <x:c r="J214" s="7" t="str">
        <x:v>ratio</x:v>
      </x:c>
      <x:c r="K214" s="10" t="str">
        <x:v>root-specific code</x:v>
      </x:c>
      <x:c r="L214" s="7" t="str"/>
      <x:c r="M214" s="7" t="str"/>
      <x:c r="N214" s="7" t="str">
        <x:v>OPEN</x:v>
      </x:c>
    </x:row>
    <x:row r="215" ht="36" customHeight="1">
      <x:c r="B215" s="7" t="str">
        <x:v>RAE-SP-21-CH-09</x:v>
      </x:c>
      <x:c r="C215" s="7" t="str">
        <x:v>RAE-SP-21</x:v>
      </x:c>
      <x:c r="D215" s="7" t="str">
        <x:v>AM-06</x:v>
      </x:c>
      <x:c r="E215" s="7" t="str">
        <x:v>TR-B</x:v>
      </x:c>
      <x:c r="F215" s="7" t="str">
        <x:v>CH-09</x:v>
      </x:c>
      <x:c r="G215" s="10" t="str">
        <x:v>custody seal</x:v>
      </x:c>
      <x:c r="H215" s="7" t="str">
        <x:v>MATCH</x:v>
      </x:c>
      <x:c r="I215" s="7" t="str">
        <x:v>n.a.</x:v>
      </x:c>
      <x:c r="J215" s="7" t="str">
        <x:v>state</x:v>
      </x:c>
      <x:c r="K215" s="10" t="str">
        <x:v>two-person seal verification</x:v>
      </x:c>
      <x:c r="L215" s="7" t="str"/>
      <x:c r="M215" s="7" t="str"/>
      <x:c r="N215" s="7" t="str">
        <x:v>OPEN</x:v>
      </x:c>
    </x:row>
    <x:row r="216" ht="36" customHeight="1">
      <x:c r="B216" s="7" t="str">
        <x:v>RAE-SP-21-CH-10</x:v>
      </x:c>
      <x:c r="C216" s="7" t="str">
        <x:v>RAE-SP-21</x:v>
      </x:c>
      <x:c r="D216" s="7" t="str">
        <x:v>AM-06</x:v>
      </x:c>
      <x:c r="E216" s="7" t="str">
        <x:v>TR-B</x:v>
      </x:c>
      <x:c r="F216" s="7" t="str">
        <x:v>CH-10</x:v>
      </x:c>
      <x:c r="G216" s="10" t="str">
        <x:v>retained sample set</x:v>
      </x:c>
      <x:c r="H216" s="7" t="str">
        <x:v>THREE</x:v>
      </x:c>
      <x:c r="I216" s="7" t="str">
        <x:v>n.a.</x:v>
      </x:c>
      <x:c r="J216" s="7" t="str">
        <x:v>count</x:v>
      </x:c>
      <x:c r="K216" s="10" t="str">
        <x:v>pre, post and archive</x:v>
      </x:c>
      <x:c r="L216" s="7" t="str"/>
      <x:c r="M216" s="7" t="str"/>
      <x:c r="N216" s="7" t="str">
        <x:v>OPEN</x:v>
      </x:c>
    </x:row>
    <x:row r="217" ht="36" customHeight="1">
      <x:c r="B217" s="7" t="str">
        <x:v>RAE-SP-22-CH-01</x:v>
      </x:c>
      <x:c r="C217" s="7" t="str">
        <x:v>RAE-SP-22</x:v>
      </x:c>
      <x:c r="D217" s="7" t="str">
        <x:v>AM-06</x:v>
      </x:c>
      <x:c r="E217" s="7" t="str">
        <x:v>TR-B</x:v>
      </x:c>
      <x:c r="F217" s="7" t="str">
        <x:v>CH-01</x:v>
      </x:c>
      <x:c r="G217" s="10" t="str">
        <x:v>gross package mass</x:v>
      </x:c>
      <x:c r="H217" s="7" t="n">
        <x:v>125</x:v>
      </x:c>
      <x:c r="I217" s="7" t="n">
        <x:v>0.25</x:v>
      </x:c>
      <x:c r="J217" s="7" t="str">
        <x:v>kg</x:v>
      </x:c>
      <x:c r="K217" s="10" t="str">
        <x:v>gravimetric root</x:v>
      </x:c>
      <x:c r="L217" s="7" t="str"/>
      <x:c r="M217" s="7" t="str"/>
      <x:c r="N217" s="7" t="str">
        <x:v>OPEN</x:v>
      </x:c>
    </x:row>
    <x:row r="218" ht="36" customHeight="1">
      <x:c r="B218" s="7" t="str">
        <x:v>RAE-SP-22-CH-02</x:v>
      </x:c>
      <x:c r="C218" s="7" t="str">
        <x:v>RAE-SP-22</x:v>
      </x:c>
      <x:c r="D218" s="7" t="str">
        <x:v>AM-06</x:v>
      </x:c>
      <x:c r="E218" s="7" t="str">
        <x:v>TR-B</x:v>
      </x:c>
      <x:c r="F218" s="7" t="str">
        <x:v>CH-02</x:v>
      </x:c>
      <x:c r="G218" s="10" t="str">
        <x:v>event aliquot mass</x:v>
      </x:c>
      <x:c r="H218" s="7" t="n">
        <x:v>100</x:v>
      </x:c>
      <x:c r="I218" s="7" t="n">
        <x:v>0.5</x:v>
      </x:c>
      <x:c r="J218" s="7" t="str">
        <x:v>kg</x:v>
      </x:c>
      <x:c r="K218" s="10" t="str">
        <x:v>gravimetric transfer</x:v>
      </x:c>
      <x:c r="L218" s="7" t="str"/>
      <x:c r="M218" s="7" t="str"/>
      <x:c r="N218" s="7" t="str">
        <x:v>OPEN</x:v>
      </x:c>
    </x:row>
    <x:row r="219" ht="36" customHeight="1">
      <x:c r="B219" s="7" t="str">
        <x:v>RAE-SP-22-CH-03</x:v>
      </x:c>
      <x:c r="C219" s="7" t="str">
        <x:v>RAE-SP-22</x:v>
      </x:c>
      <x:c r="D219" s="7" t="str">
        <x:v>AM-06</x:v>
      </x:c>
      <x:c r="E219" s="7" t="str">
        <x:v>TR-B</x:v>
      </x:c>
      <x:c r="F219" s="7" t="str">
        <x:v>CH-03</x:v>
      </x:c>
      <x:c r="G219" s="10" t="str">
        <x:v>density</x:v>
      </x:c>
      <x:c r="H219" s="7" t="n">
        <x:v>800</x:v>
      </x:c>
      <x:c r="I219" s="7" t="n">
        <x:v>8</x:v>
      </x:c>
      <x:c r="J219" s="7" t="str">
        <x:v>kg/m3</x:v>
      </x:c>
      <x:c r="K219" s="10" t="str">
        <x:v>temperature-conditioned reference</x:v>
      </x:c>
      <x:c r="L219" s="7" t="str"/>
      <x:c r="M219" s="7" t="str"/>
      <x:c r="N219" s="7" t="str">
        <x:v>OPEN</x:v>
      </x:c>
    </x:row>
    <x:row r="220" ht="36" customHeight="1">
      <x:c r="B220" s="7" t="str">
        <x:v>RAE-SP-22-CH-04</x:v>
      </x:c>
      <x:c r="C220" s="7" t="str">
        <x:v>RAE-SP-22</x:v>
      </x:c>
      <x:c r="D220" s="7" t="str">
        <x:v>AM-06</x:v>
      </x:c>
      <x:c r="E220" s="7" t="str">
        <x:v>TR-B</x:v>
      </x:c>
      <x:c r="F220" s="7" t="str">
        <x:v>CH-04</x:v>
      </x:c>
      <x:c r="G220" s="10" t="str">
        <x:v>lower heating value</x:v>
      </x:c>
      <x:c r="H220" s="7" t="n">
        <x:v>42.588</x:v>
      </x:c>
      <x:c r="I220" s="7" t="n">
        <x:v>0.426</x:v>
      </x:c>
      <x:c r="J220" s="7" t="str">
        <x:v>MJ/kg</x:v>
      </x:c>
      <x:c r="K220" s="10" t="str">
        <x:v>retained laboratory assay</x:v>
      </x:c>
      <x:c r="L220" s="7" t="str"/>
      <x:c r="M220" s="7" t="str"/>
      <x:c r="N220" s="7" t="str">
        <x:v>OPEN</x:v>
      </x:c>
    </x:row>
    <x:row r="221" ht="36" customHeight="1">
      <x:c r="B221" s="7" t="str">
        <x:v>RAE-SP-22-CH-05</x:v>
      </x:c>
      <x:c r="C221" s="7" t="str">
        <x:v>RAE-SP-22</x:v>
      </x:c>
      <x:c r="D221" s="7" t="str">
        <x:v>AM-06</x:v>
      </x:c>
      <x:c r="E221" s="7" t="str">
        <x:v>TR-B</x:v>
      </x:c>
      <x:c r="F221" s="7" t="str">
        <x:v>CH-05</x:v>
      </x:c>
      <x:c r="G221" s="10" t="str">
        <x:v>temperature</x:v>
      </x:c>
      <x:c r="H221" s="7" t="n">
        <x:v>20</x:v>
      </x:c>
      <x:c r="I221" s="7" t="n">
        <x:v>2</x:v>
      </x:c>
      <x:c r="J221" s="7" t="str">
        <x:v>deg C</x:v>
      </x:c>
      <x:c r="K221" s="10" t="str">
        <x:v>two unlike probes</x:v>
      </x:c>
      <x:c r="L221" s="7" t="str"/>
      <x:c r="M221" s="7" t="str"/>
      <x:c r="N221" s="7" t="str">
        <x:v>OPEN</x:v>
      </x:c>
    </x:row>
    <x:row r="222" ht="36" customHeight="1">
      <x:c r="B222" s="7" t="str">
        <x:v>RAE-SP-22-CH-06</x:v>
      </x:c>
      <x:c r="C222" s="7" t="str">
        <x:v>RAE-SP-22</x:v>
      </x:c>
      <x:c r="D222" s="7" t="str">
        <x:v>AM-06</x:v>
      </x:c>
      <x:c r="E222" s="7" t="str">
        <x:v>TR-B</x:v>
      </x:c>
      <x:c r="F222" s="7" t="str">
        <x:v>CH-06</x:v>
      </x:c>
      <x:c r="G222" s="10" t="str">
        <x:v>water fraction ceiling</x:v>
      </x:c>
      <x:c r="H222" s="7" t="n">
        <x:v>0.001</x:v>
      </x:c>
      <x:c r="I222" s="7" t="n">
        <x:v>0.0002</x:v>
      </x:c>
      <x:c r="J222" s="7" t="str">
        <x:v>ratio</x:v>
      </x:c>
      <x:c r="K222" s="10" t="str">
        <x:v>retained assay</x:v>
      </x:c>
      <x:c r="L222" s="7" t="str"/>
      <x:c r="M222" s="7" t="str"/>
      <x:c r="N222" s="7" t="str">
        <x:v>OPEN</x:v>
      </x:c>
    </x:row>
    <x:row r="223" ht="36" customHeight="1">
      <x:c r="B223" s="7" t="str">
        <x:v>RAE-SP-22-CH-07</x:v>
      </x:c>
      <x:c r="C223" s="7" t="str">
        <x:v>RAE-SP-22</x:v>
      </x:c>
      <x:c r="D223" s="7" t="str">
        <x:v>AM-06</x:v>
      </x:c>
      <x:c r="E223" s="7" t="str">
        <x:v>TR-B</x:v>
      </x:c>
      <x:c r="F223" s="7" t="str">
        <x:v>CH-07</x:v>
      </x:c>
      <x:c r="G223" s="10" t="str">
        <x:v>foreign-solids ceiling</x:v>
      </x:c>
      <x:c r="H223" s="7" t="n">
        <x:v>0.001</x:v>
      </x:c>
      <x:c r="I223" s="7" t="n">
        <x:v>0.0002</x:v>
      </x:c>
      <x:c r="J223" s="7" t="str">
        <x:v>ratio</x:v>
      </x:c>
      <x:c r="K223" s="10" t="str">
        <x:v>filter and retained assay</x:v>
      </x:c>
      <x:c r="L223" s="7" t="str"/>
      <x:c r="M223" s="7" t="str"/>
      <x:c r="N223" s="7" t="str">
        <x:v>OPEN</x:v>
      </x:c>
    </x:row>
    <x:row r="224" ht="36" customHeight="1">
      <x:c r="B224" s="7" t="str">
        <x:v>RAE-SP-22-CH-08</x:v>
      </x:c>
      <x:c r="C224" s="7" t="str">
        <x:v>RAE-SP-22</x:v>
      </x:c>
      <x:c r="D224" s="7" t="str">
        <x:v>AM-06</x:v>
      </x:c>
      <x:c r="E224" s="7" t="str">
        <x:v>TR-B</x:v>
      </x:c>
      <x:c r="F224" s="7" t="str">
        <x:v>CH-08</x:v>
      </x:c>
      <x:c r="G224" s="10" t="str">
        <x:v>ancestry recovery floor</x:v>
      </x:c>
      <x:c r="H224" s="7" t="n">
        <x:v>0.995</x:v>
      </x:c>
      <x:c r="I224" s="7" t="n">
        <x:v>0.001</x:v>
      </x:c>
      <x:c r="J224" s="7" t="str">
        <x:v>ratio</x:v>
      </x:c>
      <x:c r="K224" s="10" t="str">
        <x:v>root-specific code</x:v>
      </x:c>
      <x:c r="L224" s="7" t="str"/>
      <x:c r="M224" s="7" t="str"/>
      <x:c r="N224" s="7" t="str">
        <x:v>OPEN</x:v>
      </x:c>
    </x:row>
    <x:row r="225" ht="36" customHeight="1">
      <x:c r="B225" s="7" t="str">
        <x:v>RAE-SP-22-CH-09</x:v>
      </x:c>
      <x:c r="C225" s="7" t="str">
        <x:v>RAE-SP-22</x:v>
      </x:c>
      <x:c r="D225" s="7" t="str">
        <x:v>AM-06</x:v>
      </x:c>
      <x:c r="E225" s="7" t="str">
        <x:v>TR-B</x:v>
      </x:c>
      <x:c r="F225" s="7" t="str">
        <x:v>CH-09</x:v>
      </x:c>
      <x:c r="G225" s="10" t="str">
        <x:v>custody seal</x:v>
      </x:c>
      <x:c r="H225" s="7" t="str">
        <x:v>MATCH</x:v>
      </x:c>
      <x:c r="I225" s="7" t="str">
        <x:v>n.a.</x:v>
      </x:c>
      <x:c r="J225" s="7" t="str">
        <x:v>state</x:v>
      </x:c>
      <x:c r="K225" s="10" t="str">
        <x:v>two-person seal verification</x:v>
      </x:c>
      <x:c r="L225" s="7" t="str"/>
      <x:c r="M225" s="7" t="str"/>
      <x:c r="N225" s="7" t="str">
        <x:v>OPEN</x:v>
      </x:c>
    </x:row>
    <x:row r="226" ht="36" customHeight="1">
      <x:c r="B226" s="7" t="str">
        <x:v>RAE-SP-22-CH-10</x:v>
      </x:c>
      <x:c r="C226" s="7" t="str">
        <x:v>RAE-SP-22</x:v>
      </x:c>
      <x:c r="D226" s="7" t="str">
        <x:v>AM-06</x:v>
      </x:c>
      <x:c r="E226" s="7" t="str">
        <x:v>TR-B</x:v>
      </x:c>
      <x:c r="F226" s="7" t="str">
        <x:v>CH-10</x:v>
      </x:c>
      <x:c r="G226" s="10" t="str">
        <x:v>retained sample set</x:v>
      </x:c>
      <x:c r="H226" s="7" t="str">
        <x:v>THREE</x:v>
      </x:c>
      <x:c r="I226" s="7" t="str">
        <x:v>n.a.</x:v>
      </x:c>
      <x:c r="J226" s="7" t="str">
        <x:v>count</x:v>
      </x:c>
      <x:c r="K226" s="10" t="str">
        <x:v>pre, post and archive</x:v>
      </x:c>
      <x:c r="L226" s="7" t="str"/>
      <x:c r="M226" s="7" t="str"/>
      <x:c r="N226" s="7" t="str">
        <x:v>OPEN</x:v>
      </x:c>
    </x:row>
    <x:row r="227" ht="36" customHeight="1">
      <x:c r="B227" s="7" t="str">
        <x:v>RAE-SP-23-CH-01</x:v>
      </x:c>
      <x:c r="C227" s="7" t="str">
        <x:v>RAE-SP-23</x:v>
      </x:c>
      <x:c r="D227" s="7" t="str">
        <x:v>AM-06</x:v>
      </x:c>
      <x:c r="E227" s="7" t="str">
        <x:v>TR-B</x:v>
      </x:c>
      <x:c r="F227" s="7" t="str">
        <x:v>CH-01</x:v>
      </x:c>
      <x:c r="G227" s="10" t="str">
        <x:v>gross package mass</x:v>
      </x:c>
      <x:c r="H227" s="7" t="n">
        <x:v>125</x:v>
      </x:c>
      <x:c r="I227" s="7" t="n">
        <x:v>0.25</x:v>
      </x:c>
      <x:c r="J227" s="7" t="str">
        <x:v>kg</x:v>
      </x:c>
      <x:c r="K227" s="10" t="str">
        <x:v>gravimetric root</x:v>
      </x:c>
      <x:c r="L227" s="7" t="str"/>
      <x:c r="M227" s="7" t="str"/>
      <x:c r="N227" s="7" t="str">
        <x:v>OPEN</x:v>
      </x:c>
    </x:row>
    <x:row r="228" ht="36" customHeight="1">
      <x:c r="B228" s="7" t="str">
        <x:v>RAE-SP-23-CH-02</x:v>
      </x:c>
      <x:c r="C228" s="7" t="str">
        <x:v>RAE-SP-23</x:v>
      </x:c>
      <x:c r="D228" s="7" t="str">
        <x:v>AM-06</x:v>
      </x:c>
      <x:c r="E228" s="7" t="str">
        <x:v>TR-B</x:v>
      </x:c>
      <x:c r="F228" s="7" t="str">
        <x:v>CH-02</x:v>
      </x:c>
      <x:c r="G228" s="10" t="str">
        <x:v>event aliquot mass</x:v>
      </x:c>
      <x:c r="H228" s="7" t="n">
        <x:v>100</x:v>
      </x:c>
      <x:c r="I228" s="7" t="n">
        <x:v>0.5</x:v>
      </x:c>
      <x:c r="J228" s="7" t="str">
        <x:v>kg</x:v>
      </x:c>
      <x:c r="K228" s="10" t="str">
        <x:v>gravimetric transfer</x:v>
      </x:c>
      <x:c r="L228" s="7" t="str"/>
      <x:c r="M228" s="7" t="str"/>
      <x:c r="N228" s="7" t="str">
        <x:v>OPEN</x:v>
      </x:c>
    </x:row>
    <x:row r="229" ht="36" customHeight="1">
      <x:c r="B229" s="7" t="str">
        <x:v>RAE-SP-23-CH-03</x:v>
      </x:c>
      <x:c r="C229" s="7" t="str">
        <x:v>RAE-SP-23</x:v>
      </x:c>
      <x:c r="D229" s="7" t="str">
        <x:v>AM-06</x:v>
      </x:c>
      <x:c r="E229" s="7" t="str">
        <x:v>TR-B</x:v>
      </x:c>
      <x:c r="F229" s="7" t="str">
        <x:v>CH-03</x:v>
      </x:c>
      <x:c r="G229" s="10" t="str">
        <x:v>density</x:v>
      </x:c>
      <x:c r="H229" s="7" t="n">
        <x:v>800</x:v>
      </x:c>
      <x:c r="I229" s="7" t="n">
        <x:v>8</x:v>
      </x:c>
      <x:c r="J229" s="7" t="str">
        <x:v>kg/m3</x:v>
      </x:c>
      <x:c r="K229" s="10" t="str">
        <x:v>temperature-conditioned reference</x:v>
      </x:c>
      <x:c r="L229" s="7" t="str"/>
      <x:c r="M229" s="7" t="str"/>
      <x:c r="N229" s="7" t="str">
        <x:v>OPEN</x:v>
      </x:c>
    </x:row>
    <x:row r="230" ht="36" customHeight="1">
      <x:c r="B230" s="7" t="str">
        <x:v>RAE-SP-23-CH-04</x:v>
      </x:c>
      <x:c r="C230" s="7" t="str">
        <x:v>RAE-SP-23</x:v>
      </x:c>
      <x:c r="D230" s="7" t="str">
        <x:v>AM-06</x:v>
      </x:c>
      <x:c r="E230" s="7" t="str">
        <x:v>TR-B</x:v>
      </x:c>
      <x:c r="F230" s="7" t="str">
        <x:v>CH-04</x:v>
      </x:c>
      <x:c r="G230" s="10" t="str">
        <x:v>lower heating value</x:v>
      </x:c>
      <x:c r="H230" s="7" t="n">
        <x:v>42.588</x:v>
      </x:c>
      <x:c r="I230" s="7" t="n">
        <x:v>0.426</x:v>
      </x:c>
      <x:c r="J230" s="7" t="str">
        <x:v>MJ/kg</x:v>
      </x:c>
      <x:c r="K230" s="10" t="str">
        <x:v>retained laboratory assay</x:v>
      </x:c>
      <x:c r="L230" s="7" t="str"/>
      <x:c r="M230" s="7" t="str"/>
      <x:c r="N230" s="7" t="str">
        <x:v>OPEN</x:v>
      </x:c>
    </x:row>
    <x:row r="231" ht="36" customHeight="1">
      <x:c r="B231" s="7" t="str">
        <x:v>RAE-SP-23-CH-05</x:v>
      </x:c>
      <x:c r="C231" s="7" t="str">
        <x:v>RAE-SP-23</x:v>
      </x:c>
      <x:c r="D231" s="7" t="str">
        <x:v>AM-06</x:v>
      </x:c>
      <x:c r="E231" s="7" t="str">
        <x:v>TR-B</x:v>
      </x:c>
      <x:c r="F231" s="7" t="str">
        <x:v>CH-05</x:v>
      </x:c>
      <x:c r="G231" s="10" t="str">
        <x:v>temperature</x:v>
      </x:c>
      <x:c r="H231" s="7" t="n">
        <x:v>20</x:v>
      </x:c>
      <x:c r="I231" s="7" t="n">
        <x:v>2</x:v>
      </x:c>
      <x:c r="J231" s="7" t="str">
        <x:v>deg C</x:v>
      </x:c>
      <x:c r="K231" s="10" t="str">
        <x:v>two unlike probes</x:v>
      </x:c>
      <x:c r="L231" s="7" t="str"/>
      <x:c r="M231" s="7" t="str"/>
      <x:c r="N231" s="7" t="str">
        <x:v>OPEN</x:v>
      </x:c>
    </x:row>
    <x:row r="232" ht="36" customHeight="1">
      <x:c r="B232" s="7" t="str">
        <x:v>RAE-SP-23-CH-06</x:v>
      </x:c>
      <x:c r="C232" s="7" t="str">
        <x:v>RAE-SP-23</x:v>
      </x:c>
      <x:c r="D232" s="7" t="str">
        <x:v>AM-06</x:v>
      </x:c>
      <x:c r="E232" s="7" t="str">
        <x:v>TR-B</x:v>
      </x:c>
      <x:c r="F232" s="7" t="str">
        <x:v>CH-06</x:v>
      </x:c>
      <x:c r="G232" s="10" t="str">
        <x:v>water fraction ceiling</x:v>
      </x:c>
      <x:c r="H232" s="7" t="n">
        <x:v>0.001</x:v>
      </x:c>
      <x:c r="I232" s="7" t="n">
        <x:v>0.0002</x:v>
      </x:c>
      <x:c r="J232" s="7" t="str">
        <x:v>ratio</x:v>
      </x:c>
      <x:c r="K232" s="10" t="str">
        <x:v>retained assay</x:v>
      </x:c>
      <x:c r="L232" s="7" t="str"/>
      <x:c r="M232" s="7" t="str"/>
      <x:c r="N232" s="7" t="str">
        <x:v>OPEN</x:v>
      </x:c>
    </x:row>
    <x:row r="233" ht="36" customHeight="1">
      <x:c r="B233" s="7" t="str">
        <x:v>RAE-SP-23-CH-07</x:v>
      </x:c>
      <x:c r="C233" s="7" t="str">
        <x:v>RAE-SP-23</x:v>
      </x:c>
      <x:c r="D233" s="7" t="str">
        <x:v>AM-06</x:v>
      </x:c>
      <x:c r="E233" s="7" t="str">
        <x:v>TR-B</x:v>
      </x:c>
      <x:c r="F233" s="7" t="str">
        <x:v>CH-07</x:v>
      </x:c>
      <x:c r="G233" s="10" t="str">
        <x:v>foreign-solids ceiling</x:v>
      </x:c>
      <x:c r="H233" s="7" t="n">
        <x:v>0.001</x:v>
      </x:c>
      <x:c r="I233" s="7" t="n">
        <x:v>0.0002</x:v>
      </x:c>
      <x:c r="J233" s="7" t="str">
        <x:v>ratio</x:v>
      </x:c>
      <x:c r="K233" s="10" t="str">
        <x:v>filter and retained assay</x:v>
      </x:c>
      <x:c r="L233" s="7" t="str"/>
      <x:c r="M233" s="7" t="str"/>
      <x:c r="N233" s="7" t="str">
        <x:v>OPEN</x:v>
      </x:c>
    </x:row>
    <x:row r="234" ht="36" customHeight="1">
      <x:c r="B234" s="7" t="str">
        <x:v>RAE-SP-23-CH-08</x:v>
      </x:c>
      <x:c r="C234" s="7" t="str">
        <x:v>RAE-SP-23</x:v>
      </x:c>
      <x:c r="D234" s="7" t="str">
        <x:v>AM-06</x:v>
      </x:c>
      <x:c r="E234" s="7" t="str">
        <x:v>TR-B</x:v>
      </x:c>
      <x:c r="F234" s="7" t="str">
        <x:v>CH-08</x:v>
      </x:c>
      <x:c r="G234" s="10" t="str">
        <x:v>ancestry recovery floor</x:v>
      </x:c>
      <x:c r="H234" s="7" t="n">
        <x:v>0.995</x:v>
      </x:c>
      <x:c r="I234" s="7" t="n">
        <x:v>0.001</x:v>
      </x:c>
      <x:c r="J234" s="7" t="str">
        <x:v>ratio</x:v>
      </x:c>
      <x:c r="K234" s="10" t="str">
        <x:v>root-specific code</x:v>
      </x:c>
      <x:c r="L234" s="7" t="str"/>
      <x:c r="M234" s="7" t="str"/>
      <x:c r="N234" s="7" t="str">
        <x:v>OPEN</x:v>
      </x:c>
    </x:row>
    <x:row r="235" ht="36" customHeight="1">
      <x:c r="B235" s="7" t="str">
        <x:v>RAE-SP-23-CH-09</x:v>
      </x:c>
      <x:c r="C235" s="7" t="str">
        <x:v>RAE-SP-23</x:v>
      </x:c>
      <x:c r="D235" s="7" t="str">
        <x:v>AM-06</x:v>
      </x:c>
      <x:c r="E235" s="7" t="str">
        <x:v>TR-B</x:v>
      </x:c>
      <x:c r="F235" s="7" t="str">
        <x:v>CH-09</x:v>
      </x:c>
      <x:c r="G235" s="10" t="str">
        <x:v>custody seal</x:v>
      </x:c>
      <x:c r="H235" s="7" t="str">
        <x:v>MATCH</x:v>
      </x:c>
      <x:c r="I235" s="7" t="str">
        <x:v>n.a.</x:v>
      </x:c>
      <x:c r="J235" s="7" t="str">
        <x:v>state</x:v>
      </x:c>
      <x:c r="K235" s="10" t="str">
        <x:v>two-person seal verification</x:v>
      </x:c>
      <x:c r="L235" s="7" t="str"/>
      <x:c r="M235" s="7" t="str"/>
      <x:c r="N235" s="7" t="str">
        <x:v>OPEN</x:v>
      </x:c>
    </x:row>
    <x:row r="236" ht="36" customHeight="1">
      <x:c r="B236" s="7" t="str">
        <x:v>RAE-SP-23-CH-10</x:v>
      </x:c>
      <x:c r="C236" s="7" t="str">
        <x:v>RAE-SP-23</x:v>
      </x:c>
      <x:c r="D236" s="7" t="str">
        <x:v>AM-06</x:v>
      </x:c>
      <x:c r="E236" s="7" t="str">
        <x:v>TR-B</x:v>
      </x:c>
      <x:c r="F236" s="7" t="str">
        <x:v>CH-10</x:v>
      </x:c>
      <x:c r="G236" s="10" t="str">
        <x:v>retained sample set</x:v>
      </x:c>
      <x:c r="H236" s="7" t="str">
        <x:v>THREE</x:v>
      </x:c>
      <x:c r="I236" s="7" t="str">
        <x:v>n.a.</x:v>
      </x:c>
      <x:c r="J236" s="7" t="str">
        <x:v>count</x:v>
      </x:c>
      <x:c r="K236" s="10" t="str">
        <x:v>pre, post and archive</x:v>
      </x:c>
      <x:c r="L236" s="7" t="str"/>
      <x:c r="M236" s="7" t="str"/>
      <x:c r="N236" s="7" t="str">
        <x:v>OPEN</x:v>
      </x:c>
    </x:row>
    <x:row r="237" ht="36" customHeight="1">
      <x:c r="B237" s="7" t="str">
        <x:v>RAE-SP-24-CH-01</x:v>
      </x:c>
      <x:c r="C237" s="7" t="str">
        <x:v>RAE-SP-24</x:v>
      </x:c>
      <x:c r="D237" s="7" t="str">
        <x:v>AM-06</x:v>
      </x:c>
      <x:c r="E237" s="7" t="str">
        <x:v>TR-B</x:v>
      </x:c>
      <x:c r="F237" s="7" t="str">
        <x:v>CH-01</x:v>
      </x:c>
      <x:c r="G237" s="10" t="str">
        <x:v>gross package mass</x:v>
      </x:c>
      <x:c r="H237" s="7" t="n">
        <x:v>125</x:v>
      </x:c>
      <x:c r="I237" s="7" t="n">
        <x:v>0.25</x:v>
      </x:c>
      <x:c r="J237" s="7" t="str">
        <x:v>kg</x:v>
      </x:c>
      <x:c r="K237" s="10" t="str">
        <x:v>gravimetric root</x:v>
      </x:c>
      <x:c r="L237" s="7" t="str"/>
      <x:c r="M237" s="7" t="str"/>
      <x:c r="N237" s="7" t="str">
        <x:v>OPEN</x:v>
      </x:c>
    </x:row>
    <x:row r="238" ht="36" customHeight="1">
      <x:c r="B238" s="7" t="str">
        <x:v>RAE-SP-24-CH-02</x:v>
      </x:c>
      <x:c r="C238" s="7" t="str">
        <x:v>RAE-SP-24</x:v>
      </x:c>
      <x:c r="D238" s="7" t="str">
        <x:v>AM-06</x:v>
      </x:c>
      <x:c r="E238" s="7" t="str">
        <x:v>TR-B</x:v>
      </x:c>
      <x:c r="F238" s="7" t="str">
        <x:v>CH-02</x:v>
      </x:c>
      <x:c r="G238" s="10" t="str">
        <x:v>event aliquot mass</x:v>
      </x:c>
      <x:c r="H238" s="7" t="n">
        <x:v>100</x:v>
      </x:c>
      <x:c r="I238" s="7" t="n">
        <x:v>0.5</x:v>
      </x:c>
      <x:c r="J238" s="7" t="str">
        <x:v>kg</x:v>
      </x:c>
      <x:c r="K238" s="10" t="str">
        <x:v>gravimetric transfer</x:v>
      </x:c>
      <x:c r="L238" s="7" t="str"/>
      <x:c r="M238" s="7" t="str"/>
      <x:c r="N238" s="7" t="str">
        <x:v>OPEN</x:v>
      </x:c>
    </x:row>
    <x:row r="239" ht="36" customHeight="1">
      <x:c r="B239" s="7" t="str">
        <x:v>RAE-SP-24-CH-03</x:v>
      </x:c>
      <x:c r="C239" s="7" t="str">
        <x:v>RAE-SP-24</x:v>
      </x:c>
      <x:c r="D239" s="7" t="str">
        <x:v>AM-06</x:v>
      </x:c>
      <x:c r="E239" s="7" t="str">
        <x:v>TR-B</x:v>
      </x:c>
      <x:c r="F239" s="7" t="str">
        <x:v>CH-03</x:v>
      </x:c>
      <x:c r="G239" s="10" t="str">
        <x:v>density</x:v>
      </x:c>
      <x:c r="H239" s="7" t="n">
        <x:v>800</x:v>
      </x:c>
      <x:c r="I239" s="7" t="n">
        <x:v>8</x:v>
      </x:c>
      <x:c r="J239" s="7" t="str">
        <x:v>kg/m3</x:v>
      </x:c>
      <x:c r="K239" s="10" t="str">
        <x:v>temperature-conditioned reference</x:v>
      </x:c>
      <x:c r="L239" s="7" t="str"/>
      <x:c r="M239" s="7" t="str"/>
      <x:c r="N239" s="7" t="str">
        <x:v>OPEN</x:v>
      </x:c>
    </x:row>
    <x:row r="240" ht="36" customHeight="1">
      <x:c r="B240" s="7" t="str">
        <x:v>RAE-SP-24-CH-04</x:v>
      </x:c>
      <x:c r="C240" s="7" t="str">
        <x:v>RAE-SP-24</x:v>
      </x:c>
      <x:c r="D240" s="7" t="str">
        <x:v>AM-06</x:v>
      </x:c>
      <x:c r="E240" s="7" t="str">
        <x:v>TR-B</x:v>
      </x:c>
      <x:c r="F240" s="7" t="str">
        <x:v>CH-04</x:v>
      </x:c>
      <x:c r="G240" s="10" t="str">
        <x:v>lower heating value</x:v>
      </x:c>
      <x:c r="H240" s="7" t="n">
        <x:v>42.588</x:v>
      </x:c>
      <x:c r="I240" s="7" t="n">
        <x:v>0.426</x:v>
      </x:c>
      <x:c r="J240" s="7" t="str">
        <x:v>MJ/kg</x:v>
      </x:c>
      <x:c r="K240" s="10" t="str">
        <x:v>retained laboratory assay</x:v>
      </x:c>
      <x:c r="L240" s="7" t="str"/>
      <x:c r="M240" s="7" t="str"/>
      <x:c r="N240" s="7" t="str">
        <x:v>OPEN</x:v>
      </x:c>
    </x:row>
    <x:row r="241" ht="36" customHeight="1">
      <x:c r="B241" s="7" t="str">
        <x:v>RAE-SP-24-CH-05</x:v>
      </x:c>
      <x:c r="C241" s="7" t="str">
        <x:v>RAE-SP-24</x:v>
      </x:c>
      <x:c r="D241" s="7" t="str">
        <x:v>AM-06</x:v>
      </x:c>
      <x:c r="E241" s="7" t="str">
        <x:v>TR-B</x:v>
      </x:c>
      <x:c r="F241" s="7" t="str">
        <x:v>CH-05</x:v>
      </x:c>
      <x:c r="G241" s="10" t="str">
        <x:v>temperature</x:v>
      </x:c>
      <x:c r="H241" s="7" t="n">
        <x:v>20</x:v>
      </x:c>
      <x:c r="I241" s="7" t="n">
        <x:v>2</x:v>
      </x:c>
      <x:c r="J241" s="7" t="str">
        <x:v>deg C</x:v>
      </x:c>
      <x:c r="K241" s="10" t="str">
        <x:v>two unlike probes</x:v>
      </x:c>
      <x:c r="L241" s="7" t="str"/>
      <x:c r="M241" s="7" t="str"/>
      <x:c r="N241" s="7" t="str">
        <x:v>OPEN</x:v>
      </x:c>
    </x:row>
    <x:row r="242" ht="36" customHeight="1">
      <x:c r="B242" s="7" t="str">
        <x:v>RAE-SP-24-CH-06</x:v>
      </x:c>
      <x:c r="C242" s="7" t="str">
        <x:v>RAE-SP-24</x:v>
      </x:c>
      <x:c r="D242" s="7" t="str">
        <x:v>AM-06</x:v>
      </x:c>
      <x:c r="E242" s="7" t="str">
        <x:v>TR-B</x:v>
      </x:c>
      <x:c r="F242" s="7" t="str">
        <x:v>CH-06</x:v>
      </x:c>
      <x:c r="G242" s="10" t="str">
        <x:v>water fraction ceiling</x:v>
      </x:c>
      <x:c r="H242" s="7" t="n">
        <x:v>0.001</x:v>
      </x:c>
      <x:c r="I242" s="7" t="n">
        <x:v>0.0002</x:v>
      </x:c>
      <x:c r="J242" s="7" t="str">
        <x:v>ratio</x:v>
      </x:c>
      <x:c r="K242" s="10" t="str">
        <x:v>retained assay</x:v>
      </x:c>
      <x:c r="L242" s="7" t="str"/>
      <x:c r="M242" s="7" t="str"/>
      <x:c r="N242" s="7" t="str">
        <x:v>OPEN</x:v>
      </x:c>
    </x:row>
    <x:row r="243" ht="36" customHeight="1">
      <x:c r="B243" s="7" t="str">
        <x:v>RAE-SP-24-CH-07</x:v>
      </x:c>
      <x:c r="C243" s="7" t="str">
        <x:v>RAE-SP-24</x:v>
      </x:c>
      <x:c r="D243" s="7" t="str">
        <x:v>AM-06</x:v>
      </x:c>
      <x:c r="E243" s="7" t="str">
        <x:v>TR-B</x:v>
      </x:c>
      <x:c r="F243" s="7" t="str">
        <x:v>CH-07</x:v>
      </x:c>
      <x:c r="G243" s="10" t="str">
        <x:v>foreign-solids ceiling</x:v>
      </x:c>
      <x:c r="H243" s="7" t="n">
        <x:v>0.001</x:v>
      </x:c>
      <x:c r="I243" s="7" t="n">
        <x:v>0.0002</x:v>
      </x:c>
      <x:c r="J243" s="7" t="str">
        <x:v>ratio</x:v>
      </x:c>
      <x:c r="K243" s="10" t="str">
        <x:v>filter and retained assay</x:v>
      </x:c>
      <x:c r="L243" s="7" t="str"/>
      <x:c r="M243" s="7" t="str"/>
      <x:c r="N243" s="7" t="str">
        <x:v>OPEN</x:v>
      </x:c>
    </x:row>
    <x:row r="244" ht="36" customHeight="1">
      <x:c r="B244" s="7" t="str">
        <x:v>RAE-SP-24-CH-08</x:v>
      </x:c>
      <x:c r="C244" s="7" t="str">
        <x:v>RAE-SP-24</x:v>
      </x:c>
      <x:c r="D244" s="7" t="str">
        <x:v>AM-06</x:v>
      </x:c>
      <x:c r="E244" s="7" t="str">
        <x:v>TR-B</x:v>
      </x:c>
      <x:c r="F244" s="7" t="str">
        <x:v>CH-08</x:v>
      </x:c>
      <x:c r="G244" s="10" t="str">
        <x:v>ancestry recovery floor</x:v>
      </x:c>
      <x:c r="H244" s="7" t="n">
        <x:v>0.995</x:v>
      </x:c>
      <x:c r="I244" s="7" t="n">
        <x:v>0.001</x:v>
      </x:c>
      <x:c r="J244" s="7" t="str">
        <x:v>ratio</x:v>
      </x:c>
      <x:c r="K244" s="10" t="str">
        <x:v>root-specific code</x:v>
      </x:c>
      <x:c r="L244" s="7" t="str"/>
      <x:c r="M244" s="7" t="str"/>
      <x:c r="N244" s="7" t="str">
        <x:v>OPEN</x:v>
      </x:c>
    </x:row>
    <x:row r="245" ht="36" customHeight="1">
      <x:c r="B245" s="7" t="str">
        <x:v>RAE-SP-24-CH-09</x:v>
      </x:c>
      <x:c r="C245" s="7" t="str">
        <x:v>RAE-SP-24</x:v>
      </x:c>
      <x:c r="D245" s="7" t="str">
        <x:v>AM-06</x:v>
      </x:c>
      <x:c r="E245" s="7" t="str">
        <x:v>TR-B</x:v>
      </x:c>
      <x:c r="F245" s="7" t="str">
        <x:v>CH-09</x:v>
      </x:c>
      <x:c r="G245" s="10" t="str">
        <x:v>custody seal</x:v>
      </x:c>
      <x:c r="H245" s="7" t="str">
        <x:v>MATCH</x:v>
      </x:c>
      <x:c r="I245" s="7" t="str">
        <x:v>n.a.</x:v>
      </x:c>
      <x:c r="J245" s="7" t="str">
        <x:v>state</x:v>
      </x:c>
      <x:c r="K245" s="10" t="str">
        <x:v>two-person seal verification</x:v>
      </x:c>
      <x:c r="L245" s="7" t="str"/>
      <x:c r="M245" s="7" t="str"/>
      <x:c r="N245" s="7" t="str">
        <x:v>OPEN</x:v>
      </x:c>
    </x:row>
    <x:row r="246" ht="36" customHeight="1">
      <x:c r="B246" s="7" t="str">
        <x:v>RAE-SP-24-CH-10</x:v>
      </x:c>
      <x:c r="C246" s="7" t="str">
        <x:v>RAE-SP-24</x:v>
      </x:c>
      <x:c r="D246" s="7" t="str">
        <x:v>AM-06</x:v>
      </x:c>
      <x:c r="E246" s="7" t="str">
        <x:v>TR-B</x:v>
      </x:c>
      <x:c r="F246" s="7" t="str">
        <x:v>CH-10</x:v>
      </x:c>
      <x:c r="G246" s="10" t="str">
        <x:v>retained sample set</x:v>
      </x:c>
      <x:c r="H246" s="7" t="str">
        <x:v>THREE</x:v>
      </x:c>
      <x:c r="I246" s="7" t="str">
        <x:v>n.a.</x:v>
      </x:c>
      <x:c r="J246" s="7" t="str">
        <x:v>count</x:v>
      </x:c>
      <x:c r="K246" s="10" t="str">
        <x:v>pre, post and archive</x:v>
      </x:c>
      <x:c r="L246" s="7" t="str"/>
      <x:c r="M246" s="7" t="str"/>
      <x:c r="N246" s="7" t="str">
        <x:v>OPEN</x:v>
      </x:c>
    </x:row>
    <x:row r="247" ht="36" customHeight="1">
      <x:c r="B247" s="7" t="str">
        <x:v>RAE-SP-25-CH-01</x:v>
      </x:c>
      <x:c r="C247" s="7" t="str">
        <x:v>RAE-SP-25</x:v>
      </x:c>
      <x:c r="D247" s="7" t="str">
        <x:v>AM-05</x:v>
      </x:c>
      <x:c r="E247" s="7" t="str">
        <x:v>TR-A</x:v>
      </x:c>
      <x:c r="F247" s="7" t="str">
        <x:v>CH-01</x:v>
      </x:c>
      <x:c r="G247" s="10" t="str">
        <x:v>gross package mass</x:v>
      </x:c>
      <x:c r="H247" s="7" t="n">
        <x:v>125</x:v>
      </x:c>
      <x:c r="I247" s="7" t="n">
        <x:v>0.25</x:v>
      </x:c>
      <x:c r="J247" s="7" t="str">
        <x:v>kg</x:v>
      </x:c>
      <x:c r="K247" s="10" t="str">
        <x:v>gravimetric root</x:v>
      </x:c>
      <x:c r="L247" s="7" t="str"/>
      <x:c r="M247" s="7" t="str"/>
      <x:c r="N247" s="7" t="str">
        <x:v>OPEN</x:v>
      </x:c>
    </x:row>
    <x:row r="248" ht="36" customHeight="1">
      <x:c r="B248" s="7" t="str">
        <x:v>RAE-SP-25-CH-02</x:v>
      </x:c>
      <x:c r="C248" s="7" t="str">
        <x:v>RAE-SP-25</x:v>
      </x:c>
      <x:c r="D248" s="7" t="str">
        <x:v>AM-05</x:v>
      </x:c>
      <x:c r="E248" s="7" t="str">
        <x:v>TR-A</x:v>
      </x:c>
      <x:c r="F248" s="7" t="str">
        <x:v>CH-02</x:v>
      </x:c>
      <x:c r="G248" s="10" t="str">
        <x:v>event aliquot mass</x:v>
      </x:c>
      <x:c r="H248" s="7" t="n">
        <x:v>100</x:v>
      </x:c>
      <x:c r="I248" s="7" t="n">
        <x:v>0.5</x:v>
      </x:c>
      <x:c r="J248" s="7" t="str">
        <x:v>kg</x:v>
      </x:c>
      <x:c r="K248" s="10" t="str">
        <x:v>gravimetric transfer</x:v>
      </x:c>
      <x:c r="L248" s="7" t="str"/>
      <x:c r="M248" s="7" t="str"/>
      <x:c r="N248" s="7" t="str">
        <x:v>OPEN</x:v>
      </x:c>
    </x:row>
    <x:row r="249" ht="36" customHeight="1">
      <x:c r="B249" s="7" t="str">
        <x:v>RAE-SP-25-CH-03</x:v>
      </x:c>
      <x:c r="C249" s="7" t="str">
        <x:v>RAE-SP-25</x:v>
      </x:c>
      <x:c r="D249" s="7" t="str">
        <x:v>AM-05</x:v>
      </x:c>
      <x:c r="E249" s="7" t="str">
        <x:v>TR-A</x:v>
      </x:c>
      <x:c r="F249" s="7" t="str">
        <x:v>CH-03</x:v>
      </x:c>
      <x:c r="G249" s="10" t="str">
        <x:v>density</x:v>
      </x:c>
      <x:c r="H249" s="7" t="n">
        <x:v>800</x:v>
      </x:c>
      <x:c r="I249" s="7" t="n">
        <x:v>8</x:v>
      </x:c>
      <x:c r="J249" s="7" t="str">
        <x:v>kg/m3</x:v>
      </x:c>
      <x:c r="K249" s="10" t="str">
        <x:v>temperature-conditioned reference</x:v>
      </x:c>
      <x:c r="L249" s="7" t="str"/>
      <x:c r="M249" s="7" t="str"/>
      <x:c r="N249" s="7" t="str">
        <x:v>OPEN</x:v>
      </x:c>
    </x:row>
    <x:row r="250" ht="36" customHeight="1">
      <x:c r="B250" s="7" t="str">
        <x:v>RAE-SP-25-CH-04</x:v>
      </x:c>
      <x:c r="C250" s="7" t="str">
        <x:v>RAE-SP-25</x:v>
      </x:c>
      <x:c r="D250" s="7" t="str">
        <x:v>AM-05</x:v>
      </x:c>
      <x:c r="E250" s="7" t="str">
        <x:v>TR-A</x:v>
      </x:c>
      <x:c r="F250" s="7" t="str">
        <x:v>CH-04</x:v>
      </x:c>
      <x:c r="G250" s="10" t="str">
        <x:v>lower heating value</x:v>
      </x:c>
      <x:c r="H250" s="7" t="n">
        <x:v>42.588</x:v>
      </x:c>
      <x:c r="I250" s="7" t="n">
        <x:v>0.426</x:v>
      </x:c>
      <x:c r="J250" s="7" t="str">
        <x:v>MJ/kg</x:v>
      </x:c>
      <x:c r="K250" s="10" t="str">
        <x:v>retained laboratory assay</x:v>
      </x:c>
      <x:c r="L250" s="7" t="str"/>
      <x:c r="M250" s="7" t="str"/>
      <x:c r="N250" s="7" t="str">
        <x:v>OPEN</x:v>
      </x:c>
    </x:row>
    <x:row r="251" ht="36" customHeight="1">
      <x:c r="B251" s="7" t="str">
        <x:v>RAE-SP-25-CH-05</x:v>
      </x:c>
      <x:c r="C251" s="7" t="str">
        <x:v>RAE-SP-25</x:v>
      </x:c>
      <x:c r="D251" s="7" t="str">
        <x:v>AM-05</x:v>
      </x:c>
      <x:c r="E251" s="7" t="str">
        <x:v>TR-A</x:v>
      </x:c>
      <x:c r="F251" s="7" t="str">
        <x:v>CH-05</x:v>
      </x:c>
      <x:c r="G251" s="10" t="str">
        <x:v>temperature</x:v>
      </x:c>
      <x:c r="H251" s="7" t="n">
        <x:v>20</x:v>
      </x:c>
      <x:c r="I251" s="7" t="n">
        <x:v>2</x:v>
      </x:c>
      <x:c r="J251" s="7" t="str">
        <x:v>deg C</x:v>
      </x:c>
      <x:c r="K251" s="10" t="str">
        <x:v>two unlike probes</x:v>
      </x:c>
      <x:c r="L251" s="7" t="str"/>
      <x:c r="M251" s="7" t="str"/>
      <x:c r="N251" s="7" t="str">
        <x:v>OPEN</x:v>
      </x:c>
    </x:row>
    <x:row r="252" ht="36" customHeight="1">
      <x:c r="B252" s="7" t="str">
        <x:v>RAE-SP-25-CH-06</x:v>
      </x:c>
      <x:c r="C252" s="7" t="str">
        <x:v>RAE-SP-25</x:v>
      </x:c>
      <x:c r="D252" s="7" t="str">
        <x:v>AM-05</x:v>
      </x:c>
      <x:c r="E252" s="7" t="str">
        <x:v>TR-A</x:v>
      </x:c>
      <x:c r="F252" s="7" t="str">
        <x:v>CH-06</x:v>
      </x:c>
      <x:c r="G252" s="10" t="str">
        <x:v>water fraction ceiling</x:v>
      </x:c>
      <x:c r="H252" s="7" t="n">
        <x:v>0.001</x:v>
      </x:c>
      <x:c r="I252" s="7" t="n">
        <x:v>0.0002</x:v>
      </x:c>
      <x:c r="J252" s="7" t="str">
        <x:v>ratio</x:v>
      </x:c>
      <x:c r="K252" s="10" t="str">
        <x:v>retained assay</x:v>
      </x:c>
      <x:c r="L252" s="7" t="str"/>
      <x:c r="M252" s="7" t="str"/>
      <x:c r="N252" s="7" t="str">
        <x:v>OPEN</x:v>
      </x:c>
    </x:row>
    <x:row r="253" ht="36" customHeight="1">
      <x:c r="B253" s="7" t="str">
        <x:v>RAE-SP-25-CH-07</x:v>
      </x:c>
      <x:c r="C253" s="7" t="str">
        <x:v>RAE-SP-25</x:v>
      </x:c>
      <x:c r="D253" s="7" t="str">
        <x:v>AM-05</x:v>
      </x:c>
      <x:c r="E253" s="7" t="str">
        <x:v>TR-A</x:v>
      </x:c>
      <x:c r="F253" s="7" t="str">
        <x:v>CH-07</x:v>
      </x:c>
      <x:c r="G253" s="10" t="str">
        <x:v>foreign-solids ceiling</x:v>
      </x:c>
      <x:c r="H253" s="7" t="n">
        <x:v>0.001</x:v>
      </x:c>
      <x:c r="I253" s="7" t="n">
        <x:v>0.0002</x:v>
      </x:c>
      <x:c r="J253" s="7" t="str">
        <x:v>ratio</x:v>
      </x:c>
      <x:c r="K253" s="10" t="str">
        <x:v>filter and retained assay</x:v>
      </x:c>
      <x:c r="L253" s="7" t="str"/>
      <x:c r="M253" s="7" t="str"/>
      <x:c r="N253" s="7" t="str">
        <x:v>OPEN</x:v>
      </x:c>
    </x:row>
    <x:row r="254" ht="36" customHeight="1">
      <x:c r="B254" s="7" t="str">
        <x:v>RAE-SP-25-CH-08</x:v>
      </x:c>
      <x:c r="C254" s="7" t="str">
        <x:v>RAE-SP-25</x:v>
      </x:c>
      <x:c r="D254" s="7" t="str">
        <x:v>AM-05</x:v>
      </x:c>
      <x:c r="E254" s="7" t="str">
        <x:v>TR-A</x:v>
      </x:c>
      <x:c r="F254" s="7" t="str">
        <x:v>CH-08</x:v>
      </x:c>
      <x:c r="G254" s="10" t="str">
        <x:v>ancestry recovery floor</x:v>
      </x:c>
      <x:c r="H254" s="7" t="n">
        <x:v>0.995</x:v>
      </x:c>
      <x:c r="I254" s="7" t="n">
        <x:v>0.001</x:v>
      </x:c>
      <x:c r="J254" s="7" t="str">
        <x:v>ratio</x:v>
      </x:c>
      <x:c r="K254" s="10" t="str">
        <x:v>root-specific code</x:v>
      </x:c>
      <x:c r="L254" s="7" t="str"/>
      <x:c r="M254" s="7" t="str"/>
      <x:c r="N254" s="7" t="str">
        <x:v>OPEN</x:v>
      </x:c>
    </x:row>
    <x:row r="255" ht="36" customHeight="1">
      <x:c r="B255" s="7" t="str">
        <x:v>RAE-SP-25-CH-09</x:v>
      </x:c>
      <x:c r="C255" s="7" t="str">
        <x:v>RAE-SP-25</x:v>
      </x:c>
      <x:c r="D255" s="7" t="str">
        <x:v>AM-05</x:v>
      </x:c>
      <x:c r="E255" s="7" t="str">
        <x:v>TR-A</x:v>
      </x:c>
      <x:c r="F255" s="7" t="str">
        <x:v>CH-09</x:v>
      </x:c>
      <x:c r="G255" s="10" t="str">
        <x:v>custody seal</x:v>
      </x:c>
      <x:c r="H255" s="7" t="str">
        <x:v>MATCH</x:v>
      </x:c>
      <x:c r="I255" s="7" t="str">
        <x:v>n.a.</x:v>
      </x:c>
      <x:c r="J255" s="7" t="str">
        <x:v>state</x:v>
      </x:c>
      <x:c r="K255" s="10" t="str">
        <x:v>two-person seal verification</x:v>
      </x:c>
      <x:c r="L255" s="7" t="str"/>
      <x:c r="M255" s="7" t="str"/>
      <x:c r="N255" s="7" t="str">
        <x:v>OPEN</x:v>
      </x:c>
    </x:row>
    <x:row r="256" ht="36" customHeight="1">
      <x:c r="B256" s="7" t="str">
        <x:v>RAE-SP-25-CH-10</x:v>
      </x:c>
      <x:c r="C256" s="7" t="str">
        <x:v>RAE-SP-25</x:v>
      </x:c>
      <x:c r="D256" s="7" t="str">
        <x:v>AM-05</x:v>
      </x:c>
      <x:c r="E256" s="7" t="str">
        <x:v>TR-A</x:v>
      </x:c>
      <x:c r="F256" s="7" t="str">
        <x:v>CH-10</x:v>
      </x:c>
      <x:c r="G256" s="10" t="str">
        <x:v>retained sample set</x:v>
      </x:c>
      <x:c r="H256" s="7" t="str">
        <x:v>THREE</x:v>
      </x:c>
      <x:c r="I256" s="7" t="str">
        <x:v>n.a.</x:v>
      </x:c>
      <x:c r="J256" s="7" t="str">
        <x:v>count</x:v>
      </x:c>
      <x:c r="K256" s="10" t="str">
        <x:v>pre, post and archive</x:v>
      </x:c>
      <x:c r="L256" s="7" t="str"/>
      <x:c r="M256" s="7" t="str"/>
      <x:c r="N256" s="7" t="str">
        <x:v>OPEN</x:v>
      </x:c>
    </x:row>
    <x:row r="257" ht="36" customHeight="1">
      <x:c r="B257" s="7" t="str">
        <x:v>RAE-SP-26-CH-01</x:v>
      </x:c>
      <x:c r="C257" s="7" t="str">
        <x:v>RAE-SP-26</x:v>
      </x:c>
      <x:c r="D257" s="7" t="str">
        <x:v>AM-05</x:v>
      </x:c>
      <x:c r="E257" s="7" t="str">
        <x:v>TR-B</x:v>
      </x:c>
      <x:c r="F257" s="7" t="str">
        <x:v>CH-01</x:v>
      </x:c>
      <x:c r="G257" s="10" t="str">
        <x:v>gross package mass</x:v>
      </x:c>
      <x:c r="H257" s="7" t="n">
        <x:v>125</x:v>
      </x:c>
      <x:c r="I257" s="7" t="n">
        <x:v>0.25</x:v>
      </x:c>
      <x:c r="J257" s="7" t="str">
        <x:v>kg</x:v>
      </x:c>
      <x:c r="K257" s="10" t="str">
        <x:v>gravimetric root</x:v>
      </x:c>
      <x:c r="L257" s="7" t="str"/>
      <x:c r="M257" s="7" t="str"/>
      <x:c r="N257" s="7" t="str">
        <x:v>OPEN</x:v>
      </x:c>
    </x:row>
    <x:row r="258" ht="36" customHeight="1">
      <x:c r="B258" s="7" t="str">
        <x:v>RAE-SP-26-CH-02</x:v>
      </x:c>
      <x:c r="C258" s="7" t="str">
        <x:v>RAE-SP-26</x:v>
      </x:c>
      <x:c r="D258" s="7" t="str">
        <x:v>AM-05</x:v>
      </x:c>
      <x:c r="E258" s="7" t="str">
        <x:v>TR-B</x:v>
      </x:c>
      <x:c r="F258" s="7" t="str">
        <x:v>CH-02</x:v>
      </x:c>
      <x:c r="G258" s="10" t="str">
        <x:v>event aliquot mass</x:v>
      </x:c>
      <x:c r="H258" s="7" t="n">
        <x:v>100</x:v>
      </x:c>
      <x:c r="I258" s="7" t="n">
        <x:v>0.5</x:v>
      </x:c>
      <x:c r="J258" s="7" t="str">
        <x:v>kg</x:v>
      </x:c>
      <x:c r="K258" s="10" t="str">
        <x:v>gravimetric transfer</x:v>
      </x:c>
      <x:c r="L258" s="7" t="str"/>
      <x:c r="M258" s="7" t="str"/>
      <x:c r="N258" s="7" t="str">
        <x:v>OPEN</x:v>
      </x:c>
    </x:row>
    <x:row r="259" ht="36" customHeight="1">
      <x:c r="B259" s="7" t="str">
        <x:v>RAE-SP-26-CH-03</x:v>
      </x:c>
      <x:c r="C259" s="7" t="str">
        <x:v>RAE-SP-26</x:v>
      </x:c>
      <x:c r="D259" s="7" t="str">
        <x:v>AM-05</x:v>
      </x:c>
      <x:c r="E259" s="7" t="str">
        <x:v>TR-B</x:v>
      </x:c>
      <x:c r="F259" s="7" t="str">
        <x:v>CH-03</x:v>
      </x:c>
      <x:c r="G259" s="10" t="str">
        <x:v>density</x:v>
      </x:c>
      <x:c r="H259" s="7" t="n">
        <x:v>800</x:v>
      </x:c>
      <x:c r="I259" s="7" t="n">
        <x:v>8</x:v>
      </x:c>
      <x:c r="J259" s="7" t="str">
        <x:v>kg/m3</x:v>
      </x:c>
      <x:c r="K259" s="10" t="str">
        <x:v>temperature-conditioned reference</x:v>
      </x:c>
      <x:c r="L259" s="7" t="str"/>
      <x:c r="M259" s="7" t="str"/>
      <x:c r="N259" s="7" t="str">
        <x:v>OPEN</x:v>
      </x:c>
    </x:row>
    <x:row r="260" ht="36" customHeight="1">
      <x:c r="B260" s="7" t="str">
        <x:v>RAE-SP-26-CH-04</x:v>
      </x:c>
      <x:c r="C260" s="7" t="str">
        <x:v>RAE-SP-26</x:v>
      </x:c>
      <x:c r="D260" s="7" t="str">
        <x:v>AM-05</x:v>
      </x:c>
      <x:c r="E260" s="7" t="str">
        <x:v>TR-B</x:v>
      </x:c>
      <x:c r="F260" s="7" t="str">
        <x:v>CH-04</x:v>
      </x:c>
      <x:c r="G260" s="10" t="str">
        <x:v>lower heating value</x:v>
      </x:c>
      <x:c r="H260" s="7" t="n">
        <x:v>42.588</x:v>
      </x:c>
      <x:c r="I260" s="7" t="n">
        <x:v>0.426</x:v>
      </x:c>
      <x:c r="J260" s="7" t="str">
        <x:v>MJ/kg</x:v>
      </x:c>
      <x:c r="K260" s="10" t="str">
        <x:v>retained laboratory assay</x:v>
      </x:c>
      <x:c r="L260" s="7" t="str"/>
      <x:c r="M260" s="7" t="str"/>
      <x:c r="N260" s="7" t="str">
        <x:v>OPEN</x:v>
      </x:c>
    </x:row>
    <x:row r="261" ht="36" customHeight="1">
      <x:c r="B261" s="7" t="str">
        <x:v>RAE-SP-26-CH-05</x:v>
      </x:c>
      <x:c r="C261" s="7" t="str">
        <x:v>RAE-SP-26</x:v>
      </x:c>
      <x:c r="D261" s="7" t="str">
        <x:v>AM-05</x:v>
      </x:c>
      <x:c r="E261" s="7" t="str">
        <x:v>TR-B</x:v>
      </x:c>
      <x:c r="F261" s="7" t="str">
        <x:v>CH-05</x:v>
      </x:c>
      <x:c r="G261" s="10" t="str">
        <x:v>temperature</x:v>
      </x:c>
      <x:c r="H261" s="7" t="n">
        <x:v>20</x:v>
      </x:c>
      <x:c r="I261" s="7" t="n">
        <x:v>2</x:v>
      </x:c>
      <x:c r="J261" s="7" t="str">
        <x:v>deg C</x:v>
      </x:c>
      <x:c r="K261" s="10" t="str">
        <x:v>two unlike probes</x:v>
      </x:c>
      <x:c r="L261" s="7" t="str"/>
      <x:c r="M261" s="7" t="str"/>
      <x:c r="N261" s="7" t="str">
        <x:v>OPEN</x:v>
      </x:c>
    </x:row>
    <x:row r="262" ht="36" customHeight="1">
      <x:c r="B262" s="7" t="str">
        <x:v>RAE-SP-26-CH-06</x:v>
      </x:c>
      <x:c r="C262" s="7" t="str">
        <x:v>RAE-SP-26</x:v>
      </x:c>
      <x:c r="D262" s="7" t="str">
        <x:v>AM-05</x:v>
      </x:c>
      <x:c r="E262" s="7" t="str">
        <x:v>TR-B</x:v>
      </x:c>
      <x:c r="F262" s="7" t="str">
        <x:v>CH-06</x:v>
      </x:c>
      <x:c r="G262" s="10" t="str">
        <x:v>water fraction ceiling</x:v>
      </x:c>
      <x:c r="H262" s="7" t="n">
        <x:v>0.001</x:v>
      </x:c>
      <x:c r="I262" s="7" t="n">
        <x:v>0.0002</x:v>
      </x:c>
      <x:c r="J262" s="7" t="str">
        <x:v>ratio</x:v>
      </x:c>
      <x:c r="K262" s="10" t="str">
        <x:v>retained assay</x:v>
      </x:c>
      <x:c r="L262" s="7" t="str"/>
      <x:c r="M262" s="7" t="str"/>
      <x:c r="N262" s="7" t="str">
        <x:v>OPEN</x:v>
      </x:c>
    </x:row>
    <x:row r="263" ht="36" customHeight="1">
      <x:c r="B263" s="7" t="str">
        <x:v>RAE-SP-26-CH-07</x:v>
      </x:c>
      <x:c r="C263" s="7" t="str">
        <x:v>RAE-SP-26</x:v>
      </x:c>
      <x:c r="D263" s="7" t="str">
        <x:v>AM-05</x:v>
      </x:c>
      <x:c r="E263" s="7" t="str">
        <x:v>TR-B</x:v>
      </x:c>
      <x:c r="F263" s="7" t="str">
        <x:v>CH-07</x:v>
      </x:c>
      <x:c r="G263" s="10" t="str">
        <x:v>foreign-solids ceiling</x:v>
      </x:c>
      <x:c r="H263" s="7" t="n">
        <x:v>0.001</x:v>
      </x:c>
      <x:c r="I263" s="7" t="n">
        <x:v>0.0002</x:v>
      </x:c>
      <x:c r="J263" s="7" t="str">
        <x:v>ratio</x:v>
      </x:c>
      <x:c r="K263" s="10" t="str">
        <x:v>filter and retained assay</x:v>
      </x:c>
      <x:c r="L263" s="7" t="str"/>
      <x:c r="M263" s="7" t="str"/>
      <x:c r="N263" s="7" t="str">
        <x:v>OPEN</x:v>
      </x:c>
    </x:row>
    <x:row r="264" ht="36" customHeight="1">
      <x:c r="B264" s="7" t="str">
        <x:v>RAE-SP-26-CH-08</x:v>
      </x:c>
      <x:c r="C264" s="7" t="str">
        <x:v>RAE-SP-26</x:v>
      </x:c>
      <x:c r="D264" s="7" t="str">
        <x:v>AM-05</x:v>
      </x:c>
      <x:c r="E264" s="7" t="str">
        <x:v>TR-B</x:v>
      </x:c>
      <x:c r="F264" s="7" t="str">
        <x:v>CH-08</x:v>
      </x:c>
      <x:c r="G264" s="10" t="str">
        <x:v>ancestry recovery floor</x:v>
      </x:c>
      <x:c r="H264" s="7" t="n">
        <x:v>0.995</x:v>
      </x:c>
      <x:c r="I264" s="7" t="n">
        <x:v>0.001</x:v>
      </x:c>
      <x:c r="J264" s="7" t="str">
        <x:v>ratio</x:v>
      </x:c>
      <x:c r="K264" s="10" t="str">
        <x:v>root-specific code</x:v>
      </x:c>
      <x:c r="L264" s="7" t="str"/>
      <x:c r="M264" s="7" t="str"/>
      <x:c r="N264" s="7" t="str">
        <x:v>OPEN</x:v>
      </x:c>
    </x:row>
    <x:row r="265" ht="36" customHeight="1">
      <x:c r="B265" s="7" t="str">
        <x:v>RAE-SP-26-CH-09</x:v>
      </x:c>
      <x:c r="C265" s="7" t="str">
        <x:v>RAE-SP-26</x:v>
      </x:c>
      <x:c r="D265" s="7" t="str">
        <x:v>AM-05</x:v>
      </x:c>
      <x:c r="E265" s="7" t="str">
        <x:v>TR-B</x:v>
      </x:c>
      <x:c r="F265" s="7" t="str">
        <x:v>CH-09</x:v>
      </x:c>
      <x:c r="G265" s="10" t="str">
        <x:v>custody seal</x:v>
      </x:c>
      <x:c r="H265" s="7" t="str">
        <x:v>MATCH</x:v>
      </x:c>
      <x:c r="I265" s="7" t="str">
        <x:v>n.a.</x:v>
      </x:c>
      <x:c r="J265" s="7" t="str">
        <x:v>state</x:v>
      </x:c>
      <x:c r="K265" s="10" t="str">
        <x:v>two-person seal verification</x:v>
      </x:c>
      <x:c r="L265" s="7" t="str"/>
      <x:c r="M265" s="7" t="str"/>
      <x:c r="N265" s="7" t="str">
        <x:v>OPEN</x:v>
      </x:c>
    </x:row>
    <x:row r="266" ht="36" customHeight="1">
      <x:c r="B266" s="7" t="str">
        <x:v>RAE-SP-26-CH-10</x:v>
      </x:c>
      <x:c r="C266" s="7" t="str">
        <x:v>RAE-SP-26</x:v>
      </x:c>
      <x:c r="D266" s="7" t="str">
        <x:v>AM-05</x:v>
      </x:c>
      <x:c r="E266" s="7" t="str">
        <x:v>TR-B</x:v>
      </x:c>
      <x:c r="F266" s="7" t="str">
        <x:v>CH-10</x:v>
      </x:c>
      <x:c r="G266" s="10" t="str">
        <x:v>retained sample set</x:v>
      </x:c>
      <x:c r="H266" s="7" t="str">
        <x:v>THREE</x:v>
      </x:c>
      <x:c r="I266" s="7" t="str">
        <x:v>n.a.</x:v>
      </x:c>
      <x:c r="J266" s="7" t="str">
        <x:v>count</x:v>
      </x:c>
      <x:c r="K266" s="10" t="str">
        <x:v>pre, post and archive</x:v>
      </x:c>
      <x:c r="L266" s="7" t="str"/>
      <x:c r="M266" s="7" t="str"/>
      <x:c r="N266" s="7" t="str">
        <x:v>OPEN</x:v>
      </x:c>
    </x:row>
    <x:row r="267" ht="36" customHeight="1">
      <x:c r="B267" s="7" t="str">
        <x:v>RAE-SP-27-CH-01</x:v>
      </x:c>
      <x:c r="C267" s="7" t="str">
        <x:v>RAE-SP-27</x:v>
      </x:c>
      <x:c r="D267" s="7" t="str">
        <x:v>AM-06</x:v>
      </x:c>
      <x:c r="E267" s="7" t="str">
        <x:v>TR-A</x:v>
      </x:c>
      <x:c r="F267" s="7" t="str">
        <x:v>CH-01</x:v>
      </x:c>
      <x:c r="G267" s="10" t="str">
        <x:v>gross package mass</x:v>
      </x:c>
      <x:c r="H267" s="7" t="n">
        <x:v>125</x:v>
      </x:c>
      <x:c r="I267" s="7" t="n">
        <x:v>0.25</x:v>
      </x:c>
      <x:c r="J267" s="7" t="str">
        <x:v>kg</x:v>
      </x:c>
      <x:c r="K267" s="10" t="str">
        <x:v>gravimetric root</x:v>
      </x:c>
      <x:c r="L267" s="7" t="str"/>
      <x:c r="M267" s="7" t="str"/>
      <x:c r="N267" s="7" t="str">
        <x:v>OPEN</x:v>
      </x:c>
    </x:row>
    <x:row r="268" ht="36" customHeight="1">
      <x:c r="B268" s="7" t="str">
        <x:v>RAE-SP-27-CH-02</x:v>
      </x:c>
      <x:c r="C268" s="7" t="str">
        <x:v>RAE-SP-27</x:v>
      </x:c>
      <x:c r="D268" s="7" t="str">
        <x:v>AM-06</x:v>
      </x:c>
      <x:c r="E268" s="7" t="str">
        <x:v>TR-A</x:v>
      </x:c>
      <x:c r="F268" s="7" t="str">
        <x:v>CH-02</x:v>
      </x:c>
      <x:c r="G268" s="10" t="str">
        <x:v>event aliquot mass</x:v>
      </x:c>
      <x:c r="H268" s="7" t="n">
        <x:v>100</x:v>
      </x:c>
      <x:c r="I268" s="7" t="n">
        <x:v>0.5</x:v>
      </x:c>
      <x:c r="J268" s="7" t="str">
        <x:v>kg</x:v>
      </x:c>
      <x:c r="K268" s="10" t="str">
        <x:v>gravimetric transfer</x:v>
      </x:c>
      <x:c r="L268" s="7" t="str"/>
      <x:c r="M268" s="7" t="str"/>
      <x:c r="N268" s="7" t="str">
        <x:v>OPEN</x:v>
      </x:c>
    </x:row>
    <x:row r="269" ht="36" customHeight="1">
      <x:c r="B269" s="7" t="str">
        <x:v>RAE-SP-27-CH-03</x:v>
      </x:c>
      <x:c r="C269" s="7" t="str">
        <x:v>RAE-SP-27</x:v>
      </x:c>
      <x:c r="D269" s="7" t="str">
        <x:v>AM-06</x:v>
      </x:c>
      <x:c r="E269" s="7" t="str">
        <x:v>TR-A</x:v>
      </x:c>
      <x:c r="F269" s="7" t="str">
        <x:v>CH-03</x:v>
      </x:c>
      <x:c r="G269" s="10" t="str">
        <x:v>density</x:v>
      </x:c>
      <x:c r="H269" s="7" t="n">
        <x:v>800</x:v>
      </x:c>
      <x:c r="I269" s="7" t="n">
        <x:v>8</x:v>
      </x:c>
      <x:c r="J269" s="7" t="str">
        <x:v>kg/m3</x:v>
      </x:c>
      <x:c r="K269" s="10" t="str">
        <x:v>temperature-conditioned reference</x:v>
      </x:c>
      <x:c r="L269" s="7" t="str"/>
      <x:c r="M269" s="7" t="str"/>
      <x:c r="N269" s="7" t="str">
        <x:v>OPEN</x:v>
      </x:c>
    </x:row>
    <x:row r="270" ht="36" customHeight="1">
      <x:c r="B270" s="7" t="str">
        <x:v>RAE-SP-27-CH-04</x:v>
      </x:c>
      <x:c r="C270" s="7" t="str">
        <x:v>RAE-SP-27</x:v>
      </x:c>
      <x:c r="D270" s="7" t="str">
        <x:v>AM-06</x:v>
      </x:c>
      <x:c r="E270" s="7" t="str">
        <x:v>TR-A</x:v>
      </x:c>
      <x:c r="F270" s="7" t="str">
        <x:v>CH-04</x:v>
      </x:c>
      <x:c r="G270" s="10" t="str">
        <x:v>lower heating value</x:v>
      </x:c>
      <x:c r="H270" s="7" t="n">
        <x:v>42.588</x:v>
      </x:c>
      <x:c r="I270" s="7" t="n">
        <x:v>0.426</x:v>
      </x:c>
      <x:c r="J270" s="7" t="str">
        <x:v>MJ/kg</x:v>
      </x:c>
      <x:c r="K270" s="10" t="str">
        <x:v>retained laboratory assay</x:v>
      </x:c>
      <x:c r="L270" s="7" t="str"/>
      <x:c r="M270" s="7" t="str"/>
      <x:c r="N270" s="7" t="str">
        <x:v>OPEN</x:v>
      </x:c>
    </x:row>
    <x:row r="271" ht="36" customHeight="1">
      <x:c r="B271" s="7" t="str">
        <x:v>RAE-SP-27-CH-05</x:v>
      </x:c>
      <x:c r="C271" s="7" t="str">
        <x:v>RAE-SP-27</x:v>
      </x:c>
      <x:c r="D271" s="7" t="str">
        <x:v>AM-06</x:v>
      </x:c>
      <x:c r="E271" s="7" t="str">
        <x:v>TR-A</x:v>
      </x:c>
      <x:c r="F271" s="7" t="str">
        <x:v>CH-05</x:v>
      </x:c>
      <x:c r="G271" s="10" t="str">
        <x:v>temperature</x:v>
      </x:c>
      <x:c r="H271" s="7" t="n">
        <x:v>20</x:v>
      </x:c>
      <x:c r="I271" s="7" t="n">
        <x:v>2</x:v>
      </x:c>
      <x:c r="J271" s="7" t="str">
        <x:v>deg C</x:v>
      </x:c>
      <x:c r="K271" s="10" t="str">
        <x:v>two unlike probes</x:v>
      </x:c>
      <x:c r="L271" s="7" t="str"/>
      <x:c r="M271" s="7" t="str"/>
      <x:c r="N271" s="7" t="str">
        <x:v>OPEN</x:v>
      </x:c>
    </x:row>
    <x:row r="272" ht="36" customHeight="1">
      <x:c r="B272" s="7" t="str">
        <x:v>RAE-SP-27-CH-06</x:v>
      </x:c>
      <x:c r="C272" s="7" t="str">
        <x:v>RAE-SP-27</x:v>
      </x:c>
      <x:c r="D272" s="7" t="str">
        <x:v>AM-06</x:v>
      </x:c>
      <x:c r="E272" s="7" t="str">
        <x:v>TR-A</x:v>
      </x:c>
      <x:c r="F272" s="7" t="str">
        <x:v>CH-06</x:v>
      </x:c>
      <x:c r="G272" s="10" t="str">
        <x:v>water fraction ceiling</x:v>
      </x:c>
      <x:c r="H272" s="7" t="n">
        <x:v>0.001</x:v>
      </x:c>
      <x:c r="I272" s="7" t="n">
        <x:v>0.0002</x:v>
      </x:c>
      <x:c r="J272" s="7" t="str">
        <x:v>ratio</x:v>
      </x:c>
      <x:c r="K272" s="10" t="str">
        <x:v>retained assay</x:v>
      </x:c>
      <x:c r="L272" s="7" t="str"/>
      <x:c r="M272" s="7" t="str"/>
      <x:c r="N272" s="7" t="str">
        <x:v>OPEN</x:v>
      </x:c>
    </x:row>
    <x:row r="273" ht="36" customHeight="1">
      <x:c r="B273" s="7" t="str">
        <x:v>RAE-SP-27-CH-07</x:v>
      </x:c>
      <x:c r="C273" s="7" t="str">
        <x:v>RAE-SP-27</x:v>
      </x:c>
      <x:c r="D273" s="7" t="str">
        <x:v>AM-06</x:v>
      </x:c>
      <x:c r="E273" s="7" t="str">
        <x:v>TR-A</x:v>
      </x:c>
      <x:c r="F273" s="7" t="str">
        <x:v>CH-07</x:v>
      </x:c>
      <x:c r="G273" s="10" t="str">
        <x:v>foreign-solids ceiling</x:v>
      </x:c>
      <x:c r="H273" s="7" t="n">
        <x:v>0.001</x:v>
      </x:c>
      <x:c r="I273" s="7" t="n">
        <x:v>0.0002</x:v>
      </x:c>
      <x:c r="J273" s="7" t="str">
        <x:v>ratio</x:v>
      </x:c>
      <x:c r="K273" s="10" t="str">
        <x:v>filter and retained assay</x:v>
      </x:c>
      <x:c r="L273" s="7" t="str"/>
      <x:c r="M273" s="7" t="str"/>
      <x:c r="N273" s="7" t="str">
        <x:v>OPEN</x:v>
      </x:c>
    </x:row>
    <x:row r="274" ht="36" customHeight="1">
      <x:c r="B274" s="7" t="str">
        <x:v>RAE-SP-27-CH-08</x:v>
      </x:c>
      <x:c r="C274" s="7" t="str">
        <x:v>RAE-SP-27</x:v>
      </x:c>
      <x:c r="D274" s="7" t="str">
        <x:v>AM-06</x:v>
      </x:c>
      <x:c r="E274" s="7" t="str">
        <x:v>TR-A</x:v>
      </x:c>
      <x:c r="F274" s="7" t="str">
        <x:v>CH-08</x:v>
      </x:c>
      <x:c r="G274" s="10" t="str">
        <x:v>ancestry recovery floor</x:v>
      </x:c>
      <x:c r="H274" s="7" t="n">
        <x:v>0.995</x:v>
      </x:c>
      <x:c r="I274" s="7" t="n">
        <x:v>0.001</x:v>
      </x:c>
      <x:c r="J274" s="7" t="str">
        <x:v>ratio</x:v>
      </x:c>
      <x:c r="K274" s="10" t="str">
        <x:v>root-specific code</x:v>
      </x:c>
      <x:c r="L274" s="7" t="str"/>
      <x:c r="M274" s="7" t="str"/>
      <x:c r="N274" s="7" t="str">
        <x:v>OPEN</x:v>
      </x:c>
    </x:row>
    <x:row r="275" ht="36" customHeight="1">
      <x:c r="B275" s="7" t="str">
        <x:v>RAE-SP-27-CH-09</x:v>
      </x:c>
      <x:c r="C275" s="7" t="str">
        <x:v>RAE-SP-27</x:v>
      </x:c>
      <x:c r="D275" s="7" t="str">
        <x:v>AM-06</x:v>
      </x:c>
      <x:c r="E275" s="7" t="str">
        <x:v>TR-A</x:v>
      </x:c>
      <x:c r="F275" s="7" t="str">
        <x:v>CH-09</x:v>
      </x:c>
      <x:c r="G275" s="10" t="str">
        <x:v>custody seal</x:v>
      </x:c>
      <x:c r="H275" s="7" t="str">
        <x:v>MATCH</x:v>
      </x:c>
      <x:c r="I275" s="7" t="str">
        <x:v>n.a.</x:v>
      </x:c>
      <x:c r="J275" s="7" t="str">
        <x:v>state</x:v>
      </x:c>
      <x:c r="K275" s="10" t="str">
        <x:v>two-person seal verification</x:v>
      </x:c>
      <x:c r="L275" s="7" t="str"/>
      <x:c r="M275" s="7" t="str"/>
      <x:c r="N275" s="7" t="str">
        <x:v>OPEN</x:v>
      </x:c>
    </x:row>
    <x:row r="276" ht="36" customHeight="1">
      <x:c r="B276" s="7" t="str">
        <x:v>RAE-SP-27-CH-10</x:v>
      </x:c>
      <x:c r="C276" s="7" t="str">
        <x:v>RAE-SP-27</x:v>
      </x:c>
      <x:c r="D276" s="7" t="str">
        <x:v>AM-06</x:v>
      </x:c>
      <x:c r="E276" s="7" t="str">
        <x:v>TR-A</x:v>
      </x:c>
      <x:c r="F276" s="7" t="str">
        <x:v>CH-10</x:v>
      </x:c>
      <x:c r="G276" s="10" t="str">
        <x:v>retained sample set</x:v>
      </x:c>
      <x:c r="H276" s="7" t="str">
        <x:v>THREE</x:v>
      </x:c>
      <x:c r="I276" s="7" t="str">
        <x:v>n.a.</x:v>
      </x:c>
      <x:c r="J276" s="7" t="str">
        <x:v>count</x:v>
      </x:c>
      <x:c r="K276" s="10" t="str">
        <x:v>pre, post and archive</x:v>
      </x:c>
      <x:c r="L276" s="7" t="str"/>
      <x:c r="M276" s="7" t="str"/>
      <x:c r="N276" s="7" t="str">
        <x:v>OPEN</x:v>
      </x:c>
    </x:row>
    <x:row r="277" ht="36" customHeight="1">
      <x:c r="B277" s="7" t="str">
        <x:v>RAE-SP-28-CH-01</x:v>
      </x:c>
      <x:c r="C277" s="7" t="str">
        <x:v>RAE-SP-28</x:v>
      </x:c>
      <x:c r="D277" s="7" t="str">
        <x:v>AM-06</x:v>
      </x:c>
      <x:c r="E277" s="7" t="str">
        <x:v>TR-B</x:v>
      </x:c>
      <x:c r="F277" s="7" t="str">
        <x:v>CH-01</x:v>
      </x:c>
      <x:c r="G277" s="10" t="str">
        <x:v>gross package mass</x:v>
      </x:c>
      <x:c r="H277" s="7" t="n">
        <x:v>125</x:v>
      </x:c>
      <x:c r="I277" s="7" t="n">
        <x:v>0.25</x:v>
      </x:c>
      <x:c r="J277" s="7" t="str">
        <x:v>kg</x:v>
      </x:c>
      <x:c r="K277" s="10" t="str">
        <x:v>gravimetric root</x:v>
      </x:c>
      <x:c r="L277" s="7" t="str"/>
      <x:c r="M277" s="7" t="str"/>
      <x:c r="N277" s="7" t="str">
        <x:v>OPEN</x:v>
      </x:c>
    </x:row>
    <x:row r="278" ht="36" customHeight="1">
      <x:c r="B278" s="7" t="str">
        <x:v>RAE-SP-28-CH-02</x:v>
      </x:c>
      <x:c r="C278" s="7" t="str">
        <x:v>RAE-SP-28</x:v>
      </x:c>
      <x:c r="D278" s="7" t="str">
        <x:v>AM-06</x:v>
      </x:c>
      <x:c r="E278" s="7" t="str">
        <x:v>TR-B</x:v>
      </x:c>
      <x:c r="F278" s="7" t="str">
        <x:v>CH-02</x:v>
      </x:c>
      <x:c r="G278" s="10" t="str">
        <x:v>event aliquot mass</x:v>
      </x:c>
      <x:c r="H278" s="7" t="n">
        <x:v>100</x:v>
      </x:c>
      <x:c r="I278" s="7" t="n">
        <x:v>0.5</x:v>
      </x:c>
      <x:c r="J278" s="7" t="str">
        <x:v>kg</x:v>
      </x:c>
      <x:c r="K278" s="10" t="str">
        <x:v>gravimetric transfer</x:v>
      </x:c>
      <x:c r="L278" s="7" t="str"/>
      <x:c r="M278" s="7" t="str"/>
      <x:c r="N278" s="7" t="str">
        <x:v>OPEN</x:v>
      </x:c>
    </x:row>
    <x:row r="279" ht="36" customHeight="1">
      <x:c r="B279" s="7" t="str">
        <x:v>RAE-SP-28-CH-03</x:v>
      </x:c>
      <x:c r="C279" s="7" t="str">
        <x:v>RAE-SP-28</x:v>
      </x:c>
      <x:c r="D279" s="7" t="str">
        <x:v>AM-06</x:v>
      </x:c>
      <x:c r="E279" s="7" t="str">
        <x:v>TR-B</x:v>
      </x:c>
      <x:c r="F279" s="7" t="str">
        <x:v>CH-03</x:v>
      </x:c>
      <x:c r="G279" s="10" t="str">
        <x:v>density</x:v>
      </x:c>
      <x:c r="H279" s="7" t="n">
        <x:v>800</x:v>
      </x:c>
      <x:c r="I279" s="7" t="n">
        <x:v>8</x:v>
      </x:c>
      <x:c r="J279" s="7" t="str">
        <x:v>kg/m3</x:v>
      </x:c>
      <x:c r="K279" s="10" t="str">
        <x:v>temperature-conditioned reference</x:v>
      </x:c>
      <x:c r="L279" s="7" t="str"/>
      <x:c r="M279" s="7" t="str"/>
      <x:c r="N279" s="7" t="str">
        <x:v>OPEN</x:v>
      </x:c>
    </x:row>
    <x:row r="280" ht="36" customHeight="1">
      <x:c r="B280" s="7" t="str">
        <x:v>RAE-SP-28-CH-04</x:v>
      </x:c>
      <x:c r="C280" s="7" t="str">
        <x:v>RAE-SP-28</x:v>
      </x:c>
      <x:c r="D280" s="7" t="str">
        <x:v>AM-06</x:v>
      </x:c>
      <x:c r="E280" s="7" t="str">
        <x:v>TR-B</x:v>
      </x:c>
      <x:c r="F280" s="7" t="str">
        <x:v>CH-04</x:v>
      </x:c>
      <x:c r="G280" s="10" t="str">
        <x:v>lower heating value</x:v>
      </x:c>
      <x:c r="H280" s="7" t="n">
        <x:v>42.588</x:v>
      </x:c>
      <x:c r="I280" s="7" t="n">
        <x:v>0.426</x:v>
      </x:c>
      <x:c r="J280" s="7" t="str">
        <x:v>MJ/kg</x:v>
      </x:c>
      <x:c r="K280" s="10" t="str">
        <x:v>retained laboratory assay</x:v>
      </x:c>
      <x:c r="L280" s="7" t="str"/>
      <x:c r="M280" s="7" t="str"/>
      <x:c r="N280" s="7" t="str">
        <x:v>OPEN</x:v>
      </x:c>
    </x:row>
    <x:row r="281" ht="36" customHeight="1">
      <x:c r="B281" s="7" t="str">
        <x:v>RAE-SP-28-CH-05</x:v>
      </x:c>
      <x:c r="C281" s="7" t="str">
        <x:v>RAE-SP-28</x:v>
      </x:c>
      <x:c r="D281" s="7" t="str">
        <x:v>AM-06</x:v>
      </x:c>
      <x:c r="E281" s="7" t="str">
        <x:v>TR-B</x:v>
      </x:c>
      <x:c r="F281" s="7" t="str">
        <x:v>CH-05</x:v>
      </x:c>
      <x:c r="G281" s="10" t="str">
        <x:v>temperature</x:v>
      </x:c>
      <x:c r="H281" s="7" t="n">
        <x:v>20</x:v>
      </x:c>
      <x:c r="I281" s="7" t="n">
        <x:v>2</x:v>
      </x:c>
      <x:c r="J281" s="7" t="str">
        <x:v>deg C</x:v>
      </x:c>
      <x:c r="K281" s="10" t="str">
        <x:v>two unlike probes</x:v>
      </x:c>
      <x:c r="L281" s="7" t="str"/>
      <x:c r="M281" s="7" t="str"/>
      <x:c r="N281" s="7" t="str">
        <x:v>OPEN</x:v>
      </x:c>
    </x:row>
    <x:row r="282" ht="36" customHeight="1">
      <x:c r="B282" s="7" t="str">
        <x:v>RAE-SP-28-CH-06</x:v>
      </x:c>
      <x:c r="C282" s="7" t="str">
        <x:v>RAE-SP-28</x:v>
      </x:c>
      <x:c r="D282" s="7" t="str">
        <x:v>AM-06</x:v>
      </x:c>
      <x:c r="E282" s="7" t="str">
        <x:v>TR-B</x:v>
      </x:c>
      <x:c r="F282" s="7" t="str">
        <x:v>CH-06</x:v>
      </x:c>
      <x:c r="G282" s="10" t="str">
        <x:v>water fraction ceiling</x:v>
      </x:c>
      <x:c r="H282" s="7" t="n">
        <x:v>0.001</x:v>
      </x:c>
      <x:c r="I282" s="7" t="n">
        <x:v>0.0002</x:v>
      </x:c>
      <x:c r="J282" s="7" t="str">
        <x:v>ratio</x:v>
      </x:c>
      <x:c r="K282" s="10" t="str">
        <x:v>retained assay</x:v>
      </x:c>
      <x:c r="L282" s="7" t="str"/>
      <x:c r="M282" s="7" t="str"/>
      <x:c r="N282" s="7" t="str">
        <x:v>OPEN</x:v>
      </x:c>
    </x:row>
    <x:row r="283" ht="36" customHeight="1">
      <x:c r="B283" s="7" t="str">
        <x:v>RAE-SP-28-CH-07</x:v>
      </x:c>
      <x:c r="C283" s="7" t="str">
        <x:v>RAE-SP-28</x:v>
      </x:c>
      <x:c r="D283" s="7" t="str">
        <x:v>AM-06</x:v>
      </x:c>
      <x:c r="E283" s="7" t="str">
        <x:v>TR-B</x:v>
      </x:c>
      <x:c r="F283" s="7" t="str">
        <x:v>CH-07</x:v>
      </x:c>
      <x:c r="G283" s="10" t="str">
        <x:v>foreign-solids ceiling</x:v>
      </x:c>
      <x:c r="H283" s="7" t="n">
        <x:v>0.001</x:v>
      </x:c>
      <x:c r="I283" s="7" t="n">
        <x:v>0.0002</x:v>
      </x:c>
      <x:c r="J283" s="7" t="str">
        <x:v>ratio</x:v>
      </x:c>
      <x:c r="K283" s="10" t="str">
        <x:v>filter and retained assay</x:v>
      </x:c>
      <x:c r="L283" s="7" t="str"/>
      <x:c r="M283" s="7" t="str"/>
      <x:c r="N283" s="7" t="str">
        <x:v>OPEN</x:v>
      </x:c>
    </x:row>
    <x:row r="284" ht="36" customHeight="1">
      <x:c r="B284" s="7" t="str">
        <x:v>RAE-SP-28-CH-08</x:v>
      </x:c>
      <x:c r="C284" s="7" t="str">
        <x:v>RAE-SP-28</x:v>
      </x:c>
      <x:c r="D284" s="7" t="str">
        <x:v>AM-06</x:v>
      </x:c>
      <x:c r="E284" s="7" t="str">
        <x:v>TR-B</x:v>
      </x:c>
      <x:c r="F284" s="7" t="str">
        <x:v>CH-08</x:v>
      </x:c>
      <x:c r="G284" s="10" t="str">
        <x:v>ancestry recovery floor</x:v>
      </x:c>
      <x:c r="H284" s="7" t="n">
        <x:v>0.995</x:v>
      </x:c>
      <x:c r="I284" s="7" t="n">
        <x:v>0.001</x:v>
      </x:c>
      <x:c r="J284" s="7" t="str">
        <x:v>ratio</x:v>
      </x:c>
      <x:c r="K284" s="10" t="str">
        <x:v>root-specific code</x:v>
      </x:c>
      <x:c r="L284" s="7" t="str"/>
      <x:c r="M284" s="7" t="str"/>
      <x:c r="N284" s="7" t="str">
        <x:v>OPEN</x:v>
      </x:c>
    </x:row>
    <x:row r="285" ht="36" customHeight="1">
      <x:c r="B285" s="7" t="str">
        <x:v>RAE-SP-28-CH-09</x:v>
      </x:c>
      <x:c r="C285" s="7" t="str">
        <x:v>RAE-SP-28</x:v>
      </x:c>
      <x:c r="D285" s="7" t="str">
        <x:v>AM-06</x:v>
      </x:c>
      <x:c r="E285" s="7" t="str">
        <x:v>TR-B</x:v>
      </x:c>
      <x:c r="F285" s="7" t="str">
        <x:v>CH-09</x:v>
      </x:c>
      <x:c r="G285" s="10" t="str">
        <x:v>custody seal</x:v>
      </x:c>
      <x:c r="H285" s="7" t="str">
        <x:v>MATCH</x:v>
      </x:c>
      <x:c r="I285" s="7" t="str">
        <x:v>n.a.</x:v>
      </x:c>
      <x:c r="J285" s="7" t="str">
        <x:v>state</x:v>
      </x:c>
      <x:c r="K285" s="10" t="str">
        <x:v>two-person seal verification</x:v>
      </x:c>
      <x:c r="L285" s="7" t="str"/>
      <x:c r="M285" s="7" t="str"/>
      <x:c r="N285" s="7" t="str">
        <x:v>OPEN</x:v>
      </x:c>
    </x:row>
    <x:row r="286" ht="36" customHeight="1">
      <x:c r="B286" s="7" t="str">
        <x:v>RAE-SP-28-CH-10</x:v>
      </x:c>
      <x:c r="C286" s="7" t="str">
        <x:v>RAE-SP-28</x:v>
      </x:c>
      <x:c r="D286" s="7" t="str">
        <x:v>AM-06</x:v>
      </x:c>
      <x:c r="E286" s="7" t="str">
        <x:v>TR-B</x:v>
      </x:c>
      <x:c r="F286" s="7" t="str">
        <x:v>CH-10</x:v>
      </x:c>
      <x:c r="G286" s="10" t="str">
        <x:v>retained sample set</x:v>
      </x:c>
      <x:c r="H286" s="7" t="str">
        <x:v>THREE</x:v>
      </x:c>
      <x:c r="I286" s="7" t="str">
        <x:v>n.a.</x:v>
      </x:c>
      <x:c r="J286" s="7" t="str">
        <x:v>count</x:v>
      </x:c>
      <x:c r="K286" s="10" t="str">
        <x:v>pre, post and archive</x:v>
      </x:c>
      <x:c r="L286" s="7" t="str"/>
      <x:c r="M286" s="7" t="str"/>
      <x:c r="N286" s="7" t="str">
        <x:v>OPEN</x:v>
      </x:c>
    </x:row>
  </x:sheetData>
  <x:conditionalFormatting sqref="N7:N286">
    <x:cfRule type="containsText" dxfId="36" priority="1" operator="containsText" text="FAIL"/>
    <x:cfRule type="containsText" dxfId="37" priority="2" operator="containsText" text="INVALID"/>
    <x:cfRule type="containsText" dxfId="38" priority="3" operator="containsText" text="BLOCKED"/>
    <x:cfRule type="containsText" dxfId="39" priority="4" operator="containsText" text="OPEN"/>
    <x:cfRule type="containsText" dxfId="40" priority="5" operator="containsText" text="HELD"/>
    <x:cfRule type="containsText" dxfId="41" priority="6" operator="containsText" text="DORMANT"/>
    <x:cfRule type="containsText" dxfId="42" priority="7" operator="containsText" text="PASS"/>
    <x:cfRule type="containsText" dxfId="43" priority="8" operator="containsText" text="VALID"/>
    <x:cfRule type="containsText" dxfId="44" priority="9" operator="containsText" text="ISSUE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13" hidden="0" customWidth="1"/>
    <x:col min="5" max="5" width="12" hidden="0" customWidth="1"/>
    <x:col min="6" max="6" width="23" hidden="0" customWidth="1"/>
    <x:col min="7" max="7" width="20" hidden="0" customWidth="1"/>
    <x:col min="8" max="8" width="33" hidden="0" customWidth="1"/>
    <x:col min="9" max="9" width="18" hidden="0" customWidth="1"/>
    <x:col min="10" max="10" width="20" hidden="0" customWidth="1"/>
    <x:col min="11" max="11" width="21" hidden="0" customWidth="1"/>
    <x:col min="12" max="12" width="14" hidden="0" customWidth="1"/>
  </x:cols>
  <x:sheetData>
    <x:row r="2">
      <x:c r="B2" s="1" t="str">
        <x:v>Twelve casualty-water and background packages</x:v>
      </x:c>
    </x:row>
    <x:row r="3">
      <x:c r="B3" s="2" t="str">
        <x:v>QE-01 and QE-02 plan zero application. Water still requires identity because public quench or weather can enter the event.</x:v>
      </x:c>
    </x:row>
    <x:row r="6" ht="24" customHeight="1">
      <x:c r="B6" s="6" t="str">
        <x:v>Package</x:v>
      </x:c>
      <x:c r="C6" s="6" t="str">
        <x:v>Rig</x:v>
      </x:c>
      <x:c r="D6" s="6" t="str">
        <x:v>Campus</x:v>
      </x:c>
      <x:c r="E6" s="6" t="str">
        <x:v>Root</x:v>
      </x:c>
      <x:c r="F6" s="6" t="str">
        <x:v>Receiver capacity m3</x:v>
      </x:c>
      <x:c r="G6" s="6" t="str">
        <x:v>Initial ceiling m3</x:v>
      </x:c>
      <x:c r="H6" s="6" t="str">
        <x:v>Ancestry principle</x:v>
      </x:c>
      <x:c r="I6" s="6" t="str">
        <x:v>Recovery floor</x:v>
      </x:c>
      <x:c r="J6" s="6" t="str">
        <x:v>Cross-talk ceiling</x:v>
      </x:c>
      <x:c r="K6" s="6" t="str">
        <x:v>Accepted UTC</x:v>
      </x:c>
      <x:c r="L6" s="6" t="str">
        <x:v>State</x:v>
      </x:c>
    </x:row>
    <x:row r="7" ht="36" customHeight="1">
      <x:c r="B7" s="7" t="str">
        <x:v>RAE-WP-01</x:v>
      </x:c>
      <x:c r="C7" s="7" t="str">
        <x:v>RFP-A1</x:v>
      </x:c>
      <x:c r="D7" s="7" t="str">
        <x:v>PTC-A</x:v>
      </x:c>
      <x:c r="E7" s="7" t="str">
        <x:v>TR-A</x:v>
      </x:c>
      <x:c r="F7" s="7" t="n">
        <x:v>120</x:v>
      </x:c>
      <x:c r="G7" s="7" t="n">
        <x:v>5</x:v>
      </x:c>
      <x:c r="H7" s="10" t="str">
        <x:v>optical water code</x:v>
      </x:c>
      <x:c r="I7" s="7" t="n">
        <x:v>0.995</x:v>
      </x:c>
      <x:c r="J7" s="7" t="n">
        <x:v>0.005</x:v>
      </x:c>
      <x:c r="K7" s="7" t="str"/>
      <x:c r="L7" s="7" t="str">
        <x:v>OPEN</x:v>
      </x:c>
    </x:row>
    <x:row r="8" ht="36" customHeight="1">
      <x:c r="B8" s="7" t="str">
        <x:v>RAE-WP-02</x:v>
      </x:c>
      <x:c r="C8" s="7" t="str">
        <x:v>RFP-A1</x:v>
      </x:c>
      <x:c r="D8" s="7" t="str">
        <x:v>PTC-A</x:v>
      </x:c>
      <x:c r="E8" s="7" t="str">
        <x:v>TR-B</x:v>
      </x:c>
      <x:c r="F8" s="7" t="n">
        <x:v>120</x:v>
      </x:c>
      <x:c r="G8" s="7" t="n">
        <x:v>5</x:v>
      </x:c>
      <x:c r="H8" s="10" t="str">
        <x:v>electrochemical water code</x:v>
      </x:c>
      <x:c r="I8" s="7" t="n">
        <x:v>0.995</x:v>
      </x:c>
      <x:c r="J8" s="7" t="n">
        <x:v>0.005</x:v>
      </x:c>
      <x:c r="K8" s="7" t="str"/>
      <x:c r="L8" s="7" t="str">
        <x:v>OPEN</x:v>
      </x:c>
    </x:row>
    <x:row r="9" ht="36" customHeight="1">
      <x:c r="B9" s="7" t="str">
        <x:v>RAE-WP-03</x:v>
      </x:c>
      <x:c r="C9" s="7" t="str">
        <x:v>RFP-A2</x:v>
      </x:c>
      <x:c r="D9" s="7" t="str">
        <x:v>PTC-A</x:v>
      </x:c>
      <x:c r="E9" s="7" t="str">
        <x:v>TR-A</x:v>
      </x:c>
      <x:c r="F9" s="7" t="n">
        <x:v>120</x:v>
      </x:c>
      <x:c r="G9" s="7" t="n">
        <x:v>5</x:v>
      </x:c>
      <x:c r="H9" s="10" t="str">
        <x:v>optical water code</x:v>
      </x:c>
      <x:c r="I9" s="7" t="n">
        <x:v>0.995</x:v>
      </x:c>
      <x:c r="J9" s="7" t="n">
        <x:v>0.005</x:v>
      </x:c>
      <x:c r="K9" s="7" t="str"/>
      <x:c r="L9" s="7" t="str">
        <x:v>OPEN</x:v>
      </x:c>
    </x:row>
    <x:row r="10" ht="36" customHeight="1">
      <x:c r="B10" s="7" t="str">
        <x:v>RAE-WP-04</x:v>
      </x:c>
      <x:c r="C10" s="7" t="str">
        <x:v>RFP-A2</x:v>
      </x:c>
      <x:c r="D10" s="7" t="str">
        <x:v>PTC-A</x:v>
      </x:c>
      <x:c r="E10" s="7" t="str">
        <x:v>TR-B</x:v>
      </x:c>
      <x:c r="F10" s="7" t="n">
        <x:v>120</x:v>
      </x:c>
      <x:c r="G10" s="7" t="n">
        <x:v>5</x:v>
      </x:c>
      <x:c r="H10" s="10" t="str">
        <x:v>electrochemical water code</x:v>
      </x:c>
      <x:c r="I10" s="7" t="n">
        <x:v>0.995</x:v>
      </x:c>
      <x:c r="J10" s="7" t="n">
        <x:v>0.005</x:v>
      </x:c>
      <x:c r="K10" s="7" t="str"/>
      <x:c r="L10" s="7" t="str">
        <x:v>OPEN</x:v>
      </x:c>
    </x:row>
    <x:row r="11" ht="36" customHeight="1">
      <x:c r="B11" s="7" t="str">
        <x:v>RAE-WP-05</x:v>
      </x:c>
      <x:c r="C11" s="7" t="str">
        <x:v>RFP-B1</x:v>
      </x:c>
      <x:c r="D11" s="7" t="str">
        <x:v>PTC-B</x:v>
      </x:c>
      <x:c r="E11" s="7" t="str">
        <x:v>TR-A</x:v>
      </x:c>
      <x:c r="F11" s="7" t="n">
        <x:v>120</x:v>
      </x:c>
      <x:c r="G11" s="7" t="n">
        <x:v>5</x:v>
      </x:c>
      <x:c r="H11" s="10" t="str">
        <x:v>optical water code</x:v>
      </x:c>
      <x:c r="I11" s="7" t="n">
        <x:v>0.995</x:v>
      </x:c>
      <x:c r="J11" s="7" t="n">
        <x:v>0.005</x:v>
      </x:c>
      <x:c r="K11" s="7" t="str"/>
      <x:c r="L11" s="7" t="str">
        <x:v>OPEN</x:v>
      </x:c>
    </x:row>
    <x:row r="12" ht="36" customHeight="1">
      <x:c r="B12" s="7" t="str">
        <x:v>RAE-WP-06</x:v>
      </x:c>
      <x:c r="C12" s="7" t="str">
        <x:v>RFP-B1</x:v>
      </x:c>
      <x:c r="D12" s="7" t="str">
        <x:v>PTC-B</x:v>
      </x:c>
      <x:c r="E12" s="7" t="str">
        <x:v>TR-B</x:v>
      </x:c>
      <x:c r="F12" s="7" t="n">
        <x:v>120</x:v>
      </x:c>
      <x:c r="G12" s="7" t="n">
        <x:v>5</x:v>
      </x:c>
      <x:c r="H12" s="10" t="str">
        <x:v>electrochemical water code</x:v>
      </x:c>
      <x:c r="I12" s="7" t="n">
        <x:v>0.995</x:v>
      </x:c>
      <x:c r="J12" s="7" t="n">
        <x:v>0.005</x:v>
      </x:c>
      <x:c r="K12" s="7" t="str"/>
      <x:c r="L12" s="7" t="str">
        <x:v>OPEN</x:v>
      </x:c>
    </x:row>
    <x:row r="13" ht="36" customHeight="1">
      <x:c r="B13" s="7" t="str">
        <x:v>RAE-WP-07</x:v>
      </x:c>
      <x:c r="C13" s="7" t="str">
        <x:v>RFP-B2</x:v>
      </x:c>
      <x:c r="D13" s="7" t="str">
        <x:v>PTC-B</x:v>
      </x:c>
      <x:c r="E13" s="7" t="str">
        <x:v>TR-A</x:v>
      </x:c>
      <x:c r="F13" s="7" t="n">
        <x:v>120</x:v>
      </x:c>
      <x:c r="G13" s="7" t="n">
        <x:v>5</x:v>
      </x:c>
      <x:c r="H13" s="10" t="str">
        <x:v>optical water code</x:v>
      </x:c>
      <x:c r="I13" s="7" t="n">
        <x:v>0.995</x:v>
      </x:c>
      <x:c r="J13" s="7" t="n">
        <x:v>0.005</x:v>
      </x:c>
      <x:c r="K13" s="7" t="str"/>
      <x:c r="L13" s="7" t="str">
        <x:v>OPEN</x:v>
      </x:c>
    </x:row>
    <x:row r="14" ht="36" customHeight="1">
      <x:c r="B14" s="7" t="str">
        <x:v>RAE-WP-08</x:v>
      </x:c>
      <x:c r="C14" s="7" t="str">
        <x:v>RFP-B2</x:v>
      </x:c>
      <x:c r="D14" s="7" t="str">
        <x:v>PTC-B</x:v>
      </x:c>
      <x:c r="E14" s="7" t="str">
        <x:v>TR-B</x:v>
      </x:c>
      <x:c r="F14" s="7" t="n">
        <x:v>120</x:v>
      </x:c>
      <x:c r="G14" s="7" t="n">
        <x:v>5</x:v>
      </x:c>
      <x:c r="H14" s="10" t="str">
        <x:v>electrochemical water code</x:v>
      </x:c>
      <x:c r="I14" s="7" t="n">
        <x:v>0.995</x:v>
      </x:c>
      <x:c r="J14" s="7" t="n">
        <x:v>0.005</x:v>
      </x:c>
      <x:c r="K14" s="7" t="str"/>
      <x:c r="L14" s="7" t="str">
        <x:v>OPEN</x:v>
      </x:c>
    </x:row>
    <x:row r="15" ht="36" customHeight="1">
      <x:c r="B15" s="7" t="str">
        <x:v>RAE-WP-09</x:v>
      </x:c>
      <x:c r="C15" s="7" t="str">
        <x:v>RFP-C1</x:v>
      </x:c>
      <x:c r="D15" s="7" t="str">
        <x:v>PTC-C</x:v>
      </x:c>
      <x:c r="E15" s="7" t="str">
        <x:v>TR-A</x:v>
      </x:c>
      <x:c r="F15" s="7" t="n">
        <x:v>120</x:v>
      </x:c>
      <x:c r="G15" s="7" t="n">
        <x:v>5</x:v>
      </x:c>
      <x:c r="H15" s="10" t="str">
        <x:v>optical water code</x:v>
      </x:c>
      <x:c r="I15" s="7" t="n">
        <x:v>0.995</x:v>
      </x:c>
      <x:c r="J15" s="7" t="n">
        <x:v>0.005</x:v>
      </x:c>
      <x:c r="K15" s="7" t="str"/>
      <x:c r="L15" s="7" t="str">
        <x:v>OPEN</x:v>
      </x:c>
    </x:row>
    <x:row r="16" ht="36" customHeight="1">
      <x:c r="B16" s="7" t="str">
        <x:v>RAE-WP-10</x:v>
      </x:c>
      <x:c r="C16" s="7" t="str">
        <x:v>RFP-C1</x:v>
      </x:c>
      <x:c r="D16" s="7" t="str">
        <x:v>PTC-C</x:v>
      </x:c>
      <x:c r="E16" s="7" t="str">
        <x:v>TR-B</x:v>
      </x:c>
      <x:c r="F16" s="7" t="n">
        <x:v>120</x:v>
      </x:c>
      <x:c r="G16" s="7" t="n">
        <x:v>5</x:v>
      </x:c>
      <x:c r="H16" s="10" t="str">
        <x:v>electrochemical water code</x:v>
      </x:c>
      <x:c r="I16" s="7" t="n">
        <x:v>0.995</x:v>
      </x:c>
      <x:c r="J16" s="7" t="n">
        <x:v>0.005</x:v>
      </x:c>
      <x:c r="K16" s="7" t="str"/>
      <x:c r="L16" s="7" t="str">
        <x:v>OPEN</x:v>
      </x:c>
    </x:row>
    <x:row r="17" ht="36" customHeight="1">
      <x:c r="B17" s="7" t="str">
        <x:v>RAE-WP-11</x:v>
      </x:c>
      <x:c r="C17" s="7" t="str">
        <x:v>RFP-C2</x:v>
      </x:c>
      <x:c r="D17" s="7" t="str">
        <x:v>PTC-C</x:v>
      </x:c>
      <x:c r="E17" s="7" t="str">
        <x:v>TR-A</x:v>
      </x:c>
      <x:c r="F17" s="7" t="n">
        <x:v>120</x:v>
      </x:c>
      <x:c r="G17" s="7" t="n">
        <x:v>5</x:v>
      </x:c>
      <x:c r="H17" s="10" t="str">
        <x:v>optical water code</x:v>
      </x:c>
      <x:c r="I17" s="7" t="n">
        <x:v>0.995</x:v>
      </x:c>
      <x:c r="J17" s="7" t="n">
        <x:v>0.005</x:v>
      </x:c>
      <x:c r="K17" s="7" t="str"/>
      <x:c r="L17" s="7" t="str">
        <x:v>OPEN</x:v>
      </x:c>
    </x:row>
    <x:row r="18" ht="36" customHeight="1">
      <x:c r="B18" s="7" t="str">
        <x:v>RAE-WP-12</x:v>
      </x:c>
      <x:c r="C18" s="7" t="str">
        <x:v>RFP-C2</x:v>
      </x:c>
      <x:c r="D18" s="7" t="str">
        <x:v>PTC-C</x:v>
      </x:c>
      <x:c r="E18" s="7" t="str">
        <x:v>TR-B</x:v>
      </x:c>
      <x:c r="F18" s="7" t="n">
        <x:v>120</x:v>
      </x:c>
      <x:c r="G18" s="7" t="n">
        <x:v>5</x:v>
      </x:c>
      <x:c r="H18" s="10" t="str">
        <x:v>electrochemical water code</x:v>
      </x:c>
      <x:c r="I18" s="7" t="n">
        <x:v>0.995</x:v>
      </x:c>
      <x:c r="J18" s="7" t="n">
        <x:v>0.005</x:v>
      </x:c>
      <x:c r="K18" s="7" t="str"/>
      <x:c r="L18" s="7" t="str">
        <x:v>OPEN</x:v>
      </x:c>
    </x:row>
  </x:sheetData>
  <x:conditionalFormatting sqref="L7:L18">
    <x:cfRule type="containsText" dxfId="45" priority="1" operator="containsText" text="FAIL"/>
    <x:cfRule type="containsText" dxfId="46" priority="2" operator="containsText" text="INVALID"/>
    <x:cfRule type="containsText" dxfId="47" priority="3" operator="containsText" text="BLOCKED"/>
    <x:cfRule type="containsText" dxfId="48" priority="4" operator="containsText" text="OPEN"/>
    <x:cfRule type="containsText" dxfId="49" priority="5" operator="containsText" text="HELD"/>
    <x:cfRule type="containsText" dxfId="50" priority="6" operator="containsText" text="DORMANT"/>
    <x:cfRule type="containsText" dxfId="51" priority="7" operator="containsText" text="PASS"/>
    <x:cfRule type="containsText" dxfId="52" priority="8" operator="containsText" text="VALID"/>
    <x:cfRule type="containsText" dxfId="53" priority="9" operator="containsText" text="ISSU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16" hidden="0" customWidth="1"/>
    <x:col min="9" max="9" width="16" hidden="0" customWidth="1"/>
    <x:col min="10" max="10" width="21" hidden="0" customWidth="1"/>
    <x:col min="11" max="11" width="20" hidden="0" customWidth="1"/>
    <x:col min="12" max="12" width="21" hidden="0" customWidth="1"/>
    <x:col min="13" max="13" width="21" hidden="0" customWidth="1"/>
    <x:col min="14" max="14" width="14" hidden="0" customWidth="1"/>
  </x:cols>
  <x:sheetData>
    <x:row r="2">
      <x:c r="B2" s="1" t="str">
        <x:v>Six low-source containment proofs</x:v>
      </x:c>
    </x:row>
    <x:row r="3">
      <x:c r="B3" s="2" t="str">
        <x:v>The 2.5 m2 inner pan is a physical class boundary. The surrounding 25 m2 catchment remains a casualty boundary and earns no candidate credit.</x:v>
      </x:c>
    </x:row>
    <x:row r="6" ht="24" customHeight="1">
      <x:c r="B6" s="6" t="str">
        <x:v>Proof</x:v>
      </x:c>
      <x:c r="C6" s="6" t="str">
        <x:v>Rig</x:v>
      </x:c>
      <x:c r="D6" s="6" t="str">
        <x:v>Pan L m</x:v>
      </x:c>
      <x:c r="E6" s="6" t="str">
        <x:v>Pan W m</x:v>
      </x:c>
      <x:c r="F6" s="6" t="str">
        <x:v>Area m2</x:v>
      </x:c>
      <x:c r="G6" s="6" t="str">
        <x:v>Wall m</x:v>
      </x:c>
      <x:c r="H6" s="6" t="str">
        <x:v>Gross m3</x:v>
      </x:c>
      <x:c r="I6" s="6" t="str">
        <x:v>Usable m3</x:v>
      </x:c>
      <x:c r="J6" s="6" t="str">
        <x:v>100 kg volume m3</x:v>
      </x:c>
      <x:c r="K6" s="6" t="str">
        <x:v>Nominal depth m</x:v>
      </x:c>
      <x:c r="L6" s="6" t="str">
        <x:v>Usable margin m3</x:v>
      </x:c>
      <x:c r="M6" s="6" t="str">
        <x:v>Accepted UTC</x:v>
      </x:c>
      <x:c r="N6" s="6" t="str">
        <x:v>State</x:v>
      </x:c>
    </x:row>
    <x:row r="7">
      <x:c r="B7" s="7" t="str">
        <x:v>RAE-CT-01</x:v>
      </x:c>
      <x:c r="C7" s="7" t="str">
        <x:v>RFP-A1</x:v>
      </x:c>
      <x:c r="D7" s="13" t="n">
        <x:v>2</x:v>
      </x:c>
      <x:c r="E7" s="13" t="n">
        <x:v>1.25</x:v>
      </x:c>
      <x:c r="F7" s="13" t="n">
        <x:f>D7*E7</x:f>
        <x:v>2.5</x:v>
      </x:c>
      <x:c r="G7" s="13" t="n">
        <x:f>'Controls'!$D$27</x:f>
        <x:v>0.2</x:v>
      </x:c>
      <x:c r="H7" s="13" t="n">
        <x:f>F7*G7</x:f>
        <x:v>0.5</x:v>
      </x:c>
      <x:c r="I7" s="13" t="n">
        <x:f>H7*'Controls'!$D$28</x:f>
        <x:v>0.4</x:v>
      </x:c>
      <x:c r="J7" s="13" t="n">
        <x:f>'Controls'!$D$19/'Controls'!$D$13</x:f>
        <x:v>0.125</x:v>
      </x:c>
      <x:c r="K7" s="13" t="n">
        <x:f>J7/F7</x:f>
        <x:v>0.05</x:v>
      </x:c>
      <x:c r="L7" s="13" t="n">
        <x:f>I7-J7</x:f>
        <x:v>0.275</x:v>
      </x:c>
      <x:c r="M7" s="7" t="str"/>
      <x:c r="N7" s="7" t="str">
        <x:v>OPEN</x:v>
      </x:c>
    </x:row>
    <x:row r="8">
      <x:c r="B8" s="7" t="str">
        <x:v>RAE-CT-02</x:v>
      </x:c>
      <x:c r="C8" s="7" t="str">
        <x:v>RFP-A2</x:v>
      </x:c>
      <x:c r="D8" s="13" t="n">
        <x:v>2</x:v>
      </x:c>
      <x:c r="E8" s="13" t="n">
        <x:v>1.25</x:v>
      </x:c>
      <x:c r="F8" s="13" t="n">
        <x:f>D8*E8</x:f>
        <x:v>2.5</x:v>
      </x:c>
      <x:c r="G8" s="13" t="n">
        <x:f>'Controls'!$D$27</x:f>
        <x:v>0.2</x:v>
      </x:c>
      <x:c r="H8" s="13" t="n">
        <x:f>F8*G8</x:f>
        <x:v>0.5</x:v>
      </x:c>
      <x:c r="I8" s="13" t="n">
        <x:f>H8*'Controls'!$D$28</x:f>
        <x:v>0.4</x:v>
      </x:c>
      <x:c r="J8" s="13" t="n">
        <x:f>'Controls'!$D$19/'Controls'!$D$13</x:f>
        <x:v>0.125</x:v>
      </x:c>
      <x:c r="K8" s="13" t="n">
        <x:f>J8/F8</x:f>
        <x:v>0.05</x:v>
      </x:c>
      <x:c r="L8" s="13" t="n">
        <x:f>I8-J8</x:f>
        <x:v>0.275</x:v>
      </x:c>
      <x:c r="M8" s="7" t="str"/>
      <x:c r="N8" s="7" t="str">
        <x:v>OPEN</x:v>
      </x:c>
    </x:row>
    <x:row r="9">
      <x:c r="B9" s="7" t="str">
        <x:v>RAE-CT-03</x:v>
      </x:c>
      <x:c r="C9" s="7" t="str">
        <x:v>RFP-B1</x:v>
      </x:c>
      <x:c r="D9" s="13" t="n">
        <x:v>2</x:v>
      </x:c>
      <x:c r="E9" s="13" t="n">
        <x:v>1.25</x:v>
      </x:c>
      <x:c r="F9" s="13" t="n">
        <x:f>D9*E9</x:f>
        <x:v>2.5</x:v>
      </x:c>
      <x:c r="G9" s="13" t="n">
        <x:f>'Controls'!$D$27</x:f>
        <x:v>0.2</x:v>
      </x:c>
      <x:c r="H9" s="13" t="n">
        <x:f>F9*G9</x:f>
        <x:v>0.5</x:v>
      </x:c>
      <x:c r="I9" s="13" t="n">
        <x:f>H9*'Controls'!$D$28</x:f>
        <x:v>0.4</x:v>
      </x:c>
      <x:c r="J9" s="13" t="n">
        <x:f>'Controls'!$D$19/'Controls'!$D$13</x:f>
        <x:v>0.125</x:v>
      </x:c>
      <x:c r="K9" s="13" t="n">
        <x:f>J9/F9</x:f>
        <x:v>0.05</x:v>
      </x:c>
      <x:c r="L9" s="13" t="n">
        <x:f>I9-J9</x:f>
        <x:v>0.275</x:v>
      </x:c>
      <x:c r="M9" s="7" t="str"/>
      <x:c r="N9" s="7" t="str">
        <x:v>OPEN</x:v>
      </x:c>
    </x:row>
    <x:row r="10">
      <x:c r="B10" s="7" t="str">
        <x:v>RAE-CT-04</x:v>
      </x:c>
      <x:c r="C10" s="7" t="str">
        <x:v>RFP-B2</x:v>
      </x:c>
      <x:c r="D10" s="13" t="n">
        <x:v>2</x:v>
      </x:c>
      <x:c r="E10" s="13" t="n">
        <x:v>1.25</x:v>
      </x:c>
      <x:c r="F10" s="13" t="n">
        <x:f>D10*E10</x:f>
        <x:v>2.5</x:v>
      </x:c>
      <x:c r="G10" s="13" t="n">
        <x:f>'Controls'!$D$27</x:f>
        <x:v>0.2</x:v>
      </x:c>
      <x:c r="H10" s="13" t="n">
        <x:f>F10*G10</x:f>
        <x:v>0.5</x:v>
      </x:c>
      <x:c r="I10" s="13" t="n">
        <x:f>H10*'Controls'!$D$28</x:f>
        <x:v>0.4</x:v>
      </x:c>
      <x:c r="J10" s="13" t="n">
        <x:f>'Controls'!$D$19/'Controls'!$D$13</x:f>
        <x:v>0.125</x:v>
      </x:c>
      <x:c r="K10" s="13" t="n">
        <x:f>J10/F10</x:f>
        <x:v>0.05</x:v>
      </x:c>
      <x:c r="L10" s="13" t="n">
        <x:f>I10-J10</x:f>
        <x:v>0.275</x:v>
      </x:c>
      <x:c r="M10" s="7" t="str"/>
      <x:c r="N10" s="7" t="str">
        <x:v>OPEN</x:v>
      </x:c>
    </x:row>
    <x:row r="11">
      <x:c r="B11" s="7" t="str">
        <x:v>RAE-CT-05</x:v>
      </x:c>
      <x:c r="C11" s="7" t="str">
        <x:v>RFP-C1</x:v>
      </x:c>
      <x:c r="D11" s="13" t="n">
        <x:v>2</x:v>
      </x:c>
      <x:c r="E11" s="13" t="n">
        <x:v>1.25</x:v>
      </x:c>
      <x:c r="F11" s="13" t="n">
        <x:f>D11*E11</x:f>
        <x:v>2.5</x:v>
      </x:c>
      <x:c r="G11" s="13" t="n">
        <x:f>'Controls'!$D$27</x:f>
        <x:v>0.2</x:v>
      </x:c>
      <x:c r="H11" s="13" t="n">
        <x:f>F11*G11</x:f>
        <x:v>0.5</x:v>
      </x:c>
      <x:c r="I11" s="13" t="n">
        <x:f>H11*'Controls'!$D$28</x:f>
        <x:v>0.4</x:v>
      </x:c>
      <x:c r="J11" s="13" t="n">
        <x:f>'Controls'!$D$19/'Controls'!$D$13</x:f>
        <x:v>0.125</x:v>
      </x:c>
      <x:c r="K11" s="13" t="n">
        <x:f>J11/F11</x:f>
        <x:v>0.05</x:v>
      </x:c>
      <x:c r="L11" s="13" t="n">
        <x:f>I11-J11</x:f>
        <x:v>0.275</x:v>
      </x:c>
      <x:c r="M11" s="7" t="str"/>
      <x:c r="N11" s="7" t="str">
        <x:v>OPEN</x:v>
      </x:c>
    </x:row>
    <x:row r="12">
      <x:c r="B12" s="7" t="str">
        <x:v>RAE-CT-06</x:v>
      </x:c>
      <x:c r="C12" s="7" t="str">
        <x:v>RFP-C2</x:v>
      </x:c>
      <x:c r="D12" s="13" t="n">
        <x:v>2</x:v>
      </x:c>
      <x:c r="E12" s="13" t="n">
        <x:v>1.25</x:v>
      </x:c>
      <x:c r="F12" s="13" t="n">
        <x:f>D12*E12</x:f>
        <x:v>2.5</x:v>
      </x:c>
      <x:c r="G12" s="13" t="n">
        <x:f>'Controls'!$D$27</x:f>
        <x:v>0.2</x:v>
      </x:c>
      <x:c r="H12" s="13" t="n">
        <x:f>F12*G12</x:f>
        <x:v>0.5</x:v>
      </x:c>
      <x:c r="I12" s="13" t="n">
        <x:f>H12*'Controls'!$D$28</x:f>
        <x:v>0.4</x:v>
      </x:c>
      <x:c r="J12" s="13" t="n">
        <x:f>'Controls'!$D$19/'Controls'!$D$13</x:f>
        <x:v>0.125</x:v>
      </x:c>
      <x:c r="K12" s="13" t="n">
        <x:f>J12/F12</x:f>
        <x:v>0.05</x:v>
      </x:c>
      <x:c r="L12" s="13" t="n">
        <x:f>I12-J12</x:f>
        <x:v>0.275</x:v>
      </x:c>
      <x:c r="M12" s="7" t="str"/>
      <x:c r="N12" s="7" t="str">
        <x:v>OPEN</x:v>
      </x:c>
    </x:row>
  </x:sheetData>
  <x:conditionalFormatting sqref="N7:N12">
    <x:cfRule type="containsText" dxfId="54" priority="1" operator="containsText" text="FAIL"/>
    <x:cfRule type="containsText" dxfId="55" priority="2" operator="containsText" text="INVALID"/>
    <x:cfRule type="containsText" dxfId="56" priority="3" operator="containsText" text="BLOCKED"/>
    <x:cfRule type="containsText" dxfId="57" priority="4" operator="containsText" text="OPEN"/>
    <x:cfRule type="containsText" dxfId="58" priority="5" operator="containsText" text="HELD"/>
    <x:cfRule type="containsText" dxfId="59" priority="6" operator="containsText" text="DORMANT"/>
    <x:cfRule type="containsText" dxfId="60" priority="7" operator="containsText" text="PASS"/>
    <x:cfRule type="containsText" dxfId="61" priority="8" operator="containsText" text="VALID"/>
    <x:cfRule type="containsText" dxfId="62" priority="9" operator="containsText" text="ISSU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13" hidden="0" customWidth="1"/>
    <x:col min="5" max="5" width="30" hidden="0" customWidth="1"/>
    <x:col min="6" max="6" width="18" hidden="0" customWidth="1"/>
    <x:col min="7" max="7" width="21" hidden="0" customWidth="1"/>
    <x:col min="8" max="8" width="20" hidden="0" customWidth="1"/>
    <x:col min="9" max="9" width="14" hidden="0" customWidth="1"/>
    <x:col min="10" max="10" width="64" hidden="0" customWidth="1"/>
    <x:col min="11" max="11" width="21" hidden="0" customWidth="1"/>
    <x:col min="12" max="12" width="14" hidden="0" customWidth="1"/>
  </x:cols>
  <x:sheetData>
    <x:row r="2">
      <x:c r="B2" s="1" t="str">
        <x:v>Twenty-four receiver free-volume proofs</x:v>
      </x:c>
    </x:row>
    <x:row r="3">
      <x:c r="B3" s="2" t="str">
        <x:v>Nameplate volume earns no credit. Initial inventory, isolation, measurement and available volume are observed together.</x:v>
      </x:c>
    </x:row>
    <x:row r="6" ht="24" customHeight="1">
      <x:c r="B6" s="6" t="str">
        <x:v>Proof</x:v>
      </x:c>
      <x:c r="C6" s="6" t="str">
        <x:v>Rig</x:v>
      </x:c>
      <x:c r="D6" s="6" t="str">
        <x:v>Campus</x:v>
      </x:c>
      <x:c r="E6" s="6" t="str">
        <x:v>Receiver</x:v>
      </x:c>
      <x:c r="F6" s="6" t="str">
        <x:v>Capacity m3</x:v>
      </x:c>
      <x:c r="G6" s="6" t="str">
        <x:v>Initial ceiling m3</x:v>
      </x:c>
      <x:c r="H6" s="6" t="str">
        <x:v>Minimum free m3</x:v>
      </x:c>
      <x:c r="I6" s="6" t="str">
        <x:v>Medium</x:v>
      </x:c>
      <x:c r="J6" s="6" t="str">
        <x:v>Required evidence</x:v>
      </x:c>
      <x:c r="K6" s="6" t="str">
        <x:v>Accepted UTC</x:v>
      </x:c>
      <x:c r="L6" s="6" t="str">
        <x:v>State</x:v>
      </x:c>
    </x:row>
    <x:row r="7" ht="38" customHeight="1">
      <x:c r="B7" s="7" t="str">
        <x:v>RAE-RP-01</x:v>
      </x:c>
      <x:c r="C7" s="7" t="str">
        <x:v>RFP-A1</x:v>
      </x:c>
      <x:c r="D7" s="7" t="str">
        <x:v>PTC-A</x:v>
      </x:c>
      <x:c r="E7" s="7" t="str">
        <x:v>normal source sump</x:v>
      </x:c>
      <x:c r="F7" s="7" t="n">
        <x:v>15</x:v>
      </x:c>
      <x:c r="G7" s="7" t="n">
        <x:v>1.5</x:v>
      </x:c>
      <x:c r="H7" s="7" t="n">
        <x:v>13.5</x:v>
      </x:c>
      <x:c r="I7" s="7" t="str">
        <x:v>source</x:v>
      </x:c>
      <x:c r="J7" s="10" t="str">
        <x:v>measured initial inventory and independent isolation</x:v>
      </x:c>
      <x:c r="K7" s="7" t="str"/>
      <x:c r="L7" s="7" t="str">
        <x:v>OPEN</x:v>
      </x:c>
    </x:row>
    <x:row r="8" ht="38" customHeight="1">
      <x:c r="B8" s="7" t="str">
        <x:v>RAE-RP-02</x:v>
      </x:c>
      <x:c r="C8" s="7" t="str">
        <x:v>RFP-A1</x:v>
      </x:c>
      <x:c r="D8" s="7" t="str">
        <x:v>PTC-A</x:v>
      </x:c>
      <x:c r="E8" s="7" t="str">
        <x:v>casualty source receiver</x:v>
      </x:c>
      <x:c r="F8" s="7" t="n">
        <x:v>50</x:v>
      </x:c>
      <x:c r="G8" s="7" t="n">
        <x:v>5</x:v>
      </x:c>
      <x:c r="H8" s="7" t="n">
        <x:v>45</x:v>
      </x:c>
      <x:c r="I8" s="7" t="str">
        <x:v>source</x:v>
      </x:c>
      <x:c r="J8" s="10" t="str">
        <x:v>isolated public diversion; no performance credit</x:v>
      </x:c>
      <x:c r="K8" s="7" t="str"/>
      <x:c r="L8" s="7" t="str">
        <x:v>OPEN</x:v>
      </x:c>
    </x:row>
    <x:row r="9" ht="38" customHeight="1">
      <x:c r="B9" s="7" t="str">
        <x:v>RAE-RP-03</x:v>
      </x:c>
      <x:c r="C9" s="7" t="str">
        <x:v>RFP-A1</x:v>
      </x:c>
      <x:c r="D9" s="7" t="str">
        <x:v>PTC-A</x:v>
      </x:c>
      <x:c r="E9" s="7" t="str">
        <x:v>normal firewater vault</x:v>
      </x:c>
      <x:c r="F9" s="7" t="n">
        <x:v>40</x:v>
      </x:c>
      <x:c r="G9" s="7" t="n">
        <x:v>4</x:v>
      </x:c>
      <x:c r="H9" s="7" t="n">
        <x:v>36</x:v>
      </x:c>
      <x:c r="I9" s="7" t="str">
        <x:v>water</x:v>
      </x:c>
      <x:c r="J9" s="10" t="str">
        <x:v>zero planned application; state recorded</x:v>
      </x:c>
      <x:c r="K9" s="7" t="str"/>
      <x:c r="L9" s="7" t="str">
        <x:v>OPEN</x:v>
      </x:c>
    </x:row>
    <x:row r="10" ht="38" customHeight="1">
      <x:c r="B10" s="7" t="str">
        <x:v>RAE-RP-04</x:v>
      </x:c>
      <x:c r="C10" s="7" t="str">
        <x:v>RFP-A1</x:v>
      </x:c>
      <x:c r="D10" s="7" t="str">
        <x:v>PTC-A</x:v>
      </x:c>
      <x:c r="E10" s="7" t="str">
        <x:v>casualty water receiver</x:v>
      </x:c>
      <x:c r="F10" s="7" t="n">
        <x:v>120</x:v>
      </x:c>
      <x:c r="G10" s="7" t="n">
        <x:v>5</x:v>
      </x:c>
      <x:c r="H10" s="7" t="n">
        <x:v>115</x:v>
      </x:c>
      <x:c r="I10" s="7" t="str">
        <x:v>water</x:v>
      </x:c>
      <x:c r="J10" s="10" t="str">
        <x:v>110 m3 adverse provision plus 5 m3 minimum margin</x:v>
      </x:c>
      <x:c r="K10" s="7" t="str"/>
      <x:c r="L10" s="7" t="str">
        <x:v>OPEN</x:v>
      </x:c>
    </x:row>
    <x:row r="11" ht="38" customHeight="1">
      <x:c r="B11" s="7" t="str">
        <x:v>RAE-RP-05</x:v>
      </x:c>
      <x:c r="C11" s="7" t="str">
        <x:v>RFP-A2</x:v>
      </x:c>
      <x:c r="D11" s="7" t="str">
        <x:v>PTC-A</x:v>
      </x:c>
      <x:c r="E11" s="7" t="str">
        <x:v>normal source sump</x:v>
      </x:c>
      <x:c r="F11" s="7" t="n">
        <x:v>15</x:v>
      </x:c>
      <x:c r="G11" s="7" t="n">
        <x:v>1.5</x:v>
      </x:c>
      <x:c r="H11" s="7" t="n">
        <x:v>13.5</x:v>
      </x:c>
      <x:c r="I11" s="7" t="str">
        <x:v>source</x:v>
      </x:c>
      <x:c r="J11" s="10" t="str">
        <x:v>measured initial inventory and independent isolation</x:v>
      </x:c>
      <x:c r="K11" s="7" t="str"/>
      <x:c r="L11" s="7" t="str">
        <x:v>OPEN</x:v>
      </x:c>
    </x:row>
    <x:row r="12" ht="38" customHeight="1">
      <x:c r="B12" s="7" t="str">
        <x:v>RAE-RP-06</x:v>
      </x:c>
      <x:c r="C12" s="7" t="str">
        <x:v>RFP-A2</x:v>
      </x:c>
      <x:c r="D12" s="7" t="str">
        <x:v>PTC-A</x:v>
      </x:c>
      <x:c r="E12" s="7" t="str">
        <x:v>casualty source receiver</x:v>
      </x:c>
      <x:c r="F12" s="7" t="n">
        <x:v>50</x:v>
      </x:c>
      <x:c r="G12" s="7" t="n">
        <x:v>5</x:v>
      </x:c>
      <x:c r="H12" s="7" t="n">
        <x:v>45</x:v>
      </x:c>
      <x:c r="I12" s="7" t="str">
        <x:v>source</x:v>
      </x:c>
      <x:c r="J12" s="10" t="str">
        <x:v>isolated public diversion; no performance credit</x:v>
      </x:c>
      <x:c r="K12" s="7" t="str"/>
      <x:c r="L12" s="7" t="str">
        <x:v>OPEN</x:v>
      </x:c>
    </x:row>
    <x:row r="13" ht="38" customHeight="1">
      <x:c r="B13" s="7" t="str">
        <x:v>RAE-RP-07</x:v>
      </x:c>
      <x:c r="C13" s="7" t="str">
        <x:v>RFP-A2</x:v>
      </x:c>
      <x:c r="D13" s="7" t="str">
        <x:v>PTC-A</x:v>
      </x:c>
      <x:c r="E13" s="7" t="str">
        <x:v>normal firewater vault</x:v>
      </x:c>
      <x:c r="F13" s="7" t="n">
        <x:v>40</x:v>
      </x:c>
      <x:c r="G13" s="7" t="n">
        <x:v>4</x:v>
      </x:c>
      <x:c r="H13" s="7" t="n">
        <x:v>36</x:v>
      </x:c>
      <x:c r="I13" s="7" t="str">
        <x:v>water</x:v>
      </x:c>
      <x:c r="J13" s="10" t="str">
        <x:v>zero planned application; state recorded</x:v>
      </x:c>
      <x:c r="K13" s="7" t="str"/>
      <x:c r="L13" s="7" t="str">
        <x:v>OPEN</x:v>
      </x:c>
    </x:row>
    <x:row r="14" ht="38" customHeight="1">
      <x:c r="B14" s="7" t="str">
        <x:v>RAE-RP-08</x:v>
      </x:c>
      <x:c r="C14" s="7" t="str">
        <x:v>RFP-A2</x:v>
      </x:c>
      <x:c r="D14" s="7" t="str">
        <x:v>PTC-A</x:v>
      </x:c>
      <x:c r="E14" s="7" t="str">
        <x:v>casualty water receiver</x:v>
      </x:c>
      <x:c r="F14" s="7" t="n">
        <x:v>120</x:v>
      </x:c>
      <x:c r="G14" s="7" t="n">
        <x:v>5</x:v>
      </x:c>
      <x:c r="H14" s="7" t="n">
        <x:v>115</x:v>
      </x:c>
      <x:c r="I14" s="7" t="str">
        <x:v>water</x:v>
      </x:c>
      <x:c r="J14" s="10" t="str">
        <x:v>110 m3 adverse provision plus 5 m3 minimum margin</x:v>
      </x:c>
      <x:c r="K14" s="7" t="str"/>
      <x:c r="L14" s="7" t="str">
        <x:v>OPEN</x:v>
      </x:c>
    </x:row>
    <x:row r="15" ht="38" customHeight="1">
      <x:c r="B15" s="7" t="str">
        <x:v>RAE-RP-09</x:v>
      </x:c>
      <x:c r="C15" s="7" t="str">
        <x:v>RFP-B1</x:v>
      </x:c>
      <x:c r="D15" s="7" t="str">
        <x:v>PTC-B</x:v>
      </x:c>
      <x:c r="E15" s="7" t="str">
        <x:v>normal source sump</x:v>
      </x:c>
      <x:c r="F15" s="7" t="n">
        <x:v>15</x:v>
      </x:c>
      <x:c r="G15" s="7" t="n">
        <x:v>1.5</x:v>
      </x:c>
      <x:c r="H15" s="7" t="n">
        <x:v>13.5</x:v>
      </x:c>
      <x:c r="I15" s="7" t="str">
        <x:v>source</x:v>
      </x:c>
      <x:c r="J15" s="10" t="str">
        <x:v>measured initial inventory and independent isolation</x:v>
      </x:c>
      <x:c r="K15" s="7" t="str"/>
      <x:c r="L15" s="7" t="str">
        <x:v>OPEN</x:v>
      </x:c>
    </x:row>
    <x:row r="16" ht="38" customHeight="1">
      <x:c r="B16" s="7" t="str">
        <x:v>RAE-RP-10</x:v>
      </x:c>
      <x:c r="C16" s="7" t="str">
        <x:v>RFP-B1</x:v>
      </x:c>
      <x:c r="D16" s="7" t="str">
        <x:v>PTC-B</x:v>
      </x:c>
      <x:c r="E16" s="7" t="str">
        <x:v>casualty source receiver</x:v>
      </x:c>
      <x:c r="F16" s="7" t="n">
        <x:v>50</x:v>
      </x:c>
      <x:c r="G16" s="7" t="n">
        <x:v>5</x:v>
      </x:c>
      <x:c r="H16" s="7" t="n">
        <x:v>45</x:v>
      </x:c>
      <x:c r="I16" s="7" t="str">
        <x:v>source</x:v>
      </x:c>
      <x:c r="J16" s="10" t="str">
        <x:v>isolated public diversion; no performance credit</x:v>
      </x:c>
      <x:c r="K16" s="7" t="str"/>
      <x:c r="L16" s="7" t="str">
        <x:v>OPEN</x:v>
      </x:c>
    </x:row>
    <x:row r="17" ht="38" customHeight="1">
      <x:c r="B17" s="7" t="str">
        <x:v>RAE-RP-11</x:v>
      </x:c>
      <x:c r="C17" s="7" t="str">
        <x:v>RFP-B1</x:v>
      </x:c>
      <x:c r="D17" s="7" t="str">
        <x:v>PTC-B</x:v>
      </x:c>
      <x:c r="E17" s="7" t="str">
        <x:v>normal firewater vault</x:v>
      </x:c>
      <x:c r="F17" s="7" t="n">
        <x:v>40</x:v>
      </x:c>
      <x:c r="G17" s="7" t="n">
        <x:v>4</x:v>
      </x:c>
      <x:c r="H17" s="7" t="n">
        <x:v>36</x:v>
      </x:c>
      <x:c r="I17" s="7" t="str">
        <x:v>water</x:v>
      </x:c>
      <x:c r="J17" s="10" t="str">
        <x:v>zero planned application; state recorded</x:v>
      </x:c>
      <x:c r="K17" s="7" t="str"/>
      <x:c r="L17" s="7" t="str">
        <x:v>OPEN</x:v>
      </x:c>
    </x:row>
    <x:row r="18" ht="38" customHeight="1">
      <x:c r="B18" s="7" t="str">
        <x:v>RAE-RP-12</x:v>
      </x:c>
      <x:c r="C18" s="7" t="str">
        <x:v>RFP-B1</x:v>
      </x:c>
      <x:c r="D18" s="7" t="str">
        <x:v>PTC-B</x:v>
      </x:c>
      <x:c r="E18" s="7" t="str">
        <x:v>casualty water receiver</x:v>
      </x:c>
      <x:c r="F18" s="7" t="n">
        <x:v>120</x:v>
      </x:c>
      <x:c r="G18" s="7" t="n">
        <x:v>5</x:v>
      </x:c>
      <x:c r="H18" s="7" t="n">
        <x:v>115</x:v>
      </x:c>
      <x:c r="I18" s="7" t="str">
        <x:v>water</x:v>
      </x:c>
      <x:c r="J18" s="10" t="str">
        <x:v>110 m3 adverse provision plus 5 m3 minimum margin</x:v>
      </x:c>
      <x:c r="K18" s="7" t="str"/>
      <x:c r="L18" s="7" t="str">
        <x:v>OPEN</x:v>
      </x:c>
    </x:row>
    <x:row r="19" ht="38" customHeight="1">
      <x:c r="B19" s="7" t="str">
        <x:v>RAE-RP-13</x:v>
      </x:c>
      <x:c r="C19" s="7" t="str">
        <x:v>RFP-B2</x:v>
      </x:c>
      <x:c r="D19" s="7" t="str">
        <x:v>PTC-B</x:v>
      </x:c>
      <x:c r="E19" s="7" t="str">
        <x:v>normal source sump</x:v>
      </x:c>
      <x:c r="F19" s="7" t="n">
        <x:v>15</x:v>
      </x:c>
      <x:c r="G19" s="7" t="n">
        <x:v>1.5</x:v>
      </x:c>
      <x:c r="H19" s="7" t="n">
        <x:v>13.5</x:v>
      </x:c>
      <x:c r="I19" s="7" t="str">
        <x:v>source</x:v>
      </x:c>
      <x:c r="J19" s="10" t="str">
        <x:v>measured initial inventory and independent isolation</x:v>
      </x:c>
      <x:c r="K19" s="7" t="str"/>
      <x:c r="L19" s="7" t="str">
        <x:v>OPEN</x:v>
      </x:c>
    </x:row>
    <x:row r="20" ht="38" customHeight="1">
      <x:c r="B20" s="7" t="str">
        <x:v>RAE-RP-14</x:v>
      </x:c>
      <x:c r="C20" s="7" t="str">
        <x:v>RFP-B2</x:v>
      </x:c>
      <x:c r="D20" s="7" t="str">
        <x:v>PTC-B</x:v>
      </x:c>
      <x:c r="E20" s="7" t="str">
        <x:v>casualty source receiver</x:v>
      </x:c>
      <x:c r="F20" s="7" t="n">
        <x:v>50</x:v>
      </x:c>
      <x:c r="G20" s="7" t="n">
        <x:v>5</x:v>
      </x:c>
      <x:c r="H20" s="7" t="n">
        <x:v>45</x:v>
      </x:c>
      <x:c r="I20" s="7" t="str">
        <x:v>source</x:v>
      </x:c>
      <x:c r="J20" s="10" t="str">
        <x:v>isolated public diversion; no performance credit</x:v>
      </x:c>
      <x:c r="K20" s="7" t="str"/>
      <x:c r="L20" s="7" t="str">
        <x:v>OPEN</x:v>
      </x:c>
    </x:row>
    <x:row r="21" ht="38" customHeight="1">
      <x:c r="B21" s="7" t="str">
        <x:v>RAE-RP-15</x:v>
      </x:c>
      <x:c r="C21" s="7" t="str">
        <x:v>RFP-B2</x:v>
      </x:c>
      <x:c r="D21" s="7" t="str">
        <x:v>PTC-B</x:v>
      </x:c>
      <x:c r="E21" s="7" t="str">
        <x:v>normal firewater vault</x:v>
      </x:c>
      <x:c r="F21" s="7" t="n">
        <x:v>40</x:v>
      </x:c>
      <x:c r="G21" s="7" t="n">
        <x:v>4</x:v>
      </x:c>
      <x:c r="H21" s="7" t="n">
        <x:v>36</x:v>
      </x:c>
      <x:c r="I21" s="7" t="str">
        <x:v>water</x:v>
      </x:c>
      <x:c r="J21" s="10" t="str">
        <x:v>zero planned application; state recorded</x:v>
      </x:c>
      <x:c r="K21" s="7" t="str"/>
      <x:c r="L21" s="7" t="str">
        <x:v>OPEN</x:v>
      </x:c>
    </x:row>
    <x:row r="22" ht="38" customHeight="1">
      <x:c r="B22" s="7" t="str">
        <x:v>RAE-RP-16</x:v>
      </x:c>
      <x:c r="C22" s="7" t="str">
        <x:v>RFP-B2</x:v>
      </x:c>
      <x:c r="D22" s="7" t="str">
        <x:v>PTC-B</x:v>
      </x:c>
      <x:c r="E22" s="7" t="str">
        <x:v>casualty water receiver</x:v>
      </x:c>
      <x:c r="F22" s="7" t="n">
        <x:v>120</x:v>
      </x:c>
      <x:c r="G22" s="7" t="n">
        <x:v>5</x:v>
      </x:c>
      <x:c r="H22" s="7" t="n">
        <x:v>115</x:v>
      </x:c>
      <x:c r="I22" s="7" t="str">
        <x:v>water</x:v>
      </x:c>
      <x:c r="J22" s="10" t="str">
        <x:v>110 m3 adverse provision plus 5 m3 minimum margin</x:v>
      </x:c>
      <x:c r="K22" s="7" t="str"/>
      <x:c r="L22" s="7" t="str">
        <x:v>OPEN</x:v>
      </x:c>
    </x:row>
    <x:row r="23" ht="38" customHeight="1">
      <x:c r="B23" s="7" t="str">
        <x:v>RAE-RP-17</x:v>
      </x:c>
      <x:c r="C23" s="7" t="str">
        <x:v>RFP-C1</x:v>
      </x:c>
      <x:c r="D23" s="7" t="str">
        <x:v>PTC-C</x:v>
      </x:c>
      <x:c r="E23" s="7" t="str">
        <x:v>normal source sump</x:v>
      </x:c>
      <x:c r="F23" s="7" t="n">
        <x:v>15</x:v>
      </x:c>
      <x:c r="G23" s="7" t="n">
        <x:v>1.5</x:v>
      </x:c>
      <x:c r="H23" s="7" t="n">
        <x:v>13.5</x:v>
      </x:c>
      <x:c r="I23" s="7" t="str">
        <x:v>source</x:v>
      </x:c>
      <x:c r="J23" s="10" t="str">
        <x:v>measured initial inventory and independent isolation</x:v>
      </x:c>
      <x:c r="K23" s="7" t="str"/>
      <x:c r="L23" s="7" t="str">
        <x:v>OPEN</x:v>
      </x:c>
    </x:row>
    <x:row r="24" ht="38" customHeight="1">
      <x:c r="B24" s="7" t="str">
        <x:v>RAE-RP-18</x:v>
      </x:c>
      <x:c r="C24" s="7" t="str">
        <x:v>RFP-C1</x:v>
      </x:c>
      <x:c r="D24" s="7" t="str">
        <x:v>PTC-C</x:v>
      </x:c>
      <x:c r="E24" s="7" t="str">
        <x:v>casualty source receiver</x:v>
      </x:c>
      <x:c r="F24" s="7" t="n">
        <x:v>50</x:v>
      </x:c>
      <x:c r="G24" s="7" t="n">
        <x:v>5</x:v>
      </x:c>
      <x:c r="H24" s="7" t="n">
        <x:v>45</x:v>
      </x:c>
      <x:c r="I24" s="7" t="str">
        <x:v>source</x:v>
      </x:c>
      <x:c r="J24" s="10" t="str">
        <x:v>isolated public diversion; no performance credit</x:v>
      </x:c>
      <x:c r="K24" s="7" t="str"/>
      <x:c r="L24" s="7" t="str">
        <x:v>OPEN</x:v>
      </x:c>
    </x:row>
    <x:row r="25" ht="38" customHeight="1">
      <x:c r="B25" s="7" t="str">
        <x:v>RAE-RP-19</x:v>
      </x:c>
      <x:c r="C25" s="7" t="str">
        <x:v>RFP-C1</x:v>
      </x:c>
      <x:c r="D25" s="7" t="str">
        <x:v>PTC-C</x:v>
      </x:c>
      <x:c r="E25" s="7" t="str">
        <x:v>normal firewater vault</x:v>
      </x:c>
      <x:c r="F25" s="7" t="n">
        <x:v>40</x:v>
      </x:c>
      <x:c r="G25" s="7" t="n">
        <x:v>4</x:v>
      </x:c>
      <x:c r="H25" s="7" t="n">
        <x:v>36</x:v>
      </x:c>
      <x:c r="I25" s="7" t="str">
        <x:v>water</x:v>
      </x:c>
      <x:c r="J25" s="10" t="str">
        <x:v>zero planned application; state recorded</x:v>
      </x:c>
      <x:c r="K25" s="7" t="str"/>
      <x:c r="L25" s="7" t="str">
        <x:v>OPEN</x:v>
      </x:c>
    </x:row>
    <x:row r="26" ht="38" customHeight="1">
      <x:c r="B26" s="7" t="str">
        <x:v>RAE-RP-20</x:v>
      </x:c>
      <x:c r="C26" s="7" t="str">
        <x:v>RFP-C1</x:v>
      </x:c>
      <x:c r="D26" s="7" t="str">
        <x:v>PTC-C</x:v>
      </x:c>
      <x:c r="E26" s="7" t="str">
        <x:v>casualty water receiver</x:v>
      </x:c>
      <x:c r="F26" s="7" t="n">
        <x:v>120</x:v>
      </x:c>
      <x:c r="G26" s="7" t="n">
        <x:v>5</x:v>
      </x:c>
      <x:c r="H26" s="7" t="n">
        <x:v>115</x:v>
      </x:c>
      <x:c r="I26" s="7" t="str">
        <x:v>water</x:v>
      </x:c>
      <x:c r="J26" s="10" t="str">
        <x:v>110 m3 adverse provision plus 5 m3 minimum margin</x:v>
      </x:c>
      <x:c r="K26" s="7" t="str"/>
      <x:c r="L26" s="7" t="str">
        <x:v>OPEN</x:v>
      </x:c>
    </x:row>
    <x:row r="27" ht="38" customHeight="1">
      <x:c r="B27" s="7" t="str">
        <x:v>RAE-RP-21</x:v>
      </x:c>
      <x:c r="C27" s="7" t="str">
        <x:v>RFP-C2</x:v>
      </x:c>
      <x:c r="D27" s="7" t="str">
        <x:v>PTC-C</x:v>
      </x:c>
      <x:c r="E27" s="7" t="str">
        <x:v>normal source sump</x:v>
      </x:c>
      <x:c r="F27" s="7" t="n">
        <x:v>15</x:v>
      </x:c>
      <x:c r="G27" s="7" t="n">
        <x:v>1.5</x:v>
      </x:c>
      <x:c r="H27" s="7" t="n">
        <x:v>13.5</x:v>
      </x:c>
      <x:c r="I27" s="7" t="str">
        <x:v>source</x:v>
      </x:c>
      <x:c r="J27" s="10" t="str">
        <x:v>measured initial inventory and independent isolation</x:v>
      </x:c>
      <x:c r="K27" s="7" t="str"/>
      <x:c r="L27" s="7" t="str">
        <x:v>OPEN</x:v>
      </x:c>
    </x:row>
    <x:row r="28" ht="38" customHeight="1">
      <x:c r="B28" s="7" t="str">
        <x:v>RAE-RP-22</x:v>
      </x:c>
      <x:c r="C28" s="7" t="str">
        <x:v>RFP-C2</x:v>
      </x:c>
      <x:c r="D28" s="7" t="str">
        <x:v>PTC-C</x:v>
      </x:c>
      <x:c r="E28" s="7" t="str">
        <x:v>casualty source receiver</x:v>
      </x:c>
      <x:c r="F28" s="7" t="n">
        <x:v>50</x:v>
      </x:c>
      <x:c r="G28" s="7" t="n">
        <x:v>5</x:v>
      </x:c>
      <x:c r="H28" s="7" t="n">
        <x:v>45</x:v>
      </x:c>
      <x:c r="I28" s="7" t="str">
        <x:v>source</x:v>
      </x:c>
      <x:c r="J28" s="10" t="str">
        <x:v>isolated public diversion; no performance credit</x:v>
      </x:c>
      <x:c r="K28" s="7" t="str"/>
      <x:c r="L28" s="7" t="str">
        <x:v>OPEN</x:v>
      </x:c>
    </x:row>
    <x:row r="29" ht="38" customHeight="1">
      <x:c r="B29" s="7" t="str">
        <x:v>RAE-RP-23</x:v>
      </x:c>
      <x:c r="C29" s="7" t="str">
        <x:v>RFP-C2</x:v>
      </x:c>
      <x:c r="D29" s="7" t="str">
        <x:v>PTC-C</x:v>
      </x:c>
      <x:c r="E29" s="7" t="str">
        <x:v>normal firewater vault</x:v>
      </x:c>
      <x:c r="F29" s="7" t="n">
        <x:v>40</x:v>
      </x:c>
      <x:c r="G29" s="7" t="n">
        <x:v>4</x:v>
      </x:c>
      <x:c r="H29" s="7" t="n">
        <x:v>36</x:v>
      </x:c>
      <x:c r="I29" s="7" t="str">
        <x:v>water</x:v>
      </x:c>
      <x:c r="J29" s="10" t="str">
        <x:v>zero planned application; state recorded</x:v>
      </x:c>
      <x:c r="K29" s="7" t="str"/>
      <x:c r="L29" s="7" t="str">
        <x:v>OPEN</x:v>
      </x:c>
    </x:row>
    <x:row r="30" ht="38" customHeight="1">
      <x:c r="B30" s="7" t="str">
        <x:v>RAE-RP-24</x:v>
      </x:c>
      <x:c r="C30" s="7" t="str">
        <x:v>RFP-C2</x:v>
      </x:c>
      <x:c r="D30" s="7" t="str">
        <x:v>PTC-C</x:v>
      </x:c>
      <x:c r="E30" s="7" t="str">
        <x:v>casualty water receiver</x:v>
      </x:c>
      <x:c r="F30" s="7" t="n">
        <x:v>120</x:v>
      </x:c>
      <x:c r="G30" s="7" t="n">
        <x:v>5</x:v>
      </x:c>
      <x:c r="H30" s="7" t="n">
        <x:v>115</x:v>
      </x:c>
      <x:c r="I30" s="7" t="str">
        <x:v>water</x:v>
      </x:c>
      <x:c r="J30" s="10" t="str">
        <x:v>110 m3 adverse provision plus 5 m3 minimum margin</x:v>
      </x:c>
      <x:c r="K30" s="7" t="str"/>
      <x:c r="L30" s="7" t="str">
        <x:v>OPEN</x:v>
      </x:c>
    </x:row>
  </x:sheetData>
  <x:conditionalFormatting sqref="L7:L30">
    <x:cfRule type="containsText" dxfId="63" priority="1" operator="containsText" text="FAIL"/>
    <x:cfRule type="containsText" dxfId="64" priority="2" operator="containsText" text="INVALID"/>
    <x:cfRule type="containsText" dxfId="65" priority="3" operator="containsText" text="BLOCKED"/>
    <x:cfRule type="containsText" dxfId="66" priority="4" operator="containsText" text="OPEN"/>
    <x:cfRule type="containsText" dxfId="67" priority="5" operator="containsText" text="HELD"/>
    <x:cfRule type="containsText" dxfId="68" priority="6" operator="containsText" text="DORMANT"/>
    <x:cfRule type="containsText" dxfId="69" priority="7" operator="containsText" text="PASS"/>
    <x:cfRule type="containsText" dxfId="70" priority="8" operator="containsText" text="VALID"/>
    <x:cfRule type="containsText" dxfId="71" priority="9" operator="containsText" text="ISSUE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0" hidden="0" customWidth="1"/>
    <x:col min="3" max="3" width="14" hidden="0" customWidth="1"/>
    <x:col min="4" max="4" width="13" hidden="0" customWidth="1"/>
    <x:col min="5" max="5" width="14" hidden="0" customWidth="1"/>
    <x:col min="6" max="6" width="34" hidden="0" customWidth="1"/>
    <x:col min="7" max="7" width="30" hidden="0" customWidth="1"/>
    <x:col min="8" max="8" width="43" hidden="0" customWidth="1"/>
    <x:col min="9" max="9" width="14" hidden="0" customWidth="1"/>
    <x:col min="10" max="10" width="25" hidden="0" customWidth="1"/>
    <x:col min="11" max="11" width="21" hidden="0" customWidth="1"/>
    <x:col min="12" max="12" width="14" hidden="0" customWidth="1"/>
  </x:cols>
  <x:sheetData>
    <x:row r="2">
      <x:c r="B2" s="1" t="str">
        <x:v>Seventy-two rig-specific final control elements</x:v>
      </x:c>
    </x:row>
    <x:row r="3">
      <x:c r="B3" s="2" t="str">
        <x:v>Each record binds the physical final element, motive energy, direct state witness and timing proof on one rig.</x:v>
      </x:c>
    </x:row>
    <x:row r="6" ht="24" customHeight="1">
      <x:c r="B6" s="6" t="str">
        <x:v>Element record</x:v>
      </x:c>
      <x:c r="C6" s="6" t="str">
        <x:v>Rig</x:v>
      </x:c>
      <x:c r="D6" s="6" t="str">
        <x:v>Campus</x:v>
      </x:c>
      <x:c r="E6" s="6" t="str">
        <x:v>Element</x:v>
      </x:c>
      <x:c r="F6" s="6" t="str">
        <x:v>Function</x:v>
      </x:c>
      <x:c r="G6" s="6" t="str">
        <x:v>Required safe state</x:v>
      </x:c>
      <x:c r="H6" s="6" t="str">
        <x:v>Motive energy</x:v>
      </x:c>
      <x:c r="I6" s="6" t="str">
        <x:v>Target s</x:v>
      </x:c>
      <x:c r="J6" s="6" t="str">
        <x:v>As-built identity</x:v>
      </x:c>
      <x:c r="K6" s="6" t="str">
        <x:v>Accepted UTC</x:v>
      </x:c>
      <x:c r="L6" s="6" t="str">
        <x:v>State</x:v>
      </x:c>
    </x:row>
    <x:row r="7" ht="38" customHeight="1">
      <x:c r="B7" s="7" t="str">
        <x:v>RFP-A1-FCE-01</x:v>
      </x:c>
      <x:c r="C7" s="7" t="str">
        <x:v>RFP-A1</x:v>
      </x:c>
      <x:c r="D7" s="7" t="str">
        <x:v>PTC-A</x:v>
      </x:c>
      <x:c r="E7" s="7" t="str">
        <x:v>FCE-01</x:v>
      </x:c>
      <x:c r="F7" s="10" t="str">
        <x:v>source inlet isolation</x:v>
      </x:c>
      <x:c r="G7" s="10" t="str">
        <x:v>closed</x:v>
      </x:c>
      <x:c r="H7" s="10" t="str">
        <x:v>spring and stored pneumatic energy</x:v>
      </x:c>
      <x:c r="I7" s="7" t="n">
        <x:v>2</x:v>
      </x:c>
      <x:c r="J7" s="7" t="str"/>
      <x:c r="K7" s="7" t="str"/>
      <x:c r="L7" s="7" t="str">
        <x:v>OPEN</x:v>
      </x:c>
    </x:row>
    <x:row r="8" ht="38" customHeight="1">
      <x:c r="B8" s="7" t="str">
        <x:v>RFP-A1-FCE-02</x:v>
      </x:c>
      <x:c r="C8" s="7" t="str">
        <x:v>RFP-A1</x:v>
      </x:c>
      <x:c r="D8" s="7" t="str">
        <x:v>PTC-A</x:v>
      </x:c>
      <x:c r="E8" s="7" t="str">
        <x:v>FCE-02</x:v>
      </x:c>
      <x:c r="F8" s="10" t="str">
        <x:v>dispenser isolation</x:v>
      </x:c>
      <x:c r="G8" s="10" t="str">
        <x:v>closed</x:v>
      </x:c>
      <x:c r="H8" s="10" t="str">
        <x:v>spring</x:v>
      </x:c>
      <x:c r="I8" s="7" t="n">
        <x:v>2</x:v>
      </x:c>
      <x:c r="J8" s="7" t="str"/>
      <x:c r="K8" s="7" t="str"/>
      <x:c r="L8" s="7" t="str">
        <x:v>OPEN</x:v>
      </x:c>
    </x:row>
    <x:row r="9" ht="38" customHeight="1">
      <x:c r="B9" s="7" t="str">
        <x:v>RFP-A1-FCE-03</x:v>
      </x:c>
      <x:c r="C9" s="7" t="str">
        <x:v>RFP-A1</x:v>
      </x:c>
      <x:c r="D9" s="7" t="str">
        <x:v>PTC-A</x:v>
      </x:c>
      <x:c r="E9" s="7" t="str">
        <x:v>FCE-03</x:v>
      </x:c>
      <x:c r="F9" s="10" t="str">
        <x:v>gravity source diversion</x:v>
      </x:c>
      <x:c r="G9" s="10" t="str">
        <x:v>casualty receiver</x:v>
      </x:c>
      <x:c r="H9" s="10" t="str">
        <x:v>gravity</x:v>
      </x:c>
      <x:c r="I9" s="7" t="n">
        <x:v>5</x:v>
      </x:c>
      <x:c r="J9" s="7" t="str"/>
      <x:c r="K9" s="7" t="str"/>
      <x:c r="L9" s="7" t="str">
        <x:v>OPEN</x:v>
      </x:c>
    </x:row>
    <x:row r="10" ht="38" customHeight="1">
      <x:c r="B10" s="7" t="str">
        <x:v>RFP-A1-FCE-04</x:v>
      </x:c>
      <x:c r="C10" s="7" t="str">
        <x:v>RFP-A1</x:v>
      </x:c>
      <x:c r="D10" s="7" t="str">
        <x:v>PTC-A</x:v>
      </x:c>
      <x:c r="E10" s="7" t="str">
        <x:v>FCE-04</x:v>
      </x:c>
      <x:c r="F10" s="10" t="str">
        <x:v>normal receiver isolation</x:v>
      </x:c>
      <x:c r="G10" s="10" t="str">
        <x:v>closed</x:v>
      </x:c>
      <x:c r="H10" s="10" t="str">
        <x:v>spring</x:v>
      </x:c>
      <x:c r="I10" s="7" t="n">
        <x:v>3</x:v>
      </x:c>
      <x:c r="J10" s="7" t="str"/>
      <x:c r="K10" s="7" t="str"/>
      <x:c r="L10" s="7" t="str">
        <x:v>OPEN</x:v>
      </x:c>
    </x:row>
    <x:row r="11" ht="38" customHeight="1">
      <x:c r="B11" s="7" t="str">
        <x:v>RFP-A1-FCE-05</x:v>
      </x:c>
      <x:c r="C11" s="7" t="str">
        <x:v>RFP-A1</x:v>
      </x:c>
      <x:c r="D11" s="7" t="str">
        <x:v>PTC-A</x:v>
      </x:c>
      <x:c r="E11" s="7" t="str">
        <x:v>FCE-05</x:v>
      </x:c>
      <x:c r="F11" s="10" t="str">
        <x:v>casualty source diversion</x:v>
      </x:c>
      <x:c r="G11" s="10" t="str">
        <x:v>open to casualty receiver</x:v>
      </x:c>
      <x:c r="H11" s="10" t="str">
        <x:v>gravity and stored pneumatic energy</x:v>
      </x:c>
      <x:c r="I11" s="7" t="n">
        <x:v>5</x:v>
      </x:c>
      <x:c r="J11" s="7" t="str"/>
      <x:c r="K11" s="7" t="str"/>
      <x:c r="L11" s="7" t="str">
        <x:v>OPEN</x:v>
      </x:c>
    </x:row>
    <x:row r="12" ht="38" customHeight="1">
      <x:c r="B12" s="7" t="str">
        <x:v>RFP-A1-FCE-06</x:v>
      </x:c>
      <x:c r="C12" s="7" t="str">
        <x:v>RFP-A1</x:v>
      </x:c>
      <x:c r="D12" s="7" t="str">
        <x:v>PTC-A</x:v>
      </x:c>
      <x:c r="E12" s="7" t="str">
        <x:v>FCE-06</x:v>
      </x:c>
      <x:c r="F12" s="10" t="str">
        <x:v>ignition-energy removal</x:v>
      </x:c>
      <x:c r="G12" s="10" t="str">
        <x:v>de-energized</x:v>
      </x:c>
      <x:c r="H12" s="10" t="str">
        <x:v>spring-open contactor</x:v>
      </x:c>
      <x:c r="I12" s="7" t="n">
        <x:v>1</x:v>
      </x:c>
      <x:c r="J12" s="7" t="str"/>
      <x:c r="K12" s="7" t="str"/>
      <x:c r="L12" s="7" t="str">
        <x:v>OPEN</x:v>
      </x:c>
    </x:row>
    <x:row r="13" ht="38" customHeight="1">
      <x:c r="B13" s="7" t="str">
        <x:v>RFP-A1-FCE-07</x:v>
      </x:c>
      <x:c r="C13" s="7" t="str">
        <x:v>RFP-A1</x:v>
      </x:c>
      <x:c r="D13" s="7" t="str">
        <x:v>PTC-A</x:v>
      </x:c>
      <x:c r="E13" s="7" t="str">
        <x:v>FCE-07</x:v>
      </x:c>
      <x:c r="F13" s="10" t="str">
        <x:v>candidate and public-water isolation</x:v>
      </x:c>
      <x:c r="G13" s="10" t="str">
        <x:v>closed</x:v>
      </x:c>
      <x:c r="H13" s="10" t="str">
        <x:v>spring</x:v>
      </x:c>
      <x:c r="I13" s="7" t="n">
        <x:v>2</x:v>
      </x:c>
      <x:c r="J13" s="7" t="str"/>
      <x:c r="K13" s="7" t="str"/>
      <x:c r="L13" s="7" t="str">
        <x:v>OPEN</x:v>
      </x:c>
    </x:row>
    <x:row r="14" ht="38" customHeight="1">
      <x:c r="B14" s="7" t="str">
        <x:v>RFP-A1-FCE-08</x:v>
      </x:c>
      <x:c r="C14" s="7" t="str">
        <x:v>RFP-A1</x:v>
      </x:c>
      <x:c r="D14" s="7" t="str">
        <x:v>PTC-A</x:v>
      </x:c>
      <x:c r="E14" s="7" t="str">
        <x:v>FCE-08</x:v>
      </x:c>
      <x:c r="F14" s="10" t="str">
        <x:v>casualty water diversion</x:v>
      </x:c>
      <x:c r="G14" s="10" t="str">
        <x:v>open to casualty receiver</x:v>
      </x:c>
      <x:c r="H14" s="10" t="str">
        <x:v>gravity</x:v>
      </x:c>
      <x:c r="I14" s="7" t="n">
        <x:v>5</x:v>
      </x:c>
      <x:c r="J14" s="7" t="str"/>
      <x:c r="K14" s="7" t="str"/>
      <x:c r="L14" s="7" t="str">
        <x:v>OPEN</x:v>
      </x:c>
    </x:row>
    <x:row r="15" ht="38" customHeight="1">
      <x:c r="B15" s="7" t="str">
        <x:v>RFP-A1-FCE-09</x:v>
      </x:c>
      <x:c r="C15" s="7" t="str">
        <x:v>RFP-A1</x:v>
      </x:c>
      <x:c r="D15" s="7" t="str">
        <x:v>PTC-A</x:v>
      </x:c>
      <x:c r="E15" s="7" t="str">
        <x:v>FCE-09</x:v>
      </x:c>
      <x:c r="F15" s="10" t="str">
        <x:v>normal electrical isolation</x:v>
      </x:c>
      <x:c r="G15" s="10" t="str">
        <x:v>isolated</x:v>
      </x:c>
      <x:c r="H15" s="10" t="str">
        <x:v>spring-open breaker</x:v>
      </x:c>
      <x:c r="I15" s="7" t="n">
        <x:v>1</x:v>
      </x:c>
      <x:c r="J15" s="7" t="str"/>
      <x:c r="K15" s="7" t="str"/>
      <x:c r="L15" s="7" t="str">
        <x:v>OPEN</x:v>
      </x:c>
    </x:row>
    <x:row r="16" ht="38" customHeight="1">
      <x:c r="B16" s="7" t="str">
        <x:v>RFP-A1-FCE-10</x:v>
      </x:c>
      <x:c r="C16" s="7" t="str">
        <x:v>RFP-A1</x:v>
      </x:c>
      <x:c r="D16" s="7" t="str">
        <x:v>PTC-A</x:v>
      </x:c>
      <x:c r="E16" s="7" t="str">
        <x:v>FCE-10</x:v>
      </x:c>
      <x:c r="F16" s="10" t="str">
        <x:v>independent safety energy</x:v>
      </x:c>
      <x:c r="G16" s="10" t="str">
        <x:v>maintained for final action</x:v>
      </x:c>
      <x:c r="H16" s="10" t="str">
        <x:v>stored pneumatic and local battery</x:v>
      </x:c>
      <x:c r="I16" s="7" t="n">
        <x:v>30</x:v>
      </x:c>
      <x:c r="J16" s="7" t="str"/>
      <x:c r="K16" s="7" t="str"/>
      <x:c r="L16" s="7" t="str">
        <x:v>OPEN</x:v>
      </x:c>
    </x:row>
    <x:row r="17" ht="38" customHeight="1">
      <x:c r="B17" s="7" t="str">
        <x:v>RFP-A1-FCE-11</x:v>
      </x:c>
      <x:c r="C17" s="7" t="str">
        <x:v>RFP-A1</x:v>
      </x:c>
      <x:c r="D17" s="7" t="str">
        <x:v>PTC-A</x:v>
      </x:c>
      <x:c r="E17" s="7" t="str">
        <x:v>FCE-11</x:v>
      </x:c>
      <x:c r="F17" s="10" t="str">
        <x:v>environmental boundary and vent</x:v>
      </x:c>
      <x:c r="G17" s="10" t="str">
        <x:v>contained safe route</x:v>
      </x:c>
      <x:c r="H17" s="10" t="str">
        <x:v>passive geometry</x:v>
      </x:c>
      <x:c r="I17" s="7" t="n">
        <x:v>10</x:v>
      </x:c>
      <x:c r="J17" s="7" t="str"/>
      <x:c r="K17" s="7" t="str"/>
      <x:c r="L17" s="7" t="str">
        <x:v>OPEN</x:v>
      </x:c>
    </x:row>
    <x:row r="18" ht="38" customHeight="1">
      <x:c r="B18" s="7" t="str">
        <x:v>RFP-A1-FCE-12</x:v>
      </x:c>
      <x:c r="C18" s="7" t="str">
        <x:v>RFP-A1</x:v>
      </x:c>
      <x:c r="D18" s="7" t="str">
        <x:v>PTC-A</x:v>
      </x:c>
      <x:c r="E18" s="7" t="str">
        <x:v>FCE-12</x:v>
      </x:c>
      <x:c r="F18" s="10" t="str">
        <x:v>evidence safe-state latch</x:v>
      </x:c>
      <x:c r="G18" s="10" t="str">
        <x:v>latched and locally readable</x:v>
      </x:c>
      <x:c r="H18" s="10" t="str">
        <x:v>mechanical memory and isolated recorder</x:v>
      </x:c>
      <x:c r="I18" s="7" t="n">
        <x:v>1</x:v>
      </x:c>
      <x:c r="J18" s="7" t="str"/>
      <x:c r="K18" s="7" t="str"/>
      <x:c r="L18" s="7" t="str">
        <x:v>OPEN</x:v>
      </x:c>
    </x:row>
    <x:row r="19" ht="38" customHeight="1">
      <x:c r="B19" s="7" t="str">
        <x:v>RFP-A2-FCE-01</x:v>
      </x:c>
      <x:c r="C19" s="7" t="str">
        <x:v>RFP-A2</x:v>
      </x:c>
      <x:c r="D19" s="7" t="str">
        <x:v>PTC-A</x:v>
      </x:c>
      <x:c r="E19" s="7" t="str">
        <x:v>FCE-01</x:v>
      </x:c>
      <x:c r="F19" s="10" t="str">
        <x:v>source inlet isolation</x:v>
      </x:c>
      <x:c r="G19" s="10" t="str">
        <x:v>closed</x:v>
      </x:c>
      <x:c r="H19" s="10" t="str">
        <x:v>spring and stored pneumatic energy</x:v>
      </x:c>
      <x:c r="I19" s="7" t="n">
        <x:v>2</x:v>
      </x:c>
      <x:c r="J19" s="7" t="str"/>
      <x:c r="K19" s="7" t="str"/>
      <x:c r="L19" s="7" t="str">
        <x:v>OPEN</x:v>
      </x:c>
    </x:row>
    <x:row r="20" ht="38" customHeight="1">
      <x:c r="B20" s="7" t="str">
        <x:v>RFP-A2-FCE-02</x:v>
      </x:c>
      <x:c r="C20" s="7" t="str">
        <x:v>RFP-A2</x:v>
      </x:c>
      <x:c r="D20" s="7" t="str">
        <x:v>PTC-A</x:v>
      </x:c>
      <x:c r="E20" s="7" t="str">
        <x:v>FCE-02</x:v>
      </x:c>
      <x:c r="F20" s="10" t="str">
        <x:v>dispenser isolation</x:v>
      </x:c>
      <x:c r="G20" s="10" t="str">
        <x:v>closed</x:v>
      </x:c>
      <x:c r="H20" s="10" t="str">
        <x:v>spring</x:v>
      </x:c>
      <x:c r="I20" s="7" t="n">
        <x:v>2</x:v>
      </x:c>
      <x:c r="J20" s="7" t="str"/>
      <x:c r="K20" s="7" t="str"/>
      <x:c r="L20" s="7" t="str">
        <x:v>OPEN</x:v>
      </x:c>
    </x:row>
    <x:row r="21" ht="38" customHeight="1">
      <x:c r="B21" s="7" t="str">
        <x:v>RFP-A2-FCE-03</x:v>
      </x:c>
      <x:c r="C21" s="7" t="str">
        <x:v>RFP-A2</x:v>
      </x:c>
      <x:c r="D21" s="7" t="str">
        <x:v>PTC-A</x:v>
      </x:c>
      <x:c r="E21" s="7" t="str">
        <x:v>FCE-03</x:v>
      </x:c>
      <x:c r="F21" s="10" t="str">
        <x:v>gravity source diversion</x:v>
      </x:c>
      <x:c r="G21" s="10" t="str">
        <x:v>casualty receiver</x:v>
      </x:c>
      <x:c r="H21" s="10" t="str">
        <x:v>gravity</x:v>
      </x:c>
      <x:c r="I21" s="7" t="n">
        <x:v>5</x:v>
      </x:c>
      <x:c r="J21" s="7" t="str"/>
      <x:c r="K21" s="7" t="str"/>
      <x:c r="L21" s="7" t="str">
        <x:v>OPEN</x:v>
      </x:c>
    </x:row>
    <x:row r="22" ht="38" customHeight="1">
      <x:c r="B22" s="7" t="str">
        <x:v>RFP-A2-FCE-04</x:v>
      </x:c>
      <x:c r="C22" s="7" t="str">
        <x:v>RFP-A2</x:v>
      </x:c>
      <x:c r="D22" s="7" t="str">
        <x:v>PTC-A</x:v>
      </x:c>
      <x:c r="E22" s="7" t="str">
        <x:v>FCE-04</x:v>
      </x:c>
      <x:c r="F22" s="10" t="str">
        <x:v>normal receiver isolation</x:v>
      </x:c>
      <x:c r="G22" s="10" t="str">
        <x:v>closed</x:v>
      </x:c>
      <x:c r="H22" s="10" t="str">
        <x:v>spring</x:v>
      </x:c>
      <x:c r="I22" s="7" t="n">
        <x:v>3</x:v>
      </x:c>
      <x:c r="J22" s="7" t="str"/>
      <x:c r="K22" s="7" t="str"/>
      <x:c r="L22" s="7" t="str">
        <x:v>OPEN</x:v>
      </x:c>
    </x:row>
    <x:row r="23" ht="38" customHeight="1">
      <x:c r="B23" s="7" t="str">
        <x:v>RFP-A2-FCE-05</x:v>
      </x:c>
      <x:c r="C23" s="7" t="str">
        <x:v>RFP-A2</x:v>
      </x:c>
      <x:c r="D23" s="7" t="str">
        <x:v>PTC-A</x:v>
      </x:c>
      <x:c r="E23" s="7" t="str">
        <x:v>FCE-05</x:v>
      </x:c>
      <x:c r="F23" s="10" t="str">
        <x:v>casualty source diversion</x:v>
      </x:c>
      <x:c r="G23" s="10" t="str">
        <x:v>open to casualty receiver</x:v>
      </x:c>
      <x:c r="H23" s="10" t="str">
        <x:v>gravity and stored pneumatic energy</x:v>
      </x:c>
      <x:c r="I23" s="7" t="n">
        <x:v>5</x:v>
      </x:c>
      <x:c r="J23" s="7" t="str"/>
      <x:c r="K23" s="7" t="str"/>
      <x:c r="L23" s="7" t="str">
        <x:v>OPEN</x:v>
      </x:c>
    </x:row>
    <x:row r="24" ht="38" customHeight="1">
      <x:c r="B24" s="7" t="str">
        <x:v>RFP-A2-FCE-06</x:v>
      </x:c>
      <x:c r="C24" s="7" t="str">
        <x:v>RFP-A2</x:v>
      </x:c>
      <x:c r="D24" s="7" t="str">
        <x:v>PTC-A</x:v>
      </x:c>
      <x:c r="E24" s="7" t="str">
        <x:v>FCE-06</x:v>
      </x:c>
      <x:c r="F24" s="10" t="str">
        <x:v>ignition-energy removal</x:v>
      </x:c>
      <x:c r="G24" s="10" t="str">
        <x:v>de-energized</x:v>
      </x:c>
      <x:c r="H24" s="10" t="str">
        <x:v>spring-open contactor</x:v>
      </x:c>
      <x:c r="I24" s="7" t="n">
        <x:v>1</x:v>
      </x:c>
      <x:c r="J24" s="7" t="str"/>
      <x:c r="K24" s="7" t="str"/>
      <x:c r="L24" s="7" t="str">
        <x:v>OPEN</x:v>
      </x:c>
    </x:row>
    <x:row r="25" ht="38" customHeight="1">
      <x:c r="B25" s="7" t="str">
        <x:v>RFP-A2-FCE-07</x:v>
      </x:c>
      <x:c r="C25" s="7" t="str">
        <x:v>RFP-A2</x:v>
      </x:c>
      <x:c r="D25" s="7" t="str">
        <x:v>PTC-A</x:v>
      </x:c>
      <x:c r="E25" s="7" t="str">
        <x:v>FCE-07</x:v>
      </x:c>
      <x:c r="F25" s="10" t="str">
        <x:v>candidate and public-water isolation</x:v>
      </x:c>
      <x:c r="G25" s="10" t="str">
        <x:v>closed</x:v>
      </x:c>
      <x:c r="H25" s="10" t="str">
        <x:v>spring</x:v>
      </x:c>
      <x:c r="I25" s="7" t="n">
        <x:v>2</x:v>
      </x:c>
      <x:c r="J25" s="7" t="str"/>
      <x:c r="K25" s="7" t="str"/>
      <x:c r="L25" s="7" t="str">
        <x:v>OPEN</x:v>
      </x:c>
    </x:row>
    <x:row r="26" ht="38" customHeight="1">
      <x:c r="B26" s="7" t="str">
        <x:v>RFP-A2-FCE-08</x:v>
      </x:c>
      <x:c r="C26" s="7" t="str">
        <x:v>RFP-A2</x:v>
      </x:c>
      <x:c r="D26" s="7" t="str">
        <x:v>PTC-A</x:v>
      </x:c>
      <x:c r="E26" s="7" t="str">
        <x:v>FCE-08</x:v>
      </x:c>
      <x:c r="F26" s="10" t="str">
        <x:v>casualty water diversion</x:v>
      </x:c>
      <x:c r="G26" s="10" t="str">
        <x:v>open to casualty receiver</x:v>
      </x:c>
      <x:c r="H26" s="10" t="str">
        <x:v>gravity</x:v>
      </x:c>
      <x:c r="I26" s="7" t="n">
        <x:v>5</x:v>
      </x:c>
      <x:c r="J26" s="7" t="str"/>
      <x:c r="K26" s="7" t="str"/>
      <x:c r="L26" s="7" t="str">
        <x:v>OPEN</x:v>
      </x:c>
    </x:row>
    <x:row r="27" ht="38" customHeight="1">
      <x:c r="B27" s="7" t="str">
        <x:v>RFP-A2-FCE-09</x:v>
      </x:c>
      <x:c r="C27" s="7" t="str">
        <x:v>RFP-A2</x:v>
      </x:c>
      <x:c r="D27" s="7" t="str">
        <x:v>PTC-A</x:v>
      </x:c>
      <x:c r="E27" s="7" t="str">
        <x:v>FCE-09</x:v>
      </x:c>
      <x:c r="F27" s="10" t="str">
        <x:v>normal electrical isolation</x:v>
      </x:c>
      <x:c r="G27" s="10" t="str">
        <x:v>isolated</x:v>
      </x:c>
      <x:c r="H27" s="10" t="str">
        <x:v>spring-open breaker</x:v>
      </x:c>
      <x:c r="I27" s="7" t="n">
        <x:v>1</x:v>
      </x:c>
      <x:c r="J27" s="7" t="str"/>
      <x:c r="K27" s="7" t="str"/>
      <x:c r="L27" s="7" t="str">
        <x:v>OPEN</x:v>
      </x:c>
    </x:row>
    <x:row r="28" ht="38" customHeight="1">
      <x:c r="B28" s="7" t="str">
        <x:v>RFP-A2-FCE-10</x:v>
      </x:c>
      <x:c r="C28" s="7" t="str">
        <x:v>RFP-A2</x:v>
      </x:c>
      <x:c r="D28" s="7" t="str">
        <x:v>PTC-A</x:v>
      </x:c>
      <x:c r="E28" s="7" t="str">
        <x:v>FCE-10</x:v>
      </x:c>
      <x:c r="F28" s="10" t="str">
        <x:v>independent safety energy</x:v>
      </x:c>
      <x:c r="G28" s="10" t="str">
        <x:v>maintained for final action</x:v>
      </x:c>
      <x:c r="H28" s="10" t="str">
        <x:v>stored pneumatic and local battery</x:v>
      </x:c>
      <x:c r="I28" s="7" t="n">
        <x:v>30</x:v>
      </x:c>
      <x:c r="J28" s="7" t="str"/>
      <x:c r="K28" s="7" t="str"/>
      <x:c r="L28" s="7" t="str">
        <x:v>OPEN</x:v>
      </x:c>
    </x:row>
    <x:row r="29" ht="38" customHeight="1">
      <x:c r="B29" s="7" t="str">
        <x:v>RFP-A2-FCE-11</x:v>
      </x:c>
      <x:c r="C29" s="7" t="str">
        <x:v>RFP-A2</x:v>
      </x:c>
      <x:c r="D29" s="7" t="str">
        <x:v>PTC-A</x:v>
      </x:c>
      <x:c r="E29" s="7" t="str">
        <x:v>FCE-11</x:v>
      </x:c>
      <x:c r="F29" s="10" t="str">
        <x:v>environmental boundary and vent</x:v>
      </x:c>
      <x:c r="G29" s="10" t="str">
        <x:v>contained safe route</x:v>
      </x:c>
      <x:c r="H29" s="10" t="str">
        <x:v>passive geometry</x:v>
      </x:c>
      <x:c r="I29" s="7" t="n">
        <x:v>10</x:v>
      </x:c>
      <x:c r="J29" s="7" t="str"/>
      <x:c r="K29" s="7" t="str"/>
      <x:c r="L29" s="7" t="str">
        <x:v>OPEN</x:v>
      </x:c>
    </x:row>
    <x:row r="30" ht="38" customHeight="1">
      <x:c r="B30" s="7" t="str">
        <x:v>RFP-A2-FCE-12</x:v>
      </x:c>
      <x:c r="C30" s="7" t="str">
        <x:v>RFP-A2</x:v>
      </x:c>
      <x:c r="D30" s="7" t="str">
        <x:v>PTC-A</x:v>
      </x:c>
      <x:c r="E30" s="7" t="str">
        <x:v>FCE-12</x:v>
      </x:c>
      <x:c r="F30" s="10" t="str">
        <x:v>evidence safe-state latch</x:v>
      </x:c>
      <x:c r="G30" s="10" t="str">
        <x:v>latched and locally readable</x:v>
      </x:c>
      <x:c r="H30" s="10" t="str">
        <x:v>mechanical memory and isolated recorder</x:v>
      </x:c>
      <x:c r="I30" s="7" t="n">
        <x:v>1</x:v>
      </x:c>
      <x:c r="J30" s="7" t="str"/>
      <x:c r="K30" s="7" t="str"/>
      <x:c r="L30" s="7" t="str">
        <x:v>OPEN</x:v>
      </x:c>
    </x:row>
    <x:row r="31" ht="38" customHeight="1">
      <x:c r="B31" s="7" t="str">
        <x:v>RFP-B1-FCE-01</x:v>
      </x:c>
      <x:c r="C31" s="7" t="str">
        <x:v>RFP-B1</x:v>
      </x:c>
      <x:c r="D31" s="7" t="str">
        <x:v>PTC-B</x:v>
      </x:c>
      <x:c r="E31" s="7" t="str">
        <x:v>FCE-01</x:v>
      </x:c>
      <x:c r="F31" s="10" t="str">
        <x:v>source inlet isolation</x:v>
      </x:c>
      <x:c r="G31" s="10" t="str">
        <x:v>closed</x:v>
      </x:c>
      <x:c r="H31" s="10" t="str">
        <x:v>spring and stored pneumatic energy</x:v>
      </x:c>
      <x:c r="I31" s="7" t="n">
        <x:v>2</x:v>
      </x:c>
      <x:c r="J31" s="7" t="str"/>
      <x:c r="K31" s="7" t="str"/>
      <x:c r="L31" s="7" t="str">
        <x:v>OPEN</x:v>
      </x:c>
    </x:row>
    <x:row r="32" ht="38" customHeight="1">
      <x:c r="B32" s="7" t="str">
        <x:v>RFP-B1-FCE-02</x:v>
      </x:c>
      <x:c r="C32" s="7" t="str">
        <x:v>RFP-B1</x:v>
      </x:c>
      <x:c r="D32" s="7" t="str">
        <x:v>PTC-B</x:v>
      </x:c>
      <x:c r="E32" s="7" t="str">
        <x:v>FCE-02</x:v>
      </x:c>
      <x:c r="F32" s="10" t="str">
        <x:v>dispenser isolation</x:v>
      </x:c>
      <x:c r="G32" s="10" t="str">
        <x:v>closed</x:v>
      </x:c>
      <x:c r="H32" s="10" t="str">
        <x:v>spring</x:v>
      </x:c>
      <x:c r="I32" s="7" t="n">
        <x:v>2</x:v>
      </x:c>
      <x:c r="J32" s="7" t="str"/>
      <x:c r="K32" s="7" t="str"/>
      <x:c r="L32" s="7" t="str">
        <x:v>OPEN</x:v>
      </x:c>
    </x:row>
    <x:row r="33" ht="38" customHeight="1">
      <x:c r="B33" s="7" t="str">
        <x:v>RFP-B1-FCE-03</x:v>
      </x:c>
      <x:c r="C33" s="7" t="str">
        <x:v>RFP-B1</x:v>
      </x:c>
      <x:c r="D33" s="7" t="str">
        <x:v>PTC-B</x:v>
      </x:c>
      <x:c r="E33" s="7" t="str">
        <x:v>FCE-03</x:v>
      </x:c>
      <x:c r="F33" s="10" t="str">
        <x:v>gravity source diversion</x:v>
      </x:c>
      <x:c r="G33" s="10" t="str">
        <x:v>casualty receiver</x:v>
      </x:c>
      <x:c r="H33" s="10" t="str">
        <x:v>gravity</x:v>
      </x:c>
      <x:c r="I33" s="7" t="n">
        <x:v>5</x:v>
      </x:c>
      <x:c r="J33" s="7" t="str"/>
      <x:c r="K33" s="7" t="str"/>
      <x:c r="L33" s="7" t="str">
        <x:v>OPEN</x:v>
      </x:c>
    </x:row>
    <x:row r="34" ht="38" customHeight="1">
      <x:c r="B34" s="7" t="str">
        <x:v>RFP-B1-FCE-04</x:v>
      </x:c>
      <x:c r="C34" s="7" t="str">
        <x:v>RFP-B1</x:v>
      </x:c>
      <x:c r="D34" s="7" t="str">
        <x:v>PTC-B</x:v>
      </x:c>
      <x:c r="E34" s="7" t="str">
        <x:v>FCE-04</x:v>
      </x:c>
      <x:c r="F34" s="10" t="str">
        <x:v>normal receiver isolation</x:v>
      </x:c>
      <x:c r="G34" s="10" t="str">
        <x:v>closed</x:v>
      </x:c>
      <x:c r="H34" s="10" t="str">
        <x:v>spring</x:v>
      </x:c>
      <x:c r="I34" s="7" t="n">
        <x:v>3</x:v>
      </x:c>
      <x:c r="J34" s="7" t="str"/>
      <x:c r="K34" s="7" t="str"/>
      <x:c r="L34" s="7" t="str">
        <x:v>OPEN</x:v>
      </x:c>
    </x:row>
    <x:row r="35" ht="38" customHeight="1">
      <x:c r="B35" s="7" t="str">
        <x:v>RFP-B1-FCE-05</x:v>
      </x:c>
      <x:c r="C35" s="7" t="str">
        <x:v>RFP-B1</x:v>
      </x:c>
      <x:c r="D35" s="7" t="str">
        <x:v>PTC-B</x:v>
      </x:c>
      <x:c r="E35" s="7" t="str">
        <x:v>FCE-05</x:v>
      </x:c>
      <x:c r="F35" s="10" t="str">
        <x:v>casualty source diversion</x:v>
      </x:c>
      <x:c r="G35" s="10" t="str">
        <x:v>open to casualty receiver</x:v>
      </x:c>
      <x:c r="H35" s="10" t="str">
        <x:v>gravity and stored pneumatic energy</x:v>
      </x:c>
      <x:c r="I35" s="7" t="n">
        <x:v>5</x:v>
      </x:c>
      <x:c r="J35" s="7" t="str"/>
      <x:c r="K35" s="7" t="str"/>
      <x:c r="L35" s="7" t="str">
        <x:v>OPEN</x:v>
      </x:c>
    </x:row>
    <x:row r="36" ht="38" customHeight="1">
      <x:c r="B36" s="7" t="str">
        <x:v>RFP-B1-FCE-06</x:v>
      </x:c>
      <x:c r="C36" s="7" t="str">
        <x:v>RFP-B1</x:v>
      </x:c>
      <x:c r="D36" s="7" t="str">
        <x:v>PTC-B</x:v>
      </x:c>
      <x:c r="E36" s="7" t="str">
        <x:v>FCE-06</x:v>
      </x:c>
      <x:c r="F36" s="10" t="str">
        <x:v>ignition-energy removal</x:v>
      </x:c>
      <x:c r="G36" s="10" t="str">
        <x:v>de-energized</x:v>
      </x:c>
      <x:c r="H36" s="10" t="str">
        <x:v>spring-open contactor</x:v>
      </x:c>
      <x:c r="I36" s="7" t="n">
        <x:v>1</x:v>
      </x:c>
      <x:c r="J36" s="7" t="str"/>
      <x:c r="K36" s="7" t="str"/>
      <x:c r="L36" s="7" t="str">
        <x:v>OPEN</x:v>
      </x:c>
    </x:row>
    <x:row r="37" ht="38" customHeight="1">
      <x:c r="B37" s="7" t="str">
        <x:v>RFP-B1-FCE-07</x:v>
      </x:c>
      <x:c r="C37" s="7" t="str">
        <x:v>RFP-B1</x:v>
      </x:c>
      <x:c r="D37" s="7" t="str">
        <x:v>PTC-B</x:v>
      </x:c>
      <x:c r="E37" s="7" t="str">
        <x:v>FCE-07</x:v>
      </x:c>
      <x:c r="F37" s="10" t="str">
        <x:v>candidate and public-water isolation</x:v>
      </x:c>
      <x:c r="G37" s="10" t="str">
        <x:v>closed</x:v>
      </x:c>
      <x:c r="H37" s="10" t="str">
        <x:v>spring</x:v>
      </x:c>
      <x:c r="I37" s="7" t="n">
        <x:v>2</x:v>
      </x:c>
      <x:c r="J37" s="7" t="str"/>
      <x:c r="K37" s="7" t="str"/>
      <x:c r="L37" s="7" t="str">
        <x:v>OPEN</x:v>
      </x:c>
    </x:row>
    <x:row r="38" ht="38" customHeight="1">
      <x:c r="B38" s="7" t="str">
        <x:v>RFP-B1-FCE-08</x:v>
      </x:c>
      <x:c r="C38" s="7" t="str">
        <x:v>RFP-B1</x:v>
      </x:c>
      <x:c r="D38" s="7" t="str">
        <x:v>PTC-B</x:v>
      </x:c>
      <x:c r="E38" s="7" t="str">
        <x:v>FCE-08</x:v>
      </x:c>
      <x:c r="F38" s="10" t="str">
        <x:v>casualty water diversion</x:v>
      </x:c>
      <x:c r="G38" s="10" t="str">
        <x:v>open to casualty receiver</x:v>
      </x:c>
      <x:c r="H38" s="10" t="str">
        <x:v>gravity</x:v>
      </x:c>
      <x:c r="I38" s="7" t="n">
        <x:v>5</x:v>
      </x:c>
      <x:c r="J38" s="7" t="str"/>
      <x:c r="K38" s="7" t="str"/>
      <x:c r="L38" s="7" t="str">
        <x:v>OPEN</x:v>
      </x:c>
    </x:row>
    <x:row r="39" ht="38" customHeight="1">
      <x:c r="B39" s="7" t="str">
        <x:v>RFP-B1-FCE-09</x:v>
      </x:c>
      <x:c r="C39" s="7" t="str">
        <x:v>RFP-B1</x:v>
      </x:c>
      <x:c r="D39" s="7" t="str">
        <x:v>PTC-B</x:v>
      </x:c>
      <x:c r="E39" s="7" t="str">
        <x:v>FCE-09</x:v>
      </x:c>
      <x:c r="F39" s="10" t="str">
        <x:v>normal electrical isolation</x:v>
      </x:c>
      <x:c r="G39" s="10" t="str">
        <x:v>isolated</x:v>
      </x:c>
      <x:c r="H39" s="10" t="str">
        <x:v>spring-open breaker</x:v>
      </x:c>
      <x:c r="I39" s="7" t="n">
        <x:v>1</x:v>
      </x:c>
      <x:c r="J39" s="7" t="str"/>
      <x:c r="K39" s="7" t="str"/>
      <x:c r="L39" s="7" t="str">
        <x:v>OPEN</x:v>
      </x:c>
    </x:row>
    <x:row r="40" ht="38" customHeight="1">
      <x:c r="B40" s="7" t="str">
        <x:v>RFP-B1-FCE-10</x:v>
      </x:c>
      <x:c r="C40" s="7" t="str">
        <x:v>RFP-B1</x:v>
      </x:c>
      <x:c r="D40" s="7" t="str">
        <x:v>PTC-B</x:v>
      </x:c>
      <x:c r="E40" s="7" t="str">
        <x:v>FCE-10</x:v>
      </x:c>
      <x:c r="F40" s="10" t="str">
        <x:v>independent safety energy</x:v>
      </x:c>
      <x:c r="G40" s="10" t="str">
        <x:v>maintained for final action</x:v>
      </x:c>
      <x:c r="H40" s="10" t="str">
        <x:v>stored pneumatic and local battery</x:v>
      </x:c>
      <x:c r="I40" s="7" t="n">
        <x:v>30</x:v>
      </x:c>
      <x:c r="J40" s="7" t="str"/>
      <x:c r="K40" s="7" t="str"/>
      <x:c r="L40" s="7" t="str">
        <x:v>OPEN</x:v>
      </x:c>
    </x:row>
    <x:row r="41" ht="38" customHeight="1">
      <x:c r="B41" s="7" t="str">
        <x:v>RFP-B1-FCE-11</x:v>
      </x:c>
      <x:c r="C41" s="7" t="str">
        <x:v>RFP-B1</x:v>
      </x:c>
      <x:c r="D41" s="7" t="str">
        <x:v>PTC-B</x:v>
      </x:c>
      <x:c r="E41" s="7" t="str">
        <x:v>FCE-11</x:v>
      </x:c>
      <x:c r="F41" s="10" t="str">
        <x:v>environmental boundary and vent</x:v>
      </x:c>
      <x:c r="G41" s="10" t="str">
        <x:v>contained safe route</x:v>
      </x:c>
      <x:c r="H41" s="10" t="str">
        <x:v>passive geometry</x:v>
      </x:c>
      <x:c r="I41" s="7" t="n">
        <x:v>10</x:v>
      </x:c>
      <x:c r="J41" s="7" t="str"/>
      <x:c r="K41" s="7" t="str"/>
      <x:c r="L41" s="7" t="str">
        <x:v>OPEN</x:v>
      </x:c>
    </x:row>
    <x:row r="42" ht="38" customHeight="1">
      <x:c r="B42" s="7" t="str">
        <x:v>RFP-B1-FCE-12</x:v>
      </x:c>
      <x:c r="C42" s="7" t="str">
        <x:v>RFP-B1</x:v>
      </x:c>
      <x:c r="D42" s="7" t="str">
        <x:v>PTC-B</x:v>
      </x:c>
      <x:c r="E42" s="7" t="str">
        <x:v>FCE-12</x:v>
      </x:c>
      <x:c r="F42" s="10" t="str">
        <x:v>evidence safe-state latch</x:v>
      </x:c>
      <x:c r="G42" s="10" t="str">
        <x:v>latched and locally readable</x:v>
      </x:c>
      <x:c r="H42" s="10" t="str">
        <x:v>mechanical memory and isolated recorder</x:v>
      </x:c>
      <x:c r="I42" s="7" t="n">
        <x:v>1</x:v>
      </x:c>
      <x:c r="J42" s="7" t="str"/>
      <x:c r="K42" s="7" t="str"/>
      <x:c r="L42" s="7" t="str">
        <x:v>OPEN</x:v>
      </x:c>
    </x:row>
    <x:row r="43" ht="38" customHeight="1">
      <x:c r="B43" s="7" t="str">
        <x:v>RFP-B2-FCE-01</x:v>
      </x:c>
      <x:c r="C43" s="7" t="str">
        <x:v>RFP-B2</x:v>
      </x:c>
      <x:c r="D43" s="7" t="str">
        <x:v>PTC-B</x:v>
      </x:c>
      <x:c r="E43" s="7" t="str">
        <x:v>FCE-01</x:v>
      </x:c>
      <x:c r="F43" s="10" t="str">
        <x:v>source inlet isolation</x:v>
      </x:c>
      <x:c r="G43" s="10" t="str">
        <x:v>closed</x:v>
      </x:c>
      <x:c r="H43" s="10" t="str">
        <x:v>spring and stored pneumatic energy</x:v>
      </x:c>
      <x:c r="I43" s="7" t="n">
        <x:v>2</x:v>
      </x:c>
      <x:c r="J43" s="7" t="str"/>
      <x:c r="K43" s="7" t="str"/>
      <x:c r="L43" s="7" t="str">
        <x:v>OPEN</x:v>
      </x:c>
    </x:row>
    <x:row r="44" ht="38" customHeight="1">
      <x:c r="B44" s="7" t="str">
        <x:v>RFP-B2-FCE-02</x:v>
      </x:c>
      <x:c r="C44" s="7" t="str">
        <x:v>RFP-B2</x:v>
      </x:c>
      <x:c r="D44" s="7" t="str">
        <x:v>PTC-B</x:v>
      </x:c>
      <x:c r="E44" s="7" t="str">
        <x:v>FCE-02</x:v>
      </x:c>
      <x:c r="F44" s="10" t="str">
        <x:v>dispenser isolation</x:v>
      </x:c>
      <x:c r="G44" s="10" t="str">
        <x:v>closed</x:v>
      </x:c>
      <x:c r="H44" s="10" t="str">
        <x:v>spring</x:v>
      </x:c>
      <x:c r="I44" s="7" t="n">
        <x:v>2</x:v>
      </x:c>
      <x:c r="J44" s="7" t="str"/>
      <x:c r="K44" s="7" t="str"/>
      <x:c r="L44" s="7" t="str">
        <x:v>OPEN</x:v>
      </x:c>
    </x:row>
    <x:row r="45" ht="38" customHeight="1">
      <x:c r="B45" s="7" t="str">
        <x:v>RFP-B2-FCE-03</x:v>
      </x:c>
      <x:c r="C45" s="7" t="str">
        <x:v>RFP-B2</x:v>
      </x:c>
      <x:c r="D45" s="7" t="str">
        <x:v>PTC-B</x:v>
      </x:c>
      <x:c r="E45" s="7" t="str">
        <x:v>FCE-03</x:v>
      </x:c>
      <x:c r="F45" s="10" t="str">
        <x:v>gravity source diversion</x:v>
      </x:c>
      <x:c r="G45" s="10" t="str">
        <x:v>casualty receiver</x:v>
      </x:c>
      <x:c r="H45" s="10" t="str">
        <x:v>gravity</x:v>
      </x:c>
      <x:c r="I45" s="7" t="n">
        <x:v>5</x:v>
      </x:c>
      <x:c r="J45" s="7" t="str"/>
      <x:c r="K45" s="7" t="str"/>
      <x:c r="L45" s="7" t="str">
        <x:v>OPEN</x:v>
      </x:c>
    </x:row>
    <x:row r="46" ht="38" customHeight="1">
      <x:c r="B46" s="7" t="str">
        <x:v>RFP-B2-FCE-04</x:v>
      </x:c>
      <x:c r="C46" s="7" t="str">
        <x:v>RFP-B2</x:v>
      </x:c>
      <x:c r="D46" s="7" t="str">
        <x:v>PTC-B</x:v>
      </x:c>
      <x:c r="E46" s="7" t="str">
        <x:v>FCE-04</x:v>
      </x:c>
      <x:c r="F46" s="10" t="str">
        <x:v>normal receiver isolation</x:v>
      </x:c>
      <x:c r="G46" s="10" t="str">
        <x:v>closed</x:v>
      </x:c>
      <x:c r="H46" s="10" t="str">
        <x:v>spring</x:v>
      </x:c>
      <x:c r="I46" s="7" t="n">
        <x:v>3</x:v>
      </x:c>
      <x:c r="J46" s="7" t="str"/>
      <x:c r="K46" s="7" t="str"/>
      <x:c r="L46" s="7" t="str">
        <x:v>OPEN</x:v>
      </x:c>
    </x:row>
    <x:row r="47" ht="38" customHeight="1">
      <x:c r="B47" s="7" t="str">
        <x:v>RFP-B2-FCE-05</x:v>
      </x:c>
      <x:c r="C47" s="7" t="str">
        <x:v>RFP-B2</x:v>
      </x:c>
      <x:c r="D47" s="7" t="str">
        <x:v>PTC-B</x:v>
      </x:c>
      <x:c r="E47" s="7" t="str">
        <x:v>FCE-05</x:v>
      </x:c>
      <x:c r="F47" s="10" t="str">
        <x:v>casualty source diversion</x:v>
      </x:c>
      <x:c r="G47" s="10" t="str">
        <x:v>open to casualty receiver</x:v>
      </x:c>
      <x:c r="H47" s="10" t="str">
        <x:v>gravity and stored pneumatic energy</x:v>
      </x:c>
      <x:c r="I47" s="7" t="n">
        <x:v>5</x:v>
      </x:c>
      <x:c r="J47" s="7" t="str"/>
      <x:c r="K47" s="7" t="str"/>
      <x:c r="L47" s="7" t="str">
        <x:v>OPEN</x:v>
      </x:c>
    </x:row>
    <x:row r="48" ht="38" customHeight="1">
      <x:c r="B48" s="7" t="str">
        <x:v>RFP-B2-FCE-06</x:v>
      </x:c>
      <x:c r="C48" s="7" t="str">
        <x:v>RFP-B2</x:v>
      </x:c>
      <x:c r="D48" s="7" t="str">
        <x:v>PTC-B</x:v>
      </x:c>
      <x:c r="E48" s="7" t="str">
        <x:v>FCE-06</x:v>
      </x:c>
      <x:c r="F48" s="10" t="str">
        <x:v>ignition-energy removal</x:v>
      </x:c>
      <x:c r="G48" s="10" t="str">
        <x:v>de-energized</x:v>
      </x:c>
      <x:c r="H48" s="10" t="str">
        <x:v>spring-open contactor</x:v>
      </x:c>
      <x:c r="I48" s="7" t="n">
        <x:v>1</x:v>
      </x:c>
      <x:c r="J48" s="7" t="str"/>
      <x:c r="K48" s="7" t="str"/>
      <x:c r="L48" s="7" t="str">
        <x:v>OPEN</x:v>
      </x:c>
    </x:row>
    <x:row r="49" ht="38" customHeight="1">
      <x:c r="B49" s="7" t="str">
        <x:v>RFP-B2-FCE-07</x:v>
      </x:c>
      <x:c r="C49" s="7" t="str">
        <x:v>RFP-B2</x:v>
      </x:c>
      <x:c r="D49" s="7" t="str">
        <x:v>PTC-B</x:v>
      </x:c>
      <x:c r="E49" s="7" t="str">
        <x:v>FCE-07</x:v>
      </x:c>
      <x:c r="F49" s="10" t="str">
        <x:v>candidate and public-water isolation</x:v>
      </x:c>
      <x:c r="G49" s="10" t="str">
        <x:v>closed</x:v>
      </x:c>
      <x:c r="H49" s="10" t="str">
        <x:v>spring</x:v>
      </x:c>
      <x:c r="I49" s="7" t="n">
        <x:v>2</x:v>
      </x:c>
      <x:c r="J49" s="7" t="str"/>
      <x:c r="K49" s="7" t="str"/>
      <x:c r="L49" s="7" t="str">
        <x:v>OPEN</x:v>
      </x:c>
    </x:row>
    <x:row r="50" ht="38" customHeight="1">
      <x:c r="B50" s="7" t="str">
        <x:v>RFP-B2-FCE-08</x:v>
      </x:c>
      <x:c r="C50" s="7" t="str">
        <x:v>RFP-B2</x:v>
      </x:c>
      <x:c r="D50" s="7" t="str">
        <x:v>PTC-B</x:v>
      </x:c>
      <x:c r="E50" s="7" t="str">
        <x:v>FCE-08</x:v>
      </x:c>
      <x:c r="F50" s="10" t="str">
        <x:v>casualty water diversion</x:v>
      </x:c>
      <x:c r="G50" s="10" t="str">
        <x:v>open to casualty receiver</x:v>
      </x:c>
      <x:c r="H50" s="10" t="str">
        <x:v>gravity</x:v>
      </x:c>
      <x:c r="I50" s="7" t="n">
        <x:v>5</x:v>
      </x:c>
      <x:c r="J50" s="7" t="str"/>
      <x:c r="K50" s="7" t="str"/>
      <x:c r="L50" s="7" t="str">
        <x:v>OPEN</x:v>
      </x:c>
    </x:row>
    <x:row r="51" ht="38" customHeight="1">
      <x:c r="B51" s="7" t="str">
        <x:v>RFP-B2-FCE-09</x:v>
      </x:c>
      <x:c r="C51" s="7" t="str">
        <x:v>RFP-B2</x:v>
      </x:c>
      <x:c r="D51" s="7" t="str">
        <x:v>PTC-B</x:v>
      </x:c>
      <x:c r="E51" s="7" t="str">
        <x:v>FCE-09</x:v>
      </x:c>
      <x:c r="F51" s="10" t="str">
        <x:v>normal electrical isolation</x:v>
      </x:c>
      <x:c r="G51" s="10" t="str">
        <x:v>isolated</x:v>
      </x:c>
      <x:c r="H51" s="10" t="str">
        <x:v>spring-open breaker</x:v>
      </x:c>
      <x:c r="I51" s="7" t="n">
        <x:v>1</x:v>
      </x:c>
      <x:c r="J51" s="7" t="str"/>
      <x:c r="K51" s="7" t="str"/>
      <x:c r="L51" s="7" t="str">
        <x:v>OPEN</x:v>
      </x:c>
    </x:row>
    <x:row r="52" ht="38" customHeight="1">
      <x:c r="B52" s="7" t="str">
        <x:v>RFP-B2-FCE-10</x:v>
      </x:c>
      <x:c r="C52" s="7" t="str">
        <x:v>RFP-B2</x:v>
      </x:c>
      <x:c r="D52" s="7" t="str">
        <x:v>PTC-B</x:v>
      </x:c>
      <x:c r="E52" s="7" t="str">
        <x:v>FCE-10</x:v>
      </x:c>
      <x:c r="F52" s="10" t="str">
        <x:v>independent safety energy</x:v>
      </x:c>
      <x:c r="G52" s="10" t="str">
        <x:v>maintained for final action</x:v>
      </x:c>
      <x:c r="H52" s="10" t="str">
        <x:v>stored pneumatic and local battery</x:v>
      </x:c>
      <x:c r="I52" s="7" t="n">
        <x:v>30</x:v>
      </x:c>
      <x:c r="J52" s="7" t="str"/>
      <x:c r="K52" s="7" t="str"/>
      <x:c r="L52" s="7" t="str">
        <x:v>OPEN</x:v>
      </x:c>
    </x:row>
    <x:row r="53" ht="38" customHeight="1">
      <x:c r="B53" s="7" t="str">
        <x:v>RFP-B2-FCE-11</x:v>
      </x:c>
      <x:c r="C53" s="7" t="str">
        <x:v>RFP-B2</x:v>
      </x:c>
      <x:c r="D53" s="7" t="str">
        <x:v>PTC-B</x:v>
      </x:c>
      <x:c r="E53" s="7" t="str">
        <x:v>FCE-11</x:v>
      </x:c>
      <x:c r="F53" s="10" t="str">
        <x:v>environmental boundary and vent</x:v>
      </x:c>
      <x:c r="G53" s="10" t="str">
        <x:v>contained safe route</x:v>
      </x:c>
      <x:c r="H53" s="10" t="str">
        <x:v>passive geometry</x:v>
      </x:c>
      <x:c r="I53" s="7" t="n">
        <x:v>10</x:v>
      </x:c>
      <x:c r="J53" s="7" t="str"/>
      <x:c r="K53" s="7" t="str"/>
      <x:c r="L53" s="7" t="str">
        <x:v>OPEN</x:v>
      </x:c>
    </x:row>
    <x:row r="54" ht="38" customHeight="1">
      <x:c r="B54" s="7" t="str">
        <x:v>RFP-B2-FCE-12</x:v>
      </x:c>
      <x:c r="C54" s="7" t="str">
        <x:v>RFP-B2</x:v>
      </x:c>
      <x:c r="D54" s="7" t="str">
        <x:v>PTC-B</x:v>
      </x:c>
      <x:c r="E54" s="7" t="str">
        <x:v>FCE-12</x:v>
      </x:c>
      <x:c r="F54" s="10" t="str">
        <x:v>evidence safe-state latch</x:v>
      </x:c>
      <x:c r="G54" s="10" t="str">
        <x:v>latched and locally readable</x:v>
      </x:c>
      <x:c r="H54" s="10" t="str">
        <x:v>mechanical memory and isolated recorder</x:v>
      </x:c>
      <x:c r="I54" s="7" t="n">
        <x:v>1</x:v>
      </x:c>
      <x:c r="J54" s="7" t="str"/>
      <x:c r="K54" s="7" t="str"/>
      <x:c r="L54" s="7" t="str">
        <x:v>OPEN</x:v>
      </x:c>
    </x:row>
    <x:row r="55" ht="38" customHeight="1">
      <x:c r="B55" s="7" t="str">
        <x:v>RFP-C1-FCE-01</x:v>
      </x:c>
      <x:c r="C55" s="7" t="str">
        <x:v>RFP-C1</x:v>
      </x:c>
      <x:c r="D55" s="7" t="str">
        <x:v>PTC-C</x:v>
      </x:c>
      <x:c r="E55" s="7" t="str">
        <x:v>FCE-01</x:v>
      </x:c>
      <x:c r="F55" s="10" t="str">
        <x:v>source inlet isolation</x:v>
      </x:c>
      <x:c r="G55" s="10" t="str">
        <x:v>closed</x:v>
      </x:c>
      <x:c r="H55" s="10" t="str">
        <x:v>spring and stored pneumatic energy</x:v>
      </x:c>
      <x:c r="I55" s="7" t="n">
        <x:v>2</x:v>
      </x:c>
      <x:c r="J55" s="7" t="str"/>
      <x:c r="K55" s="7" t="str"/>
      <x:c r="L55" s="7" t="str">
        <x:v>OPEN</x:v>
      </x:c>
    </x:row>
    <x:row r="56" ht="38" customHeight="1">
      <x:c r="B56" s="7" t="str">
        <x:v>RFP-C1-FCE-02</x:v>
      </x:c>
      <x:c r="C56" s="7" t="str">
        <x:v>RFP-C1</x:v>
      </x:c>
      <x:c r="D56" s="7" t="str">
        <x:v>PTC-C</x:v>
      </x:c>
      <x:c r="E56" s="7" t="str">
        <x:v>FCE-02</x:v>
      </x:c>
      <x:c r="F56" s="10" t="str">
        <x:v>dispenser isolation</x:v>
      </x:c>
      <x:c r="G56" s="10" t="str">
        <x:v>closed</x:v>
      </x:c>
      <x:c r="H56" s="10" t="str">
        <x:v>spring</x:v>
      </x:c>
      <x:c r="I56" s="7" t="n">
        <x:v>2</x:v>
      </x:c>
      <x:c r="J56" s="7" t="str"/>
      <x:c r="K56" s="7" t="str"/>
      <x:c r="L56" s="7" t="str">
        <x:v>OPEN</x:v>
      </x:c>
    </x:row>
    <x:row r="57" ht="38" customHeight="1">
      <x:c r="B57" s="7" t="str">
        <x:v>RFP-C1-FCE-03</x:v>
      </x:c>
      <x:c r="C57" s="7" t="str">
        <x:v>RFP-C1</x:v>
      </x:c>
      <x:c r="D57" s="7" t="str">
        <x:v>PTC-C</x:v>
      </x:c>
      <x:c r="E57" s="7" t="str">
        <x:v>FCE-03</x:v>
      </x:c>
      <x:c r="F57" s="10" t="str">
        <x:v>gravity source diversion</x:v>
      </x:c>
      <x:c r="G57" s="10" t="str">
        <x:v>casualty receiver</x:v>
      </x:c>
      <x:c r="H57" s="10" t="str">
        <x:v>gravity</x:v>
      </x:c>
      <x:c r="I57" s="7" t="n">
        <x:v>5</x:v>
      </x:c>
      <x:c r="J57" s="7" t="str"/>
      <x:c r="K57" s="7" t="str"/>
      <x:c r="L57" s="7" t="str">
        <x:v>OPEN</x:v>
      </x:c>
    </x:row>
    <x:row r="58" ht="38" customHeight="1">
      <x:c r="B58" s="7" t="str">
        <x:v>RFP-C1-FCE-04</x:v>
      </x:c>
      <x:c r="C58" s="7" t="str">
        <x:v>RFP-C1</x:v>
      </x:c>
      <x:c r="D58" s="7" t="str">
        <x:v>PTC-C</x:v>
      </x:c>
      <x:c r="E58" s="7" t="str">
        <x:v>FCE-04</x:v>
      </x:c>
      <x:c r="F58" s="10" t="str">
        <x:v>normal receiver isolation</x:v>
      </x:c>
      <x:c r="G58" s="10" t="str">
        <x:v>closed</x:v>
      </x:c>
      <x:c r="H58" s="10" t="str">
        <x:v>spring</x:v>
      </x:c>
      <x:c r="I58" s="7" t="n">
        <x:v>3</x:v>
      </x:c>
      <x:c r="J58" s="7" t="str"/>
      <x:c r="K58" s="7" t="str"/>
      <x:c r="L58" s="7" t="str">
        <x:v>OPEN</x:v>
      </x:c>
    </x:row>
    <x:row r="59" ht="38" customHeight="1">
      <x:c r="B59" s="7" t="str">
        <x:v>RFP-C1-FCE-05</x:v>
      </x:c>
      <x:c r="C59" s="7" t="str">
        <x:v>RFP-C1</x:v>
      </x:c>
      <x:c r="D59" s="7" t="str">
        <x:v>PTC-C</x:v>
      </x:c>
      <x:c r="E59" s="7" t="str">
        <x:v>FCE-05</x:v>
      </x:c>
      <x:c r="F59" s="10" t="str">
        <x:v>casualty source diversion</x:v>
      </x:c>
      <x:c r="G59" s="10" t="str">
        <x:v>open to casualty receiver</x:v>
      </x:c>
      <x:c r="H59" s="10" t="str">
        <x:v>gravity and stored pneumatic energy</x:v>
      </x:c>
      <x:c r="I59" s="7" t="n">
        <x:v>5</x:v>
      </x:c>
      <x:c r="J59" s="7" t="str"/>
      <x:c r="K59" s="7" t="str"/>
      <x:c r="L59" s="7" t="str">
        <x:v>OPEN</x:v>
      </x:c>
    </x:row>
    <x:row r="60" ht="38" customHeight="1">
      <x:c r="B60" s="7" t="str">
        <x:v>RFP-C1-FCE-06</x:v>
      </x:c>
      <x:c r="C60" s="7" t="str">
        <x:v>RFP-C1</x:v>
      </x:c>
      <x:c r="D60" s="7" t="str">
        <x:v>PTC-C</x:v>
      </x:c>
      <x:c r="E60" s="7" t="str">
        <x:v>FCE-06</x:v>
      </x:c>
      <x:c r="F60" s="10" t="str">
        <x:v>ignition-energy removal</x:v>
      </x:c>
      <x:c r="G60" s="10" t="str">
        <x:v>de-energized</x:v>
      </x:c>
      <x:c r="H60" s="10" t="str">
        <x:v>spring-open contactor</x:v>
      </x:c>
      <x:c r="I60" s="7" t="n">
        <x:v>1</x:v>
      </x:c>
      <x:c r="J60" s="7" t="str"/>
      <x:c r="K60" s="7" t="str"/>
      <x:c r="L60" s="7" t="str">
        <x:v>OPEN</x:v>
      </x:c>
    </x:row>
    <x:row r="61" ht="38" customHeight="1">
      <x:c r="B61" s="7" t="str">
        <x:v>RFP-C1-FCE-07</x:v>
      </x:c>
      <x:c r="C61" s="7" t="str">
        <x:v>RFP-C1</x:v>
      </x:c>
      <x:c r="D61" s="7" t="str">
        <x:v>PTC-C</x:v>
      </x:c>
      <x:c r="E61" s="7" t="str">
        <x:v>FCE-07</x:v>
      </x:c>
      <x:c r="F61" s="10" t="str">
        <x:v>candidate and public-water isolation</x:v>
      </x:c>
      <x:c r="G61" s="10" t="str">
        <x:v>closed</x:v>
      </x:c>
      <x:c r="H61" s="10" t="str">
        <x:v>spring</x:v>
      </x:c>
      <x:c r="I61" s="7" t="n">
        <x:v>2</x:v>
      </x:c>
      <x:c r="J61" s="7" t="str"/>
      <x:c r="K61" s="7" t="str"/>
      <x:c r="L61" s="7" t="str">
        <x:v>OPEN</x:v>
      </x:c>
    </x:row>
    <x:row r="62" ht="38" customHeight="1">
      <x:c r="B62" s="7" t="str">
        <x:v>RFP-C1-FCE-08</x:v>
      </x:c>
      <x:c r="C62" s="7" t="str">
        <x:v>RFP-C1</x:v>
      </x:c>
      <x:c r="D62" s="7" t="str">
        <x:v>PTC-C</x:v>
      </x:c>
      <x:c r="E62" s="7" t="str">
        <x:v>FCE-08</x:v>
      </x:c>
      <x:c r="F62" s="10" t="str">
        <x:v>casualty water diversion</x:v>
      </x:c>
      <x:c r="G62" s="10" t="str">
        <x:v>open to casualty receiver</x:v>
      </x:c>
      <x:c r="H62" s="10" t="str">
        <x:v>gravity</x:v>
      </x:c>
      <x:c r="I62" s="7" t="n">
        <x:v>5</x:v>
      </x:c>
      <x:c r="J62" s="7" t="str"/>
      <x:c r="K62" s="7" t="str"/>
      <x:c r="L62" s="7" t="str">
        <x:v>OPEN</x:v>
      </x:c>
    </x:row>
    <x:row r="63" ht="38" customHeight="1">
      <x:c r="B63" s="7" t="str">
        <x:v>RFP-C1-FCE-09</x:v>
      </x:c>
      <x:c r="C63" s="7" t="str">
        <x:v>RFP-C1</x:v>
      </x:c>
      <x:c r="D63" s="7" t="str">
        <x:v>PTC-C</x:v>
      </x:c>
      <x:c r="E63" s="7" t="str">
        <x:v>FCE-09</x:v>
      </x:c>
      <x:c r="F63" s="10" t="str">
        <x:v>normal electrical isolation</x:v>
      </x:c>
      <x:c r="G63" s="10" t="str">
        <x:v>isolated</x:v>
      </x:c>
      <x:c r="H63" s="10" t="str">
        <x:v>spring-open breaker</x:v>
      </x:c>
      <x:c r="I63" s="7" t="n">
        <x:v>1</x:v>
      </x:c>
      <x:c r="J63" s="7" t="str"/>
      <x:c r="K63" s="7" t="str"/>
      <x:c r="L63" s="7" t="str">
        <x:v>OPEN</x:v>
      </x:c>
    </x:row>
    <x:row r="64" ht="38" customHeight="1">
      <x:c r="B64" s="7" t="str">
        <x:v>RFP-C1-FCE-10</x:v>
      </x:c>
      <x:c r="C64" s="7" t="str">
        <x:v>RFP-C1</x:v>
      </x:c>
      <x:c r="D64" s="7" t="str">
        <x:v>PTC-C</x:v>
      </x:c>
      <x:c r="E64" s="7" t="str">
        <x:v>FCE-10</x:v>
      </x:c>
      <x:c r="F64" s="10" t="str">
        <x:v>independent safety energy</x:v>
      </x:c>
      <x:c r="G64" s="10" t="str">
        <x:v>maintained for final action</x:v>
      </x:c>
      <x:c r="H64" s="10" t="str">
        <x:v>stored pneumatic and local battery</x:v>
      </x:c>
      <x:c r="I64" s="7" t="n">
        <x:v>30</x:v>
      </x:c>
      <x:c r="J64" s="7" t="str"/>
      <x:c r="K64" s="7" t="str"/>
      <x:c r="L64" s="7" t="str">
        <x:v>OPEN</x:v>
      </x:c>
    </x:row>
    <x:row r="65" ht="38" customHeight="1">
      <x:c r="B65" s="7" t="str">
        <x:v>RFP-C1-FCE-11</x:v>
      </x:c>
      <x:c r="C65" s="7" t="str">
        <x:v>RFP-C1</x:v>
      </x:c>
      <x:c r="D65" s="7" t="str">
        <x:v>PTC-C</x:v>
      </x:c>
      <x:c r="E65" s="7" t="str">
        <x:v>FCE-11</x:v>
      </x:c>
      <x:c r="F65" s="10" t="str">
        <x:v>environmental boundary and vent</x:v>
      </x:c>
      <x:c r="G65" s="10" t="str">
        <x:v>contained safe route</x:v>
      </x:c>
      <x:c r="H65" s="10" t="str">
        <x:v>passive geometry</x:v>
      </x:c>
      <x:c r="I65" s="7" t="n">
        <x:v>10</x:v>
      </x:c>
      <x:c r="J65" s="7" t="str"/>
      <x:c r="K65" s="7" t="str"/>
      <x:c r="L65" s="7" t="str">
        <x:v>OPEN</x:v>
      </x:c>
    </x:row>
    <x:row r="66" ht="38" customHeight="1">
      <x:c r="B66" s="7" t="str">
        <x:v>RFP-C1-FCE-12</x:v>
      </x:c>
      <x:c r="C66" s="7" t="str">
        <x:v>RFP-C1</x:v>
      </x:c>
      <x:c r="D66" s="7" t="str">
        <x:v>PTC-C</x:v>
      </x:c>
      <x:c r="E66" s="7" t="str">
        <x:v>FCE-12</x:v>
      </x:c>
      <x:c r="F66" s="10" t="str">
        <x:v>evidence safe-state latch</x:v>
      </x:c>
      <x:c r="G66" s="10" t="str">
        <x:v>latched and locally readable</x:v>
      </x:c>
      <x:c r="H66" s="10" t="str">
        <x:v>mechanical memory and isolated recorder</x:v>
      </x:c>
      <x:c r="I66" s="7" t="n">
        <x:v>1</x:v>
      </x:c>
      <x:c r="J66" s="7" t="str"/>
      <x:c r="K66" s="7" t="str"/>
      <x:c r="L66" s="7" t="str">
        <x:v>OPEN</x:v>
      </x:c>
    </x:row>
    <x:row r="67" ht="38" customHeight="1">
      <x:c r="B67" s="7" t="str">
        <x:v>RFP-C2-FCE-01</x:v>
      </x:c>
      <x:c r="C67" s="7" t="str">
        <x:v>RFP-C2</x:v>
      </x:c>
      <x:c r="D67" s="7" t="str">
        <x:v>PTC-C</x:v>
      </x:c>
      <x:c r="E67" s="7" t="str">
        <x:v>FCE-01</x:v>
      </x:c>
      <x:c r="F67" s="10" t="str">
        <x:v>source inlet isolation</x:v>
      </x:c>
      <x:c r="G67" s="10" t="str">
        <x:v>closed</x:v>
      </x:c>
      <x:c r="H67" s="10" t="str">
        <x:v>spring and stored pneumatic energy</x:v>
      </x:c>
      <x:c r="I67" s="7" t="n">
        <x:v>2</x:v>
      </x:c>
      <x:c r="J67" s="7" t="str"/>
      <x:c r="K67" s="7" t="str"/>
      <x:c r="L67" s="7" t="str">
        <x:v>OPEN</x:v>
      </x:c>
    </x:row>
    <x:row r="68" ht="38" customHeight="1">
      <x:c r="B68" s="7" t="str">
        <x:v>RFP-C2-FCE-02</x:v>
      </x:c>
      <x:c r="C68" s="7" t="str">
        <x:v>RFP-C2</x:v>
      </x:c>
      <x:c r="D68" s="7" t="str">
        <x:v>PTC-C</x:v>
      </x:c>
      <x:c r="E68" s="7" t="str">
        <x:v>FCE-02</x:v>
      </x:c>
      <x:c r="F68" s="10" t="str">
        <x:v>dispenser isolation</x:v>
      </x:c>
      <x:c r="G68" s="10" t="str">
        <x:v>closed</x:v>
      </x:c>
      <x:c r="H68" s="10" t="str">
        <x:v>spring</x:v>
      </x:c>
      <x:c r="I68" s="7" t="n">
        <x:v>2</x:v>
      </x:c>
      <x:c r="J68" s="7" t="str"/>
      <x:c r="K68" s="7" t="str"/>
      <x:c r="L68" s="7" t="str">
        <x:v>OPEN</x:v>
      </x:c>
    </x:row>
    <x:row r="69" ht="38" customHeight="1">
      <x:c r="B69" s="7" t="str">
        <x:v>RFP-C2-FCE-03</x:v>
      </x:c>
      <x:c r="C69" s="7" t="str">
        <x:v>RFP-C2</x:v>
      </x:c>
      <x:c r="D69" s="7" t="str">
        <x:v>PTC-C</x:v>
      </x:c>
      <x:c r="E69" s="7" t="str">
        <x:v>FCE-03</x:v>
      </x:c>
      <x:c r="F69" s="10" t="str">
        <x:v>gravity source diversion</x:v>
      </x:c>
      <x:c r="G69" s="10" t="str">
        <x:v>casualty receiver</x:v>
      </x:c>
      <x:c r="H69" s="10" t="str">
        <x:v>gravity</x:v>
      </x:c>
      <x:c r="I69" s="7" t="n">
        <x:v>5</x:v>
      </x:c>
      <x:c r="J69" s="7" t="str"/>
      <x:c r="K69" s="7" t="str"/>
      <x:c r="L69" s="7" t="str">
        <x:v>OPEN</x:v>
      </x:c>
    </x:row>
    <x:row r="70" ht="38" customHeight="1">
      <x:c r="B70" s="7" t="str">
        <x:v>RFP-C2-FCE-04</x:v>
      </x:c>
      <x:c r="C70" s="7" t="str">
        <x:v>RFP-C2</x:v>
      </x:c>
      <x:c r="D70" s="7" t="str">
        <x:v>PTC-C</x:v>
      </x:c>
      <x:c r="E70" s="7" t="str">
        <x:v>FCE-04</x:v>
      </x:c>
      <x:c r="F70" s="10" t="str">
        <x:v>normal receiver isolation</x:v>
      </x:c>
      <x:c r="G70" s="10" t="str">
        <x:v>closed</x:v>
      </x:c>
      <x:c r="H70" s="10" t="str">
        <x:v>spring</x:v>
      </x:c>
      <x:c r="I70" s="7" t="n">
        <x:v>3</x:v>
      </x:c>
      <x:c r="J70" s="7" t="str"/>
      <x:c r="K70" s="7" t="str"/>
      <x:c r="L70" s="7" t="str">
        <x:v>OPEN</x:v>
      </x:c>
    </x:row>
    <x:row r="71" ht="38" customHeight="1">
      <x:c r="B71" s="7" t="str">
        <x:v>RFP-C2-FCE-05</x:v>
      </x:c>
      <x:c r="C71" s="7" t="str">
        <x:v>RFP-C2</x:v>
      </x:c>
      <x:c r="D71" s="7" t="str">
        <x:v>PTC-C</x:v>
      </x:c>
      <x:c r="E71" s="7" t="str">
        <x:v>FCE-05</x:v>
      </x:c>
      <x:c r="F71" s="10" t="str">
        <x:v>casualty source diversion</x:v>
      </x:c>
      <x:c r="G71" s="10" t="str">
        <x:v>open to casualty receiver</x:v>
      </x:c>
      <x:c r="H71" s="10" t="str">
        <x:v>gravity and stored pneumatic energy</x:v>
      </x:c>
      <x:c r="I71" s="7" t="n">
        <x:v>5</x:v>
      </x:c>
      <x:c r="J71" s="7" t="str"/>
      <x:c r="K71" s="7" t="str"/>
      <x:c r="L71" s="7" t="str">
        <x:v>OPEN</x:v>
      </x:c>
    </x:row>
    <x:row r="72" ht="38" customHeight="1">
      <x:c r="B72" s="7" t="str">
        <x:v>RFP-C2-FCE-06</x:v>
      </x:c>
      <x:c r="C72" s="7" t="str">
        <x:v>RFP-C2</x:v>
      </x:c>
      <x:c r="D72" s="7" t="str">
        <x:v>PTC-C</x:v>
      </x:c>
      <x:c r="E72" s="7" t="str">
        <x:v>FCE-06</x:v>
      </x:c>
      <x:c r="F72" s="10" t="str">
        <x:v>ignition-energy removal</x:v>
      </x:c>
      <x:c r="G72" s="10" t="str">
        <x:v>de-energized</x:v>
      </x:c>
      <x:c r="H72" s="10" t="str">
        <x:v>spring-open contactor</x:v>
      </x:c>
      <x:c r="I72" s="7" t="n">
        <x:v>1</x:v>
      </x:c>
      <x:c r="J72" s="7" t="str"/>
      <x:c r="K72" s="7" t="str"/>
      <x:c r="L72" s="7" t="str">
        <x:v>OPEN</x:v>
      </x:c>
    </x:row>
    <x:row r="73" ht="38" customHeight="1">
      <x:c r="B73" s="7" t="str">
        <x:v>RFP-C2-FCE-07</x:v>
      </x:c>
      <x:c r="C73" s="7" t="str">
        <x:v>RFP-C2</x:v>
      </x:c>
      <x:c r="D73" s="7" t="str">
        <x:v>PTC-C</x:v>
      </x:c>
      <x:c r="E73" s="7" t="str">
        <x:v>FCE-07</x:v>
      </x:c>
      <x:c r="F73" s="10" t="str">
        <x:v>candidate and public-water isolation</x:v>
      </x:c>
      <x:c r="G73" s="10" t="str">
        <x:v>closed</x:v>
      </x:c>
      <x:c r="H73" s="10" t="str">
        <x:v>spring</x:v>
      </x:c>
      <x:c r="I73" s="7" t="n">
        <x:v>2</x:v>
      </x:c>
      <x:c r="J73" s="7" t="str"/>
      <x:c r="K73" s="7" t="str"/>
      <x:c r="L73" s="7" t="str">
        <x:v>OPEN</x:v>
      </x:c>
    </x:row>
    <x:row r="74" ht="38" customHeight="1">
      <x:c r="B74" s="7" t="str">
        <x:v>RFP-C2-FCE-08</x:v>
      </x:c>
      <x:c r="C74" s="7" t="str">
        <x:v>RFP-C2</x:v>
      </x:c>
      <x:c r="D74" s="7" t="str">
        <x:v>PTC-C</x:v>
      </x:c>
      <x:c r="E74" s="7" t="str">
        <x:v>FCE-08</x:v>
      </x:c>
      <x:c r="F74" s="10" t="str">
        <x:v>casualty water diversion</x:v>
      </x:c>
      <x:c r="G74" s="10" t="str">
        <x:v>open to casualty receiver</x:v>
      </x:c>
      <x:c r="H74" s="10" t="str">
        <x:v>gravity</x:v>
      </x:c>
      <x:c r="I74" s="7" t="n">
        <x:v>5</x:v>
      </x:c>
      <x:c r="J74" s="7" t="str"/>
      <x:c r="K74" s="7" t="str"/>
      <x:c r="L74" s="7" t="str">
        <x:v>OPEN</x:v>
      </x:c>
    </x:row>
    <x:row r="75" ht="38" customHeight="1">
      <x:c r="B75" s="7" t="str">
        <x:v>RFP-C2-FCE-09</x:v>
      </x:c>
      <x:c r="C75" s="7" t="str">
        <x:v>RFP-C2</x:v>
      </x:c>
      <x:c r="D75" s="7" t="str">
        <x:v>PTC-C</x:v>
      </x:c>
      <x:c r="E75" s="7" t="str">
        <x:v>FCE-09</x:v>
      </x:c>
      <x:c r="F75" s="10" t="str">
        <x:v>normal electrical isolation</x:v>
      </x:c>
      <x:c r="G75" s="10" t="str">
        <x:v>isolated</x:v>
      </x:c>
      <x:c r="H75" s="10" t="str">
        <x:v>spring-open breaker</x:v>
      </x:c>
      <x:c r="I75" s="7" t="n">
        <x:v>1</x:v>
      </x:c>
      <x:c r="J75" s="7" t="str"/>
      <x:c r="K75" s="7" t="str"/>
      <x:c r="L75" s="7" t="str">
        <x:v>OPEN</x:v>
      </x:c>
    </x:row>
    <x:row r="76" ht="38" customHeight="1">
      <x:c r="B76" s="7" t="str">
        <x:v>RFP-C2-FCE-10</x:v>
      </x:c>
      <x:c r="C76" s="7" t="str">
        <x:v>RFP-C2</x:v>
      </x:c>
      <x:c r="D76" s="7" t="str">
        <x:v>PTC-C</x:v>
      </x:c>
      <x:c r="E76" s="7" t="str">
        <x:v>FCE-10</x:v>
      </x:c>
      <x:c r="F76" s="10" t="str">
        <x:v>independent safety energy</x:v>
      </x:c>
      <x:c r="G76" s="10" t="str">
        <x:v>maintained for final action</x:v>
      </x:c>
      <x:c r="H76" s="10" t="str">
        <x:v>stored pneumatic and local battery</x:v>
      </x:c>
      <x:c r="I76" s="7" t="n">
        <x:v>30</x:v>
      </x:c>
      <x:c r="J76" s="7" t="str"/>
      <x:c r="K76" s="7" t="str"/>
      <x:c r="L76" s="7" t="str">
        <x:v>OPEN</x:v>
      </x:c>
    </x:row>
    <x:row r="77" ht="38" customHeight="1">
      <x:c r="B77" s="7" t="str">
        <x:v>RFP-C2-FCE-11</x:v>
      </x:c>
      <x:c r="C77" s="7" t="str">
        <x:v>RFP-C2</x:v>
      </x:c>
      <x:c r="D77" s="7" t="str">
        <x:v>PTC-C</x:v>
      </x:c>
      <x:c r="E77" s="7" t="str">
        <x:v>FCE-11</x:v>
      </x:c>
      <x:c r="F77" s="10" t="str">
        <x:v>environmental boundary and vent</x:v>
      </x:c>
      <x:c r="G77" s="10" t="str">
        <x:v>contained safe route</x:v>
      </x:c>
      <x:c r="H77" s="10" t="str">
        <x:v>passive geometry</x:v>
      </x:c>
      <x:c r="I77" s="7" t="n">
        <x:v>10</x:v>
      </x:c>
      <x:c r="J77" s="7" t="str"/>
      <x:c r="K77" s="7" t="str"/>
      <x:c r="L77" s="7" t="str">
        <x:v>OPEN</x:v>
      </x:c>
    </x:row>
    <x:row r="78" ht="38" customHeight="1">
      <x:c r="B78" s="7" t="str">
        <x:v>RFP-C2-FCE-12</x:v>
      </x:c>
      <x:c r="C78" s="7" t="str">
        <x:v>RFP-C2</x:v>
      </x:c>
      <x:c r="D78" s="7" t="str">
        <x:v>PTC-C</x:v>
      </x:c>
      <x:c r="E78" s="7" t="str">
        <x:v>FCE-12</x:v>
      </x:c>
      <x:c r="F78" s="10" t="str">
        <x:v>evidence safe-state latch</x:v>
      </x:c>
      <x:c r="G78" s="10" t="str">
        <x:v>latched and locally readable</x:v>
      </x:c>
      <x:c r="H78" s="10" t="str">
        <x:v>mechanical memory and isolated recorder</x:v>
      </x:c>
      <x:c r="I78" s="7" t="n">
        <x:v>1</x:v>
      </x:c>
      <x:c r="J78" s="7" t="str"/>
      <x:c r="K78" s="7" t="str"/>
      <x:c r="L78" s="7" t="str">
        <x:v>OPEN</x:v>
      </x:c>
    </x:row>
  </x:sheetData>
  <x:conditionalFormatting sqref="L7:L78">
    <x:cfRule type="containsText" dxfId="72" priority="1" operator="containsText" text="FAIL"/>
    <x:cfRule type="containsText" dxfId="73" priority="2" operator="containsText" text="INVALID"/>
    <x:cfRule type="containsText" dxfId="74" priority="3" operator="containsText" text="BLOCKED"/>
    <x:cfRule type="containsText" dxfId="75" priority="4" operator="containsText" text="OPEN"/>
    <x:cfRule type="containsText" dxfId="76" priority="5" operator="containsText" text="HELD"/>
    <x:cfRule type="containsText" dxfId="77" priority="6" operator="containsText" text="DORMANT"/>
    <x:cfRule type="containsText" dxfId="78" priority="7" operator="containsText" text="PASS"/>
    <x:cfRule type="containsText" dxfId="79" priority="8" operator="containsText" text="VALID"/>
    <x:cfRule type="containsText" dxfId="80" priority="9" operator="containsText" text="ISSUE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5" hidden="0" customWidth="1"/>
    <x:col min="3" max="3" width="22" hidden="0" customWidth="1"/>
    <x:col min="4" max="4" width="14" hidden="0" customWidth="1"/>
    <x:col min="5" max="5" width="14" hidden="0" customWidth="1"/>
    <x:col min="6" max="6" width="18" hidden="0" customWidth="1"/>
    <x:col min="7" max="7" width="68" hidden="0" customWidth="1"/>
    <x:col min="8" max="8" width="30" hidden="0" customWidth="1"/>
    <x:col min="9" max="9" width="14" hidden="0" customWidth="1"/>
    <x:col min="10" max="10" width="26" hidden="0" customWidth="1"/>
    <x:col min="11" max="11" width="21" hidden="0" customWidth="1"/>
    <x:col min="12" max="12" width="14" hidden="0" customWidth="1"/>
  </x:cols>
  <x:sheetData>
    <x:row r="2">
      <x:c r="B2" s="1" t="str">
        <x:v>Two hundred sixteen safeing paths</x:v>
      </x:c>
    </x:row>
    <x:row r="3">
      <x:c r="B3" s="2" t="str">
        <x:v>Every final element receives primary, diverse and manual or passive paths. This is a physical allocation, not proof that a path works.</x:v>
      </x:c>
    </x:row>
    <x:row r="6" ht="24" customHeight="1">
      <x:c r="B6" s="6" t="str">
        <x:v>Path</x:v>
      </x:c>
      <x:c r="C6" s="6" t="str">
        <x:v>Element record</x:v>
      </x:c>
      <x:c r="D6" s="6" t="str">
        <x:v>Rig</x:v>
      </x:c>
      <x:c r="E6" s="6" t="str">
        <x:v>Element</x:v>
      </x:c>
      <x:c r="F6" s="6" t="str">
        <x:v>Path class</x:v>
      </x:c>
      <x:c r="G6" s="6" t="str">
        <x:v>Independence principle</x:v>
      </x:c>
      <x:c r="H6" s="6" t="str">
        <x:v>Required safe state</x:v>
      </x:c>
      <x:c r="I6" s="6" t="str">
        <x:v>Target s</x:v>
      </x:c>
      <x:c r="J6" s="6" t="str">
        <x:v>As-built identity</x:v>
      </x:c>
      <x:c r="K6" s="6" t="str">
        <x:v>Accepted UTC</x:v>
      </x:c>
      <x:c r="L6" s="6" t="str">
        <x:v>State</x:v>
      </x:c>
    </x:row>
    <x:row r="7" ht="40" customHeight="1">
      <x:c r="B7" s="7" t="str">
        <x:v>RFP-A1-FCE-01-P</x:v>
      </x:c>
      <x:c r="C7" s="7" t="str">
        <x:v>RFP-A1-FCE-01</x:v>
      </x:c>
      <x:c r="D7" s="7" t="str">
        <x:v>RFP-A1</x:v>
      </x:c>
      <x:c r="E7" s="7" t="str">
        <x:v>FCE-01</x:v>
      </x:c>
      <x:c r="F7" s="7" t="str">
        <x:v>primary</x:v>
      </x:c>
      <x:c r="G7" s="10" t="str">
        <x:v>registered command, independent energy and direct final-state sensor</x:v>
      </x:c>
      <x:c r="H7" s="10" t="str">
        <x:v>closed</x:v>
      </x:c>
      <x:c r="I7" s="7" t="n">
        <x:v>2</x:v>
      </x:c>
      <x:c r="J7" s="7" t="str"/>
      <x:c r="K7" s="7" t="str"/>
      <x:c r="L7" s="7" t="str">
        <x:v>OPEN</x:v>
      </x:c>
    </x:row>
    <x:row r="8" ht="40" customHeight="1">
      <x:c r="B8" s="7" t="str">
        <x:v>RFP-A1-FCE-01-D</x:v>
      </x:c>
      <x:c r="C8" s="7" t="str">
        <x:v>RFP-A1-FCE-01</x:v>
      </x:c>
      <x:c r="D8" s="7" t="str">
        <x:v>RFP-A1</x:v>
      </x:c>
      <x:c r="E8" s="7" t="str">
        <x:v>FCE-01</x:v>
      </x:c>
      <x:c r="F8" s="7" t="str">
        <x:v>diverse</x:v>
      </x:c>
      <x:c r="G8" s="10" t="str">
        <x:v>unlike local trip, separate energy and unlike state indication</x:v>
      </x:c>
      <x:c r="H8" s="10" t="str">
        <x:v>closed</x:v>
      </x:c>
      <x:c r="I8" s="7" t="n">
        <x:v>2</x:v>
      </x:c>
      <x:c r="J8" s="7" t="str"/>
      <x:c r="K8" s="7" t="str"/>
      <x:c r="L8" s="7" t="str">
        <x:v>OPEN</x:v>
      </x:c>
    </x:row>
    <x:row r="9" ht="40" customHeight="1">
      <x:c r="B9" s="7" t="str">
        <x:v>RFP-A1-FCE-01-M</x:v>
      </x:c>
      <x:c r="C9" s="7" t="str">
        <x:v>RFP-A1-FCE-01</x:v>
      </x:c>
      <x:c r="D9" s="7" t="str">
        <x:v>RFP-A1</x:v>
      </x:c>
      <x:c r="E9" s="7" t="str">
        <x:v>FCE-01</x:v>
      </x:c>
      <x:c r="F9" s="7" t="str">
        <x:v>manual/passive</x:v>
      </x:c>
      <x:c r="G9" s="10" t="str">
        <x:v>field action or passive state without network dependence</x:v>
      </x:c>
      <x:c r="H9" s="10" t="str">
        <x:v>closed</x:v>
      </x:c>
      <x:c r="I9" s="7" t="n">
        <x:v>2</x:v>
      </x:c>
      <x:c r="J9" s="7" t="str"/>
      <x:c r="K9" s="7" t="str"/>
      <x:c r="L9" s="7" t="str">
        <x:v>OPEN</x:v>
      </x:c>
    </x:row>
    <x:row r="10" ht="40" customHeight="1">
      <x:c r="B10" s="7" t="str">
        <x:v>RFP-A1-FCE-02-P</x:v>
      </x:c>
      <x:c r="C10" s="7" t="str">
        <x:v>RFP-A1-FCE-02</x:v>
      </x:c>
      <x:c r="D10" s="7" t="str">
        <x:v>RFP-A1</x:v>
      </x:c>
      <x:c r="E10" s="7" t="str">
        <x:v>FCE-02</x:v>
      </x:c>
      <x:c r="F10" s="7" t="str">
        <x:v>primary</x:v>
      </x:c>
      <x:c r="G10" s="10" t="str">
        <x:v>registered command, independent energy and direct final-state sensor</x:v>
      </x:c>
      <x:c r="H10" s="10" t="str">
        <x:v>closed</x:v>
      </x:c>
      <x:c r="I10" s="7" t="n">
        <x:v>2</x:v>
      </x:c>
      <x:c r="J10" s="7" t="str"/>
      <x:c r="K10" s="7" t="str"/>
      <x:c r="L10" s="7" t="str">
        <x:v>OPEN</x:v>
      </x:c>
    </x:row>
    <x:row r="11" ht="40" customHeight="1">
      <x:c r="B11" s="7" t="str">
        <x:v>RFP-A1-FCE-02-D</x:v>
      </x:c>
      <x:c r="C11" s="7" t="str">
        <x:v>RFP-A1-FCE-02</x:v>
      </x:c>
      <x:c r="D11" s="7" t="str">
        <x:v>RFP-A1</x:v>
      </x:c>
      <x:c r="E11" s="7" t="str">
        <x:v>FCE-02</x:v>
      </x:c>
      <x:c r="F11" s="7" t="str">
        <x:v>diverse</x:v>
      </x:c>
      <x:c r="G11" s="10" t="str">
        <x:v>unlike local trip, separate energy and unlike state indication</x:v>
      </x:c>
      <x:c r="H11" s="10" t="str">
        <x:v>closed</x:v>
      </x:c>
      <x:c r="I11" s="7" t="n">
        <x:v>2</x:v>
      </x:c>
      <x:c r="J11" s="7" t="str"/>
      <x:c r="K11" s="7" t="str"/>
      <x:c r="L11" s="7" t="str">
        <x:v>OPEN</x:v>
      </x:c>
    </x:row>
    <x:row r="12" ht="40" customHeight="1">
      <x:c r="B12" s="7" t="str">
        <x:v>RFP-A1-FCE-02-M</x:v>
      </x:c>
      <x:c r="C12" s="7" t="str">
        <x:v>RFP-A1-FCE-02</x:v>
      </x:c>
      <x:c r="D12" s="7" t="str">
        <x:v>RFP-A1</x:v>
      </x:c>
      <x:c r="E12" s="7" t="str">
        <x:v>FCE-02</x:v>
      </x:c>
      <x:c r="F12" s="7" t="str">
        <x:v>manual/passive</x:v>
      </x:c>
      <x:c r="G12" s="10" t="str">
        <x:v>field action or passive state without network dependence</x:v>
      </x:c>
      <x:c r="H12" s="10" t="str">
        <x:v>closed</x:v>
      </x:c>
      <x:c r="I12" s="7" t="n">
        <x:v>2</x:v>
      </x:c>
      <x:c r="J12" s="7" t="str"/>
      <x:c r="K12" s="7" t="str"/>
      <x:c r="L12" s="7" t="str">
        <x:v>OPEN</x:v>
      </x:c>
    </x:row>
    <x:row r="13" ht="40" customHeight="1">
      <x:c r="B13" s="7" t="str">
        <x:v>RFP-A1-FCE-03-P</x:v>
      </x:c>
      <x:c r="C13" s="7" t="str">
        <x:v>RFP-A1-FCE-03</x:v>
      </x:c>
      <x:c r="D13" s="7" t="str">
        <x:v>RFP-A1</x:v>
      </x:c>
      <x:c r="E13" s="7" t="str">
        <x:v>FCE-03</x:v>
      </x:c>
      <x:c r="F13" s="7" t="str">
        <x:v>primary</x:v>
      </x:c>
      <x:c r="G13" s="10" t="str">
        <x:v>registered command, independent energy and direct final-state sensor</x:v>
      </x:c>
      <x:c r="H13" s="10" t="str">
        <x:v>casualty receiver</x:v>
      </x:c>
      <x:c r="I13" s="7" t="n">
        <x:v>5</x:v>
      </x:c>
      <x:c r="J13" s="7" t="str"/>
      <x:c r="K13" s="7" t="str"/>
      <x:c r="L13" s="7" t="str">
        <x:v>OPEN</x:v>
      </x:c>
    </x:row>
    <x:row r="14" ht="40" customHeight="1">
      <x:c r="B14" s="7" t="str">
        <x:v>RFP-A1-FCE-03-D</x:v>
      </x:c>
      <x:c r="C14" s="7" t="str">
        <x:v>RFP-A1-FCE-03</x:v>
      </x:c>
      <x:c r="D14" s="7" t="str">
        <x:v>RFP-A1</x:v>
      </x:c>
      <x:c r="E14" s="7" t="str">
        <x:v>FCE-03</x:v>
      </x:c>
      <x:c r="F14" s="7" t="str">
        <x:v>diverse</x:v>
      </x:c>
      <x:c r="G14" s="10" t="str">
        <x:v>unlike local trip, separate energy and unlike state indication</x:v>
      </x:c>
      <x:c r="H14" s="10" t="str">
        <x:v>casualty receiver</x:v>
      </x:c>
      <x:c r="I14" s="7" t="n">
        <x:v>5</x:v>
      </x:c>
      <x:c r="J14" s="7" t="str"/>
      <x:c r="K14" s="7" t="str"/>
      <x:c r="L14" s="7" t="str">
        <x:v>OPEN</x:v>
      </x:c>
    </x:row>
    <x:row r="15" ht="40" customHeight="1">
      <x:c r="B15" s="7" t="str">
        <x:v>RFP-A1-FCE-03-M</x:v>
      </x:c>
      <x:c r="C15" s="7" t="str">
        <x:v>RFP-A1-FCE-03</x:v>
      </x:c>
      <x:c r="D15" s="7" t="str">
        <x:v>RFP-A1</x:v>
      </x:c>
      <x:c r="E15" s="7" t="str">
        <x:v>FCE-03</x:v>
      </x:c>
      <x:c r="F15" s="7" t="str">
        <x:v>manual/passive</x:v>
      </x:c>
      <x:c r="G15" s="10" t="str">
        <x:v>field action or passive state without network dependence</x:v>
      </x:c>
      <x:c r="H15" s="10" t="str">
        <x:v>casualty receiver</x:v>
      </x:c>
      <x:c r="I15" s="7" t="n">
        <x:v>5</x:v>
      </x:c>
      <x:c r="J15" s="7" t="str"/>
      <x:c r="K15" s="7" t="str"/>
      <x:c r="L15" s="7" t="str">
        <x:v>OPEN</x:v>
      </x:c>
    </x:row>
    <x:row r="16" ht="40" customHeight="1">
      <x:c r="B16" s="7" t="str">
        <x:v>RFP-A1-FCE-04-P</x:v>
      </x:c>
      <x:c r="C16" s="7" t="str">
        <x:v>RFP-A1-FCE-04</x:v>
      </x:c>
      <x:c r="D16" s="7" t="str">
        <x:v>RFP-A1</x:v>
      </x:c>
      <x:c r="E16" s="7" t="str">
        <x:v>FCE-04</x:v>
      </x:c>
      <x:c r="F16" s="7" t="str">
        <x:v>primary</x:v>
      </x:c>
      <x:c r="G16" s="10" t="str">
        <x:v>registered command, independent energy and direct final-state sensor</x:v>
      </x:c>
      <x:c r="H16" s="10" t="str">
        <x:v>closed</x:v>
      </x:c>
      <x:c r="I16" s="7" t="n">
        <x:v>3</x:v>
      </x:c>
      <x:c r="J16" s="7" t="str"/>
      <x:c r="K16" s="7" t="str"/>
      <x:c r="L16" s="7" t="str">
        <x:v>OPEN</x:v>
      </x:c>
    </x:row>
    <x:row r="17" ht="40" customHeight="1">
      <x:c r="B17" s="7" t="str">
        <x:v>RFP-A1-FCE-04-D</x:v>
      </x:c>
      <x:c r="C17" s="7" t="str">
        <x:v>RFP-A1-FCE-04</x:v>
      </x:c>
      <x:c r="D17" s="7" t="str">
        <x:v>RFP-A1</x:v>
      </x:c>
      <x:c r="E17" s="7" t="str">
        <x:v>FCE-04</x:v>
      </x:c>
      <x:c r="F17" s="7" t="str">
        <x:v>diverse</x:v>
      </x:c>
      <x:c r="G17" s="10" t="str">
        <x:v>unlike local trip, separate energy and unlike state indication</x:v>
      </x:c>
      <x:c r="H17" s="10" t="str">
        <x:v>closed</x:v>
      </x:c>
      <x:c r="I17" s="7" t="n">
        <x:v>3</x:v>
      </x:c>
      <x:c r="J17" s="7" t="str"/>
      <x:c r="K17" s="7" t="str"/>
      <x:c r="L17" s="7" t="str">
        <x:v>OPEN</x:v>
      </x:c>
    </x:row>
    <x:row r="18" ht="40" customHeight="1">
      <x:c r="B18" s="7" t="str">
        <x:v>RFP-A1-FCE-04-M</x:v>
      </x:c>
      <x:c r="C18" s="7" t="str">
        <x:v>RFP-A1-FCE-04</x:v>
      </x:c>
      <x:c r="D18" s="7" t="str">
        <x:v>RFP-A1</x:v>
      </x:c>
      <x:c r="E18" s="7" t="str">
        <x:v>FCE-04</x:v>
      </x:c>
      <x:c r="F18" s="7" t="str">
        <x:v>manual/passive</x:v>
      </x:c>
      <x:c r="G18" s="10" t="str">
        <x:v>field action or passive state without network dependence</x:v>
      </x:c>
      <x:c r="H18" s="10" t="str">
        <x:v>closed</x:v>
      </x:c>
      <x:c r="I18" s="7" t="n">
        <x:v>3</x:v>
      </x:c>
      <x:c r="J18" s="7" t="str"/>
      <x:c r="K18" s="7" t="str"/>
      <x:c r="L18" s="7" t="str">
        <x:v>OPEN</x:v>
      </x:c>
    </x:row>
    <x:row r="19" ht="40" customHeight="1">
      <x:c r="B19" s="7" t="str">
        <x:v>RFP-A1-FCE-05-P</x:v>
      </x:c>
      <x:c r="C19" s="7" t="str">
        <x:v>RFP-A1-FCE-05</x:v>
      </x:c>
      <x:c r="D19" s="7" t="str">
        <x:v>RFP-A1</x:v>
      </x:c>
      <x:c r="E19" s="7" t="str">
        <x:v>FCE-05</x:v>
      </x:c>
      <x:c r="F19" s="7" t="str">
        <x:v>primary</x:v>
      </x:c>
      <x:c r="G19" s="10" t="str">
        <x:v>registered command, independent energy and direct final-state sensor</x:v>
      </x:c>
      <x:c r="H19" s="10" t="str">
        <x:v>open to casualty receiver</x:v>
      </x:c>
      <x:c r="I19" s="7" t="n">
        <x:v>5</x:v>
      </x:c>
      <x:c r="J19" s="7" t="str"/>
      <x:c r="K19" s="7" t="str"/>
      <x:c r="L19" s="7" t="str">
        <x:v>OPEN</x:v>
      </x:c>
    </x:row>
    <x:row r="20" ht="40" customHeight="1">
      <x:c r="B20" s="7" t="str">
        <x:v>RFP-A1-FCE-05-D</x:v>
      </x:c>
      <x:c r="C20" s="7" t="str">
        <x:v>RFP-A1-FCE-05</x:v>
      </x:c>
      <x:c r="D20" s="7" t="str">
        <x:v>RFP-A1</x:v>
      </x:c>
      <x:c r="E20" s="7" t="str">
        <x:v>FCE-05</x:v>
      </x:c>
      <x:c r="F20" s="7" t="str">
        <x:v>diverse</x:v>
      </x:c>
      <x:c r="G20" s="10" t="str">
        <x:v>unlike local trip, separate energy and unlike state indication</x:v>
      </x:c>
      <x:c r="H20" s="10" t="str">
        <x:v>open to casualty receiver</x:v>
      </x:c>
      <x:c r="I20" s="7" t="n">
        <x:v>5</x:v>
      </x:c>
      <x:c r="J20" s="7" t="str"/>
      <x:c r="K20" s="7" t="str"/>
      <x:c r="L20" s="7" t="str">
        <x:v>OPEN</x:v>
      </x:c>
    </x:row>
    <x:row r="21" ht="40" customHeight="1">
      <x:c r="B21" s="7" t="str">
        <x:v>RFP-A1-FCE-05-M</x:v>
      </x:c>
      <x:c r="C21" s="7" t="str">
        <x:v>RFP-A1-FCE-05</x:v>
      </x:c>
      <x:c r="D21" s="7" t="str">
        <x:v>RFP-A1</x:v>
      </x:c>
      <x:c r="E21" s="7" t="str">
        <x:v>FCE-05</x:v>
      </x:c>
      <x:c r="F21" s="7" t="str">
        <x:v>manual/passive</x:v>
      </x:c>
      <x:c r="G21" s="10" t="str">
        <x:v>field action or passive state without network dependence</x:v>
      </x:c>
      <x:c r="H21" s="10" t="str">
        <x:v>open to casualty receiver</x:v>
      </x:c>
      <x:c r="I21" s="7" t="n">
        <x:v>5</x:v>
      </x:c>
      <x:c r="J21" s="7" t="str"/>
      <x:c r="K21" s="7" t="str"/>
      <x:c r="L21" s="7" t="str">
        <x:v>OPEN</x:v>
      </x:c>
    </x:row>
    <x:row r="22" ht="40" customHeight="1">
      <x:c r="B22" s="7" t="str">
        <x:v>RFP-A1-FCE-06-P</x:v>
      </x:c>
      <x:c r="C22" s="7" t="str">
        <x:v>RFP-A1-FCE-06</x:v>
      </x:c>
      <x:c r="D22" s="7" t="str">
        <x:v>RFP-A1</x:v>
      </x:c>
      <x:c r="E22" s="7" t="str">
        <x:v>FCE-06</x:v>
      </x:c>
      <x:c r="F22" s="7" t="str">
        <x:v>primary</x:v>
      </x:c>
      <x:c r="G22" s="10" t="str">
        <x:v>registered command, independent energy and direct final-state sensor</x:v>
      </x:c>
      <x:c r="H22" s="10" t="str">
        <x:v>de-energized</x:v>
      </x:c>
      <x:c r="I22" s="7" t="n">
        <x:v>1</x:v>
      </x:c>
      <x:c r="J22" s="7" t="str"/>
      <x:c r="K22" s="7" t="str"/>
      <x:c r="L22" s="7" t="str">
        <x:v>OPEN</x:v>
      </x:c>
    </x:row>
    <x:row r="23" ht="40" customHeight="1">
      <x:c r="B23" s="7" t="str">
        <x:v>RFP-A1-FCE-06-D</x:v>
      </x:c>
      <x:c r="C23" s="7" t="str">
        <x:v>RFP-A1-FCE-06</x:v>
      </x:c>
      <x:c r="D23" s="7" t="str">
        <x:v>RFP-A1</x:v>
      </x:c>
      <x:c r="E23" s="7" t="str">
        <x:v>FCE-06</x:v>
      </x:c>
      <x:c r="F23" s="7" t="str">
        <x:v>diverse</x:v>
      </x:c>
      <x:c r="G23" s="10" t="str">
        <x:v>unlike local trip, separate energy and unlike state indication</x:v>
      </x:c>
      <x:c r="H23" s="10" t="str">
        <x:v>de-energized</x:v>
      </x:c>
      <x:c r="I23" s="7" t="n">
        <x:v>1</x:v>
      </x:c>
      <x:c r="J23" s="7" t="str"/>
      <x:c r="K23" s="7" t="str"/>
      <x:c r="L23" s="7" t="str">
        <x:v>OPEN</x:v>
      </x:c>
    </x:row>
    <x:row r="24" ht="40" customHeight="1">
      <x:c r="B24" s="7" t="str">
        <x:v>RFP-A1-FCE-06-M</x:v>
      </x:c>
      <x:c r="C24" s="7" t="str">
        <x:v>RFP-A1-FCE-06</x:v>
      </x:c>
      <x:c r="D24" s="7" t="str">
        <x:v>RFP-A1</x:v>
      </x:c>
      <x:c r="E24" s="7" t="str">
        <x:v>FCE-06</x:v>
      </x:c>
      <x:c r="F24" s="7" t="str">
        <x:v>manual/passive</x:v>
      </x:c>
      <x:c r="G24" s="10" t="str">
        <x:v>field action or passive state without network dependence</x:v>
      </x:c>
      <x:c r="H24" s="10" t="str">
        <x:v>de-energized</x:v>
      </x:c>
      <x:c r="I24" s="7" t="n">
        <x:v>1</x:v>
      </x:c>
      <x:c r="J24" s="7" t="str"/>
      <x:c r="K24" s="7" t="str"/>
      <x:c r="L24" s="7" t="str">
        <x:v>OPEN</x:v>
      </x:c>
    </x:row>
    <x:row r="25" ht="40" customHeight="1">
      <x:c r="B25" s="7" t="str">
        <x:v>RFP-A1-FCE-07-P</x:v>
      </x:c>
      <x:c r="C25" s="7" t="str">
        <x:v>RFP-A1-FCE-07</x:v>
      </x:c>
      <x:c r="D25" s="7" t="str">
        <x:v>RFP-A1</x:v>
      </x:c>
      <x:c r="E25" s="7" t="str">
        <x:v>FCE-07</x:v>
      </x:c>
      <x:c r="F25" s="7" t="str">
        <x:v>primary</x:v>
      </x:c>
      <x:c r="G25" s="10" t="str">
        <x:v>registered command, independent energy and direct final-state sensor</x:v>
      </x:c>
      <x:c r="H25" s="10" t="str">
        <x:v>closed</x:v>
      </x:c>
      <x:c r="I25" s="7" t="n">
        <x:v>2</x:v>
      </x:c>
      <x:c r="J25" s="7" t="str"/>
      <x:c r="K25" s="7" t="str"/>
      <x:c r="L25" s="7" t="str">
        <x:v>OPEN</x:v>
      </x:c>
    </x:row>
    <x:row r="26" ht="40" customHeight="1">
      <x:c r="B26" s="7" t="str">
        <x:v>RFP-A1-FCE-07-D</x:v>
      </x:c>
      <x:c r="C26" s="7" t="str">
        <x:v>RFP-A1-FCE-07</x:v>
      </x:c>
      <x:c r="D26" s="7" t="str">
        <x:v>RFP-A1</x:v>
      </x:c>
      <x:c r="E26" s="7" t="str">
        <x:v>FCE-07</x:v>
      </x:c>
      <x:c r="F26" s="7" t="str">
        <x:v>diverse</x:v>
      </x:c>
      <x:c r="G26" s="10" t="str">
        <x:v>unlike local trip, separate energy and unlike state indication</x:v>
      </x:c>
      <x:c r="H26" s="10" t="str">
        <x:v>closed</x:v>
      </x:c>
      <x:c r="I26" s="7" t="n">
        <x:v>2</x:v>
      </x:c>
      <x:c r="J26" s="7" t="str"/>
      <x:c r="K26" s="7" t="str"/>
      <x:c r="L26" s="7" t="str">
        <x:v>OPEN</x:v>
      </x:c>
    </x:row>
    <x:row r="27" ht="40" customHeight="1">
      <x:c r="B27" s="7" t="str">
        <x:v>RFP-A1-FCE-07-M</x:v>
      </x:c>
      <x:c r="C27" s="7" t="str">
        <x:v>RFP-A1-FCE-07</x:v>
      </x:c>
      <x:c r="D27" s="7" t="str">
        <x:v>RFP-A1</x:v>
      </x:c>
      <x:c r="E27" s="7" t="str">
        <x:v>FCE-07</x:v>
      </x:c>
      <x:c r="F27" s="7" t="str">
        <x:v>manual/passive</x:v>
      </x:c>
      <x:c r="G27" s="10" t="str">
        <x:v>field action or passive state without network dependence</x:v>
      </x:c>
      <x:c r="H27" s="10" t="str">
        <x:v>closed</x:v>
      </x:c>
      <x:c r="I27" s="7" t="n">
        <x:v>2</x:v>
      </x:c>
      <x:c r="J27" s="7" t="str"/>
      <x:c r="K27" s="7" t="str"/>
      <x:c r="L27" s="7" t="str">
        <x:v>OPEN</x:v>
      </x:c>
    </x:row>
    <x:row r="28" ht="40" customHeight="1">
      <x:c r="B28" s="7" t="str">
        <x:v>RFP-A1-FCE-08-P</x:v>
      </x:c>
      <x:c r="C28" s="7" t="str">
        <x:v>RFP-A1-FCE-08</x:v>
      </x:c>
      <x:c r="D28" s="7" t="str">
        <x:v>RFP-A1</x:v>
      </x:c>
      <x:c r="E28" s="7" t="str">
        <x:v>FCE-08</x:v>
      </x:c>
      <x:c r="F28" s="7" t="str">
        <x:v>primary</x:v>
      </x:c>
      <x:c r="G28" s="10" t="str">
        <x:v>registered command, independent energy and direct final-state sensor</x:v>
      </x:c>
      <x:c r="H28" s="10" t="str">
        <x:v>open to casualty receiver</x:v>
      </x:c>
      <x:c r="I28" s="7" t="n">
        <x:v>5</x:v>
      </x:c>
      <x:c r="J28" s="7" t="str"/>
      <x:c r="K28" s="7" t="str"/>
      <x:c r="L28" s="7" t="str">
        <x:v>OPEN</x:v>
      </x:c>
    </x:row>
    <x:row r="29" ht="40" customHeight="1">
      <x:c r="B29" s="7" t="str">
        <x:v>RFP-A1-FCE-08-D</x:v>
      </x:c>
      <x:c r="C29" s="7" t="str">
        <x:v>RFP-A1-FCE-08</x:v>
      </x:c>
      <x:c r="D29" s="7" t="str">
        <x:v>RFP-A1</x:v>
      </x:c>
      <x:c r="E29" s="7" t="str">
        <x:v>FCE-08</x:v>
      </x:c>
      <x:c r="F29" s="7" t="str">
        <x:v>diverse</x:v>
      </x:c>
      <x:c r="G29" s="10" t="str">
        <x:v>unlike local trip, separate energy and unlike state indication</x:v>
      </x:c>
      <x:c r="H29" s="10" t="str">
        <x:v>open to casualty receiver</x:v>
      </x:c>
      <x:c r="I29" s="7" t="n">
        <x:v>5</x:v>
      </x:c>
      <x:c r="J29" s="7" t="str"/>
      <x:c r="K29" s="7" t="str"/>
      <x:c r="L29" s="7" t="str">
        <x:v>OPEN</x:v>
      </x:c>
    </x:row>
    <x:row r="30" ht="40" customHeight="1">
      <x:c r="B30" s="7" t="str">
        <x:v>RFP-A1-FCE-08-M</x:v>
      </x:c>
      <x:c r="C30" s="7" t="str">
        <x:v>RFP-A1-FCE-08</x:v>
      </x:c>
      <x:c r="D30" s="7" t="str">
        <x:v>RFP-A1</x:v>
      </x:c>
      <x:c r="E30" s="7" t="str">
        <x:v>FCE-08</x:v>
      </x:c>
      <x:c r="F30" s="7" t="str">
        <x:v>manual/passive</x:v>
      </x:c>
      <x:c r="G30" s="10" t="str">
        <x:v>field action or passive state without network dependence</x:v>
      </x:c>
      <x:c r="H30" s="10" t="str">
        <x:v>open to casualty receiver</x:v>
      </x:c>
      <x:c r="I30" s="7" t="n">
        <x:v>5</x:v>
      </x:c>
      <x:c r="J30" s="7" t="str"/>
      <x:c r="K30" s="7" t="str"/>
      <x:c r="L30" s="7" t="str">
        <x:v>OPEN</x:v>
      </x:c>
    </x:row>
    <x:row r="31" ht="40" customHeight="1">
      <x:c r="B31" s="7" t="str">
        <x:v>RFP-A1-FCE-09-P</x:v>
      </x:c>
      <x:c r="C31" s="7" t="str">
        <x:v>RFP-A1-FCE-09</x:v>
      </x:c>
      <x:c r="D31" s="7" t="str">
        <x:v>RFP-A1</x:v>
      </x:c>
      <x:c r="E31" s="7" t="str">
        <x:v>FCE-09</x:v>
      </x:c>
      <x:c r="F31" s="7" t="str">
        <x:v>primary</x:v>
      </x:c>
      <x:c r="G31" s="10" t="str">
        <x:v>registered command, independent energy and direct final-state sensor</x:v>
      </x:c>
      <x:c r="H31" s="10" t="str">
        <x:v>isolated</x:v>
      </x:c>
      <x:c r="I31" s="7" t="n">
        <x:v>1</x:v>
      </x:c>
      <x:c r="J31" s="7" t="str"/>
      <x:c r="K31" s="7" t="str"/>
      <x:c r="L31" s="7" t="str">
        <x:v>OPEN</x:v>
      </x:c>
    </x:row>
    <x:row r="32" ht="40" customHeight="1">
      <x:c r="B32" s="7" t="str">
        <x:v>RFP-A1-FCE-09-D</x:v>
      </x:c>
      <x:c r="C32" s="7" t="str">
        <x:v>RFP-A1-FCE-09</x:v>
      </x:c>
      <x:c r="D32" s="7" t="str">
        <x:v>RFP-A1</x:v>
      </x:c>
      <x:c r="E32" s="7" t="str">
        <x:v>FCE-09</x:v>
      </x:c>
      <x:c r="F32" s="7" t="str">
        <x:v>diverse</x:v>
      </x:c>
      <x:c r="G32" s="10" t="str">
        <x:v>unlike local trip, separate energy and unlike state indication</x:v>
      </x:c>
      <x:c r="H32" s="10" t="str">
        <x:v>isolated</x:v>
      </x:c>
      <x:c r="I32" s="7" t="n">
        <x:v>1</x:v>
      </x:c>
      <x:c r="J32" s="7" t="str"/>
      <x:c r="K32" s="7" t="str"/>
      <x:c r="L32" s="7" t="str">
        <x:v>OPEN</x:v>
      </x:c>
    </x:row>
    <x:row r="33" ht="40" customHeight="1">
      <x:c r="B33" s="7" t="str">
        <x:v>RFP-A1-FCE-09-M</x:v>
      </x:c>
      <x:c r="C33" s="7" t="str">
        <x:v>RFP-A1-FCE-09</x:v>
      </x:c>
      <x:c r="D33" s="7" t="str">
        <x:v>RFP-A1</x:v>
      </x:c>
      <x:c r="E33" s="7" t="str">
        <x:v>FCE-09</x:v>
      </x:c>
      <x:c r="F33" s="7" t="str">
        <x:v>manual/passive</x:v>
      </x:c>
      <x:c r="G33" s="10" t="str">
        <x:v>field action or passive state without network dependence</x:v>
      </x:c>
      <x:c r="H33" s="10" t="str">
        <x:v>isolated</x:v>
      </x:c>
      <x:c r="I33" s="7" t="n">
        <x:v>1</x:v>
      </x:c>
      <x:c r="J33" s="7" t="str"/>
      <x:c r="K33" s="7" t="str"/>
      <x:c r="L33" s="7" t="str">
        <x:v>OPEN</x:v>
      </x:c>
    </x:row>
    <x:row r="34" ht="40" customHeight="1">
      <x:c r="B34" s="7" t="str">
        <x:v>RFP-A1-FCE-10-P</x:v>
      </x:c>
      <x:c r="C34" s="7" t="str">
        <x:v>RFP-A1-FCE-10</x:v>
      </x:c>
      <x:c r="D34" s="7" t="str">
        <x:v>RFP-A1</x:v>
      </x:c>
      <x:c r="E34" s="7" t="str">
        <x:v>FCE-10</x:v>
      </x:c>
      <x:c r="F34" s="7" t="str">
        <x:v>primary</x:v>
      </x:c>
      <x:c r="G34" s="10" t="str">
        <x:v>registered command, independent energy and direct final-state sensor</x:v>
      </x:c>
      <x:c r="H34" s="10" t="str">
        <x:v>maintained for final action</x:v>
      </x:c>
      <x:c r="I34" s="7" t="n">
        <x:v>30</x:v>
      </x:c>
      <x:c r="J34" s="7" t="str"/>
      <x:c r="K34" s="7" t="str"/>
      <x:c r="L34" s="7" t="str">
        <x:v>OPEN</x:v>
      </x:c>
    </x:row>
    <x:row r="35" ht="40" customHeight="1">
      <x:c r="B35" s="7" t="str">
        <x:v>RFP-A1-FCE-10-D</x:v>
      </x:c>
      <x:c r="C35" s="7" t="str">
        <x:v>RFP-A1-FCE-10</x:v>
      </x:c>
      <x:c r="D35" s="7" t="str">
        <x:v>RFP-A1</x:v>
      </x:c>
      <x:c r="E35" s="7" t="str">
        <x:v>FCE-10</x:v>
      </x:c>
      <x:c r="F35" s="7" t="str">
        <x:v>diverse</x:v>
      </x:c>
      <x:c r="G35" s="10" t="str">
        <x:v>unlike local trip, separate energy and unlike state indication</x:v>
      </x:c>
      <x:c r="H35" s="10" t="str">
        <x:v>maintained for final action</x:v>
      </x:c>
      <x:c r="I35" s="7" t="n">
        <x:v>30</x:v>
      </x:c>
      <x:c r="J35" s="7" t="str"/>
      <x:c r="K35" s="7" t="str"/>
      <x:c r="L35" s="7" t="str">
        <x:v>OPEN</x:v>
      </x:c>
    </x:row>
    <x:row r="36" ht="40" customHeight="1">
      <x:c r="B36" s="7" t="str">
        <x:v>RFP-A1-FCE-10-M</x:v>
      </x:c>
      <x:c r="C36" s="7" t="str">
        <x:v>RFP-A1-FCE-10</x:v>
      </x:c>
      <x:c r="D36" s="7" t="str">
        <x:v>RFP-A1</x:v>
      </x:c>
      <x:c r="E36" s="7" t="str">
        <x:v>FCE-10</x:v>
      </x:c>
      <x:c r="F36" s="7" t="str">
        <x:v>manual/passive</x:v>
      </x:c>
      <x:c r="G36" s="10" t="str">
        <x:v>field action or passive state without network dependence</x:v>
      </x:c>
      <x:c r="H36" s="10" t="str">
        <x:v>maintained for final action</x:v>
      </x:c>
      <x:c r="I36" s="7" t="n">
        <x:v>30</x:v>
      </x:c>
      <x:c r="J36" s="7" t="str"/>
      <x:c r="K36" s="7" t="str"/>
      <x:c r="L36" s="7" t="str">
        <x:v>OPEN</x:v>
      </x:c>
    </x:row>
    <x:row r="37" ht="40" customHeight="1">
      <x:c r="B37" s="7" t="str">
        <x:v>RFP-A1-FCE-11-P</x:v>
      </x:c>
      <x:c r="C37" s="7" t="str">
        <x:v>RFP-A1-FCE-11</x:v>
      </x:c>
      <x:c r="D37" s="7" t="str">
        <x:v>RFP-A1</x:v>
      </x:c>
      <x:c r="E37" s="7" t="str">
        <x:v>FCE-11</x:v>
      </x:c>
      <x:c r="F37" s="7" t="str">
        <x:v>primary</x:v>
      </x:c>
      <x:c r="G37" s="10" t="str">
        <x:v>registered command, independent energy and direct final-state sensor</x:v>
      </x:c>
      <x:c r="H37" s="10" t="str">
        <x:v>contained safe route</x:v>
      </x:c>
      <x:c r="I37" s="7" t="n">
        <x:v>10</x:v>
      </x:c>
      <x:c r="J37" s="7" t="str"/>
      <x:c r="K37" s="7" t="str"/>
      <x:c r="L37" s="7" t="str">
        <x:v>OPEN</x:v>
      </x:c>
    </x:row>
    <x:row r="38" ht="40" customHeight="1">
      <x:c r="B38" s="7" t="str">
        <x:v>RFP-A1-FCE-11-D</x:v>
      </x:c>
      <x:c r="C38" s="7" t="str">
        <x:v>RFP-A1-FCE-11</x:v>
      </x:c>
      <x:c r="D38" s="7" t="str">
        <x:v>RFP-A1</x:v>
      </x:c>
      <x:c r="E38" s="7" t="str">
        <x:v>FCE-11</x:v>
      </x:c>
      <x:c r="F38" s="7" t="str">
        <x:v>diverse</x:v>
      </x:c>
      <x:c r="G38" s="10" t="str">
        <x:v>unlike local trip, separate energy and unlike state indication</x:v>
      </x:c>
      <x:c r="H38" s="10" t="str">
        <x:v>contained safe route</x:v>
      </x:c>
      <x:c r="I38" s="7" t="n">
        <x:v>10</x:v>
      </x:c>
      <x:c r="J38" s="7" t="str"/>
      <x:c r="K38" s="7" t="str"/>
      <x:c r="L38" s="7" t="str">
        <x:v>OPEN</x:v>
      </x:c>
    </x:row>
    <x:row r="39" ht="40" customHeight="1">
      <x:c r="B39" s="7" t="str">
        <x:v>RFP-A1-FCE-11-M</x:v>
      </x:c>
      <x:c r="C39" s="7" t="str">
        <x:v>RFP-A1-FCE-11</x:v>
      </x:c>
      <x:c r="D39" s="7" t="str">
        <x:v>RFP-A1</x:v>
      </x:c>
      <x:c r="E39" s="7" t="str">
        <x:v>FCE-11</x:v>
      </x:c>
      <x:c r="F39" s="7" t="str">
        <x:v>manual/passive</x:v>
      </x:c>
      <x:c r="G39" s="10" t="str">
        <x:v>field action or passive state without network dependence</x:v>
      </x:c>
      <x:c r="H39" s="10" t="str">
        <x:v>contained safe route</x:v>
      </x:c>
      <x:c r="I39" s="7" t="n">
        <x:v>10</x:v>
      </x:c>
      <x:c r="J39" s="7" t="str"/>
      <x:c r="K39" s="7" t="str"/>
      <x:c r="L39" s="7" t="str">
        <x:v>OPEN</x:v>
      </x:c>
    </x:row>
    <x:row r="40" ht="40" customHeight="1">
      <x:c r="B40" s="7" t="str">
        <x:v>RFP-A1-FCE-12-P</x:v>
      </x:c>
      <x:c r="C40" s="7" t="str">
        <x:v>RFP-A1-FCE-12</x:v>
      </x:c>
      <x:c r="D40" s="7" t="str">
        <x:v>RFP-A1</x:v>
      </x:c>
      <x:c r="E40" s="7" t="str">
        <x:v>FCE-12</x:v>
      </x:c>
      <x:c r="F40" s="7" t="str">
        <x:v>primary</x:v>
      </x:c>
      <x:c r="G40" s="10" t="str">
        <x:v>registered command, independent energy and direct final-state sensor</x:v>
      </x:c>
      <x:c r="H40" s="10" t="str">
        <x:v>latched and locally readable</x:v>
      </x:c>
      <x:c r="I40" s="7" t="n">
        <x:v>1</x:v>
      </x:c>
      <x:c r="J40" s="7" t="str"/>
      <x:c r="K40" s="7" t="str"/>
      <x:c r="L40" s="7" t="str">
        <x:v>OPEN</x:v>
      </x:c>
    </x:row>
    <x:row r="41" ht="40" customHeight="1">
      <x:c r="B41" s="7" t="str">
        <x:v>RFP-A1-FCE-12-D</x:v>
      </x:c>
      <x:c r="C41" s="7" t="str">
        <x:v>RFP-A1-FCE-12</x:v>
      </x:c>
      <x:c r="D41" s="7" t="str">
        <x:v>RFP-A1</x:v>
      </x:c>
      <x:c r="E41" s="7" t="str">
        <x:v>FCE-12</x:v>
      </x:c>
      <x:c r="F41" s="7" t="str">
        <x:v>diverse</x:v>
      </x:c>
      <x:c r="G41" s="10" t="str">
        <x:v>unlike local trip, separate energy and unlike state indication</x:v>
      </x:c>
      <x:c r="H41" s="10" t="str">
        <x:v>latched and locally readable</x:v>
      </x:c>
      <x:c r="I41" s="7" t="n">
        <x:v>1</x:v>
      </x:c>
      <x:c r="J41" s="7" t="str"/>
      <x:c r="K41" s="7" t="str"/>
      <x:c r="L41" s="7" t="str">
        <x:v>OPEN</x:v>
      </x:c>
    </x:row>
    <x:row r="42" ht="40" customHeight="1">
      <x:c r="B42" s="7" t="str">
        <x:v>RFP-A1-FCE-12-M</x:v>
      </x:c>
      <x:c r="C42" s="7" t="str">
        <x:v>RFP-A1-FCE-12</x:v>
      </x:c>
      <x:c r="D42" s="7" t="str">
        <x:v>RFP-A1</x:v>
      </x:c>
      <x:c r="E42" s="7" t="str">
        <x:v>FCE-12</x:v>
      </x:c>
      <x:c r="F42" s="7" t="str">
        <x:v>manual/passive</x:v>
      </x:c>
      <x:c r="G42" s="10" t="str">
        <x:v>field action or passive state without network dependence</x:v>
      </x:c>
      <x:c r="H42" s="10" t="str">
        <x:v>latched and locally readable</x:v>
      </x:c>
      <x:c r="I42" s="7" t="n">
        <x:v>1</x:v>
      </x:c>
      <x:c r="J42" s="7" t="str"/>
      <x:c r="K42" s="7" t="str"/>
      <x:c r="L42" s="7" t="str">
        <x:v>OPEN</x:v>
      </x:c>
    </x:row>
    <x:row r="43" ht="40" customHeight="1">
      <x:c r="B43" s="7" t="str">
        <x:v>RFP-A2-FCE-01-P</x:v>
      </x:c>
      <x:c r="C43" s="7" t="str">
        <x:v>RFP-A2-FCE-01</x:v>
      </x:c>
      <x:c r="D43" s="7" t="str">
        <x:v>RFP-A2</x:v>
      </x:c>
      <x:c r="E43" s="7" t="str">
        <x:v>FCE-01</x:v>
      </x:c>
      <x:c r="F43" s="7" t="str">
        <x:v>primary</x:v>
      </x:c>
      <x:c r="G43" s="10" t="str">
        <x:v>registered command, independent energy and direct final-state sensor</x:v>
      </x:c>
      <x:c r="H43" s="10" t="str">
        <x:v>closed</x:v>
      </x:c>
      <x:c r="I43" s="7" t="n">
        <x:v>2</x:v>
      </x:c>
      <x:c r="J43" s="7" t="str"/>
      <x:c r="K43" s="7" t="str"/>
      <x:c r="L43" s="7" t="str">
        <x:v>OPEN</x:v>
      </x:c>
    </x:row>
    <x:row r="44" ht="40" customHeight="1">
      <x:c r="B44" s="7" t="str">
        <x:v>RFP-A2-FCE-01-D</x:v>
      </x:c>
      <x:c r="C44" s="7" t="str">
        <x:v>RFP-A2-FCE-01</x:v>
      </x:c>
      <x:c r="D44" s="7" t="str">
        <x:v>RFP-A2</x:v>
      </x:c>
      <x:c r="E44" s="7" t="str">
        <x:v>FCE-01</x:v>
      </x:c>
      <x:c r="F44" s="7" t="str">
        <x:v>diverse</x:v>
      </x:c>
      <x:c r="G44" s="10" t="str">
        <x:v>unlike local trip, separate energy and unlike state indication</x:v>
      </x:c>
      <x:c r="H44" s="10" t="str">
        <x:v>closed</x:v>
      </x:c>
      <x:c r="I44" s="7" t="n">
        <x:v>2</x:v>
      </x:c>
      <x:c r="J44" s="7" t="str"/>
      <x:c r="K44" s="7" t="str"/>
      <x:c r="L44" s="7" t="str">
        <x:v>OPEN</x:v>
      </x:c>
    </x:row>
    <x:row r="45" ht="40" customHeight="1">
      <x:c r="B45" s="7" t="str">
        <x:v>RFP-A2-FCE-01-M</x:v>
      </x:c>
      <x:c r="C45" s="7" t="str">
        <x:v>RFP-A2-FCE-01</x:v>
      </x:c>
      <x:c r="D45" s="7" t="str">
        <x:v>RFP-A2</x:v>
      </x:c>
      <x:c r="E45" s="7" t="str">
        <x:v>FCE-01</x:v>
      </x:c>
      <x:c r="F45" s="7" t="str">
        <x:v>manual/passive</x:v>
      </x:c>
      <x:c r="G45" s="10" t="str">
        <x:v>field action or passive state without network dependence</x:v>
      </x:c>
      <x:c r="H45" s="10" t="str">
        <x:v>closed</x:v>
      </x:c>
      <x:c r="I45" s="7" t="n">
        <x:v>2</x:v>
      </x:c>
      <x:c r="J45" s="7" t="str"/>
      <x:c r="K45" s="7" t="str"/>
      <x:c r="L45" s="7" t="str">
        <x:v>OPEN</x:v>
      </x:c>
    </x:row>
    <x:row r="46" ht="40" customHeight="1">
      <x:c r="B46" s="7" t="str">
        <x:v>RFP-A2-FCE-02-P</x:v>
      </x:c>
      <x:c r="C46" s="7" t="str">
        <x:v>RFP-A2-FCE-02</x:v>
      </x:c>
      <x:c r="D46" s="7" t="str">
        <x:v>RFP-A2</x:v>
      </x:c>
      <x:c r="E46" s="7" t="str">
        <x:v>FCE-02</x:v>
      </x:c>
      <x:c r="F46" s="7" t="str">
        <x:v>primary</x:v>
      </x:c>
      <x:c r="G46" s="10" t="str">
        <x:v>registered command, independent energy and direct final-state sensor</x:v>
      </x:c>
      <x:c r="H46" s="10" t="str">
        <x:v>closed</x:v>
      </x:c>
      <x:c r="I46" s="7" t="n">
        <x:v>2</x:v>
      </x:c>
      <x:c r="J46" s="7" t="str"/>
      <x:c r="K46" s="7" t="str"/>
      <x:c r="L46" s="7" t="str">
        <x:v>OPEN</x:v>
      </x:c>
    </x:row>
    <x:row r="47" ht="40" customHeight="1">
      <x:c r="B47" s="7" t="str">
        <x:v>RFP-A2-FCE-02-D</x:v>
      </x:c>
      <x:c r="C47" s="7" t="str">
        <x:v>RFP-A2-FCE-02</x:v>
      </x:c>
      <x:c r="D47" s="7" t="str">
        <x:v>RFP-A2</x:v>
      </x:c>
      <x:c r="E47" s="7" t="str">
        <x:v>FCE-02</x:v>
      </x:c>
      <x:c r="F47" s="7" t="str">
        <x:v>diverse</x:v>
      </x:c>
      <x:c r="G47" s="10" t="str">
        <x:v>unlike local trip, separate energy and unlike state indication</x:v>
      </x:c>
      <x:c r="H47" s="10" t="str">
        <x:v>closed</x:v>
      </x:c>
      <x:c r="I47" s="7" t="n">
        <x:v>2</x:v>
      </x:c>
      <x:c r="J47" s="7" t="str"/>
      <x:c r="K47" s="7" t="str"/>
      <x:c r="L47" s="7" t="str">
        <x:v>OPEN</x:v>
      </x:c>
    </x:row>
    <x:row r="48" ht="40" customHeight="1">
      <x:c r="B48" s="7" t="str">
        <x:v>RFP-A2-FCE-02-M</x:v>
      </x:c>
      <x:c r="C48" s="7" t="str">
        <x:v>RFP-A2-FCE-02</x:v>
      </x:c>
      <x:c r="D48" s="7" t="str">
        <x:v>RFP-A2</x:v>
      </x:c>
      <x:c r="E48" s="7" t="str">
        <x:v>FCE-02</x:v>
      </x:c>
      <x:c r="F48" s="7" t="str">
        <x:v>manual/passive</x:v>
      </x:c>
      <x:c r="G48" s="10" t="str">
        <x:v>field action or passive state without network dependence</x:v>
      </x:c>
      <x:c r="H48" s="10" t="str">
        <x:v>closed</x:v>
      </x:c>
      <x:c r="I48" s="7" t="n">
        <x:v>2</x:v>
      </x:c>
      <x:c r="J48" s="7" t="str"/>
      <x:c r="K48" s="7" t="str"/>
      <x:c r="L48" s="7" t="str">
        <x:v>OPEN</x:v>
      </x:c>
    </x:row>
    <x:row r="49" ht="40" customHeight="1">
      <x:c r="B49" s="7" t="str">
        <x:v>RFP-A2-FCE-03-P</x:v>
      </x:c>
      <x:c r="C49" s="7" t="str">
        <x:v>RFP-A2-FCE-03</x:v>
      </x:c>
      <x:c r="D49" s="7" t="str">
        <x:v>RFP-A2</x:v>
      </x:c>
      <x:c r="E49" s="7" t="str">
        <x:v>FCE-03</x:v>
      </x:c>
      <x:c r="F49" s="7" t="str">
        <x:v>primary</x:v>
      </x:c>
      <x:c r="G49" s="10" t="str">
        <x:v>registered command, independent energy and direct final-state sensor</x:v>
      </x:c>
      <x:c r="H49" s="10" t="str">
        <x:v>casualty receiver</x:v>
      </x:c>
      <x:c r="I49" s="7" t="n">
        <x:v>5</x:v>
      </x:c>
      <x:c r="J49" s="7" t="str"/>
      <x:c r="K49" s="7" t="str"/>
      <x:c r="L49" s="7" t="str">
        <x:v>OPEN</x:v>
      </x:c>
    </x:row>
    <x:row r="50" ht="40" customHeight="1">
      <x:c r="B50" s="7" t="str">
        <x:v>RFP-A2-FCE-03-D</x:v>
      </x:c>
      <x:c r="C50" s="7" t="str">
        <x:v>RFP-A2-FCE-03</x:v>
      </x:c>
      <x:c r="D50" s="7" t="str">
        <x:v>RFP-A2</x:v>
      </x:c>
      <x:c r="E50" s="7" t="str">
        <x:v>FCE-03</x:v>
      </x:c>
      <x:c r="F50" s="7" t="str">
        <x:v>diverse</x:v>
      </x:c>
      <x:c r="G50" s="10" t="str">
        <x:v>unlike local trip, separate energy and unlike state indication</x:v>
      </x:c>
      <x:c r="H50" s="10" t="str">
        <x:v>casualty receiver</x:v>
      </x:c>
      <x:c r="I50" s="7" t="n">
        <x:v>5</x:v>
      </x:c>
      <x:c r="J50" s="7" t="str"/>
      <x:c r="K50" s="7" t="str"/>
      <x:c r="L50" s="7" t="str">
        <x:v>OPEN</x:v>
      </x:c>
    </x:row>
    <x:row r="51" ht="40" customHeight="1">
      <x:c r="B51" s="7" t="str">
        <x:v>RFP-A2-FCE-03-M</x:v>
      </x:c>
      <x:c r="C51" s="7" t="str">
        <x:v>RFP-A2-FCE-03</x:v>
      </x:c>
      <x:c r="D51" s="7" t="str">
        <x:v>RFP-A2</x:v>
      </x:c>
      <x:c r="E51" s="7" t="str">
        <x:v>FCE-03</x:v>
      </x:c>
      <x:c r="F51" s="7" t="str">
        <x:v>manual/passive</x:v>
      </x:c>
      <x:c r="G51" s="10" t="str">
        <x:v>field action or passive state without network dependence</x:v>
      </x:c>
      <x:c r="H51" s="10" t="str">
        <x:v>casualty receiver</x:v>
      </x:c>
      <x:c r="I51" s="7" t="n">
        <x:v>5</x:v>
      </x:c>
      <x:c r="J51" s="7" t="str"/>
      <x:c r="K51" s="7" t="str"/>
      <x:c r="L51" s="7" t="str">
        <x:v>OPEN</x:v>
      </x:c>
    </x:row>
    <x:row r="52" ht="40" customHeight="1">
      <x:c r="B52" s="7" t="str">
        <x:v>RFP-A2-FCE-04-P</x:v>
      </x:c>
      <x:c r="C52" s="7" t="str">
        <x:v>RFP-A2-FCE-04</x:v>
      </x:c>
      <x:c r="D52" s="7" t="str">
        <x:v>RFP-A2</x:v>
      </x:c>
      <x:c r="E52" s="7" t="str">
        <x:v>FCE-04</x:v>
      </x:c>
      <x:c r="F52" s="7" t="str">
        <x:v>primary</x:v>
      </x:c>
      <x:c r="G52" s="10" t="str">
        <x:v>registered command, independent energy and direct final-state sensor</x:v>
      </x:c>
      <x:c r="H52" s="10" t="str">
        <x:v>closed</x:v>
      </x:c>
      <x:c r="I52" s="7" t="n">
        <x:v>3</x:v>
      </x:c>
      <x:c r="J52" s="7" t="str"/>
      <x:c r="K52" s="7" t="str"/>
      <x:c r="L52" s="7" t="str">
        <x:v>OPEN</x:v>
      </x:c>
    </x:row>
    <x:row r="53" ht="40" customHeight="1">
      <x:c r="B53" s="7" t="str">
        <x:v>RFP-A2-FCE-04-D</x:v>
      </x:c>
      <x:c r="C53" s="7" t="str">
        <x:v>RFP-A2-FCE-04</x:v>
      </x:c>
      <x:c r="D53" s="7" t="str">
        <x:v>RFP-A2</x:v>
      </x:c>
      <x:c r="E53" s="7" t="str">
        <x:v>FCE-04</x:v>
      </x:c>
      <x:c r="F53" s="7" t="str">
        <x:v>diverse</x:v>
      </x:c>
      <x:c r="G53" s="10" t="str">
        <x:v>unlike local trip, separate energy and unlike state indication</x:v>
      </x:c>
      <x:c r="H53" s="10" t="str">
        <x:v>closed</x:v>
      </x:c>
      <x:c r="I53" s="7" t="n">
        <x:v>3</x:v>
      </x:c>
      <x:c r="J53" s="7" t="str"/>
      <x:c r="K53" s="7" t="str"/>
      <x:c r="L53" s="7" t="str">
        <x:v>OPEN</x:v>
      </x:c>
    </x:row>
    <x:row r="54" ht="40" customHeight="1">
      <x:c r="B54" s="7" t="str">
        <x:v>RFP-A2-FCE-04-M</x:v>
      </x:c>
      <x:c r="C54" s="7" t="str">
        <x:v>RFP-A2-FCE-04</x:v>
      </x:c>
      <x:c r="D54" s="7" t="str">
        <x:v>RFP-A2</x:v>
      </x:c>
      <x:c r="E54" s="7" t="str">
        <x:v>FCE-04</x:v>
      </x:c>
      <x:c r="F54" s="7" t="str">
        <x:v>manual/passive</x:v>
      </x:c>
      <x:c r="G54" s="10" t="str">
        <x:v>field action or passive state without network dependence</x:v>
      </x:c>
      <x:c r="H54" s="10" t="str">
        <x:v>closed</x:v>
      </x:c>
      <x:c r="I54" s="7" t="n">
        <x:v>3</x:v>
      </x:c>
      <x:c r="J54" s="7" t="str"/>
      <x:c r="K54" s="7" t="str"/>
      <x:c r="L54" s="7" t="str">
        <x:v>OPEN</x:v>
      </x:c>
    </x:row>
    <x:row r="55" ht="40" customHeight="1">
      <x:c r="B55" s="7" t="str">
        <x:v>RFP-A2-FCE-05-P</x:v>
      </x:c>
      <x:c r="C55" s="7" t="str">
        <x:v>RFP-A2-FCE-05</x:v>
      </x:c>
      <x:c r="D55" s="7" t="str">
        <x:v>RFP-A2</x:v>
      </x:c>
      <x:c r="E55" s="7" t="str">
        <x:v>FCE-05</x:v>
      </x:c>
      <x:c r="F55" s="7" t="str">
        <x:v>primary</x:v>
      </x:c>
      <x:c r="G55" s="10" t="str">
        <x:v>registered command, independent energy and direct final-state sensor</x:v>
      </x:c>
      <x:c r="H55" s="10" t="str">
        <x:v>open to casualty receiver</x:v>
      </x:c>
      <x:c r="I55" s="7" t="n">
        <x:v>5</x:v>
      </x:c>
      <x:c r="J55" s="7" t="str"/>
      <x:c r="K55" s="7" t="str"/>
      <x:c r="L55" s="7" t="str">
        <x:v>OPEN</x:v>
      </x:c>
    </x:row>
    <x:row r="56" ht="40" customHeight="1">
      <x:c r="B56" s="7" t="str">
        <x:v>RFP-A2-FCE-05-D</x:v>
      </x:c>
      <x:c r="C56" s="7" t="str">
        <x:v>RFP-A2-FCE-05</x:v>
      </x:c>
      <x:c r="D56" s="7" t="str">
        <x:v>RFP-A2</x:v>
      </x:c>
      <x:c r="E56" s="7" t="str">
        <x:v>FCE-05</x:v>
      </x:c>
      <x:c r="F56" s="7" t="str">
        <x:v>diverse</x:v>
      </x:c>
      <x:c r="G56" s="10" t="str">
        <x:v>unlike local trip, separate energy and unlike state indication</x:v>
      </x:c>
      <x:c r="H56" s="10" t="str">
        <x:v>open to casualty receiver</x:v>
      </x:c>
      <x:c r="I56" s="7" t="n">
        <x:v>5</x:v>
      </x:c>
      <x:c r="J56" s="7" t="str"/>
      <x:c r="K56" s="7" t="str"/>
      <x:c r="L56" s="7" t="str">
        <x:v>OPEN</x:v>
      </x:c>
    </x:row>
    <x:row r="57" ht="40" customHeight="1">
      <x:c r="B57" s="7" t="str">
        <x:v>RFP-A2-FCE-05-M</x:v>
      </x:c>
      <x:c r="C57" s="7" t="str">
        <x:v>RFP-A2-FCE-05</x:v>
      </x:c>
      <x:c r="D57" s="7" t="str">
        <x:v>RFP-A2</x:v>
      </x:c>
      <x:c r="E57" s="7" t="str">
        <x:v>FCE-05</x:v>
      </x:c>
      <x:c r="F57" s="7" t="str">
        <x:v>manual/passive</x:v>
      </x:c>
      <x:c r="G57" s="10" t="str">
        <x:v>field action or passive state without network dependence</x:v>
      </x:c>
      <x:c r="H57" s="10" t="str">
        <x:v>open to casualty receiver</x:v>
      </x:c>
      <x:c r="I57" s="7" t="n">
        <x:v>5</x:v>
      </x:c>
      <x:c r="J57" s="7" t="str"/>
      <x:c r="K57" s="7" t="str"/>
      <x:c r="L57" s="7" t="str">
        <x:v>OPEN</x:v>
      </x:c>
    </x:row>
    <x:row r="58" ht="40" customHeight="1">
      <x:c r="B58" s="7" t="str">
        <x:v>RFP-A2-FCE-06-P</x:v>
      </x:c>
      <x:c r="C58" s="7" t="str">
        <x:v>RFP-A2-FCE-06</x:v>
      </x:c>
      <x:c r="D58" s="7" t="str">
        <x:v>RFP-A2</x:v>
      </x:c>
      <x:c r="E58" s="7" t="str">
        <x:v>FCE-06</x:v>
      </x:c>
      <x:c r="F58" s="7" t="str">
        <x:v>primary</x:v>
      </x:c>
      <x:c r="G58" s="10" t="str">
        <x:v>registered command, independent energy and direct final-state sensor</x:v>
      </x:c>
      <x:c r="H58" s="10" t="str">
        <x:v>de-energized</x:v>
      </x:c>
      <x:c r="I58" s="7" t="n">
        <x:v>1</x:v>
      </x:c>
      <x:c r="J58" s="7" t="str"/>
      <x:c r="K58" s="7" t="str"/>
      <x:c r="L58" s="7" t="str">
        <x:v>OPEN</x:v>
      </x:c>
    </x:row>
    <x:row r="59" ht="40" customHeight="1">
      <x:c r="B59" s="7" t="str">
        <x:v>RFP-A2-FCE-06-D</x:v>
      </x:c>
      <x:c r="C59" s="7" t="str">
        <x:v>RFP-A2-FCE-06</x:v>
      </x:c>
      <x:c r="D59" s="7" t="str">
        <x:v>RFP-A2</x:v>
      </x:c>
      <x:c r="E59" s="7" t="str">
        <x:v>FCE-06</x:v>
      </x:c>
      <x:c r="F59" s="7" t="str">
        <x:v>diverse</x:v>
      </x:c>
      <x:c r="G59" s="10" t="str">
        <x:v>unlike local trip, separate energy and unlike state indication</x:v>
      </x:c>
      <x:c r="H59" s="10" t="str">
        <x:v>de-energized</x:v>
      </x:c>
      <x:c r="I59" s="7" t="n">
        <x:v>1</x:v>
      </x:c>
      <x:c r="J59" s="7" t="str"/>
      <x:c r="K59" s="7" t="str"/>
      <x:c r="L59" s="7" t="str">
        <x:v>OPEN</x:v>
      </x:c>
    </x:row>
    <x:row r="60" ht="40" customHeight="1">
      <x:c r="B60" s="7" t="str">
        <x:v>RFP-A2-FCE-06-M</x:v>
      </x:c>
      <x:c r="C60" s="7" t="str">
        <x:v>RFP-A2-FCE-06</x:v>
      </x:c>
      <x:c r="D60" s="7" t="str">
        <x:v>RFP-A2</x:v>
      </x:c>
      <x:c r="E60" s="7" t="str">
        <x:v>FCE-06</x:v>
      </x:c>
      <x:c r="F60" s="7" t="str">
        <x:v>manual/passive</x:v>
      </x:c>
      <x:c r="G60" s="10" t="str">
        <x:v>field action or passive state without network dependence</x:v>
      </x:c>
      <x:c r="H60" s="10" t="str">
        <x:v>de-energized</x:v>
      </x:c>
      <x:c r="I60" s="7" t="n">
        <x:v>1</x:v>
      </x:c>
      <x:c r="J60" s="7" t="str"/>
      <x:c r="K60" s="7" t="str"/>
      <x:c r="L60" s="7" t="str">
        <x:v>OPEN</x:v>
      </x:c>
    </x:row>
    <x:row r="61" ht="40" customHeight="1">
      <x:c r="B61" s="7" t="str">
        <x:v>RFP-A2-FCE-07-P</x:v>
      </x:c>
      <x:c r="C61" s="7" t="str">
        <x:v>RFP-A2-FCE-07</x:v>
      </x:c>
      <x:c r="D61" s="7" t="str">
        <x:v>RFP-A2</x:v>
      </x:c>
      <x:c r="E61" s="7" t="str">
        <x:v>FCE-07</x:v>
      </x:c>
      <x:c r="F61" s="7" t="str">
        <x:v>primary</x:v>
      </x:c>
      <x:c r="G61" s="10" t="str">
        <x:v>registered command, independent energy and direct final-state sensor</x:v>
      </x:c>
      <x:c r="H61" s="10" t="str">
        <x:v>closed</x:v>
      </x:c>
      <x:c r="I61" s="7" t="n">
        <x:v>2</x:v>
      </x:c>
      <x:c r="J61" s="7" t="str"/>
      <x:c r="K61" s="7" t="str"/>
      <x:c r="L61" s="7" t="str">
        <x:v>OPEN</x:v>
      </x:c>
    </x:row>
    <x:row r="62" ht="40" customHeight="1">
      <x:c r="B62" s="7" t="str">
        <x:v>RFP-A2-FCE-07-D</x:v>
      </x:c>
      <x:c r="C62" s="7" t="str">
        <x:v>RFP-A2-FCE-07</x:v>
      </x:c>
      <x:c r="D62" s="7" t="str">
        <x:v>RFP-A2</x:v>
      </x:c>
      <x:c r="E62" s="7" t="str">
        <x:v>FCE-07</x:v>
      </x:c>
      <x:c r="F62" s="7" t="str">
        <x:v>diverse</x:v>
      </x:c>
      <x:c r="G62" s="10" t="str">
        <x:v>unlike local trip, separate energy and unlike state indication</x:v>
      </x:c>
      <x:c r="H62" s="10" t="str">
        <x:v>closed</x:v>
      </x:c>
      <x:c r="I62" s="7" t="n">
        <x:v>2</x:v>
      </x:c>
      <x:c r="J62" s="7" t="str"/>
      <x:c r="K62" s="7" t="str"/>
      <x:c r="L62" s="7" t="str">
        <x:v>OPEN</x:v>
      </x:c>
    </x:row>
    <x:row r="63" ht="40" customHeight="1">
      <x:c r="B63" s="7" t="str">
        <x:v>RFP-A2-FCE-07-M</x:v>
      </x:c>
      <x:c r="C63" s="7" t="str">
        <x:v>RFP-A2-FCE-07</x:v>
      </x:c>
      <x:c r="D63" s="7" t="str">
        <x:v>RFP-A2</x:v>
      </x:c>
      <x:c r="E63" s="7" t="str">
        <x:v>FCE-07</x:v>
      </x:c>
      <x:c r="F63" s="7" t="str">
        <x:v>manual/passive</x:v>
      </x:c>
      <x:c r="G63" s="10" t="str">
        <x:v>field action or passive state without network dependence</x:v>
      </x:c>
      <x:c r="H63" s="10" t="str">
        <x:v>closed</x:v>
      </x:c>
      <x:c r="I63" s="7" t="n">
        <x:v>2</x:v>
      </x:c>
      <x:c r="J63" s="7" t="str"/>
      <x:c r="K63" s="7" t="str"/>
      <x:c r="L63" s="7" t="str">
        <x:v>OPEN</x:v>
      </x:c>
    </x:row>
    <x:row r="64" ht="40" customHeight="1">
      <x:c r="B64" s="7" t="str">
        <x:v>RFP-A2-FCE-08-P</x:v>
      </x:c>
      <x:c r="C64" s="7" t="str">
        <x:v>RFP-A2-FCE-08</x:v>
      </x:c>
      <x:c r="D64" s="7" t="str">
        <x:v>RFP-A2</x:v>
      </x:c>
      <x:c r="E64" s="7" t="str">
        <x:v>FCE-08</x:v>
      </x:c>
      <x:c r="F64" s="7" t="str">
        <x:v>primary</x:v>
      </x:c>
      <x:c r="G64" s="10" t="str">
        <x:v>registered command, independent energy and direct final-state sensor</x:v>
      </x:c>
      <x:c r="H64" s="10" t="str">
        <x:v>open to casualty receiver</x:v>
      </x:c>
      <x:c r="I64" s="7" t="n">
        <x:v>5</x:v>
      </x:c>
      <x:c r="J64" s="7" t="str"/>
      <x:c r="K64" s="7" t="str"/>
      <x:c r="L64" s="7" t="str">
        <x:v>OPEN</x:v>
      </x:c>
    </x:row>
    <x:row r="65" ht="40" customHeight="1">
      <x:c r="B65" s="7" t="str">
        <x:v>RFP-A2-FCE-08-D</x:v>
      </x:c>
      <x:c r="C65" s="7" t="str">
        <x:v>RFP-A2-FCE-08</x:v>
      </x:c>
      <x:c r="D65" s="7" t="str">
        <x:v>RFP-A2</x:v>
      </x:c>
      <x:c r="E65" s="7" t="str">
        <x:v>FCE-08</x:v>
      </x:c>
      <x:c r="F65" s="7" t="str">
        <x:v>diverse</x:v>
      </x:c>
      <x:c r="G65" s="10" t="str">
        <x:v>unlike local trip, separate energy and unlike state indication</x:v>
      </x:c>
      <x:c r="H65" s="10" t="str">
        <x:v>open to casualty receiver</x:v>
      </x:c>
      <x:c r="I65" s="7" t="n">
        <x:v>5</x:v>
      </x:c>
      <x:c r="J65" s="7" t="str"/>
      <x:c r="K65" s="7" t="str"/>
      <x:c r="L65" s="7" t="str">
        <x:v>OPEN</x:v>
      </x:c>
    </x:row>
    <x:row r="66" ht="40" customHeight="1">
      <x:c r="B66" s="7" t="str">
        <x:v>RFP-A2-FCE-08-M</x:v>
      </x:c>
      <x:c r="C66" s="7" t="str">
        <x:v>RFP-A2-FCE-08</x:v>
      </x:c>
      <x:c r="D66" s="7" t="str">
        <x:v>RFP-A2</x:v>
      </x:c>
      <x:c r="E66" s="7" t="str">
        <x:v>FCE-08</x:v>
      </x:c>
      <x:c r="F66" s="7" t="str">
        <x:v>manual/passive</x:v>
      </x:c>
      <x:c r="G66" s="10" t="str">
        <x:v>field action or passive state without network dependence</x:v>
      </x:c>
      <x:c r="H66" s="10" t="str">
        <x:v>open to casualty receiver</x:v>
      </x:c>
      <x:c r="I66" s="7" t="n">
        <x:v>5</x:v>
      </x:c>
      <x:c r="J66" s="7" t="str"/>
      <x:c r="K66" s="7" t="str"/>
      <x:c r="L66" s="7" t="str">
        <x:v>OPEN</x:v>
      </x:c>
    </x:row>
    <x:row r="67" ht="40" customHeight="1">
      <x:c r="B67" s="7" t="str">
        <x:v>RFP-A2-FCE-09-P</x:v>
      </x:c>
      <x:c r="C67" s="7" t="str">
        <x:v>RFP-A2-FCE-09</x:v>
      </x:c>
      <x:c r="D67" s="7" t="str">
        <x:v>RFP-A2</x:v>
      </x:c>
      <x:c r="E67" s="7" t="str">
        <x:v>FCE-09</x:v>
      </x:c>
      <x:c r="F67" s="7" t="str">
        <x:v>primary</x:v>
      </x:c>
      <x:c r="G67" s="10" t="str">
        <x:v>registered command, independent energy and direct final-state sensor</x:v>
      </x:c>
      <x:c r="H67" s="10" t="str">
        <x:v>isolated</x:v>
      </x:c>
      <x:c r="I67" s="7" t="n">
        <x:v>1</x:v>
      </x:c>
      <x:c r="J67" s="7" t="str"/>
      <x:c r="K67" s="7" t="str"/>
      <x:c r="L67" s="7" t="str">
        <x:v>OPEN</x:v>
      </x:c>
    </x:row>
    <x:row r="68" ht="40" customHeight="1">
      <x:c r="B68" s="7" t="str">
        <x:v>RFP-A2-FCE-09-D</x:v>
      </x:c>
      <x:c r="C68" s="7" t="str">
        <x:v>RFP-A2-FCE-09</x:v>
      </x:c>
      <x:c r="D68" s="7" t="str">
        <x:v>RFP-A2</x:v>
      </x:c>
      <x:c r="E68" s="7" t="str">
        <x:v>FCE-09</x:v>
      </x:c>
      <x:c r="F68" s="7" t="str">
        <x:v>diverse</x:v>
      </x:c>
      <x:c r="G68" s="10" t="str">
        <x:v>unlike local trip, separate energy and unlike state indication</x:v>
      </x:c>
      <x:c r="H68" s="10" t="str">
        <x:v>isolated</x:v>
      </x:c>
      <x:c r="I68" s="7" t="n">
        <x:v>1</x:v>
      </x:c>
      <x:c r="J68" s="7" t="str"/>
      <x:c r="K68" s="7" t="str"/>
      <x:c r="L68" s="7" t="str">
        <x:v>OPEN</x:v>
      </x:c>
    </x:row>
    <x:row r="69" ht="40" customHeight="1">
      <x:c r="B69" s="7" t="str">
        <x:v>RFP-A2-FCE-09-M</x:v>
      </x:c>
      <x:c r="C69" s="7" t="str">
        <x:v>RFP-A2-FCE-09</x:v>
      </x:c>
      <x:c r="D69" s="7" t="str">
        <x:v>RFP-A2</x:v>
      </x:c>
      <x:c r="E69" s="7" t="str">
        <x:v>FCE-09</x:v>
      </x:c>
      <x:c r="F69" s="7" t="str">
        <x:v>manual/passive</x:v>
      </x:c>
      <x:c r="G69" s="10" t="str">
        <x:v>field action or passive state without network dependence</x:v>
      </x:c>
      <x:c r="H69" s="10" t="str">
        <x:v>isolated</x:v>
      </x:c>
      <x:c r="I69" s="7" t="n">
        <x:v>1</x:v>
      </x:c>
      <x:c r="J69" s="7" t="str"/>
      <x:c r="K69" s="7" t="str"/>
      <x:c r="L69" s="7" t="str">
        <x:v>OPEN</x:v>
      </x:c>
    </x:row>
    <x:row r="70" ht="40" customHeight="1">
      <x:c r="B70" s="7" t="str">
        <x:v>RFP-A2-FCE-10-P</x:v>
      </x:c>
      <x:c r="C70" s="7" t="str">
        <x:v>RFP-A2-FCE-10</x:v>
      </x:c>
      <x:c r="D70" s="7" t="str">
        <x:v>RFP-A2</x:v>
      </x:c>
      <x:c r="E70" s="7" t="str">
        <x:v>FCE-10</x:v>
      </x:c>
      <x:c r="F70" s="7" t="str">
        <x:v>primary</x:v>
      </x:c>
      <x:c r="G70" s="10" t="str">
        <x:v>registered command, independent energy and direct final-state sensor</x:v>
      </x:c>
      <x:c r="H70" s="10" t="str">
        <x:v>maintained for final action</x:v>
      </x:c>
      <x:c r="I70" s="7" t="n">
        <x:v>30</x:v>
      </x:c>
      <x:c r="J70" s="7" t="str"/>
      <x:c r="K70" s="7" t="str"/>
      <x:c r="L70" s="7" t="str">
        <x:v>OPEN</x:v>
      </x:c>
    </x:row>
    <x:row r="71" ht="40" customHeight="1">
      <x:c r="B71" s="7" t="str">
        <x:v>RFP-A2-FCE-10-D</x:v>
      </x:c>
      <x:c r="C71" s="7" t="str">
        <x:v>RFP-A2-FCE-10</x:v>
      </x:c>
      <x:c r="D71" s="7" t="str">
        <x:v>RFP-A2</x:v>
      </x:c>
      <x:c r="E71" s="7" t="str">
        <x:v>FCE-10</x:v>
      </x:c>
      <x:c r="F71" s="7" t="str">
        <x:v>diverse</x:v>
      </x:c>
      <x:c r="G71" s="10" t="str">
        <x:v>unlike local trip, separate energy and unlike state indication</x:v>
      </x:c>
      <x:c r="H71" s="10" t="str">
        <x:v>maintained for final action</x:v>
      </x:c>
      <x:c r="I71" s="7" t="n">
        <x:v>30</x:v>
      </x:c>
      <x:c r="J71" s="7" t="str"/>
      <x:c r="K71" s="7" t="str"/>
      <x:c r="L71" s="7" t="str">
        <x:v>OPEN</x:v>
      </x:c>
    </x:row>
    <x:row r="72" ht="40" customHeight="1">
      <x:c r="B72" s="7" t="str">
        <x:v>RFP-A2-FCE-10-M</x:v>
      </x:c>
      <x:c r="C72" s="7" t="str">
        <x:v>RFP-A2-FCE-10</x:v>
      </x:c>
      <x:c r="D72" s="7" t="str">
        <x:v>RFP-A2</x:v>
      </x:c>
      <x:c r="E72" s="7" t="str">
        <x:v>FCE-10</x:v>
      </x:c>
      <x:c r="F72" s="7" t="str">
        <x:v>manual/passive</x:v>
      </x:c>
      <x:c r="G72" s="10" t="str">
        <x:v>field action or passive state without network dependence</x:v>
      </x:c>
      <x:c r="H72" s="10" t="str">
        <x:v>maintained for final action</x:v>
      </x:c>
      <x:c r="I72" s="7" t="n">
        <x:v>30</x:v>
      </x:c>
      <x:c r="J72" s="7" t="str"/>
      <x:c r="K72" s="7" t="str"/>
      <x:c r="L72" s="7" t="str">
        <x:v>OPEN</x:v>
      </x:c>
    </x:row>
    <x:row r="73" ht="40" customHeight="1">
      <x:c r="B73" s="7" t="str">
        <x:v>RFP-A2-FCE-11-P</x:v>
      </x:c>
      <x:c r="C73" s="7" t="str">
        <x:v>RFP-A2-FCE-11</x:v>
      </x:c>
      <x:c r="D73" s="7" t="str">
        <x:v>RFP-A2</x:v>
      </x:c>
      <x:c r="E73" s="7" t="str">
        <x:v>FCE-11</x:v>
      </x:c>
      <x:c r="F73" s="7" t="str">
        <x:v>primary</x:v>
      </x:c>
      <x:c r="G73" s="10" t="str">
        <x:v>registered command, independent energy and direct final-state sensor</x:v>
      </x:c>
      <x:c r="H73" s="10" t="str">
        <x:v>contained safe route</x:v>
      </x:c>
      <x:c r="I73" s="7" t="n">
        <x:v>10</x:v>
      </x:c>
      <x:c r="J73" s="7" t="str"/>
      <x:c r="K73" s="7" t="str"/>
      <x:c r="L73" s="7" t="str">
        <x:v>OPEN</x:v>
      </x:c>
    </x:row>
    <x:row r="74" ht="40" customHeight="1">
      <x:c r="B74" s="7" t="str">
        <x:v>RFP-A2-FCE-11-D</x:v>
      </x:c>
      <x:c r="C74" s="7" t="str">
        <x:v>RFP-A2-FCE-11</x:v>
      </x:c>
      <x:c r="D74" s="7" t="str">
        <x:v>RFP-A2</x:v>
      </x:c>
      <x:c r="E74" s="7" t="str">
        <x:v>FCE-11</x:v>
      </x:c>
      <x:c r="F74" s="7" t="str">
        <x:v>diverse</x:v>
      </x:c>
      <x:c r="G74" s="10" t="str">
        <x:v>unlike local trip, separate energy and unlike state indication</x:v>
      </x:c>
      <x:c r="H74" s="10" t="str">
        <x:v>contained safe route</x:v>
      </x:c>
      <x:c r="I74" s="7" t="n">
        <x:v>10</x:v>
      </x:c>
      <x:c r="J74" s="7" t="str"/>
      <x:c r="K74" s="7" t="str"/>
      <x:c r="L74" s="7" t="str">
        <x:v>OPEN</x:v>
      </x:c>
    </x:row>
    <x:row r="75" ht="40" customHeight="1">
      <x:c r="B75" s="7" t="str">
        <x:v>RFP-A2-FCE-11-M</x:v>
      </x:c>
      <x:c r="C75" s="7" t="str">
        <x:v>RFP-A2-FCE-11</x:v>
      </x:c>
      <x:c r="D75" s="7" t="str">
        <x:v>RFP-A2</x:v>
      </x:c>
      <x:c r="E75" s="7" t="str">
        <x:v>FCE-11</x:v>
      </x:c>
      <x:c r="F75" s="7" t="str">
        <x:v>manual/passive</x:v>
      </x:c>
      <x:c r="G75" s="10" t="str">
        <x:v>field action or passive state without network dependence</x:v>
      </x:c>
      <x:c r="H75" s="10" t="str">
        <x:v>contained safe route</x:v>
      </x:c>
      <x:c r="I75" s="7" t="n">
        <x:v>10</x:v>
      </x:c>
      <x:c r="J75" s="7" t="str"/>
      <x:c r="K75" s="7" t="str"/>
      <x:c r="L75" s="7" t="str">
        <x:v>OPEN</x:v>
      </x:c>
    </x:row>
    <x:row r="76" ht="40" customHeight="1">
      <x:c r="B76" s="7" t="str">
        <x:v>RFP-A2-FCE-12-P</x:v>
      </x:c>
      <x:c r="C76" s="7" t="str">
        <x:v>RFP-A2-FCE-12</x:v>
      </x:c>
      <x:c r="D76" s="7" t="str">
        <x:v>RFP-A2</x:v>
      </x:c>
      <x:c r="E76" s="7" t="str">
        <x:v>FCE-12</x:v>
      </x:c>
      <x:c r="F76" s="7" t="str">
        <x:v>primary</x:v>
      </x:c>
      <x:c r="G76" s="10" t="str">
        <x:v>registered command, independent energy and direct final-state sensor</x:v>
      </x:c>
      <x:c r="H76" s="10" t="str">
        <x:v>latched and locally readable</x:v>
      </x:c>
      <x:c r="I76" s="7" t="n">
        <x:v>1</x:v>
      </x:c>
      <x:c r="J76" s="7" t="str"/>
      <x:c r="K76" s="7" t="str"/>
      <x:c r="L76" s="7" t="str">
        <x:v>OPEN</x:v>
      </x:c>
    </x:row>
    <x:row r="77" ht="40" customHeight="1">
      <x:c r="B77" s="7" t="str">
        <x:v>RFP-A2-FCE-12-D</x:v>
      </x:c>
      <x:c r="C77" s="7" t="str">
        <x:v>RFP-A2-FCE-12</x:v>
      </x:c>
      <x:c r="D77" s="7" t="str">
        <x:v>RFP-A2</x:v>
      </x:c>
      <x:c r="E77" s="7" t="str">
        <x:v>FCE-12</x:v>
      </x:c>
      <x:c r="F77" s="7" t="str">
        <x:v>diverse</x:v>
      </x:c>
      <x:c r="G77" s="10" t="str">
        <x:v>unlike local trip, separate energy and unlike state indication</x:v>
      </x:c>
      <x:c r="H77" s="10" t="str">
        <x:v>latched and locally readable</x:v>
      </x:c>
      <x:c r="I77" s="7" t="n">
        <x:v>1</x:v>
      </x:c>
      <x:c r="J77" s="7" t="str"/>
      <x:c r="K77" s="7" t="str"/>
      <x:c r="L77" s="7" t="str">
        <x:v>OPEN</x:v>
      </x:c>
    </x:row>
    <x:row r="78" ht="40" customHeight="1">
      <x:c r="B78" s="7" t="str">
        <x:v>RFP-A2-FCE-12-M</x:v>
      </x:c>
      <x:c r="C78" s="7" t="str">
        <x:v>RFP-A2-FCE-12</x:v>
      </x:c>
      <x:c r="D78" s="7" t="str">
        <x:v>RFP-A2</x:v>
      </x:c>
      <x:c r="E78" s="7" t="str">
        <x:v>FCE-12</x:v>
      </x:c>
      <x:c r="F78" s="7" t="str">
        <x:v>manual/passive</x:v>
      </x:c>
      <x:c r="G78" s="10" t="str">
        <x:v>field action or passive state without network dependence</x:v>
      </x:c>
      <x:c r="H78" s="10" t="str">
        <x:v>latched and locally readable</x:v>
      </x:c>
      <x:c r="I78" s="7" t="n">
        <x:v>1</x:v>
      </x:c>
      <x:c r="J78" s="7" t="str"/>
      <x:c r="K78" s="7" t="str"/>
      <x:c r="L78" s="7" t="str">
        <x:v>OPEN</x:v>
      </x:c>
    </x:row>
    <x:row r="79" ht="40" customHeight="1">
      <x:c r="B79" s="7" t="str">
        <x:v>RFP-B1-FCE-01-P</x:v>
      </x:c>
      <x:c r="C79" s="7" t="str">
        <x:v>RFP-B1-FCE-01</x:v>
      </x:c>
      <x:c r="D79" s="7" t="str">
        <x:v>RFP-B1</x:v>
      </x:c>
      <x:c r="E79" s="7" t="str">
        <x:v>FCE-01</x:v>
      </x:c>
      <x:c r="F79" s="7" t="str">
        <x:v>primary</x:v>
      </x:c>
      <x:c r="G79" s="10" t="str">
        <x:v>registered command, independent energy and direct final-state sensor</x:v>
      </x:c>
      <x:c r="H79" s="10" t="str">
        <x:v>closed</x:v>
      </x:c>
      <x:c r="I79" s="7" t="n">
        <x:v>2</x:v>
      </x:c>
      <x:c r="J79" s="7" t="str"/>
      <x:c r="K79" s="7" t="str"/>
      <x:c r="L79" s="7" t="str">
        <x:v>OPEN</x:v>
      </x:c>
    </x:row>
    <x:row r="80" ht="40" customHeight="1">
      <x:c r="B80" s="7" t="str">
        <x:v>RFP-B1-FCE-01-D</x:v>
      </x:c>
      <x:c r="C80" s="7" t="str">
        <x:v>RFP-B1-FCE-01</x:v>
      </x:c>
      <x:c r="D80" s="7" t="str">
        <x:v>RFP-B1</x:v>
      </x:c>
      <x:c r="E80" s="7" t="str">
        <x:v>FCE-01</x:v>
      </x:c>
      <x:c r="F80" s="7" t="str">
        <x:v>diverse</x:v>
      </x:c>
      <x:c r="G80" s="10" t="str">
        <x:v>unlike local trip, separate energy and unlike state indication</x:v>
      </x:c>
      <x:c r="H80" s="10" t="str">
        <x:v>closed</x:v>
      </x:c>
      <x:c r="I80" s="7" t="n">
        <x:v>2</x:v>
      </x:c>
      <x:c r="J80" s="7" t="str"/>
      <x:c r="K80" s="7" t="str"/>
      <x:c r="L80" s="7" t="str">
        <x:v>OPEN</x:v>
      </x:c>
    </x:row>
    <x:row r="81" ht="40" customHeight="1">
      <x:c r="B81" s="7" t="str">
        <x:v>RFP-B1-FCE-01-M</x:v>
      </x:c>
      <x:c r="C81" s="7" t="str">
        <x:v>RFP-B1-FCE-01</x:v>
      </x:c>
      <x:c r="D81" s="7" t="str">
        <x:v>RFP-B1</x:v>
      </x:c>
      <x:c r="E81" s="7" t="str">
        <x:v>FCE-01</x:v>
      </x:c>
      <x:c r="F81" s="7" t="str">
        <x:v>manual/passive</x:v>
      </x:c>
      <x:c r="G81" s="10" t="str">
        <x:v>field action or passive state without network dependence</x:v>
      </x:c>
      <x:c r="H81" s="10" t="str">
        <x:v>closed</x:v>
      </x:c>
      <x:c r="I81" s="7" t="n">
        <x:v>2</x:v>
      </x:c>
      <x:c r="J81" s="7" t="str"/>
      <x:c r="K81" s="7" t="str"/>
      <x:c r="L81" s="7" t="str">
        <x:v>OPEN</x:v>
      </x:c>
    </x:row>
    <x:row r="82" ht="40" customHeight="1">
      <x:c r="B82" s="7" t="str">
        <x:v>RFP-B1-FCE-02-P</x:v>
      </x:c>
      <x:c r="C82" s="7" t="str">
        <x:v>RFP-B1-FCE-02</x:v>
      </x:c>
      <x:c r="D82" s="7" t="str">
        <x:v>RFP-B1</x:v>
      </x:c>
      <x:c r="E82" s="7" t="str">
        <x:v>FCE-02</x:v>
      </x:c>
      <x:c r="F82" s="7" t="str">
        <x:v>primary</x:v>
      </x:c>
      <x:c r="G82" s="10" t="str">
        <x:v>registered command, independent energy and direct final-state sensor</x:v>
      </x:c>
      <x:c r="H82" s="10" t="str">
        <x:v>closed</x:v>
      </x:c>
      <x:c r="I82" s="7" t="n">
        <x:v>2</x:v>
      </x:c>
      <x:c r="J82" s="7" t="str"/>
      <x:c r="K82" s="7" t="str"/>
      <x:c r="L82" s="7" t="str">
        <x:v>OPEN</x:v>
      </x:c>
    </x:row>
    <x:row r="83" ht="40" customHeight="1">
      <x:c r="B83" s="7" t="str">
        <x:v>RFP-B1-FCE-02-D</x:v>
      </x:c>
      <x:c r="C83" s="7" t="str">
        <x:v>RFP-B1-FCE-02</x:v>
      </x:c>
      <x:c r="D83" s="7" t="str">
        <x:v>RFP-B1</x:v>
      </x:c>
      <x:c r="E83" s="7" t="str">
        <x:v>FCE-02</x:v>
      </x:c>
      <x:c r="F83" s="7" t="str">
        <x:v>diverse</x:v>
      </x:c>
      <x:c r="G83" s="10" t="str">
        <x:v>unlike local trip, separate energy and unlike state indication</x:v>
      </x:c>
      <x:c r="H83" s="10" t="str">
        <x:v>closed</x:v>
      </x:c>
      <x:c r="I83" s="7" t="n">
        <x:v>2</x:v>
      </x:c>
      <x:c r="J83" s="7" t="str"/>
      <x:c r="K83" s="7" t="str"/>
      <x:c r="L83" s="7" t="str">
        <x:v>OPEN</x:v>
      </x:c>
    </x:row>
    <x:row r="84" ht="40" customHeight="1">
      <x:c r="B84" s="7" t="str">
        <x:v>RFP-B1-FCE-02-M</x:v>
      </x:c>
      <x:c r="C84" s="7" t="str">
        <x:v>RFP-B1-FCE-02</x:v>
      </x:c>
      <x:c r="D84" s="7" t="str">
        <x:v>RFP-B1</x:v>
      </x:c>
      <x:c r="E84" s="7" t="str">
        <x:v>FCE-02</x:v>
      </x:c>
      <x:c r="F84" s="7" t="str">
        <x:v>manual/passive</x:v>
      </x:c>
      <x:c r="G84" s="10" t="str">
        <x:v>field action or passive state without network dependence</x:v>
      </x:c>
      <x:c r="H84" s="10" t="str">
        <x:v>closed</x:v>
      </x:c>
      <x:c r="I84" s="7" t="n">
        <x:v>2</x:v>
      </x:c>
      <x:c r="J84" s="7" t="str"/>
      <x:c r="K84" s="7" t="str"/>
      <x:c r="L84" s="7" t="str">
        <x:v>OPEN</x:v>
      </x:c>
    </x:row>
    <x:row r="85" ht="40" customHeight="1">
      <x:c r="B85" s="7" t="str">
        <x:v>RFP-B1-FCE-03-P</x:v>
      </x:c>
      <x:c r="C85" s="7" t="str">
        <x:v>RFP-B1-FCE-03</x:v>
      </x:c>
      <x:c r="D85" s="7" t="str">
        <x:v>RFP-B1</x:v>
      </x:c>
      <x:c r="E85" s="7" t="str">
        <x:v>FCE-03</x:v>
      </x:c>
      <x:c r="F85" s="7" t="str">
        <x:v>primary</x:v>
      </x:c>
      <x:c r="G85" s="10" t="str">
        <x:v>registered command, independent energy and direct final-state sensor</x:v>
      </x:c>
      <x:c r="H85" s="10" t="str">
        <x:v>casualty receiver</x:v>
      </x:c>
      <x:c r="I85" s="7" t="n">
        <x:v>5</x:v>
      </x:c>
      <x:c r="J85" s="7" t="str"/>
      <x:c r="K85" s="7" t="str"/>
      <x:c r="L85" s="7" t="str">
        <x:v>OPEN</x:v>
      </x:c>
    </x:row>
    <x:row r="86" ht="40" customHeight="1">
      <x:c r="B86" s="7" t="str">
        <x:v>RFP-B1-FCE-03-D</x:v>
      </x:c>
      <x:c r="C86" s="7" t="str">
        <x:v>RFP-B1-FCE-03</x:v>
      </x:c>
      <x:c r="D86" s="7" t="str">
        <x:v>RFP-B1</x:v>
      </x:c>
      <x:c r="E86" s="7" t="str">
        <x:v>FCE-03</x:v>
      </x:c>
      <x:c r="F86" s="7" t="str">
        <x:v>diverse</x:v>
      </x:c>
      <x:c r="G86" s="10" t="str">
        <x:v>unlike local trip, separate energy and unlike state indication</x:v>
      </x:c>
      <x:c r="H86" s="10" t="str">
        <x:v>casualty receiver</x:v>
      </x:c>
      <x:c r="I86" s="7" t="n">
        <x:v>5</x:v>
      </x:c>
      <x:c r="J86" s="7" t="str"/>
      <x:c r="K86" s="7" t="str"/>
      <x:c r="L86" s="7" t="str">
        <x:v>OPEN</x:v>
      </x:c>
    </x:row>
    <x:row r="87" ht="40" customHeight="1">
      <x:c r="B87" s="7" t="str">
        <x:v>RFP-B1-FCE-03-M</x:v>
      </x:c>
      <x:c r="C87" s="7" t="str">
        <x:v>RFP-B1-FCE-03</x:v>
      </x:c>
      <x:c r="D87" s="7" t="str">
        <x:v>RFP-B1</x:v>
      </x:c>
      <x:c r="E87" s="7" t="str">
        <x:v>FCE-03</x:v>
      </x:c>
      <x:c r="F87" s="7" t="str">
        <x:v>manual/passive</x:v>
      </x:c>
      <x:c r="G87" s="10" t="str">
        <x:v>field action or passive state without network dependence</x:v>
      </x:c>
      <x:c r="H87" s="10" t="str">
        <x:v>casualty receiver</x:v>
      </x:c>
      <x:c r="I87" s="7" t="n">
        <x:v>5</x:v>
      </x:c>
      <x:c r="J87" s="7" t="str"/>
      <x:c r="K87" s="7" t="str"/>
      <x:c r="L87" s="7" t="str">
        <x:v>OPEN</x:v>
      </x:c>
    </x:row>
    <x:row r="88" ht="40" customHeight="1">
      <x:c r="B88" s="7" t="str">
        <x:v>RFP-B1-FCE-04-P</x:v>
      </x:c>
      <x:c r="C88" s="7" t="str">
        <x:v>RFP-B1-FCE-04</x:v>
      </x:c>
      <x:c r="D88" s="7" t="str">
        <x:v>RFP-B1</x:v>
      </x:c>
      <x:c r="E88" s="7" t="str">
        <x:v>FCE-04</x:v>
      </x:c>
      <x:c r="F88" s="7" t="str">
        <x:v>primary</x:v>
      </x:c>
      <x:c r="G88" s="10" t="str">
        <x:v>registered command, independent energy and direct final-state sensor</x:v>
      </x:c>
      <x:c r="H88" s="10" t="str">
        <x:v>closed</x:v>
      </x:c>
      <x:c r="I88" s="7" t="n">
        <x:v>3</x:v>
      </x:c>
      <x:c r="J88" s="7" t="str"/>
      <x:c r="K88" s="7" t="str"/>
      <x:c r="L88" s="7" t="str">
        <x:v>OPEN</x:v>
      </x:c>
    </x:row>
    <x:row r="89" ht="40" customHeight="1">
      <x:c r="B89" s="7" t="str">
        <x:v>RFP-B1-FCE-04-D</x:v>
      </x:c>
      <x:c r="C89" s="7" t="str">
        <x:v>RFP-B1-FCE-04</x:v>
      </x:c>
      <x:c r="D89" s="7" t="str">
        <x:v>RFP-B1</x:v>
      </x:c>
      <x:c r="E89" s="7" t="str">
        <x:v>FCE-04</x:v>
      </x:c>
      <x:c r="F89" s="7" t="str">
        <x:v>diverse</x:v>
      </x:c>
      <x:c r="G89" s="10" t="str">
        <x:v>unlike local trip, separate energy and unlike state indication</x:v>
      </x:c>
      <x:c r="H89" s="10" t="str">
        <x:v>closed</x:v>
      </x:c>
      <x:c r="I89" s="7" t="n">
        <x:v>3</x:v>
      </x:c>
      <x:c r="J89" s="7" t="str"/>
      <x:c r="K89" s="7" t="str"/>
      <x:c r="L89" s="7" t="str">
        <x:v>OPEN</x:v>
      </x:c>
    </x:row>
    <x:row r="90" ht="40" customHeight="1">
      <x:c r="B90" s="7" t="str">
        <x:v>RFP-B1-FCE-04-M</x:v>
      </x:c>
      <x:c r="C90" s="7" t="str">
        <x:v>RFP-B1-FCE-04</x:v>
      </x:c>
      <x:c r="D90" s="7" t="str">
        <x:v>RFP-B1</x:v>
      </x:c>
      <x:c r="E90" s="7" t="str">
        <x:v>FCE-04</x:v>
      </x:c>
      <x:c r="F90" s="7" t="str">
        <x:v>manual/passive</x:v>
      </x:c>
      <x:c r="G90" s="10" t="str">
        <x:v>field action or passive state without network dependence</x:v>
      </x:c>
      <x:c r="H90" s="10" t="str">
        <x:v>closed</x:v>
      </x:c>
      <x:c r="I90" s="7" t="n">
        <x:v>3</x:v>
      </x:c>
      <x:c r="J90" s="7" t="str"/>
      <x:c r="K90" s="7" t="str"/>
      <x:c r="L90" s="7" t="str">
        <x:v>OPEN</x:v>
      </x:c>
    </x:row>
    <x:row r="91" ht="40" customHeight="1">
      <x:c r="B91" s="7" t="str">
        <x:v>RFP-B1-FCE-05-P</x:v>
      </x:c>
      <x:c r="C91" s="7" t="str">
        <x:v>RFP-B1-FCE-05</x:v>
      </x:c>
      <x:c r="D91" s="7" t="str">
        <x:v>RFP-B1</x:v>
      </x:c>
      <x:c r="E91" s="7" t="str">
        <x:v>FCE-05</x:v>
      </x:c>
      <x:c r="F91" s="7" t="str">
        <x:v>primary</x:v>
      </x:c>
      <x:c r="G91" s="10" t="str">
        <x:v>registered command, independent energy and direct final-state sensor</x:v>
      </x:c>
      <x:c r="H91" s="10" t="str">
        <x:v>open to casualty receiver</x:v>
      </x:c>
      <x:c r="I91" s="7" t="n">
        <x:v>5</x:v>
      </x:c>
      <x:c r="J91" s="7" t="str"/>
      <x:c r="K91" s="7" t="str"/>
      <x:c r="L91" s="7" t="str">
        <x:v>OPEN</x:v>
      </x:c>
    </x:row>
    <x:row r="92" ht="40" customHeight="1">
      <x:c r="B92" s="7" t="str">
        <x:v>RFP-B1-FCE-05-D</x:v>
      </x:c>
      <x:c r="C92" s="7" t="str">
        <x:v>RFP-B1-FCE-05</x:v>
      </x:c>
      <x:c r="D92" s="7" t="str">
        <x:v>RFP-B1</x:v>
      </x:c>
      <x:c r="E92" s="7" t="str">
        <x:v>FCE-05</x:v>
      </x:c>
      <x:c r="F92" s="7" t="str">
        <x:v>diverse</x:v>
      </x:c>
      <x:c r="G92" s="10" t="str">
        <x:v>unlike local trip, separate energy and unlike state indication</x:v>
      </x:c>
      <x:c r="H92" s="10" t="str">
        <x:v>open to casualty receiver</x:v>
      </x:c>
      <x:c r="I92" s="7" t="n">
        <x:v>5</x:v>
      </x:c>
      <x:c r="J92" s="7" t="str"/>
      <x:c r="K92" s="7" t="str"/>
      <x:c r="L92" s="7" t="str">
        <x:v>OPEN</x:v>
      </x:c>
    </x:row>
    <x:row r="93" ht="40" customHeight="1">
      <x:c r="B93" s="7" t="str">
        <x:v>RFP-B1-FCE-05-M</x:v>
      </x:c>
      <x:c r="C93" s="7" t="str">
        <x:v>RFP-B1-FCE-05</x:v>
      </x:c>
      <x:c r="D93" s="7" t="str">
        <x:v>RFP-B1</x:v>
      </x:c>
      <x:c r="E93" s="7" t="str">
        <x:v>FCE-05</x:v>
      </x:c>
      <x:c r="F93" s="7" t="str">
        <x:v>manual/passive</x:v>
      </x:c>
      <x:c r="G93" s="10" t="str">
        <x:v>field action or passive state without network dependence</x:v>
      </x:c>
      <x:c r="H93" s="10" t="str">
        <x:v>open to casualty receiver</x:v>
      </x:c>
      <x:c r="I93" s="7" t="n">
        <x:v>5</x:v>
      </x:c>
      <x:c r="J93" s="7" t="str"/>
      <x:c r="K93" s="7" t="str"/>
      <x:c r="L93" s="7" t="str">
        <x:v>OPEN</x:v>
      </x:c>
    </x:row>
    <x:row r="94" ht="40" customHeight="1">
      <x:c r="B94" s="7" t="str">
        <x:v>RFP-B1-FCE-06-P</x:v>
      </x:c>
      <x:c r="C94" s="7" t="str">
        <x:v>RFP-B1-FCE-06</x:v>
      </x:c>
      <x:c r="D94" s="7" t="str">
        <x:v>RFP-B1</x:v>
      </x:c>
      <x:c r="E94" s="7" t="str">
        <x:v>FCE-06</x:v>
      </x:c>
      <x:c r="F94" s="7" t="str">
        <x:v>primary</x:v>
      </x:c>
      <x:c r="G94" s="10" t="str">
        <x:v>registered command, independent energy and direct final-state sensor</x:v>
      </x:c>
      <x:c r="H94" s="10" t="str">
        <x:v>de-energized</x:v>
      </x:c>
      <x:c r="I94" s="7" t="n">
        <x:v>1</x:v>
      </x:c>
      <x:c r="J94" s="7" t="str"/>
      <x:c r="K94" s="7" t="str"/>
      <x:c r="L94" s="7" t="str">
        <x:v>OPEN</x:v>
      </x:c>
    </x:row>
    <x:row r="95" ht="40" customHeight="1">
      <x:c r="B95" s="7" t="str">
        <x:v>RFP-B1-FCE-06-D</x:v>
      </x:c>
      <x:c r="C95" s="7" t="str">
        <x:v>RFP-B1-FCE-06</x:v>
      </x:c>
      <x:c r="D95" s="7" t="str">
        <x:v>RFP-B1</x:v>
      </x:c>
      <x:c r="E95" s="7" t="str">
        <x:v>FCE-06</x:v>
      </x:c>
      <x:c r="F95" s="7" t="str">
        <x:v>diverse</x:v>
      </x:c>
      <x:c r="G95" s="10" t="str">
        <x:v>unlike local trip, separate energy and unlike state indication</x:v>
      </x:c>
      <x:c r="H95" s="10" t="str">
        <x:v>de-energized</x:v>
      </x:c>
      <x:c r="I95" s="7" t="n">
        <x:v>1</x:v>
      </x:c>
      <x:c r="J95" s="7" t="str"/>
      <x:c r="K95" s="7" t="str"/>
      <x:c r="L95" s="7" t="str">
        <x:v>OPEN</x:v>
      </x:c>
    </x:row>
    <x:row r="96" ht="40" customHeight="1">
      <x:c r="B96" s="7" t="str">
        <x:v>RFP-B1-FCE-06-M</x:v>
      </x:c>
      <x:c r="C96" s="7" t="str">
        <x:v>RFP-B1-FCE-06</x:v>
      </x:c>
      <x:c r="D96" s="7" t="str">
        <x:v>RFP-B1</x:v>
      </x:c>
      <x:c r="E96" s="7" t="str">
        <x:v>FCE-06</x:v>
      </x:c>
      <x:c r="F96" s="7" t="str">
        <x:v>manual/passive</x:v>
      </x:c>
      <x:c r="G96" s="10" t="str">
        <x:v>field action or passive state without network dependence</x:v>
      </x:c>
      <x:c r="H96" s="10" t="str">
        <x:v>de-energized</x:v>
      </x:c>
      <x:c r="I96" s="7" t="n">
        <x:v>1</x:v>
      </x:c>
      <x:c r="J96" s="7" t="str"/>
      <x:c r="K96" s="7" t="str"/>
      <x:c r="L96" s="7" t="str">
        <x:v>OPEN</x:v>
      </x:c>
    </x:row>
    <x:row r="97" ht="40" customHeight="1">
      <x:c r="B97" s="7" t="str">
        <x:v>RFP-B1-FCE-07-P</x:v>
      </x:c>
      <x:c r="C97" s="7" t="str">
        <x:v>RFP-B1-FCE-07</x:v>
      </x:c>
      <x:c r="D97" s="7" t="str">
        <x:v>RFP-B1</x:v>
      </x:c>
      <x:c r="E97" s="7" t="str">
        <x:v>FCE-07</x:v>
      </x:c>
      <x:c r="F97" s="7" t="str">
        <x:v>primary</x:v>
      </x:c>
      <x:c r="G97" s="10" t="str">
        <x:v>registered command, independent energy and direct final-state sensor</x:v>
      </x:c>
      <x:c r="H97" s="10" t="str">
        <x:v>closed</x:v>
      </x:c>
      <x:c r="I97" s="7" t="n">
        <x:v>2</x:v>
      </x:c>
      <x:c r="J97" s="7" t="str"/>
      <x:c r="K97" s="7" t="str"/>
      <x:c r="L97" s="7" t="str">
        <x:v>OPEN</x:v>
      </x:c>
    </x:row>
    <x:row r="98" ht="40" customHeight="1">
      <x:c r="B98" s="7" t="str">
        <x:v>RFP-B1-FCE-07-D</x:v>
      </x:c>
      <x:c r="C98" s="7" t="str">
        <x:v>RFP-B1-FCE-07</x:v>
      </x:c>
      <x:c r="D98" s="7" t="str">
        <x:v>RFP-B1</x:v>
      </x:c>
      <x:c r="E98" s="7" t="str">
        <x:v>FCE-07</x:v>
      </x:c>
      <x:c r="F98" s="7" t="str">
        <x:v>diverse</x:v>
      </x:c>
      <x:c r="G98" s="10" t="str">
        <x:v>unlike local trip, separate energy and unlike state indication</x:v>
      </x:c>
      <x:c r="H98" s="10" t="str">
        <x:v>closed</x:v>
      </x:c>
      <x:c r="I98" s="7" t="n">
        <x:v>2</x:v>
      </x:c>
      <x:c r="J98" s="7" t="str"/>
      <x:c r="K98" s="7" t="str"/>
      <x:c r="L98" s="7" t="str">
        <x:v>OPEN</x:v>
      </x:c>
    </x:row>
    <x:row r="99" ht="40" customHeight="1">
      <x:c r="B99" s="7" t="str">
        <x:v>RFP-B1-FCE-07-M</x:v>
      </x:c>
      <x:c r="C99" s="7" t="str">
        <x:v>RFP-B1-FCE-07</x:v>
      </x:c>
      <x:c r="D99" s="7" t="str">
        <x:v>RFP-B1</x:v>
      </x:c>
      <x:c r="E99" s="7" t="str">
        <x:v>FCE-07</x:v>
      </x:c>
      <x:c r="F99" s="7" t="str">
        <x:v>manual/passive</x:v>
      </x:c>
      <x:c r="G99" s="10" t="str">
        <x:v>field action or passive state without network dependence</x:v>
      </x:c>
      <x:c r="H99" s="10" t="str">
        <x:v>closed</x:v>
      </x:c>
      <x:c r="I99" s="7" t="n">
        <x:v>2</x:v>
      </x:c>
      <x:c r="J99" s="7" t="str"/>
      <x:c r="K99" s="7" t="str"/>
      <x:c r="L99" s="7" t="str">
        <x:v>OPEN</x:v>
      </x:c>
    </x:row>
    <x:row r="100" ht="40" customHeight="1">
      <x:c r="B100" s="7" t="str">
        <x:v>RFP-B1-FCE-08-P</x:v>
      </x:c>
      <x:c r="C100" s="7" t="str">
        <x:v>RFP-B1-FCE-08</x:v>
      </x:c>
      <x:c r="D100" s="7" t="str">
        <x:v>RFP-B1</x:v>
      </x:c>
      <x:c r="E100" s="7" t="str">
        <x:v>FCE-08</x:v>
      </x:c>
      <x:c r="F100" s="7" t="str">
        <x:v>primary</x:v>
      </x:c>
      <x:c r="G100" s="10" t="str">
        <x:v>registered command, independent energy and direct final-state sensor</x:v>
      </x:c>
      <x:c r="H100" s="10" t="str">
        <x:v>open to casualty receiver</x:v>
      </x:c>
      <x:c r="I100" s="7" t="n">
        <x:v>5</x:v>
      </x:c>
      <x:c r="J100" s="7" t="str"/>
      <x:c r="K100" s="7" t="str"/>
      <x:c r="L100" s="7" t="str">
        <x:v>OPEN</x:v>
      </x:c>
    </x:row>
    <x:row r="101" ht="40" customHeight="1">
      <x:c r="B101" s="7" t="str">
        <x:v>RFP-B1-FCE-08-D</x:v>
      </x:c>
      <x:c r="C101" s="7" t="str">
        <x:v>RFP-B1-FCE-08</x:v>
      </x:c>
      <x:c r="D101" s="7" t="str">
        <x:v>RFP-B1</x:v>
      </x:c>
      <x:c r="E101" s="7" t="str">
        <x:v>FCE-08</x:v>
      </x:c>
      <x:c r="F101" s="7" t="str">
        <x:v>diverse</x:v>
      </x:c>
      <x:c r="G101" s="10" t="str">
        <x:v>unlike local trip, separate energy and unlike state indication</x:v>
      </x:c>
      <x:c r="H101" s="10" t="str">
        <x:v>open to casualty receiver</x:v>
      </x:c>
      <x:c r="I101" s="7" t="n">
        <x:v>5</x:v>
      </x:c>
      <x:c r="J101" s="7" t="str"/>
      <x:c r="K101" s="7" t="str"/>
      <x:c r="L101" s="7" t="str">
        <x:v>OPEN</x:v>
      </x:c>
    </x:row>
    <x:row r="102" ht="40" customHeight="1">
      <x:c r="B102" s="7" t="str">
        <x:v>RFP-B1-FCE-08-M</x:v>
      </x:c>
      <x:c r="C102" s="7" t="str">
        <x:v>RFP-B1-FCE-08</x:v>
      </x:c>
      <x:c r="D102" s="7" t="str">
        <x:v>RFP-B1</x:v>
      </x:c>
      <x:c r="E102" s="7" t="str">
        <x:v>FCE-08</x:v>
      </x:c>
      <x:c r="F102" s="7" t="str">
        <x:v>manual/passive</x:v>
      </x:c>
      <x:c r="G102" s="10" t="str">
        <x:v>field action or passive state without network dependence</x:v>
      </x:c>
      <x:c r="H102" s="10" t="str">
        <x:v>open to casualty receiver</x:v>
      </x:c>
      <x:c r="I102" s="7" t="n">
        <x:v>5</x:v>
      </x:c>
      <x:c r="J102" s="7" t="str"/>
      <x:c r="K102" s="7" t="str"/>
      <x:c r="L102" s="7" t="str">
        <x:v>OPEN</x:v>
      </x:c>
    </x:row>
    <x:row r="103" ht="40" customHeight="1">
      <x:c r="B103" s="7" t="str">
        <x:v>RFP-B1-FCE-09-P</x:v>
      </x:c>
      <x:c r="C103" s="7" t="str">
        <x:v>RFP-B1-FCE-09</x:v>
      </x:c>
      <x:c r="D103" s="7" t="str">
        <x:v>RFP-B1</x:v>
      </x:c>
      <x:c r="E103" s="7" t="str">
        <x:v>FCE-09</x:v>
      </x:c>
      <x:c r="F103" s="7" t="str">
        <x:v>primary</x:v>
      </x:c>
      <x:c r="G103" s="10" t="str">
        <x:v>registered command, independent energy and direct final-state sensor</x:v>
      </x:c>
      <x:c r="H103" s="10" t="str">
        <x:v>isolated</x:v>
      </x:c>
      <x:c r="I103" s="7" t="n">
        <x:v>1</x:v>
      </x:c>
      <x:c r="J103" s="7" t="str"/>
      <x:c r="K103" s="7" t="str"/>
      <x:c r="L103" s="7" t="str">
        <x:v>OPEN</x:v>
      </x:c>
    </x:row>
    <x:row r="104" ht="40" customHeight="1">
      <x:c r="B104" s="7" t="str">
        <x:v>RFP-B1-FCE-09-D</x:v>
      </x:c>
      <x:c r="C104" s="7" t="str">
        <x:v>RFP-B1-FCE-09</x:v>
      </x:c>
      <x:c r="D104" s="7" t="str">
        <x:v>RFP-B1</x:v>
      </x:c>
      <x:c r="E104" s="7" t="str">
        <x:v>FCE-09</x:v>
      </x:c>
      <x:c r="F104" s="7" t="str">
        <x:v>diverse</x:v>
      </x:c>
      <x:c r="G104" s="10" t="str">
        <x:v>unlike local trip, separate energy and unlike state indication</x:v>
      </x:c>
      <x:c r="H104" s="10" t="str">
        <x:v>isolated</x:v>
      </x:c>
      <x:c r="I104" s="7" t="n">
        <x:v>1</x:v>
      </x:c>
      <x:c r="J104" s="7" t="str"/>
      <x:c r="K104" s="7" t="str"/>
      <x:c r="L104" s="7" t="str">
        <x:v>OPEN</x:v>
      </x:c>
    </x:row>
    <x:row r="105" ht="40" customHeight="1">
      <x:c r="B105" s="7" t="str">
        <x:v>RFP-B1-FCE-09-M</x:v>
      </x:c>
      <x:c r="C105" s="7" t="str">
        <x:v>RFP-B1-FCE-09</x:v>
      </x:c>
      <x:c r="D105" s="7" t="str">
        <x:v>RFP-B1</x:v>
      </x:c>
      <x:c r="E105" s="7" t="str">
        <x:v>FCE-09</x:v>
      </x:c>
      <x:c r="F105" s="7" t="str">
        <x:v>manual/passive</x:v>
      </x:c>
      <x:c r="G105" s="10" t="str">
        <x:v>field action or passive state without network dependence</x:v>
      </x:c>
      <x:c r="H105" s="10" t="str">
        <x:v>isolated</x:v>
      </x:c>
      <x:c r="I105" s="7" t="n">
        <x:v>1</x:v>
      </x:c>
      <x:c r="J105" s="7" t="str"/>
      <x:c r="K105" s="7" t="str"/>
      <x:c r="L105" s="7" t="str">
        <x:v>OPEN</x:v>
      </x:c>
    </x:row>
    <x:row r="106" ht="40" customHeight="1">
      <x:c r="B106" s="7" t="str">
        <x:v>RFP-B1-FCE-10-P</x:v>
      </x:c>
      <x:c r="C106" s="7" t="str">
        <x:v>RFP-B1-FCE-10</x:v>
      </x:c>
      <x:c r="D106" s="7" t="str">
        <x:v>RFP-B1</x:v>
      </x:c>
      <x:c r="E106" s="7" t="str">
        <x:v>FCE-10</x:v>
      </x:c>
      <x:c r="F106" s="7" t="str">
        <x:v>primary</x:v>
      </x:c>
      <x:c r="G106" s="10" t="str">
        <x:v>registered command, independent energy and direct final-state sensor</x:v>
      </x:c>
      <x:c r="H106" s="10" t="str">
        <x:v>maintained for final action</x:v>
      </x:c>
      <x:c r="I106" s="7" t="n">
        <x:v>30</x:v>
      </x:c>
      <x:c r="J106" s="7" t="str"/>
      <x:c r="K106" s="7" t="str"/>
      <x:c r="L106" s="7" t="str">
        <x:v>OPEN</x:v>
      </x:c>
    </x:row>
    <x:row r="107" ht="40" customHeight="1">
      <x:c r="B107" s="7" t="str">
        <x:v>RFP-B1-FCE-10-D</x:v>
      </x:c>
      <x:c r="C107" s="7" t="str">
        <x:v>RFP-B1-FCE-10</x:v>
      </x:c>
      <x:c r="D107" s="7" t="str">
        <x:v>RFP-B1</x:v>
      </x:c>
      <x:c r="E107" s="7" t="str">
        <x:v>FCE-10</x:v>
      </x:c>
      <x:c r="F107" s="7" t="str">
        <x:v>diverse</x:v>
      </x:c>
      <x:c r="G107" s="10" t="str">
        <x:v>unlike local trip, separate energy and unlike state indication</x:v>
      </x:c>
      <x:c r="H107" s="10" t="str">
        <x:v>maintained for final action</x:v>
      </x:c>
      <x:c r="I107" s="7" t="n">
        <x:v>30</x:v>
      </x:c>
      <x:c r="J107" s="7" t="str"/>
      <x:c r="K107" s="7" t="str"/>
      <x:c r="L107" s="7" t="str">
        <x:v>OPEN</x:v>
      </x:c>
    </x:row>
    <x:row r="108" ht="40" customHeight="1">
      <x:c r="B108" s="7" t="str">
        <x:v>RFP-B1-FCE-10-M</x:v>
      </x:c>
      <x:c r="C108" s="7" t="str">
        <x:v>RFP-B1-FCE-10</x:v>
      </x:c>
      <x:c r="D108" s="7" t="str">
        <x:v>RFP-B1</x:v>
      </x:c>
      <x:c r="E108" s="7" t="str">
        <x:v>FCE-10</x:v>
      </x:c>
      <x:c r="F108" s="7" t="str">
        <x:v>manual/passive</x:v>
      </x:c>
      <x:c r="G108" s="10" t="str">
        <x:v>field action or passive state without network dependence</x:v>
      </x:c>
      <x:c r="H108" s="10" t="str">
        <x:v>maintained for final action</x:v>
      </x:c>
      <x:c r="I108" s="7" t="n">
        <x:v>30</x:v>
      </x:c>
      <x:c r="J108" s="7" t="str"/>
      <x:c r="K108" s="7" t="str"/>
      <x:c r="L108" s="7" t="str">
        <x:v>OPEN</x:v>
      </x:c>
    </x:row>
    <x:row r="109" ht="40" customHeight="1">
      <x:c r="B109" s="7" t="str">
        <x:v>RFP-B1-FCE-11-P</x:v>
      </x:c>
      <x:c r="C109" s="7" t="str">
        <x:v>RFP-B1-FCE-11</x:v>
      </x:c>
      <x:c r="D109" s="7" t="str">
        <x:v>RFP-B1</x:v>
      </x:c>
      <x:c r="E109" s="7" t="str">
        <x:v>FCE-11</x:v>
      </x:c>
      <x:c r="F109" s="7" t="str">
        <x:v>primary</x:v>
      </x:c>
      <x:c r="G109" s="10" t="str">
        <x:v>registered command, independent energy and direct final-state sensor</x:v>
      </x:c>
      <x:c r="H109" s="10" t="str">
        <x:v>contained safe route</x:v>
      </x:c>
      <x:c r="I109" s="7" t="n">
        <x:v>10</x:v>
      </x:c>
      <x:c r="J109" s="7" t="str"/>
      <x:c r="K109" s="7" t="str"/>
      <x:c r="L109" s="7" t="str">
        <x:v>OPEN</x:v>
      </x:c>
    </x:row>
    <x:row r="110" ht="40" customHeight="1">
      <x:c r="B110" s="7" t="str">
        <x:v>RFP-B1-FCE-11-D</x:v>
      </x:c>
      <x:c r="C110" s="7" t="str">
        <x:v>RFP-B1-FCE-11</x:v>
      </x:c>
      <x:c r="D110" s="7" t="str">
        <x:v>RFP-B1</x:v>
      </x:c>
      <x:c r="E110" s="7" t="str">
        <x:v>FCE-11</x:v>
      </x:c>
      <x:c r="F110" s="7" t="str">
        <x:v>diverse</x:v>
      </x:c>
      <x:c r="G110" s="10" t="str">
        <x:v>unlike local trip, separate energy and unlike state indication</x:v>
      </x:c>
      <x:c r="H110" s="10" t="str">
        <x:v>contained safe route</x:v>
      </x:c>
      <x:c r="I110" s="7" t="n">
        <x:v>10</x:v>
      </x:c>
      <x:c r="J110" s="7" t="str"/>
      <x:c r="K110" s="7" t="str"/>
      <x:c r="L110" s="7" t="str">
        <x:v>OPEN</x:v>
      </x:c>
    </x:row>
    <x:row r="111" ht="40" customHeight="1">
      <x:c r="B111" s="7" t="str">
        <x:v>RFP-B1-FCE-11-M</x:v>
      </x:c>
      <x:c r="C111" s="7" t="str">
        <x:v>RFP-B1-FCE-11</x:v>
      </x:c>
      <x:c r="D111" s="7" t="str">
        <x:v>RFP-B1</x:v>
      </x:c>
      <x:c r="E111" s="7" t="str">
        <x:v>FCE-11</x:v>
      </x:c>
      <x:c r="F111" s="7" t="str">
        <x:v>manual/passive</x:v>
      </x:c>
      <x:c r="G111" s="10" t="str">
        <x:v>field action or passive state without network dependence</x:v>
      </x:c>
      <x:c r="H111" s="10" t="str">
        <x:v>contained safe route</x:v>
      </x:c>
      <x:c r="I111" s="7" t="n">
        <x:v>10</x:v>
      </x:c>
      <x:c r="J111" s="7" t="str"/>
      <x:c r="K111" s="7" t="str"/>
      <x:c r="L111" s="7" t="str">
        <x:v>OPEN</x:v>
      </x:c>
    </x:row>
    <x:row r="112" ht="40" customHeight="1">
      <x:c r="B112" s="7" t="str">
        <x:v>RFP-B1-FCE-12-P</x:v>
      </x:c>
      <x:c r="C112" s="7" t="str">
        <x:v>RFP-B1-FCE-12</x:v>
      </x:c>
      <x:c r="D112" s="7" t="str">
        <x:v>RFP-B1</x:v>
      </x:c>
      <x:c r="E112" s="7" t="str">
        <x:v>FCE-12</x:v>
      </x:c>
      <x:c r="F112" s="7" t="str">
        <x:v>primary</x:v>
      </x:c>
      <x:c r="G112" s="10" t="str">
        <x:v>registered command, independent energy and direct final-state sensor</x:v>
      </x:c>
      <x:c r="H112" s="10" t="str">
        <x:v>latched and locally readable</x:v>
      </x:c>
      <x:c r="I112" s="7" t="n">
        <x:v>1</x:v>
      </x:c>
      <x:c r="J112" s="7" t="str"/>
      <x:c r="K112" s="7" t="str"/>
      <x:c r="L112" s="7" t="str">
        <x:v>OPEN</x:v>
      </x:c>
    </x:row>
    <x:row r="113" ht="40" customHeight="1">
      <x:c r="B113" s="7" t="str">
        <x:v>RFP-B1-FCE-12-D</x:v>
      </x:c>
      <x:c r="C113" s="7" t="str">
        <x:v>RFP-B1-FCE-12</x:v>
      </x:c>
      <x:c r="D113" s="7" t="str">
        <x:v>RFP-B1</x:v>
      </x:c>
      <x:c r="E113" s="7" t="str">
        <x:v>FCE-12</x:v>
      </x:c>
      <x:c r="F113" s="7" t="str">
        <x:v>diverse</x:v>
      </x:c>
      <x:c r="G113" s="10" t="str">
        <x:v>unlike local trip, separate energy and unlike state indication</x:v>
      </x:c>
      <x:c r="H113" s="10" t="str">
        <x:v>latched and locally readable</x:v>
      </x:c>
      <x:c r="I113" s="7" t="n">
        <x:v>1</x:v>
      </x:c>
      <x:c r="J113" s="7" t="str"/>
      <x:c r="K113" s="7" t="str"/>
      <x:c r="L113" s="7" t="str">
        <x:v>OPEN</x:v>
      </x:c>
    </x:row>
    <x:row r="114" ht="40" customHeight="1">
      <x:c r="B114" s="7" t="str">
        <x:v>RFP-B1-FCE-12-M</x:v>
      </x:c>
      <x:c r="C114" s="7" t="str">
        <x:v>RFP-B1-FCE-12</x:v>
      </x:c>
      <x:c r="D114" s="7" t="str">
        <x:v>RFP-B1</x:v>
      </x:c>
      <x:c r="E114" s="7" t="str">
        <x:v>FCE-12</x:v>
      </x:c>
      <x:c r="F114" s="7" t="str">
        <x:v>manual/passive</x:v>
      </x:c>
      <x:c r="G114" s="10" t="str">
        <x:v>field action or passive state without network dependence</x:v>
      </x:c>
      <x:c r="H114" s="10" t="str">
        <x:v>latched and locally readable</x:v>
      </x:c>
      <x:c r="I114" s="7" t="n">
        <x:v>1</x:v>
      </x:c>
      <x:c r="J114" s="7" t="str"/>
      <x:c r="K114" s="7" t="str"/>
      <x:c r="L114" s="7" t="str">
        <x:v>OPEN</x:v>
      </x:c>
    </x:row>
    <x:row r="115" ht="40" customHeight="1">
      <x:c r="B115" s="7" t="str">
        <x:v>RFP-B2-FCE-01-P</x:v>
      </x:c>
      <x:c r="C115" s="7" t="str">
        <x:v>RFP-B2-FCE-01</x:v>
      </x:c>
      <x:c r="D115" s="7" t="str">
        <x:v>RFP-B2</x:v>
      </x:c>
      <x:c r="E115" s="7" t="str">
        <x:v>FCE-01</x:v>
      </x:c>
      <x:c r="F115" s="7" t="str">
        <x:v>primary</x:v>
      </x:c>
      <x:c r="G115" s="10" t="str">
        <x:v>registered command, independent energy and direct final-state sensor</x:v>
      </x:c>
      <x:c r="H115" s="10" t="str">
        <x:v>closed</x:v>
      </x:c>
      <x:c r="I115" s="7" t="n">
        <x:v>2</x:v>
      </x:c>
      <x:c r="J115" s="7" t="str"/>
      <x:c r="K115" s="7" t="str"/>
      <x:c r="L115" s="7" t="str">
        <x:v>OPEN</x:v>
      </x:c>
    </x:row>
    <x:row r="116" ht="40" customHeight="1">
      <x:c r="B116" s="7" t="str">
        <x:v>RFP-B2-FCE-01-D</x:v>
      </x:c>
      <x:c r="C116" s="7" t="str">
        <x:v>RFP-B2-FCE-01</x:v>
      </x:c>
      <x:c r="D116" s="7" t="str">
        <x:v>RFP-B2</x:v>
      </x:c>
      <x:c r="E116" s="7" t="str">
        <x:v>FCE-01</x:v>
      </x:c>
      <x:c r="F116" s="7" t="str">
        <x:v>diverse</x:v>
      </x:c>
      <x:c r="G116" s="10" t="str">
        <x:v>unlike local trip, separate energy and unlike state indication</x:v>
      </x:c>
      <x:c r="H116" s="10" t="str">
        <x:v>closed</x:v>
      </x:c>
      <x:c r="I116" s="7" t="n">
        <x:v>2</x:v>
      </x:c>
      <x:c r="J116" s="7" t="str"/>
      <x:c r="K116" s="7" t="str"/>
      <x:c r="L116" s="7" t="str">
        <x:v>OPEN</x:v>
      </x:c>
    </x:row>
    <x:row r="117" ht="40" customHeight="1">
      <x:c r="B117" s="7" t="str">
        <x:v>RFP-B2-FCE-01-M</x:v>
      </x:c>
      <x:c r="C117" s="7" t="str">
        <x:v>RFP-B2-FCE-01</x:v>
      </x:c>
      <x:c r="D117" s="7" t="str">
        <x:v>RFP-B2</x:v>
      </x:c>
      <x:c r="E117" s="7" t="str">
        <x:v>FCE-01</x:v>
      </x:c>
      <x:c r="F117" s="7" t="str">
        <x:v>manual/passive</x:v>
      </x:c>
      <x:c r="G117" s="10" t="str">
        <x:v>field action or passive state without network dependence</x:v>
      </x:c>
      <x:c r="H117" s="10" t="str">
        <x:v>closed</x:v>
      </x:c>
      <x:c r="I117" s="7" t="n">
        <x:v>2</x:v>
      </x:c>
      <x:c r="J117" s="7" t="str"/>
      <x:c r="K117" s="7" t="str"/>
      <x:c r="L117" s="7" t="str">
        <x:v>OPEN</x:v>
      </x:c>
    </x:row>
    <x:row r="118" ht="40" customHeight="1">
      <x:c r="B118" s="7" t="str">
        <x:v>RFP-B2-FCE-02-P</x:v>
      </x:c>
      <x:c r="C118" s="7" t="str">
        <x:v>RFP-B2-FCE-02</x:v>
      </x:c>
      <x:c r="D118" s="7" t="str">
        <x:v>RFP-B2</x:v>
      </x:c>
      <x:c r="E118" s="7" t="str">
        <x:v>FCE-02</x:v>
      </x:c>
      <x:c r="F118" s="7" t="str">
        <x:v>primary</x:v>
      </x:c>
      <x:c r="G118" s="10" t="str">
        <x:v>registered command, independent energy and direct final-state sensor</x:v>
      </x:c>
      <x:c r="H118" s="10" t="str">
        <x:v>closed</x:v>
      </x:c>
      <x:c r="I118" s="7" t="n">
        <x:v>2</x:v>
      </x:c>
      <x:c r="J118" s="7" t="str"/>
      <x:c r="K118" s="7" t="str"/>
      <x:c r="L118" s="7" t="str">
        <x:v>OPEN</x:v>
      </x:c>
    </x:row>
    <x:row r="119" ht="40" customHeight="1">
      <x:c r="B119" s="7" t="str">
        <x:v>RFP-B2-FCE-02-D</x:v>
      </x:c>
      <x:c r="C119" s="7" t="str">
        <x:v>RFP-B2-FCE-02</x:v>
      </x:c>
      <x:c r="D119" s="7" t="str">
        <x:v>RFP-B2</x:v>
      </x:c>
      <x:c r="E119" s="7" t="str">
        <x:v>FCE-02</x:v>
      </x:c>
      <x:c r="F119" s="7" t="str">
        <x:v>diverse</x:v>
      </x:c>
      <x:c r="G119" s="10" t="str">
        <x:v>unlike local trip, separate energy and unlike state indication</x:v>
      </x:c>
      <x:c r="H119" s="10" t="str">
        <x:v>closed</x:v>
      </x:c>
      <x:c r="I119" s="7" t="n">
        <x:v>2</x:v>
      </x:c>
      <x:c r="J119" s="7" t="str"/>
      <x:c r="K119" s="7" t="str"/>
      <x:c r="L119" s="7" t="str">
        <x:v>OPEN</x:v>
      </x:c>
    </x:row>
    <x:row r="120" ht="40" customHeight="1">
      <x:c r="B120" s="7" t="str">
        <x:v>RFP-B2-FCE-02-M</x:v>
      </x:c>
      <x:c r="C120" s="7" t="str">
        <x:v>RFP-B2-FCE-02</x:v>
      </x:c>
      <x:c r="D120" s="7" t="str">
        <x:v>RFP-B2</x:v>
      </x:c>
      <x:c r="E120" s="7" t="str">
        <x:v>FCE-02</x:v>
      </x:c>
      <x:c r="F120" s="7" t="str">
        <x:v>manual/passive</x:v>
      </x:c>
      <x:c r="G120" s="10" t="str">
        <x:v>field action or passive state without network dependence</x:v>
      </x:c>
      <x:c r="H120" s="10" t="str">
        <x:v>closed</x:v>
      </x:c>
      <x:c r="I120" s="7" t="n">
        <x:v>2</x:v>
      </x:c>
      <x:c r="J120" s="7" t="str"/>
      <x:c r="K120" s="7" t="str"/>
      <x:c r="L120" s="7" t="str">
        <x:v>OPEN</x:v>
      </x:c>
    </x:row>
    <x:row r="121" ht="40" customHeight="1">
      <x:c r="B121" s="7" t="str">
        <x:v>RFP-B2-FCE-03-P</x:v>
      </x:c>
      <x:c r="C121" s="7" t="str">
        <x:v>RFP-B2-FCE-03</x:v>
      </x:c>
      <x:c r="D121" s="7" t="str">
        <x:v>RFP-B2</x:v>
      </x:c>
      <x:c r="E121" s="7" t="str">
        <x:v>FCE-03</x:v>
      </x:c>
      <x:c r="F121" s="7" t="str">
        <x:v>primary</x:v>
      </x:c>
      <x:c r="G121" s="10" t="str">
        <x:v>registered command, independent energy and direct final-state sensor</x:v>
      </x:c>
      <x:c r="H121" s="10" t="str">
        <x:v>casualty receiver</x:v>
      </x:c>
      <x:c r="I121" s="7" t="n">
        <x:v>5</x:v>
      </x:c>
      <x:c r="J121" s="7" t="str"/>
      <x:c r="K121" s="7" t="str"/>
      <x:c r="L121" s="7" t="str">
        <x:v>OPEN</x:v>
      </x:c>
    </x:row>
    <x:row r="122" ht="40" customHeight="1">
      <x:c r="B122" s="7" t="str">
        <x:v>RFP-B2-FCE-03-D</x:v>
      </x:c>
      <x:c r="C122" s="7" t="str">
        <x:v>RFP-B2-FCE-03</x:v>
      </x:c>
      <x:c r="D122" s="7" t="str">
        <x:v>RFP-B2</x:v>
      </x:c>
      <x:c r="E122" s="7" t="str">
        <x:v>FCE-03</x:v>
      </x:c>
      <x:c r="F122" s="7" t="str">
        <x:v>diverse</x:v>
      </x:c>
      <x:c r="G122" s="10" t="str">
        <x:v>unlike local trip, separate energy and unlike state indication</x:v>
      </x:c>
      <x:c r="H122" s="10" t="str">
        <x:v>casualty receiver</x:v>
      </x:c>
      <x:c r="I122" s="7" t="n">
        <x:v>5</x:v>
      </x:c>
      <x:c r="J122" s="7" t="str"/>
      <x:c r="K122" s="7" t="str"/>
      <x:c r="L122" s="7" t="str">
        <x:v>OPEN</x:v>
      </x:c>
    </x:row>
    <x:row r="123" ht="40" customHeight="1">
      <x:c r="B123" s="7" t="str">
        <x:v>RFP-B2-FCE-03-M</x:v>
      </x:c>
      <x:c r="C123" s="7" t="str">
        <x:v>RFP-B2-FCE-03</x:v>
      </x:c>
      <x:c r="D123" s="7" t="str">
        <x:v>RFP-B2</x:v>
      </x:c>
      <x:c r="E123" s="7" t="str">
        <x:v>FCE-03</x:v>
      </x:c>
      <x:c r="F123" s="7" t="str">
        <x:v>manual/passive</x:v>
      </x:c>
      <x:c r="G123" s="10" t="str">
        <x:v>field action or passive state without network dependence</x:v>
      </x:c>
      <x:c r="H123" s="10" t="str">
        <x:v>casualty receiver</x:v>
      </x:c>
      <x:c r="I123" s="7" t="n">
        <x:v>5</x:v>
      </x:c>
      <x:c r="J123" s="7" t="str"/>
      <x:c r="K123" s="7" t="str"/>
      <x:c r="L123" s="7" t="str">
        <x:v>OPEN</x:v>
      </x:c>
    </x:row>
    <x:row r="124" ht="40" customHeight="1">
      <x:c r="B124" s="7" t="str">
        <x:v>RFP-B2-FCE-04-P</x:v>
      </x:c>
      <x:c r="C124" s="7" t="str">
        <x:v>RFP-B2-FCE-04</x:v>
      </x:c>
      <x:c r="D124" s="7" t="str">
        <x:v>RFP-B2</x:v>
      </x:c>
      <x:c r="E124" s="7" t="str">
        <x:v>FCE-04</x:v>
      </x:c>
      <x:c r="F124" s="7" t="str">
        <x:v>primary</x:v>
      </x:c>
      <x:c r="G124" s="10" t="str">
        <x:v>registered command, independent energy and direct final-state sensor</x:v>
      </x:c>
      <x:c r="H124" s="10" t="str">
        <x:v>closed</x:v>
      </x:c>
      <x:c r="I124" s="7" t="n">
        <x:v>3</x:v>
      </x:c>
      <x:c r="J124" s="7" t="str"/>
      <x:c r="K124" s="7" t="str"/>
      <x:c r="L124" s="7" t="str">
        <x:v>OPEN</x:v>
      </x:c>
    </x:row>
    <x:row r="125" ht="40" customHeight="1">
      <x:c r="B125" s="7" t="str">
        <x:v>RFP-B2-FCE-04-D</x:v>
      </x:c>
      <x:c r="C125" s="7" t="str">
        <x:v>RFP-B2-FCE-04</x:v>
      </x:c>
      <x:c r="D125" s="7" t="str">
        <x:v>RFP-B2</x:v>
      </x:c>
      <x:c r="E125" s="7" t="str">
        <x:v>FCE-04</x:v>
      </x:c>
      <x:c r="F125" s="7" t="str">
        <x:v>diverse</x:v>
      </x:c>
      <x:c r="G125" s="10" t="str">
        <x:v>unlike local trip, separate energy and unlike state indication</x:v>
      </x:c>
      <x:c r="H125" s="10" t="str">
        <x:v>closed</x:v>
      </x:c>
      <x:c r="I125" s="7" t="n">
        <x:v>3</x:v>
      </x:c>
      <x:c r="J125" s="7" t="str"/>
      <x:c r="K125" s="7" t="str"/>
      <x:c r="L125" s="7" t="str">
        <x:v>OPEN</x:v>
      </x:c>
    </x:row>
    <x:row r="126" ht="40" customHeight="1">
      <x:c r="B126" s="7" t="str">
        <x:v>RFP-B2-FCE-04-M</x:v>
      </x:c>
      <x:c r="C126" s="7" t="str">
        <x:v>RFP-B2-FCE-04</x:v>
      </x:c>
      <x:c r="D126" s="7" t="str">
        <x:v>RFP-B2</x:v>
      </x:c>
      <x:c r="E126" s="7" t="str">
        <x:v>FCE-04</x:v>
      </x:c>
      <x:c r="F126" s="7" t="str">
        <x:v>manual/passive</x:v>
      </x:c>
      <x:c r="G126" s="10" t="str">
        <x:v>field action or passive state without network dependence</x:v>
      </x:c>
      <x:c r="H126" s="10" t="str">
        <x:v>closed</x:v>
      </x:c>
      <x:c r="I126" s="7" t="n">
        <x:v>3</x:v>
      </x:c>
      <x:c r="J126" s="7" t="str"/>
      <x:c r="K126" s="7" t="str"/>
      <x:c r="L126" s="7" t="str">
        <x:v>OPEN</x:v>
      </x:c>
    </x:row>
    <x:row r="127" ht="40" customHeight="1">
      <x:c r="B127" s="7" t="str">
        <x:v>RFP-B2-FCE-05-P</x:v>
      </x:c>
      <x:c r="C127" s="7" t="str">
        <x:v>RFP-B2-FCE-05</x:v>
      </x:c>
      <x:c r="D127" s="7" t="str">
        <x:v>RFP-B2</x:v>
      </x:c>
      <x:c r="E127" s="7" t="str">
        <x:v>FCE-05</x:v>
      </x:c>
      <x:c r="F127" s="7" t="str">
        <x:v>primary</x:v>
      </x:c>
      <x:c r="G127" s="10" t="str">
        <x:v>registered command, independent energy and direct final-state sensor</x:v>
      </x:c>
      <x:c r="H127" s="10" t="str">
        <x:v>open to casualty receiver</x:v>
      </x:c>
      <x:c r="I127" s="7" t="n">
        <x:v>5</x:v>
      </x:c>
      <x:c r="J127" s="7" t="str"/>
      <x:c r="K127" s="7" t="str"/>
      <x:c r="L127" s="7" t="str">
        <x:v>OPEN</x:v>
      </x:c>
    </x:row>
    <x:row r="128" ht="40" customHeight="1">
      <x:c r="B128" s="7" t="str">
        <x:v>RFP-B2-FCE-05-D</x:v>
      </x:c>
      <x:c r="C128" s="7" t="str">
        <x:v>RFP-B2-FCE-05</x:v>
      </x:c>
      <x:c r="D128" s="7" t="str">
        <x:v>RFP-B2</x:v>
      </x:c>
      <x:c r="E128" s="7" t="str">
        <x:v>FCE-05</x:v>
      </x:c>
      <x:c r="F128" s="7" t="str">
        <x:v>diverse</x:v>
      </x:c>
      <x:c r="G128" s="10" t="str">
        <x:v>unlike local trip, separate energy and unlike state indication</x:v>
      </x:c>
      <x:c r="H128" s="10" t="str">
        <x:v>open to casualty receiver</x:v>
      </x:c>
      <x:c r="I128" s="7" t="n">
        <x:v>5</x:v>
      </x:c>
      <x:c r="J128" s="7" t="str"/>
      <x:c r="K128" s="7" t="str"/>
      <x:c r="L128" s="7" t="str">
        <x:v>OPEN</x:v>
      </x:c>
    </x:row>
    <x:row r="129" ht="40" customHeight="1">
      <x:c r="B129" s="7" t="str">
        <x:v>RFP-B2-FCE-05-M</x:v>
      </x:c>
      <x:c r="C129" s="7" t="str">
        <x:v>RFP-B2-FCE-05</x:v>
      </x:c>
      <x:c r="D129" s="7" t="str">
        <x:v>RFP-B2</x:v>
      </x:c>
      <x:c r="E129" s="7" t="str">
        <x:v>FCE-05</x:v>
      </x:c>
      <x:c r="F129" s="7" t="str">
        <x:v>manual/passive</x:v>
      </x:c>
      <x:c r="G129" s="10" t="str">
        <x:v>field action or passive state without network dependence</x:v>
      </x:c>
      <x:c r="H129" s="10" t="str">
        <x:v>open to casualty receiver</x:v>
      </x:c>
      <x:c r="I129" s="7" t="n">
        <x:v>5</x:v>
      </x:c>
      <x:c r="J129" s="7" t="str"/>
      <x:c r="K129" s="7" t="str"/>
      <x:c r="L129" s="7" t="str">
        <x:v>OPEN</x:v>
      </x:c>
    </x:row>
    <x:row r="130" ht="40" customHeight="1">
      <x:c r="B130" s="7" t="str">
        <x:v>RFP-B2-FCE-06-P</x:v>
      </x:c>
      <x:c r="C130" s="7" t="str">
        <x:v>RFP-B2-FCE-06</x:v>
      </x:c>
      <x:c r="D130" s="7" t="str">
        <x:v>RFP-B2</x:v>
      </x:c>
      <x:c r="E130" s="7" t="str">
        <x:v>FCE-06</x:v>
      </x:c>
      <x:c r="F130" s="7" t="str">
        <x:v>primary</x:v>
      </x:c>
      <x:c r="G130" s="10" t="str">
        <x:v>registered command, independent energy and direct final-state sensor</x:v>
      </x:c>
      <x:c r="H130" s="10" t="str">
        <x:v>de-energized</x:v>
      </x:c>
      <x:c r="I130" s="7" t="n">
        <x:v>1</x:v>
      </x:c>
      <x:c r="J130" s="7" t="str"/>
      <x:c r="K130" s="7" t="str"/>
      <x:c r="L130" s="7" t="str">
        <x:v>OPEN</x:v>
      </x:c>
    </x:row>
    <x:row r="131" ht="40" customHeight="1">
      <x:c r="B131" s="7" t="str">
        <x:v>RFP-B2-FCE-06-D</x:v>
      </x:c>
      <x:c r="C131" s="7" t="str">
        <x:v>RFP-B2-FCE-06</x:v>
      </x:c>
      <x:c r="D131" s="7" t="str">
        <x:v>RFP-B2</x:v>
      </x:c>
      <x:c r="E131" s="7" t="str">
        <x:v>FCE-06</x:v>
      </x:c>
      <x:c r="F131" s="7" t="str">
        <x:v>diverse</x:v>
      </x:c>
      <x:c r="G131" s="10" t="str">
        <x:v>unlike local trip, separate energy and unlike state indication</x:v>
      </x:c>
      <x:c r="H131" s="10" t="str">
        <x:v>de-energized</x:v>
      </x:c>
      <x:c r="I131" s="7" t="n">
        <x:v>1</x:v>
      </x:c>
      <x:c r="J131" s="7" t="str"/>
      <x:c r="K131" s="7" t="str"/>
      <x:c r="L131" s="7" t="str">
        <x:v>OPEN</x:v>
      </x:c>
    </x:row>
    <x:row r="132" ht="40" customHeight="1">
      <x:c r="B132" s="7" t="str">
        <x:v>RFP-B2-FCE-06-M</x:v>
      </x:c>
      <x:c r="C132" s="7" t="str">
        <x:v>RFP-B2-FCE-06</x:v>
      </x:c>
      <x:c r="D132" s="7" t="str">
        <x:v>RFP-B2</x:v>
      </x:c>
      <x:c r="E132" s="7" t="str">
        <x:v>FCE-06</x:v>
      </x:c>
      <x:c r="F132" s="7" t="str">
        <x:v>manual/passive</x:v>
      </x:c>
      <x:c r="G132" s="10" t="str">
        <x:v>field action or passive state without network dependence</x:v>
      </x:c>
      <x:c r="H132" s="10" t="str">
        <x:v>de-energized</x:v>
      </x:c>
      <x:c r="I132" s="7" t="n">
        <x:v>1</x:v>
      </x:c>
      <x:c r="J132" s="7" t="str"/>
      <x:c r="K132" s="7" t="str"/>
      <x:c r="L132" s="7" t="str">
        <x:v>OPEN</x:v>
      </x:c>
    </x:row>
    <x:row r="133" ht="40" customHeight="1">
      <x:c r="B133" s="7" t="str">
        <x:v>RFP-B2-FCE-07-P</x:v>
      </x:c>
      <x:c r="C133" s="7" t="str">
        <x:v>RFP-B2-FCE-07</x:v>
      </x:c>
      <x:c r="D133" s="7" t="str">
        <x:v>RFP-B2</x:v>
      </x:c>
      <x:c r="E133" s="7" t="str">
        <x:v>FCE-07</x:v>
      </x:c>
      <x:c r="F133" s="7" t="str">
        <x:v>primary</x:v>
      </x:c>
      <x:c r="G133" s="10" t="str">
        <x:v>registered command, independent energy and direct final-state sensor</x:v>
      </x:c>
      <x:c r="H133" s="10" t="str">
        <x:v>closed</x:v>
      </x:c>
      <x:c r="I133" s="7" t="n">
        <x:v>2</x:v>
      </x:c>
      <x:c r="J133" s="7" t="str"/>
      <x:c r="K133" s="7" t="str"/>
      <x:c r="L133" s="7" t="str">
        <x:v>OPEN</x:v>
      </x:c>
    </x:row>
    <x:row r="134" ht="40" customHeight="1">
      <x:c r="B134" s="7" t="str">
        <x:v>RFP-B2-FCE-07-D</x:v>
      </x:c>
      <x:c r="C134" s="7" t="str">
        <x:v>RFP-B2-FCE-07</x:v>
      </x:c>
      <x:c r="D134" s="7" t="str">
        <x:v>RFP-B2</x:v>
      </x:c>
      <x:c r="E134" s="7" t="str">
        <x:v>FCE-07</x:v>
      </x:c>
      <x:c r="F134" s="7" t="str">
        <x:v>diverse</x:v>
      </x:c>
      <x:c r="G134" s="10" t="str">
        <x:v>unlike local trip, separate energy and unlike state indication</x:v>
      </x:c>
      <x:c r="H134" s="10" t="str">
        <x:v>closed</x:v>
      </x:c>
      <x:c r="I134" s="7" t="n">
        <x:v>2</x:v>
      </x:c>
      <x:c r="J134" s="7" t="str"/>
      <x:c r="K134" s="7" t="str"/>
      <x:c r="L134" s="7" t="str">
        <x:v>OPEN</x:v>
      </x:c>
    </x:row>
    <x:row r="135" ht="40" customHeight="1">
      <x:c r="B135" s="7" t="str">
        <x:v>RFP-B2-FCE-07-M</x:v>
      </x:c>
      <x:c r="C135" s="7" t="str">
        <x:v>RFP-B2-FCE-07</x:v>
      </x:c>
      <x:c r="D135" s="7" t="str">
        <x:v>RFP-B2</x:v>
      </x:c>
      <x:c r="E135" s="7" t="str">
        <x:v>FCE-07</x:v>
      </x:c>
      <x:c r="F135" s="7" t="str">
        <x:v>manual/passive</x:v>
      </x:c>
      <x:c r="G135" s="10" t="str">
        <x:v>field action or passive state without network dependence</x:v>
      </x:c>
      <x:c r="H135" s="10" t="str">
        <x:v>closed</x:v>
      </x:c>
      <x:c r="I135" s="7" t="n">
        <x:v>2</x:v>
      </x:c>
      <x:c r="J135" s="7" t="str"/>
      <x:c r="K135" s="7" t="str"/>
      <x:c r="L135" s="7" t="str">
        <x:v>OPEN</x:v>
      </x:c>
    </x:row>
    <x:row r="136" ht="40" customHeight="1">
      <x:c r="B136" s="7" t="str">
        <x:v>RFP-B2-FCE-08-P</x:v>
      </x:c>
      <x:c r="C136" s="7" t="str">
        <x:v>RFP-B2-FCE-08</x:v>
      </x:c>
      <x:c r="D136" s="7" t="str">
        <x:v>RFP-B2</x:v>
      </x:c>
      <x:c r="E136" s="7" t="str">
        <x:v>FCE-08</x:v>
      </x:c>
      <x:c r="F136" s="7" t="str">
        <x:v>primary</x:v>
      </x:c>
      <x:c r="G136" s="10" t="str">
        <x:v>registered command, independent energy and direct final-state sensor</x:v>
      </x:c>
      <x:c r="H136" s="10" t="str">
        <x:v>open to casualty receiver</x:v>
      </x:c>
      <x:c r="I136" s="7" t="n">
        <x:v>5</x:v>
      </x:c>
      <x:c r="J136" s="7" t="str"/>
      <x:c r="K136" s="7" t="str"/>
      <x:c r="L136" s="7" t="str">
        <x:v>OPEN</x:v>
      </x:c>
    </x:row>
    <x:row r="137" ht="40" customHeight="1">
      <x:c r="B137" s="7" t="str">
        <x:v>RFP-B2-FCE-08-D</x:v>
      </x:c>
      <x:c r="C137" s="7" t="str">
        <x:v>RFP-B2-FCE-08</x:v>
      </x:c>
      <x:c r="D137" s="7" t="str">
        <x:v>RFP-B2</x:v>
      </x:c>
      <x:c r="E137" s="7" t="str">
        <x:v>FCE-08</x:v>
      </x:c>
      <x:c r="F137" s="7" t="str">
        <x:v>diverse</x:v>
      </x:c>
      <x:c r="G137" s="10" t="str">
        <x:v>unlike local trip, separate energy and unlike state indication</x:v>
      </x:c>
      <x:c r="H137" s="10" t="str">
        <x:v>open to casualty receiver</x:v>
      </x:c>
      <x:c r="I137" s="7" t="n">
        <x:v>5</x:v>
      </x:c>
      <x:c r="J137" s="7" t="str"/>
      <x:c r="K137" s="7" t="str"/>
      <x:c r="L137" s="7" t="str">
        <x:v>OPEN</x:v>
      </x:c>
    </x:row>
    <x:row r="138" ht="40" customHeight="1">
      <x:c r="B138" s="7" t="str">
        <x:v>RFP-B2-FCE-08-M</x:v>
      </x:c>
      <x:c r="C138" s="7" t="str">
        <x:v>RFP-B2-FCE-08</x:v>
      </x:c>
      <x:c r="D138" s="7" t="str">
        <x:v>RFP-B2</x:v>
      </x:c>
      <x:c r="E138" s="7" t="str">
        <x:v>FCE-08</x:v>
      </x:c>
      <x:c r="F138" s="7" t="str">
        <x:v>manual/passive</x:v>
      </x:c>
      <x:c r="G138" s="10" t="str">
        <x:v>field action or passive state without network dependence</x:v>
      </x:c>
      <x:c r="H138" s="10" t="str">
        <x:v>open to casualty receiver</x:v>
      </x:c>
      <x:c r="I138" s="7" t="n">
        <x:v>5</x:v>
      </x:c>
      <x:c r="J138" s="7" t="str"/>
      <x:c r="K138" s="7" t="str"/>
      <x:c r="L138" s="7" t="str">
        <x:v>OPEN</x:v>
      </x:c>
    </x:row>
    <x:row r="139" ht="40" customHeight="1">
      <x:c r="B139" s="7" t="str">
        <x:v>RFP-B2-FCE-09-P</x:v>
      </x:c>
      <x:c r="C139" s="7" t="str">
        <x:v>RFP-B2-FCE-09</x:v>
      </x:c>
      <x:c r="D139" s="7" t="str">
        <x:v>RFP-B2</x:v>
      </x:c>
      <x:c r="E139" s="7" t="str">
        <x:v>FCE-09</x:v>
      </x:c>
      <x:c r="F139" s="7" t="str">
        <x:v>primary</x:v>
      </x:c>
      <x:c r="G139" s="10" t="str">
        <x:v>registered command, independent energy and direct final-state sensor</x:v>
      </x:c>
      <x:c r="H139" s="10" t="str">
        <x:v>isolated</x:v>
      </x:c>
      <x:c r="I139" s="7" t="n">
        <x:v>1</x:v>
      </x:c>
      <x:c r="J139" s="7" t="str"/>
      <x:c r="K139" s="7" t="str"/>
      <x:c r="L139" s="7" t="str">
        <x:v>OPEN</x:v>
      </x:c>
    </x:row>
    <x:row r="140" ht="40" customHeight="1">
      <x:c r="B140" s="7" t="str">
        <x:v>RFP-B2-FCE-09-D</x:v>
      </x:c>
      <x:c r="C140" s="7" t="str">
        <x:v>RFP-B2-FCE-09</x:v>
      </x:c>
      <x:c r="D140" s="7" t="str">
        <x:v>RFP-B2</x:v>
      </x:c>
      <x:c r="E140" s="7" t="str">
        <x:v>FCE-09</x:v>
      </x:c>
      <x:c r="F140" s="7" t="str">
        <x:v>diverse</x:v>
      </x:c>
      <x:c r="G140" s="10" t="str">
        <x:v>unlike local trip, separate energy and unlike state indication</x:v>
      </x:c>
      <x:c r="H140" s="10" t="str">
        <x:v>isolated</x:v>
      </x:c>
      <x:c r="I140" s="7" t="n">
        <x:v>1</x:v>
      </x:c>
      <x:c r="J140" s="7" t="str"/>
      <x:c r="K140" s="7" t="str"/>
      <x:c r="L140" s="7" t="str">
        <x:v>OPEN</x:v>
      </x:c>
    </x:row>
    <x:row r="141" ht="40" customHeight="1">
      <x:c r="B141" s="7" t="str">
        <x:v>RFP-B2-FCE-09-M</x:v>
      </x:c>
      <x:c r="C141" s="7" t="str">
        <x:v>RFP-B2-FCE-09</x:v>
      </x:c>
      <x:c r="D141" s="7" t="str">
        <x:v>RFP-B2</x:v>
      </x:c>
      <x:c r="E141" s="7" t="str">
        <x:v>FCE-09</x:v>
      </x:c>
      <x:c r="F141" s="7" t="str">
        <x:v>manual/passive</x:v>
      </x:c>
      <x:c r="G141" s="10" t="str">
        <x:v>field action or passive state without network dependence</x:v>
      </x:c>
      <x:c r="H141" s="10" t="str">
        <x:v>isolated</x:v>
      </x:c>
      <x:c r="I141" s="7" t="n">
        <x:v>1</x:v>
      </x:c>
      <x:c r="J141" s="7" t="str"/>
      <x:c r="K141" s="7" t="str"/>
      <x:c r="L141" s="7" t="str">
        <x:v>OPEN</x:v>
      </x:c>
    </x:row>
    <x:row r="142" ht="40" customHeight="1">
      <x:c r="B142" s="7" t="str">
        <x:v>RFP-B2-FCE-10-P</x:v>
      </x:c>
      <x:c r="C142" s="7" t="str">
        <x:v>RFP-B2-FCE-10</x:v>
      </x:c>
      <x:c r="D142" s="7" t="str">
        <x:v>RFP-B2</x:v>
      </x:c>
      <x:c r="E142" s="7" t="str">
        <x:v>FCE-10</x:v>
      </x:c>
      <x:c r="F142" s="7" t="str">
        <x:v>primary</x:v>
      </x:c>
      <x:c r="G142" s="10" t="str">
        <x:v>registered command, independent energy and direct final-state sensor</x:v>
      </x:c>
      <x:c r="H142" s="10" t="str">
        <x:v>maintained for final action</x:v>
      </x:c>
      <x:c r="I142" s="7" t="n">
        <x:v>30</x:v>
      </x:c>
      <x:c r="J142" s="7" t="str"/>
      <x:c r="K142" s="7" t="str"/>
      <x:c r="L142" s="7" t="str">
        <x:v>OPEN</x:v>
      </x:c>
    </x:row>
    <x:row r="143" ht="40" customHeight="1">
      <x:c r="B143" s="7" t="str">
        <x:v>RFP-B2-FCE-10-D</x:v>
      </x:c>
      <x:c r="C143" s="7" t="str">
        <x:v>RFP-B2-FCE-10</x:v>
      </x:c>
      <x:c r="D143" s="7" t="str">
        <x:v>RFP-B2</x:v>
      </x:c>
      <x:c r="E143" s="7" t="str">
        <x:v>FCE-10</x:v>
      </x:c>
      <x:c r="F143" s="7" t="str">
        <x:v>diverse</x:v>
      </x:c>
      <x:c r="G143" s="10" t="str">
        <x:v>unlike local trip, separate energy and unlike state indication</x:v>
      </x:c>
      <x:c r="H143" s="10" t="str">
        <x:v>maintained for final action</x:v>
      </x:c>
      <x:c r="I143" s="7" t="n">
        <x:v>30</x:v>
      </x:c>
      <x:c r="J143" s="7" t="str"/>
      <x:c r="K143" s="7" t="str"/>
      <x:c r="L143" s="7" t="str">
        <x:v>OPEN</x:v>
      </x:c>
    </x:row>
    <x:row r="144" ht="40" customHeight="1">
      <x:c r="B144" s="7" t="str">
        <x:v>RFP-B2-FCE-10-M</x:v>
      </x:c>
      <x:c r="C144" s="7" t="str">
        <x:v>RFP-B2-FCE-10</x:v>
      </x:c>
      <x:c r="D144" s="7" t="str">
        <x:v>RFP-B2</x:v>
      </x:c>
      <x:c r="E144" s="7" t="str">
        <x:v>FCE-10</x:v>
      </x:c>
      <x:c r="F144" s="7" t="str">
        <x:v>manual/passive</x:v>
      </x:c>
      <x:c r="G144" s="10" t="str">
        <x:v>field action or passive state without network dependence</x:v>
      </x:c>
      <x:c r="H144" s="10" t="str">
        <x:v>maintained for final action</x:v>
      </x:c>
      <x:c r="I144" s="7" t="n">
        <x:v>30</x:v>
      </x:c>
      <x:c r="J144" s="7" t="str"/>
      <x:c r="K144" s="7" t="str"/>
      <x:c r="L144" s="7" t="str">
        <x:v>OPEN</x:v>
      </x:c>
    </x:row>
    <x:row r="145" ht="40" customHeight="1">
      <x:c r="B145" s="7" t="str">
        <x:v>RFP-B2-FCE-11-P</x:v>
      </x:c>
      <x:c r="C145" s="7" t="str">
        <x:v>RFP-B2-FCE-11</x:v>
      </x:c>
      <x:c r="D145" s="7" t="str">
        <x:v>RFP-B2</x:v>
      </x:c>
      <x:c r="E145" s="7" t="str">
        <x:v>FCE-11</x:v>
      </x:c>
      <x:c r="F145" s="7" t="str">
        <x:v>primary</x:v>
      </x:c>
      <x:c r="G145" s="10" t="str">
        <x:v>registered command, independent energy and direct final-state sensor</x:v>
      </x:c>
      <x:c r="H145" s="10" t="str">
        <x:v>contained safe route</x:v>
      </x:c>
      <x:c r="I145" s="7" t="n">
        <x:v>10</x:v>
      </x:c>
      <x:c r="J145" s="7" t="str"/>
      <x:c r="K145" s="7" t="str"/>
      <x:c r="L145" s="7" t="str">
        <x:v>OPEN</x:v>
      </x:c>
    </x:row>
    <x:row r="146" ht="40" customHeight="1">
      <x:c r="B146" s="7" t="str">
        <x:v>RFP-B2-FCE-11-D</x:v>
      </x:c>
      <x:c r="C146" s="7" t="str">
        <x:v>RFP-B2-FCE-11</x:v>
      </x:c>
      <x:c r="D146" s="7" t="str">
        <x:v>RFP-B2</x:v>
      </x:c>
      <x:c r="E146" s="7" t="str">
        <x:v>FCE-11</x:v>
      </x:c>
      <x:c r="F146" s="7" t="str">
        <x:v>diverse</x:v>
      </x:c>
      <x:c r="G146" s="10" t="str">
        <x:v>unlike local trip, separate energy and unlike state indication</x:v>
      </x:c>
      <x:c r="H146" s="10" t="str">
        <x:v>contained safe route</x:v>
      </x:c>
      <x:c r="I146" s="7" t="n">
        <x:v>10</x:v>
      </x:c>
      <x:c r="J146" s="7" t="str"/>
      <x:c r="K146" s="7" t="str"/>
      <x:c r="L146" s="7" t="str">
        <x:v>OPEN</x:v>
      </x:c>
    </x:row>
    <x:row r="147" ht="40" customHeight="1">
      <x:c r="B147" s="7" t="str">
        <x:v>RFP-B2-FCE-11-M</x:v>
      </x:c>
      <x:c r="C147" s="7" t="str">
        <x:v>RFP-B2-FCE-11</x:v>
      </x:c>
      <x:c r="D147" s="7" t="str">
        <x:v>RFP-B2</x:v>
      </x:c>
      <x:c r="E147" s="7" t="str">
        <x:v>FCE-11</x:v>
      </x:c>
      <x:c r="F147" s="7" t="str">
        <x:v>manual/passive</x:v>
      </x:c>
      <x:c r="G147" s="10" t="str">
        <x:v>field action or passive state without network dependence</x:v>
      </x:c>
      <x:c r="H147" s="10" t="str">
        <x:v>contained safe route</x:v>
      </x:c>
      <x:c r="I147" s="7" t="n">
        <x:v>10</x:v>
      </x:c>
      <x:c r="J147" s="7" t="str"/>
      <x:c r="K147" s="7" t="str"/>
      <x:c r="L147" s="7" t="str">
        <x:v>OPEN</x:v>
      </x:c>
    </x:row>
    <x:row r="148" ht="40" customHeight="1">
      <x:c r="B148" s="7" t="str">
        <x:v>RFP-B2-FCE-12-P</x:v>
      </x:c>
      <x:c r="C148" s="7" t="str">
        <x:v>RFP-B2-FCE-12</x:v>
      </x:c>
      <x:c r="D148" s="7" t="str">
        <x:v>RFP-B2</x:v>
      </x:c>
      <x:c r="E148" s="7" t="str">
        <x:v>FCE-12</x:v>
      </x:c>
      <x:c r="F148" s="7" t="str">
        <x:v>primary</x:v>
      </x:c>
      <x:c r="G148" s="10" t="str">
        <x:v>registered command, independent energy and direct final-state sensor</x:v>
      </x:c>
      <x:c r="H148" s="10" t="str">
        <x:v>latched and locally readable</x:v>
      </x:c>
      <x:c r="I148" s="7" t="n">
        <x:v>1</x:v>
      </x:c>
      <x:c r="J148" s="7" t="str"/>
      <x:c r="K148" s="7" t="str"/>
      <x:c r="L148" s="7" t="str">
        <x:v>OPEN</x:v>
      </x:c>
    </x:row>
    <x:row r="149" ht="40" customHeight="1">
      <x:c r="B149" s="7" t="str">
        <x:v>RFP-B2-FCE-12-D</x:v>
      </x:c>
      <x:c r="C149" s="7" t="str">
        <x:v>RFP-B2-FCE-12</x:v>
      </x:c>
      <x:c r="D149" s="7" t="str">
        <x:v>RFP-B2</x:v>
      </x:c>
      <x:c r="E149" s="7" t="str">
        <x:v>FCE-12</x:v>
      </x:c>
      <x:c r="F149" s="7" t="str">
        <x:v>diverse</x:v>
      </x:c>
      <x:c r="G149" s="10" t="str">
        <x:v>unlike local trip, separate energy and unlike state indication</x:v>
      </x:c>
      <x:c r="H149" s="10" t="str">
        <x:v>latched and locally readable</x:v>
      </x:c>
      <x:c r="I149" s="7" t="n">
        <x:v>1</x:v>
      </x:c>
      <x:c r="J149" s="7" t="str"/>
      <x:c r="K149" s="7" t="str"/>
      <x:c r="L149" s="7" t="str">
        <x:v>OPEN</x:v>
      </x:c>
    </x:row>
    <x:row r="150" ht="40" customHeight="1">
      <x:c r="B150" s="7" t="str">
        <x:v>RFP-B2-FCE-12-M</x:v>
      </x:c>
      <x:c r="C150" s="7" t="str">
        <x:v>RFP-B2-FCE-12</x:v>
      </x:c>
      <x:c r="D150" s="7" t="str">
        <x:v>RFP-B2</x:v>
      </x:c>
      <x:c r="E150" s="7" t="str">
        <x:v>FCE-12</x:v>
      </x:c>
      <x:c r="F150" s="7" t="str">
        <x:v>manual/passive</x:v>
      </x:c>
      <x:c r="G150" s="10" t="str">
        <x:v>field action or passive state without network dependence</x:v>
      </x:c>
      <x:c r="H150" s="10" t="str">
        <x:v>latched and locally readable</x:v>
      </x:c>
      <x:c r="I150" s="7" t="n">
        <x:v>1</x:v>
      </x:c>
      <x:c r="J150" s="7" t="str"/>
      <x:c r="K150" s="7" t="str"/>
      <x:c r="L150" s="7" t="str">
        <x:v>OPEN</x:v>
      </x:c>
    </x:row>
    <x:row r="151" ht="40" customHeight="1">
      <x:c r="B151" s="7" t="str">
        <x:v>RFP-C1-FCE-01-P</x:v>
      </x:c>
      <x:c r="C151" s="7" t="str">
        <x:v>RFP-C1-FCE-01</x:v>
      </x:c>
      <x:c r="D151" s="7" t="str">
        <x:v>RFP-C1</x:v>
      </x:c>
      <x:c r="E151" s="7" t="str">
        <x:v>FCE-01</x:v>
      </x:c>
      <x:c r="F151" s="7" t="str">
        <x:v>primary</x:v>
      </x:c>
      <x:c r="G151" s="10" t="str">
        <x:v>registered command, independent energy and direct final-state sensor</x:v>
      </x:c>
      <x:c r="H151" s="10" t="str">
        <x:v>closed</x:v>
      </x:c>
      <x:c r="I151" s="7" t="n">
        <x:v>2</x:v>
      </x:c>
      <x:c r="J151" s="7" t="str"/>
      <x:c r="K151" s="7" t="str"/>
      <x:c r="L151" s="7" t="str">
        <x:v>OPEN</x:v>
      </x:c>
    </x:row>
    <x:row r="152" ht="40" customHeight="1">
      <x:c r="B152" s="7" t="str">
        <x:v>RFP-C1-FCE-01-D</x:v>
      </x:c>
      <x:c r="C152" s="7" t="str">
        <x:v>RFP-C1-FCE-01</x:v>
      </x:c>
      <x:c r="D152" s="7" t="str">
        <x:v>RFP-C1</x:v>
      </x:c>
      <x:c r="E152" s="7" t="str">
        <x:v>FCE-01</x:v>
      </x:c>
      <x:c r="F152" s="7" t="str">
        <x:v>diverse</x:v>
      </x:c>
      <x:c r="G152" s="10" t="str">
        <x:v>unlike local trip, separate energy and unlike state indication</x:v>
      </x:c>
      <x:c r="H152" s="10" t="str">
        <x:v>closed</x:v>
      </x:c>
      <x:c r="I152" s="7" t="n">
        <x:v>2</x:v>
      </x:c>
      <x:c r="J152" s="7" t="str"/>
      <x:c r="K152" s="7" t="str"/>
      <x:c r="L152" s="7" t="str">
        <x:v>OPEN</x:v>
      </x:c>
    </x:row>
    <x:row r="153" ht="40" customHeight="1">
      <x:c r="B153" s="7" t="str">
        <x:v>RFP-C1-FCE-01-M</x:v>
      </x:c>
      <x:c r="C153" s="7" t="str">
        <x:v>RFP-C1-FCE-01</x:v>
      </x:c>
      <x:c r="D153" s="7" t="str">
        <x:v>RFP-C1</x:v>
      </x:c>
      <x:c r="E153" s="7" t="str">
        <x:v>FCE-01</x:v>
      </x:c>
      <x:c r="F153" s="7" t="str">
        <x:v>manual/passive</x:v>
      </x:c>
      <x:c r="G153" s="10" t="str">
        <x:v>field action or passive state without network dependence</x:v>
      </x:c>
      <x:c r="H153" s="10" t="str">
        <x:v>closed</x:v>
      </x:c>
      <x:c r="I153" s="7" t="n">
        <x:v>2</x:v>
      </x:c>
      <x:c r="J153" s="7" t="str"/>
      <x:c r="K153" s="7" t="str"/>
      <x:c r="L153" s="7" t="str">
        <x:v>OPEN</x:v>
      </x:c>
    </x:row>
    <x:row r="154" ht="40" customHeight="1">
      <x:c r="B154" s="7" t="str">
        <x:v>RFP-C1-FCE-02-P</x:v>
      </x:c>
      <x:c r="C154" s="7" t="str">
        <x:v>RFP-C1-FCE-02</x:v>
      </x:c>
      <x:c r="D154" s="7" t="str">
        <x:v>RFP-C1</x:v>
      </x:c>
      <x:c r="E154" s="7" t="str">
        <x:v>FCE-02</x:v>
      </x:c>
      <x:c r="F154" s="7" t="str">
        <x:v>primary</x:v>
      </x:c>
      <x:c r="G154" s="10" t="str">
        <x:v>registered command, independent energy and direct final-state sensor</x:v>
      </x:c>
      <x:c r="H154" s="10" t="str">
        <x:v>closed</x:v>
      </x:c>
      <x:c r="I154" s="7" t="n">
        <x:v>2</x:v>
      </x:c>
      <x:c r="J154" s="7" t="str"/>
      <x:c r="K154" s="7" t="str"/>
      <x:c r="L154" s="7" t="str">
        <x:v>OPEN</x:v>
      </x:c>
    </x:row>
    <x:row r="155" ht="40" customHeight="1">
      <x:c r="B155" s="7" t="str">
        <x:v>RFP-C1-FCE-02-D</x:v>
      </x:c>
      <x:c r="C155" s="7" t="str">
        <x:v>RFP-C1-FCE-02</x:v>
      </x:c>
      <x:c r="D155" s="7" t="str">
        <x:v>RFP-C1</x:v>
      </x:c>
      <x:c r="E155" s="7" t="str">
        <x:v>FCE-02</x:v>
      </x:c>
      <x:c r="F155" s="7" t="str">
        <x:v>diverse</x:v>
      </x:c>
      <x:c r="G155" s="10" t="str">
        <x:v>unlike local trip, separate energy and unlike state indication</x:v>
      </x:c>
      <x:c r="H155" s="10" t="str">
        <x:v>closed</x:v>
      </x:c>
      <x:c r="I155" s="7" t="n">
        <x:v>2</x:v>
      </x:c>
      <x:c r="J155" s="7" t="str"/>
      <x:c r="K155" s="7" t="str"/>
      <x:c r="L155" s="7" t="str">
        <x:v>OPEN</x:v>
      </x:c>
    </x:row>
    <x:row r="156" ht="40" customHeight="1">
      <x:c r="B156" s="7" t="str">
        <x:v>RFP-C1-FCE-02-M</x:v>
      </x:c>
      <x:c r="C156" s="7" t="str">
        <x:v>RFP-C1-FCE-02</x:v>
      </x:c>
      <x:c r="D156" s="7" t="str">
        <x:v>RFP-C1</x:v>
      </x:c>
      <x:c r="E156" s="7" t="str">
        <x:v>FCE-02</x:v>
      </x:c>
      <x:c r="F156" s="7" t="str">
        <x:v>manual/passive</x:v>
      </x:c>
      <x:c r="G156" s="10" t="str">
        <x:v>field action or passive state without network dependence</x:v>
      </x:c>
      <x:c r="H156" s="10" t="str">
        <x:v>closed</x:v>
      </x:c>
      <x:c r="I156" s="7" t="n">
        <x:v>2</x:v>
      </x:c>
      <x:c r="J156" s="7" t="str"/>
      <x:c r="K156" s="7" t="str"/>
      <x:c r="L156" s="7" t="str">
        <x:v>OPEN</x:v>
      </x:c>
    </x:row>
    <x:row r="157" ht="40" customHeight="1">
      <x:c r="B157" s="7" t="str">
        <x:v>RFP-C1-FCE-03-P</x:v>
      </x:c>
      <x:c r="C157" s="7" t="str">
        <x:v>RFP-C1-FCE-03</x:v>
      </x:c>
      <x:c r="D157" s="7" t="str">
        <x:v>RFP-C1</x:v>
      </x:c>
      <x:c r="E157" s="7" t="str">
        <x:v>FCE-03</x:v>
      </x:c>
      <x:c r="F157" s="7" t="str">
        <x:v>primary</x:v>
      </x:c>
      <x:c r="G157" s="10" t="str">
        <x:v>registered command, independent energy and direct final-state sensor</x:v>
      </x:c>
      <x:c r="H157" s="10" t="str">
        <x:v>casualty receiver</x:v>
      </x:c>
      <x:c r="I157" s="7" t="n">
        <x:v>5</x:v>
      </x:c>
      <x:c r="J157" s="7" t="str"/>
      <x:c r="K157" s="7" t="str"/>
      <x:c r="L157" s="7" t="str">
        <x:v>OPEN</x:v>
      </x:c>
    </x:row>
    <x:row r="158" ht="40" customHeight="1">
      <x:c r="B158" s="7" t="str">
        <x:v>RFP-C1-FCE-03-D</x:v>
      </x:c>
      <x:c r="C158" s="7" t="str">
        <x:v>RFP-C1-FCE-03</x:v>
      </x:c>
      <x:c r="D158" s="7" t="str">
        <x:v>RFP-C1</x:v>
      </x:c>
      <x:c r="E158" s="7" t="str">
        <x:v>FCE-03</x:v>
      </x:c>
      <x:c r="F158" s="7" t="str">
        <x:v>diverse</x:v>
      </x:c>
      <x:c r="G158" s="10" t="str">
        <x:v>unlike local trip, separate energy and unlike state indication</x:v>
      </x:c>
      <x:c r="H158" s="10" t="str">
        <x:v>casualty receiver</x:v>
      </x:c>
      <x:c r="I158" s="7" t="n">
        <x:v>5</x:v>
      </x:c>
      <x:c r="J158" s="7" t="str"/>
      <x:c r="K158" s="7" t="str"/>
      <x:c r="L158" s="7" t="str">
        <x:v>OPEN</x:v>
      </x:c>
    </x:row>
    <x:row r="159" ht="40" customHeight="1">
      <x:c r="B159" s="7" t="str">
        <x:v>RFP-C1-FCE-03-M</x:v>
      </x:c>
      <x:c r="C159" s="7" t="str">
        <x:v>RFP-C1-FCE-03</x:v>
      </x:c>
      <x:c r="D159" s="7" t="str">
        <x:v>RFP-C1</x:v>
      </x:c>
      <x:c r="E159" s="7" t="str">
        <x:v>FCE-03</x:v>
      </x:c>
      <x:c r="F159" s="7" t="str">
        <x:v>manual/passive</x:v>
      </x:c>
      <x:c r="G159" s="10" t="str">
        <x:v>field action or passive state without network dependence</x:v>
      </x:c>
      <x:c r="H159" s="10" t="str">
        <x:v>casualty receiver</x:v>
      </x:c>
      <x:c r="I159" s="7" t="n">
        <x:v>5</x:v>
      </x:c>
      <x:c r="J159" s="7" t="str"/>
      <x:c r="K159" s="7" t="str"/>
      <x:c r="L159" s="7" t="str">
        <x:v>OPEN</x:v>
      </x:c>
    </x:row>
    <x:row r="160" ht="40" customHeight="1">
      <x:c r="B160" s="7" t="str">
        <x:v>RFP-C1-FCE-04-P</x:v>
      </x:c>
      <x:c r="C160" s="7" t="str">
        <x:v>RFP-C1-FCE-04</x:v>
      </x:c>
      <x:c r="D160" s="7" t="str">
        <x:v>RFP-C1</x:v>
      </x:c>
      <x:c r="E160" s="7" t="str">
        <x:v>FCE-04</x:v>
      </x:c>
      <x:c r="F160" s="7" t="str">
        <x:v>primary</x:v>
      </x:c>
      <x:c r="G160" s="10" t="str">
        <x:v>registered command, independent energy and direct final-state sensor</x:v>
      </x:c>
      <x:c r="H160" s="10" t="str">
        <x:v>closed</x:v>
      </x:c>
      <x:c r="I160" s="7" t="n">
        <x:v>3</x:v>
      </x:c>
      <x:c r="J160" s="7" t="str"/>
      <x:c r="K160" s="7" t="str"/>
      <x:c r="L160" s="7" t="str">
        <x:v>OPEN</x:v>
      </x:c>
    </x:row>
    <x:row r="161" ht="40" customHeight="1">
      <x:c r="B161" s="7" t="str">
        <x:v>RFP-C1-FCE-04-D</x:v>
      </x:c>
      <x:c r="C161" s="7" t="str">
        <x:v>RFP-C1-FCE-04</x:v>
      </x:c>
      <x:c r="D161" s="7" t="str">
        <x:v>RFP-C1</x:v>
      </x:c>
      <x:c r="E161" s="7" t="str">
        <x:v>FCE-04</x:v>
      </x:c>
      <x:c r="F161" s="7" t="str">
        <x:v>diverse</x:v>
      </x:c>
      <x:c r="G161" s="10" t="str">
        <x:v>unlike local trip, separate energy and unlike state indication</x:v>
      </x:c>
      <x:c r="H161" s="10" t="str">
        <x:v>closed</x:v>
      </x:c>
      <x:c r="I161" s="7" t="n">
        <x:v>3</x:v>
      </x:c>
      <x:c r="J161" s="7" t="str"/>
      <x:c r="K161" s="7" t="str"/>
      <x:c r="L161" s="7" t="str">
        <x:v>OPEN</x:v>
      </x:c>
    </x:row>
    <x:row r="162" ht="40" customHeight="1">
      <x:c r="B162" s="7" t="str">
        <x:v>RFP-C1-FCE-04-M</x:v>
      </x:c>
      <x:c r="C162" s="7" t="str">
        <x:v>RFP-C1-FCE-04</x:v>
      </x:c>
      <x:c r="D162" s="7" t="str">
        <x:v>RFP-C1</x:v>
      </x:c>
      <x:c r="E162" s="7" t="str">
        <x:v>FCE-04</x:v>
      </x:c>
      <x:c r="F162" s="7" t="str">
        <x:v>manual/passive</x:v>
      </x:c>
      <x:c r="G162" s="10" t="str">
        <x:v>field action or passive state without network dependence</x:v>
      </x:c>
      <x:c r="H162" s="10" t="str">
        <x:v>closed</x:v>
      </x:c>
      <x:c r="I162" s="7" t="n">
        <x:v>3</x:v>
      </x:c>
      <x:c r="J162" s="7" t="str"/>
      <x:c r="K162" s="7" t="str"/>
      <x:c r="L162" s="7" t="str">
        <x:v>OPEN</x:v>
      </x:c>
    </x:row>
    <x:row r="163" ht="40" customHeight="1">
      <x:c r="B163" s="7" t="str">
        <x:v>RFP-C1-FCE-05-P</x:v>
      </x:c>
      <x:c r="C163" s="7" t="str">
        <x:v>RFP-C1-FCE-05</x:v>
      </x:c>
      <x:c r="D163" s="7" t="str">
        <x:v>RFP-C1</x:v>
      </x:c>
      <x:c r="E163" s="7" t="str">
        <x:v>FCE-05</x:v>
      </x:c>
      <x:c r="F163" s="7" t="str">
        <x:v>primary</x:v>
      </x:c>
      <x:c r="G163" s="10" t="str">
        <x:v>registered command, independent energy and direct final-state sensor</x:v>
      </x:c>
      <x:c r="H163" s="10" t="str">
        <x:v>open to casualty receiver</x:v>
      </x:c>
      <x:c r="I163" s="7" t="n">
        <x:v>5</x:v>
      </x:c>
      <x:c r="J163" s="7" t="str"/>
      <x:c r="K163" s="7" t="str"/>
      <x:c r="L163" s="7" t="str">
        <x:v>OPEN</x:v>
      </x:c>
    </x:row>
    <x:row r="164" ht="40" customHeight="1">
      <x:c r="B164" s="7" t="str">
        <x:v>RFP-C1-FCE-05-D</x:v>
      </x:c>
      <x:c r="C164" s="7" t="str">
        <x:v>RFP-C1-FCE-05</x:v>
      </x:c>
      <x:c r="D164" s="7" t="str">
        <x:v>RFP-C1</x:v>
      </x:c>
      <x:c r="E164" s="7" t="str">
        <x:v>FCE-05</x:v>
      </x:c>
      <x:c r="F164" s="7" t="str">
        <x:v>diverse</x:v>
      </x:c>
      <x:c r="G164" s="10" t="str">
        <x:v>unlike local trip, separate energy and unlike state indication</x:v>
      </x:c>
      <x:c r="H164" s="10" t="str">
        <x:v>open to casualty receiver</x:v>
      </x:c>
      <x:c r="I164" s="7" t="n">
        <x:v>5</x:v>
      </x:c>
      <x:c r="J164" s="7" t="str"/>
      <x:c r="K164" s="7" t="str"/>
      <x:c r="L164" s="7" t="str">
        <x:v>OPEN</x:v>
      </x:c>
    </x:row>
    <x:row r="165" ht="40" customHeight="1">
      <x:c r="B165" s="7" t="str">
        <x:v>RFP-C1-FCE-05-M</x:v>
      </x:c>
      <x:c r="C165" s="7" t="str">
        <x:v>RFP-C1-FCE-05</x:v>
      </x:c>
      <x:c r="D165" s="7" t="str">
        <x:v>RFP-C1</x:v>
      </x:c>
      <x:c r="E165" s="7" t="str">
        <x:v>FCE-05</x:v>
      </x:c>
      <x:c r="F165" s="7" t="str">
        <x:v>manual/passive</x:v>
      </x:c>
      <x:c r="G165" s="10" t="str">
        <x:v>field action or passive state without network dependence</x:v>
      </x:c>
      <x:c r="H165" s="10" t="str">
        <x:v>open to casualty receiver</x:v>
      </x:c>
      <x:c r="I165" s="7" t="n">
        <x:v>5</x:v>
      </x:c>
      <x:c r="J165" s="7" t="str"/>
      <x:c r="K165" s="7" t="str"/>
      <x:c r="L165" s="7" t="str">
        <x:v>OPEN</x:v>
      </x:c>
    </x:row>
    <x:row r="166" ht="40" customHeight="1">
      <x:c r="B166" s="7" t="str">
        <x:v>RFP-C1-FCE-06-P</x:v>
      </x:c>
      <x:c r="C166" s="7" t="str">
        <x:v>RFP-C1-FCE-06</x:v>
      </x:c>
      <x:c r="D166" s="7" t="str">
        <x:v>RFP-C1</x:v>
      </x:c>
      <x:c r="E166" s="7" t="str">
        <x:v>FCE-06</x:v>
      </x:c>
      <x:c r="F166" s="7" t="str">
        <x:v>primary</x:v>
      </x:c>
      <x:c r="G166" s="10" t="str">
        <x:v>registered command, independent energy and direct final-state sensor</x:v>
      </x:c>
      <x:c r="H166" s="10" t="str">
        <x:v>de-energized</x:v>
      </x:c>
      <x:c r="I166" s="7" t="n">
        <x:v>1</x:v>
      </x:c>
      <x:c r="J166" s="7" t="str"/>
      <x:c r="K166" s="7" t="str"/>
      <x:c r="L166" s="7" t="str">
        <x:v>OPEN</x:v>
      </x:c>
    </x:row>
    <x:row r="167" ht="40" customHeight="1">
      <x:c r="B167" s="7" t="str">
        <x:v>RFP-C1-FCE-06-D</x:v>
      </x:c>
      <x:c r="C167" s="7" t="str">
        <x:v>RFP-C1-FCE-06</x:v>
      </x:c>
      <x:c r="D167" s="7" t="str">
        <x:v>RFP-C1</x:v>
      </x:c>
      <x:c r="E167" s="7" t="str">
        <x:v>FCE-06</x:v>
      </x:c>
      <x:c r="F167" s="7" t="str">
        <x:v>diverse</x:v>
      </x:c>
      <x:c r="G167" s="10" t="str">
        <x:v>unlike local trip, separate energy and unlike state indication</x:v>
      </x:c>
      <x:c r="H167" s="10" t="str">
        <x:v>de-energized</x:v>
      </x:c>
      <x:c r="I167" s="7" t="n">
        <x:v>1</x:v>
      </x:c>
      <x:c r="J167" s="7" t="str"/>
      <x:c r="K167" s="7" t="str"/>
      <x:c r="L167" s="7" t="str">
        <x:v>OPEN</x:v>
      </x:c>
    </x:row>
    <x:row r="168" ht="40" customHeight="1">
      <x:c r="B168" s="7" t="str">
        <x:v>RFP-C1-FCE-06-M</x:v>
      </x:c>
      <x:c r="C168" s="7" t="str">
        <x:v>RFP-C1-FCE-06</x:v>
      </x:c>
      <x:c r="D168" s="7" t="str">
        <x:v>RFP-C1</x:v>
      </x:c>
      <x:c r="E168" s="7" t="str">
        <x:v>FCE-06</x:v>
      </x:c>
      <x:c r="F168" s="7" t="str">
        <x:v>manual/passive</x:v>
      </x:c>
      <x:c r="G168" s="10" t="str">
        <x:v>field action or passive state without network dependence</x:v>
      </x:c>
      <x:c r="H168" s="10" t="str">
        <x:v>de-energized</x:v>
      </x:c>
      <x:c r="I168" s="7" t="n">
        <x:v>1</x:v>
      </x:c>
      <x:c r="J168" s="7" t="str"/>
      <x:c r="K168" s="7" t="str"/>
      <x:c r="L168" s="7" t="str">
        <x:v>OPEN</x:v>
      </x:c>
    </x:row>
    <x:row r="169" ht="40" customHeight="1">
      <x:c r="B169" s="7" t="str">
        <x:v>RFP-C1-FCE-07-P</x:v>
      </x:c>
      <x:c r="C169" s="7" t="str">
        <x:v>RFP-C1-FCE-07</x:v>
      </x:c>
      <x:c r="D169" s="7" t="str">
        <x:v>RFP-C1</x:v>
      </x:c>
      <x:c r="E169" s="7" t="str">
        <x:v>FCE-07</x:v>
      </x:c>
      <x:c r="F169" s="7" t="str">
        <x:v>primary</x:v>
      </x:c>
      <x:c r="G169" s="10" t="str">
        <x:v>registered command, independent energy and direct final-state sensor</x:v>
      </x:c>
      <x:c r="H169" s="10" t="str">
        <x:v>closed</x:v>
      </x:c>
      <x:c r="I169" s="7" t="n">
        <x:v>2</x:v>
      </x:c>
      <x:c r="J169" s="7" t="str"/>
      <x:c r="K169" s="7" t="str"/>
      <x:c r="L169" s="7" t="str">
        <x:v>OPEN</x:v>
      </x:c>
    </x:row>
    <x:row r="170" ht="40" customHeight="1">
      <x:c r="B170" s="7" t="str">
        <x:v>RFP-C1-FCE-07-D</x:v>
      </x:c>
      <x:c r="C170" s="7" t="str">
        <x:v>RFP-C1-FCE-07</x:v>
      </x:c>
      <x:c r="D170" s="7" t="str">
        <x:v>RFP-C1</x:v>
      </x:c>
      <x:c r="E170" s="7" t="str">
        <x:v>FCE-07</x:v>
      </x:c>
      <x:c r="F170" s="7" t="str">
        <x:v>diverse</x:v>
      </x:c>
      <x:c r="G170" s="10" t="str">
        <x:v>unlike local trip, separate energy and unlike state indication</x:v>
      </x:c>
      <x:c r="H170" s="10" t="str">
        <x:v>closed</x:v>
      </x:c>
      <x:c r="I170" s="7" t="n">
        <x:v>2</x:v>
      </x:c>
      <x:c r="J170" s="7" t="str"/>
      <x:c r="K170" s="7" t="str"/>
      <x:c r="L170" s="7" t="str">
        <x:v>OPEN</x:v>
      </x:c>
    </x:row>
    <x:row r="171" ht="40" customHeight="1">
      <x:c r="B171" s="7" t="str">
        <x:v>RFP-C1-FCE-07-M</x:v>
      </x:c>
      <x:c r="C171" s="7" t="str">
        <x:v>RFP-C1-FCE-07</x:v>
      </x:c>
      <x:c r="D171" s="7" t="str">
        <x:v>RFP-C1</x:v>
      </x:c>
      <x:c r="E171" s="7" t="str">
        <x:v>FCE-07</x:v>
      </x:c>
      <x:c r="F171" s="7" t="str">
        <x:v>manual/passive</x:v>
      </x:c>
      <x:c r="G171" s="10" t="str">
        <x:v>field action or passive state without network dependence</x:v>
      </x:c>
      <x:c r="H171" s="10" t="str">
        <x:v>closed</x:v>
      </x:c>
      <x:c r="I171" s="7" t="n">
        <x:v>2</x:v>
      </x:c>
      <x:c r="J171" s="7" t="str"/>
      <x:c r="K171" s="7" t="str"/>
      <x:c r="L171" s="7" t="str">
        <x:v>OPEN</x:v>
      </x:c>
    </x:row>
    <x:row r="172" ht="40" customHeight="1">
      <x:c r="B172" s="7" t="str">
        <x:v>RFP-C1-FCE-08-P</x:v>
      </x:c>
      <x:c r="C172" s="7" t="str">
        <x:v>RFP-C1-FCE-08</x:v>
      </x:c>
      <x:c r="D172" s="7" t="str">
        <x:v>RFP-C1</x:v>
      </x:c>
      <x:c r="E172" s="7" t="str">
        <x:v>FCE-08</x:v>
      </x:c>
      <x:c r="F172" s="7" t="str">
        <x:v>primary</x:v>
      </x:c>
      <x:c r="G172" s="10" t="str">
        <x:v>registered command, independent energy and direct final-state sensor</x:v>
      </x:c>
      <x:c r="H172" s="10" t="str">
        <x:v>open to casualty receiver</x:v>
      </x:c>
      <x:c r="I172" s="7" t="n">
        <x:v>5</x:v>
      </x:c>
      <x:c r="J172" s="7" t="str"/>
      <x:c r="K172" s="7" t="str"/>
      <x:c r="L172" s="7" t="str">
        <x:v>OPEN</x:v>
      </x:c>
    </x:row>
    <x:row r="173" ht="40" customHeight="1">
      <x:c r="B173" s="7" t="str">
        <x:v>RFP-C1-FCE-08-D</x:v>
      </x:c>
      <x:c r="C173" s="7" t="str">
        <x:v>RFP-C1-FCE-08</x:v>
      </x:c>
      <x:c r="D173" s="7" t="str">
        <x:v>RFP-C1</x:v>
      </x:c>
      <x:c r="E173" s="7" t="str">
        <x:v>FCE-08</x:v>
      </x:c>
      <x:c r="F173" s="7" t="str">
        <x:v>diverse</x:v>
      </x:c>
      <x:c r="G173" s="10" t="str">
        <x:v>unlike local trip, separate energy and unlike state indication</x:v>
      </x:c>
      <x:c r="H173" s="10" t="str">
        <x:v>open to casualty receiver</x:v>
      </x:c>
      <x:c r="I173" s="7" t="n">
        <x:v>5</x:v>
      </x:c>
      <x:c r="J173" s="7" t="str"/>
      <x:c r="K173" s="7" t="str"/>
      <x:c r="L173" s="7" t="str">
        <x:v>OPEN</x:v>
      </x:c>
    </x:row>
    <x:row r="174" ht="40" customHeight="1">
      <x:c r="B174" s="7" t="str">
        <x:v>RFP-C1-FCE-08-M</x:v>
      </x:c>
      <x:c r="C174" s="7" t="str">
        <x:v>RFP-C1-FCE-08</x:v>
      </x:c>
      <x:c r="D174" s="7" t="str">
        <x:v>RFP-C1</x:v>
      </x:c>
      <x:c r="E174" s="7" t="str">
        <x:v>FCE-08</x:v>
      </x:c>
      <x:c r="F174" s="7" t="str">
        <x:v>manual/passive</x:v>
      </x:c>
      <x:c r="G174" s="10" t="str">
        <x:v>field action or passive state without network dependence</x:v>
      </x:c>
      <x:c r="H174" s="10" t="str">
        <x:v>open to casualty receiver</x:v>
      </x:c>
      <x:c r="I174" s="7" t="n">
        <x:v>5</x:v>
      </x:c>
      <x:c r="J174" s="7" t="str"/>
      <x:c r="K174" s="7" t="str"/>
      <x:c r="L174" s="7" t="str">
        <x:v>OPEN</x:v>
      </x:c>
    </x:row>
    <x:row r="175" ht="40" customHeight="1">
      <x:c r="B175" s="7" t="str">
        <x:v>RFP-C1-FCE-09-P</x:v>
      </x:c>
      <x:c r="C175" s="7" t="str">
        <x:v>RFP-C1-FCE-09</x:v>
      </x:c>
      <x:c r="D175" s="7" t="str">
        <x:v>RFP-C1</x:v>
      </x:c>
      <x:c r="E175" s="7" t="str">
        <x:v>FCE-09</x:v>
      </x:c>
      <x:c r="F175" s="7" t="str">
        <x:v>primary</x:v>
      </x:c>
      <x:c r="G175" s="10" t="str">
        <x:v>registered command, independent energy and direct final-state sensor</x:v>
      </x:c>
      <x:c r="H175" s="10" t="str">
        <x:v>isolated</x:v>
      </x:c>
      <x:c r="I175" s="7" t="n">
        <x:v>1</x:v>
      </x:c>
      <x:c r="J175" s="7" t="str"/>
      <x:c r="K175" s="7" t="str"/>
      <x:c r="L175" s="7" t="str">
        <x:v>OPEN</x:v>
      </x:c>
    </x:row>
    <x:row r="176" ht="40" customHeight="1">
      <x:c r="B176" s="7" t="str">
        <x:v>RFP-C1-FCE-09-D</x:v>
      </x:c>
      <x:c r="C176" s="7" t="str">
        <x:v>RFP-C1-FCE-09</x:v>
      </x:c>
      <x:c r="D176" s="7" t="str">
        <x:v>RFP-C1</x:v>
      </x:c>
      <x:c r="E176" s="7" t="str">
        <x:v>FCE-09</x:v>
      </x:c>
      <x:c r="F176" s="7" t="str">
        <x:v>diverse</x:v>
      </x:c>
      <x:c r="G176" s="10" t="str">
        <x:v>unlike local trip, separate energy and unlike state indication</x:v>
      </x:c>
      <x:c r="H176" s="10" t="str">
        <x:v>isolated</x:v>
      </x:c>
      <x:c r="I176" s="7" t="n">
        <x:v>1</x:v>
      </x:c>
      <x:c r="J176" s="7" t="str"/>
      <x:c r="K176" s="7" t="str"/>
      <x:c r="L176" s="7" t="str">
        <x:v>OPEN</x:v>
      </x:c>
    </x:row>
    <x:row r="177" ht="40" customHeight="1">
      <x:c r="B177" s="7" t="str">
        <x:v>RFP-C1-FCE-09-M</x:v>
      </x:c>
      <x:c r="C177" s="7" t="str">
        <x:v>RFP-C1-FCE-09</x:v>
      </x:c>
      <x:c r="D177" s="7" t="str">
        <x:v>RFP-C1</x:v>
      </x:c>
      <x:c r="E177" s="7" t="str">
        <x:v>FCE-09</x:v>
      </x:c>
      <x:c r="F177" s="7" t="str">
        <x:v>manual/passive</x:v>
      </x:c>
      <x:c r="G177" s="10" t="str">
        <x:v>field action or passive state without network dependence</x:v>
      </x:c>
      <x:c r="H177" s="10" t="str">
        <x:v>isolated</x:v>
      </x:c>
      <x:c r="I177" s="7" t="n">
        <x:v>1</x:v>
      </x:c>
      <x:c r="J177" s="7" t="str"/>
      <x:c r="K177" s="7" t="str"/>
      <x:c r="L177" s="7" t="str">
        <x:v>OPEN</x:v>
      </x:c>
    </x:row>
    <x:row r="178" ht="40" customHeight="1">
      <x:c r="B178" s="7" t="str">
        <x:v>RFP-C1-FCE-10-P</x:v>
      </x:c>
      <x:c r="C178" s="7" t="str">
        <x:v>RFP-C1-FCE-10</x:v>
      </x:c>
      <x:c r="D178" s="7" t="str">
        <x:v>RFP-C1</x:v>
      </x:c>
      <x:c r="E178" s="7" t="str">
        <x:v>FCE-10</x:v>
      </x:c>
      <x:c r="F178" s="7" t="str">
        <x:v>primary</x:v>
      </x:c>
      <x:c r="G178" s="10" t="str">
        <x:v>registered command, independent energy and direct final-state sensor</x:v>
      </x:c>
      <x:c r="H178" s="10" t="str">
        <x:v>maintained for final action</x:v>
      </x:c>
      <x:c r="I178" s="7" t="n">
        <x:v>30</x:v>
      </x:c>
      <x:c r="J178" s="7" t="str"/>
      <x:c r="K178" s="7" t="str"/>
      <x:c r="L178" s="7" t="str">
        <x:v>OPEN</x:v>
      </x:c>
    </x:row>
    <x:row r="179" ht="40" customHeight="1">
      <x:c r="B179" s="7" t="str">
        <x:v>RFP-C1-FCE-10-D</x:v>
      </x:c>
      <x:c r="C179" s="7" t="str">
        <x:v>RFP-C1-FCE-10</x:v>
      </x:c>
      <x:c r="D179" s="7" t="str">
        <x:v>RFP-C1</x:v>
      </x:c>
      <x:c r="E179" s="7" t="str">
        <x:v>FCE-10</x:v>
      </x:c>
      <x:c r="F179" s="7" t="str">
        <x:v>diverse</x:v>
      </x:c>
      <x:c r="G179" s="10" t="str">
        <x:v>unlike local trip, separate energy and unlike state indication</x:v>
      </x:c>
      <x:c r="H179" s="10" t="str">
        <x:v>maintained for final action</x:v>
      </x:c>
      <x:c r="I179" s="7" t="n">
        <x:v>30</x:v>
      </x:c>
      <x:c r="J179" s="7" t="str"/>
      <x:c r="K179" s="7" t="str"/>
      <x:c r="L179" s="7" t="str">
        <x:v>OPEN</x:v>
      </x:c>
    </x:row>
    <x:row r="180" ht="40" customHeight="1">
      <x:c r="B180" s="7" t="str">
        <x:v>RFP-C1-FCE-10-M</x:v>
      </x:c>
      <x:c r="C180" s="7" t="str">
        <x:v>RFP-C1-FCE-10</x:v>
      </x:c>
      <x:c r="D180" s="7" t="str">
        <x:v>RFP-C1</x:v>
      </x:c>
      <x:c r="E180" s="7" t="str">
        <x:v>FCE-10</x:v>
      </x:c>
      <x:c r="F180" s="7" t="str">
        <x:v>manual/passive</x:v>
      </x:c>
      <x:c r="G180" s="10" t="str">
        <x:v>field action or passive state without network dependence</x:v>
      </x:c>
      <x:c r="H180" s="10" t="str">
        <x:v>maintained for final action</x:v>
      </x:c>
      <x:c r="I180" s="7" t="n">
        <x:v>30</x:v>
      </x:c>
      <x:c r="J180" s="7" t="str"/>
      <x:c r="K180" s="7" t="str"/>
      <x:c r="L180" s="7" t="str">
        <x:v>OPEN</x:v>
      </x:c>
    </x:row>
    <x:row r="181" ht="40" customHeight="1">
      <x:c r="B181" s="7" t="str">
        <x:v>RFP-C1-FCE-11-P</x:v>
      </x:c>
      <x:c r="C181" s="7" t="str">
        <x:v>RFP-C1-FCE-11</x:v>
      </x:c>
      <x:c r="D181" s="7" t="str">
        <x:v>RFP-C1</x:v>
      </x:c>
      <x:c r="E181" s="7" t="str">
        <x:v>FCE-11</x:v>
      </x:c>
      <x:c r="F181" s="7" t="str">
        <x:v>primary</x:v>
      </x:c>
      <x:c r="G181" s="10" t="str">
        <x:v>registered command, independent energy and direct final-state sensor</x:v>
      </x:c>
      <x:c r="H181" s="10" t="str">
        <x:v>contained safe route</x:v>
      </x:c>
      <x:c r="I181" s="7" t="n">
        <x:v>10</x:v>
      </x:c>
      <x:c r="J181" s="7" t="str"/>
      <x:c r="K181" s="7" t="str"/>
      <x:c r="L181" s="7" t="str">
        <x:v>OPEN</x:v>
      </x:c>
    </x:row>
    <x:row r="182" ht="40" customHeight="1">
      <x:c r="B182" s="7" t="str">
        <x:v>RFP-C1-FCE-11-D</x:v>
      </x:c>
      <x:c r="C182" s="7" t="str">
        <x:v>RFP-C1-FCE-11</x:v>
      </x:c>
      <x:c r="D182" s="7" t="str">
        <x:v>RFP-C1</x:v>
      </x:c>
      <x:c r="E182" s="7" t="str">
        <x:v>FCE-11</x:v>
      </x:c>
      <x:c r="F182" s="7" t="str">
        <x:v>diverse</x:v>
      </x:c>
      <x:c r="G182" s="10" t="str">
        <x:v>unlike local trip, separate energy and unlike state indication</x:v>
      </x:c>
      <x:c r="H182" s="10" t="str">
        <x:v>contained safe route</x:v>
      </x:c>
      <x:c r="I182" s="7" t="n">
        <x:v>10</x:v>
      </x:c>
      <x:c r="J182" s="7" t="str"/>
      <x:c r="K182" s="7" t="str"/>
      <x:c r="L182" s="7" t="str">
        <x:v>OPEN</x:v>
      </x:c>
    </x:row>
    <x:row r="183" ht="40" customHeight="1">
      <x:c r="B183" s="7" t="str">
        <x:v>RFP-C1-FCE-11-M</x:v>
      </x:c>
      <x:c r="C183" s="7" t="str">
        <x:v>RFP-C1-FCE-11</x:v>
      </x:c>
      <x:c r="D183" s="7" t="str">
        <x:v>RFP-C1</x:v>
      </x:c>
      <x:c r="E183" s="7" t="str">
        <x:v>FCE-11</x:v>
      </x:c>
      <x:c r="F183" s="7" t="str">
        <x:v>manual/passive</x:v>
      </x:c>
      <x:c r="G183" s="10" t="str">
        <x:v>field action or passive state without network dependence</x:v>
      </x:c>
      <x:c r="H183" s="10" t="str">
        <x:v>contained safe route</x:v>
      </x:c>
      <x:c r="I183" s="7" t="n">
        <x:v>10</x:v>
      </x:c>
      <x:c r="J183" s="7" t="str"/>
      <x:c r="K183" s="7" t="str"/>
      <x:c r="L183" s="7" t="str">
        <x:v>OPEN</x:v>
      </x:c>
    </x:row>
    <x:row r="184" ht="40" customHeight="1">
      <x:c r="B184" s="7" t="str">
        <x:v>RFP-C1-FCE-12-P</x:v>
      </x:c>
      <x:c r="C184" s="7" t="str">
        <x:v>RFP-C1-FCE-12</x:v>
      </x:c>
      <x:c r="D184" s="7" t="str">
        <x:v>RFP-C1</x:v>
      </x:c>
      <x:c r="E184" s="7" t="str">
        <x:v>FCE-12</x:v>
      </x:c>
      <x:c r="F184" s="7" t="str">
        <x:v>primary</x:v>
      </x:c>
      <x:c r="G184" s="10" t="str">
        <x:v>registered command, independent energy and direct final-state sensor</x:v>
      </x:c>
      <x:c r="H184" s="10" t="str">
        <x:v>latched and locally readable</x:v>
      </x:c>
      <x:c r="I184" s="7" t="n">
        <x:v>1</x:v>
      </x:c>
      <x:c r="J184" s="7" t="str"/>
      <x:c r="K184" s="7" t="str"/>
      <x:c r="L184" s="7" t="str">
        <x:v>OPEN</x:v>
      </x:c>
    </x:row>
    <x:row r="185" ht="40" customHeight="1">
      <x:c r="B185" s="7" t="str">
        <x:v>RFP-C1-FCE-12-D</x:v>
      </x:c>
      <x:c r="C185" s="7" t="str">
        <x:v>RFP-C1-FCE-12</x:v>
      </x:c>
      <x:c r="D185" s="7" t="str">
        <x:v>RFP-C1</x:v>
      </x:c>
      <x:c r="E185" s="7" t="str">
        <x:v>FCE-12</x:v>
      </x:c>
      <x:c r="F185" s="7" t="str">
        <x:v>diverse</x:v>
      </x:c>
      <x:c r="G185" s="10" t="str">
        <x:v>unlike local trip, separate energy and unlike state indication</x:v>
      </x:c>
      <x:c r="H185" s="10" t="str">
        <x:v>latched and locally readable</x:v>
      </x:c>
      <x:c r="I185" s="7" t="n">
        <x:v>1</x:v>
      </x:c>
      <x:c r="J185" s="7" t="str"/>
      <x:c r="K185" s="7" t="str"/>
      <x:c r="L185" s="7" t="str">
        <x:v>OPEN</x:v>
      </x:c>
    </x:row>
    <x:row r="186" ht="40" customHeight="1">
      <x:c r="B186" s="7" t="str">
        <x:v>RFP-C1-FCE-12-M</x:v>
      </x:c>
      <x:c r="C186" s="7" t="str">
        <x:v>RFP-C1-FCE-12</x:v>
      </x:c>
      <x:c r="D186" s="7" t="str">
        <x:v>RFP-C1</x:v>
      </x:c>
      <x:c r="E186" s="7" t="str">
        <x:v>FCE-12</x:v>
      </x:c>
      <x:c r="F186" s="7" t="str">
        <x:v>manual/passive</x:v>
      </x:c>
      <x:c r="G186" s="10" t="str">
        <x:v>field action or passive state without network dependence</x:v>
      </x:c>
      <x:c r="H186" s="10" t="str">
        <x:v>latched and locally readable</x:v>
      </x:c>
      <x:c r="I186" s="7" t="n">
        <x:v>1</x:v>
      </x:c>
      <x:c r="J186" s="7" t="str"/>
      <x:c r="K186" s="7" t="str"/>
      <x:c r="L186" s="7" t="str">
        <x:v>OPEN</x:v>
      </x:c>
    </x:row>
    <x:row r="187" ht="40" customHeight="1">
      <x:c r="B187" s="7" t="str">
        <x:v>RFP-C2-FCE-01-P</x:v>
      </x:c>
      <x:c r="C187" s="7" t="str">
        <x:v>RFP-C2-FCE-01</x:v>
      </x:c>
      <x:c r="D187" s="7" t="str">
        <x:v>RFP-C2</x:v>
      </x:c>
      <x:c r="E187" s="7" t="str">
        <x:v>FCE-01</x:v>
      </x:c>
      <x:c r="F187" s="7" t="str">
        <x:v>primary</x:v>
      </x:c>
      <x:c r="G187" s="10" t="str">
        <x:v>registered command, independent energy and direct final-state sensor</x:v>
      </x:c>
      <x:c r="H187" s="10" t="str">
        <x:v>closed</x:v>
      </x:c>
      <x:c r="I187" s="7" t="n">
        <x:v>2</x:v>
      </x:c>
      <x:c r="J187" s="7" t="str"/>
      <x:c r="K187" s="7" t="str"/>
      <x:c r="L187" s="7" t="str">
        <x:v>OPEN</x:v>
      </x:c>
    </x:row>
    <x:row r="188" ht="40" customHeight="1">
      <x:c r="B188" s="7" t="str">
        <x:v>RFP-C2-FCE-01-D</x:v>
      </x:c>
      <x:c r="C188" s="7" t="str">
        <x:v>RFP-C2-FCE-01</x:v>
      </x:c>
      <x:c r="D188" s="7" t="str">
        <x:v>RFP-C2</x:v>
      </x:c>
      <x:c r="E188" s="7" t="str">
        <x:v>FCE-01</x:v>
      </x:c>
      <x:c r="F188" s="7" t="str">
        <x:v>diverse</x:v>
      </x:c>
      <x:c r="G188" s="10" t="str">
        <x:v>unlike local trip, separate energy and unlike state indication</x:v>
      </x:c>
      <x:c r="H188" s="10" t="str">
        <x:v>closed</x:v>
      </x:c>
      <x:c r="I188" s="7" t="n">
        <x:v>2</x:v>
      </x:c>
      <x:c r="J188" s="7" t="str"/>
      <x:c r="K188" s="7" t="str"/>
      <x:c r="L188" s="7" t="str">
        <x:v>OPEN</x:v>
      </x:c>
    </x:row>
    <x:row r="189" ht="40" customHeight="1">
      <x:c r="B189" s="7" t="str">
        <x:v>RFP-C2-FCE-01-M</x:v>
      </x:c>
      <x:c r="C189" s="7" t="str">
        <x:v>RFP-C2-FCE-01</x:v>
      </x:c>
      <x:c r="D189" s="7" t="str">
        <x:v>RFP-C2</x:v>
      </x:c>
      <x:c r="E189" s="7" t="str">
        <x:v>FCE-01</x:v>
      </x:c>
      <x:c r="F189" s="7" t="str">
        <x:v>manual/passive</x:v>
      </x:c>
      <x:c r="G189" s="10" t="str">
        <x:v>field action or passive state without network dependence</x:v>
      </x:c>
      <x:c r="H189" s="10" t="str">
        <x:v>closed</x:v>
      </x:c>
      <x:c r="I189" s="7" t="n">
        <x:v>2</x:v>
      </x:c>
      <x:c r="J189" s="7" t="str"/>
      <x:c r="K189" s="7" t="str"/>
      <x:c r="L189" s="7" t="str">
        <x:v>OPEN</x:v>
      </x:c>
    </x:row>
    <x:row r="190" ht="40" customHeight="1">
      <x:c r="B190" s="7" t="str">
        <x:v>RFP-C2-FCE-02-P</x:v>
      </x:c>
      <x:c r="C190" s="7" t="str">
        <x:v>RFP-C2-FCE-02</x:v>
      </x:c>
      <x:c r="D190" s="7" t="str">
        <x:v>RFP-C2</x:v>
      </x:c>
      <x:c r="E190" s="7" t="str">
        <x:v>FCE-02</x:v>
      </x:c>
      <x:c r="F190" s="7" t="str">
        <x:v>primary</x:v>
      </x:c>
      <x:c r="G190" s="10" t="str">
        <x:v>registered command, independent energy and direct final-state sensor</x:v>
      </x:c>
      <x:c r="H190" s="10" t="str">
        <x:v>closed</x:v>
      </x:c>
      <x:c r="I190" s="7" t="n">
        <x:v>2</x:v>
      </x:c>
      <x:c r="J190" s="7" t="str"/>
      <x:c r="K190" s="7" t="str"/>
      <x:c r="L190" s="7" t="str">
        <x:v>OPEN</x:v>
      </x:c>
    </x:row>
    <x:row r="191" ht="40" customHeight="1">
      <x:c r="B191" s="7" t="str">
        <x:v>RFP-C2-FCE-02-D</x:v>
      </x:c>
      <x:c r="C191" s="7" t="str">
        <x:v>RFP-C2-FCE-02</x:v>
      </x:c>
      <x:c r="D191" s="7" t="str">
        <x:v>RFP-C2</x:v>
      </x:c>
      <x:c r="E191" s="7" t="str">
        <x:v>FCE-02</x:v>
      </x:c>
      <x:c r="F191" s="7" t="str">
        <x:v>diverse</x:v>
      </x:c>
      <x:c r="G191" s="10" t="str">
        <x:v>unlike local trip, separate energy and unlike state indication</x:v>
      </x:c>
      <x:c r="H191" s="10" t="str">
        <x:v>closed</x:v>
      </x:c>
      <x:c r="I191" s="7" t="n">
        <x:v>2</x:v>
      </x:c>
      <x:c r="J191" s="7" t="str"/>
      <x:c r="K191" s="7" t="str"/>
      <x:c r="L191" s="7" t="str">
        <x:v>OPEN</x:v>
      </x:c>
    </x:row>
    <x:row r="192" ht="40" customHeight="1">
      <x:c r="B192" s="7" t="str">
        <x:v>RFP-C2-FCE-02-M</x:v>
      </x:c>
      <x:c r="C192" s="7" t="str">
        <x:v>RFP-C2-FCE-02</x:v>
      </x:c>
      <x:c r="D192" s="7" t="str">
        <x:v>RFP-C2</x:v>
      </x:c>
      <x:c r="E192" s="7" t="str">
        <x:v>FCE-02</x:v>
      </x:c>
      <x:c r="F192" s="7" t="str">
        <x:v>manual/passive</x:v>
      </x:c>
      <x:c r="G192" s="10" t="str">
        <x:v>field action or passive state without network dependence</x:v>
      </x:c>
      <x:c r="H192" s="10" t="str">
        <x:v>closed</x:v>
      </x:c>
      <x:c r="I192" s="7" t="n">
        <x:v>2</x:v>
      </x:c>
      <x:c r="J192" s="7" t="str"/>
      <x:c r="K192" s="7" t="str"/>
      <x:c r="L192" s="7" t="str">
        <x:v>OPEN</x:v>
      </x:c>
    </x:row>
    <x:row r="193" ht="40" customHeight="1">
      <x:c r="B193" s="7" t="str">
        <x:v>RFP-C2-FCE-03-P</x:v>
      </x:c>
      <x:c r="C193" s="7" t="str">
        <x:v>RFP-C2-FCE-03</x:v>
      </x:c>
      <x:c r="D193" s="7" t="str">
        <x:v>RFP-C2</x:v>
      </x:c>
      <x:c r="E193" s="7" t="str">
        <x:v>FCE-03</x:v>
      </x:c>
      <x:c r="F193" s="7" t="str">
        <x:v>primary</x:v>
      </x:c>
      <x:c r="G193" s="10" t="str">
        <x:v>registered command, independent energy and direct final-state sensor</x:v>
      </x:c>
      <x:c r="H193" s="10" t="str">
        <x:v>casualty receiver</x:v>
      </x:c>
      <x:c r="I193" s="7" t="n">
        <x:v>5</x:v>
      </x:c>
      <x:c r="J193" s="7" t="str"/>
      <x:c r="K193" s="7" t="str"/>
      <x:c r="L193" s="7" t="str">
        <x:v>OPEN</x:v>
      </x:c>
    </x:row>
    <x:row r="194" ht="40" customHeight="1">
      <x:c r="B194" s="7" t="str">
        <x:v>RFP-C2-FCE-03-D</x:v>
      </x:c>
      <x:c r="C194" s="7" t="str">
        <x:v>RFP-C2-FCE-03</x:v>
      </x:c>
      <x:c r="D194" s="7" t="str">
        <x:v>RFP-C2</x:v>
      </x:c>
      <x:c r="E194" s="7" t="str">
        <x:v>FCE-03</x:v>
      </x:c>
      <x:c r="F194" s="7" t="str">
        <x:v>diverse</x:v>
      </x:c>
      <x:c r="G194" s="10" t="str">
        <x:v>unlike local trip, separate energy and unlike state indication</x:v>
      </x:c>
      <x:c r="H194" s="10" t="str">
        <x:v>casualty receiver</x:v>
      </x:c>
      <x:c r="I194" s="7" t="n">
        <x:v>5</x:v>
      </x:c>
      <x:c r="J194" s="7" t="str"/>
      <x:c r="K194" s="7" t="str"/>
      <x:c r="L194" s="7" t="str">
        <x:v>OPEN</x:v>
      </x:c>
    </x:row>
    <x:row r="195" ht="40" customHeight="1">
      <x:c r="B195" s="7" t="str">
        <x:v>RFP-C2-FCE-03-M</x:v>
      </x:c>
      <x:c r="C195" s="7" t="str">
        <x:v>RFP-C2-FCE-03</x:v>
      </x:c>
      <x:c r="D195" s="7" t="str">
        <x:v>RFP-C2</x:v>
      </x:c>
      <x:c r="E195" s="7" t="str">
        <x:v>FCE-03</x:v>
      </x:c>
      <x:c r="F195" s="7" t="str">
        <x:v>manual/passive</x:v>
      </x:c>
      <x:c r="G195" s="10" t="str">
        <x:v>field action or passive state without network dependence</x:v>
      </x:c>
      <x:c r="H195" s="10" t="str">
        <x:v>casualty receiver</x:v>
      </x:c>
      <x:c r="I195" s="7" t="n">
        <x:v>5</x:v>
      </x:c>
      <x:c r="J195" s="7" t="str"/>
      <x:c r="K195" s="7" t="str"/>
      <x:c r="L195" s="7" t="str">
        <x:v>OPEN</x:v>
      </x:c>
    </x:row>
    <x:row r="196" ht="40" customHeight="1">
      <x:c r="B196" s="7" t="str">
        <x:v>RFP-C2-FCE-04-P</x:v>
      </x:c>
      <x:c r="C196" s="7" t="str">
        <x:v>RFP-C2-FCE-04</x:v>
      </x:c>
      <x:c r="D196" s="7" t="str">
        <x:v>RFP-C2</x:v>
      </x:c>
      <x:c r="E196" s="7" t="str">
        <x:v>FCE-04</x:v>
      </x:c>
      <x:c r="F196" s="7" t="str">
        <x:v>primary</x:v>
      </x:c>
      <x:c r="G196" s="10" t="str">
        <x:v>registered command, independent energy and direct final-state sensor</x:v>
      </x:c>
      <x:c r="H196" s="10" t="str">
        <x:v>closed</x:v>
      </x:c>
      <x:c r="I196" s="7" t="n">
        <x:v>3</x:v>
      </x:c>
      <x:c r="J196" s="7" t="str"/>
      <x:c r="K196" s="7" t="str"/>
      <x:c r="L196" s="7" t="str">
        <x:v>OPEN</x:v>
      </x:c>
    </x:row>
    <x:row r="197" ht="40" customHeight="1">
      <x:c r="B197" s="7" t="str">
        <x:v>RFP-C2-FCE-04-D</x:v>
      </x:c>
      <x:c r="C197" s="7" t="str">
        <x:v>RFP-C2-FCE-04</x:v>
      </x:c>
      <x:c r="D197" s="7" t="str">
        <x:v>RFP-C2</x:v>
      </x:c>
      <x:c r="E197" s="7" t="str">
        <x:v>FCE-04</x:v>
      </x:c>
      <x:c r="F197" s="7" t="str">
        <x:v>diverse</x:v>
      </x:c>
      <x:c r="G197" s="10" t="str">
        <x:v>unlike local trip, separate energy and unlike state indication</x:v>
      </x:c>
      <x:c r="H197" s="10" t="str">
        <x:v>closed</x:v>
      </x:c>
      <x:c r="I197" s="7" t="n">
        <x:v>3</x:v>
      </x:c>
      <x:c r="J197" s="7" t="str"/>
      <x:c r="K197" s="7" t="str"/>
      <x:c r="L197" s="7" t="str">
        <x:v>OPEN</x:v>
      </x:c>
    </x:row>
    <x:row r="198" ht="40" customHeight="1">
      <x:c r="B198" s="7" t="str">
        <x:v>RFP-C2-FCE-04-M</x:v>
      </x:c>
      <x:c r="C198" s="7" t="str">
        <x:v>RFP-C2-FCE-04</x:v>
      </x:c>
      <x:c r="D198" s="7" t="str">
        <x:v>RFP-C2</x:v>
      </x:c>
      <x:c r="E198" s="7" t="str">
        <x:v>FCE-04</x:v>
      </x:c>
      <x:c r="F198" s="7" t="str">
        <x:v>manual/passive</x:v>
      </x:c>
      <x:c r="G198" s="10" t="str">
        <x:v>field action or passive state without network dependence</x:v>
      </x:c>
      <x:c r="H198" s="10" t="str">
        <x:v>closed</x:v>
      </x:c>
      <x:c r="I198" s="7" t="n">
        <x:v>3</x:v>
      </x:c>
      <x:c r="J198" s="7" t="str"/>
      <x:c r="K198" s="7" t="str"/>
      <x:c r="L198" s="7" t="str">
        <x:v>OPEN</x:v>
      </x:c>
    </x:row>
    <x:row r="199" ht="40" customHeight="1">
      <x:c r="B199" s="7" t="str">
        <x:v>RFP-C2-FCE-05-P</x:v>
      </x:c>
      <x:c r="C199" s="7" t="str">
        <x:v>RFP-C2-FCE-05</x:v>
      </x:c>
      <x:c r="D199" s="7" t="str">
        <x:v>RFP-C2</x:v>
      </x:c>
      <x:c r="E199" s="7" t="str">
        <x:v>FCE-05</x:v>
      </x:c>
      <x:c r="F199" s="7" t="str">
        <x:v>primary</x:v>
      </x:c>
      <x:c r="G199" s="10" t="str">
        <x:v>registered command, independent energy and direct final-state sensor</x:v>
      </x:c>
      <x:c r="H199" s="10" t="str">
        <x:v>open to casualty receiver</x:v>
      </x:c>
      <x:c r="I199" s="7" t="n">
        <x:v>5</x:v>
      </x:c>
      <x:c r="J199" s="7" t="str"/>
      <x:c r="K199" s="7" t="str"/>
      <x:c r="L199" s="7" t="str">
        <x:v>OPEN</x:v>
      </x:c>
    </x:row>
    <x:row r="200" ht="40" customHeight="1">
      <x:c r="B200" s="7" t="str">
        <x:v>RFP-C2-FCE-05-D</x:v>
      </x:c>
      <x:c r="C200" s="7" t="str">
        <x:v>RFP-C2-FCE-05</x:v>
      </x:c>
      <x:c r="D200" s="7" t="str">
        <x:v>RFP-C2</x:v>
      </x:c>
      <x:c r="E200" s="7" t="str">
        <x:v>FCE-05</x:v>
      </x:c>
      <x:c r="F200" s="7" t="str">
        <x:v>diverse</x:v>
      </x:c>
      <x:c r="G200" s="10" t="str">
        <x:v>unlike local trip, separate energy and unlike state indication</x:v>
      </x:c>
      <x:c r="H200" s="10" t="str">
        <x:v>open to casualty receiver</x:v>
      </x:c>
      <x:c r="I200" s="7" t="n">
        <x:v>5</x:v>
      </x:c>
      <x:c r="J200" s="7" t="str"/>
      <x:c r="K200" s="7" t="str"/>
      <x:c r="L200" s="7" t="str">
        <x:v>OPEN</x:v>
      </x:c>
    </x:row>
    <x:row r="201" ht="40" customHeight="1">
      <x:c r="B201" s="7" t="str">
        <x:v>RFP-C2-FCE-05-M</x:v>
      </x:c>
      <x:c r="C201" s="7" t="str">
        <x:v>RFP-C2-FCE-05</x:v>
      </x:c>
      <x:c r="D201" s="7" t="str">
        <x:v>RFP-C2</x:v>
      </x:c>
      <x:c r="E201" s="7" t="str">
        <x:v>FCE-05</x:v>
      </x:c>
      <x:c r="F201" s="7" t="str">
        <x:v>manual/passive</x:v>
      </x:c>
      <x:c r="G201" s="10" t="str">
        <x:v>field action or passive state without network dependence</x:v>
      </x:c>
      <x:c r="H201" s="10" t="str">
        <x:v>open to casualty receiver</x:v>
      </x:c>
      <x:c r="I201" s="7" t="n">
        <x:v>5</x:v>
      </x:c>
      <x:c r="J201" s="7" t="str"/>
      <x:c r="K201" s="7" t="str"/>
      <x:c r="L201" s="7" t="str">
        <x:v>OPEN</x:v>
      </x:c>
    </x:row>
    <x:row r="202" ht="40" customHeight="1">
      <x:c r="B202" s="7" t="str">
        <x:v>RFP-C2-FCE-06-P</x:v>
      </x:c>
      <x:c r="C202" s="7" t="str">
        <x:v>RFP-C2-FCE-06</x:v>
      </x:c>
      <x:c r="D202" s="7" t="str">
        <x:v>RFP-C2</x:v>
      </x:c>
      <x:c r="E202" s="7" t="str">
        <x:v>FCE-06</x:v>
      </x:c>
      <x:c r="F202" s="7" t="str">
        <x:v>primary</x:v>
      </x:c>
      <x:c r="G202" s="10" t="str">
        <x:v>registered command, independent energy and direct final-state sensor</x:v>
      </x:c>
      <x:c r="H202" s="10" t="str">
        <x:v>de-energized</x:v>
      </x:c>
      <x:c r="I202" s="7" t="n">
        <x:v>1</x:v>
      </x:c>
      <x:c r="J202" s="7" t="str"/>
      <x:c r="K202" s="7" t="str"/>
      <x:c r="L202" s="7" t="str">
        <x:v>OPEN</x:v>
      </x:c>
    </x:row>
    <x:row r="203" ht="40" customHeight="1">
      <x:c r="B203" s="7" t="str">
        <x:v>RFP-C2-FCE-06-D</x:v>
      </x:c>
      <x:c r="C203" s="7" t="str">
        <x:v>RFP-C2-FCE-06</x:v>
      </x:c>
      <x:c r="D203" s="7" t="str">
        <x:v>RFP-C2</x:v>
      </x:c>
      <x:c r="E203" s="7" t="str">
        <x:v>FCE-06</x:v>
      </x:c>
      <x:c r="F203" s="7" t="str">
        <x:v>diverse</x:v>
      </x:c>
      <x:c r="G203" s="10" t="str">
        <x:v>unlike local trip, separate energy and unlike state indication</x:v>
      </x:c>
      <x:c r="H203" s="10" t="str">
        <x:v>de-energized</x:v>
      </x:c>
      <x:c r="I203" s="7" t="n">
        <x:v>1</x:v>
      </x:c>
      <x:c r="J203" s="7" t="str"/>
      <x:c r="K203" s="7" t="str"/>
      <x:c r="L203" s="7" t="str">
        <x:v>OPEN</x:v>
      </x:c>
    </x:row>
    <x:row r="204" ht="40" customHeight="1">
      <x:c r="B204" s="7" t="str">
        <x:v>RFP-C2-FCE-06-M</x:v>
      </x:c>
      <x:c r="C204" s="7" t="str">
        <x:v>RFP-C2-FCE-06</x:v>
      </x:c>
      <x:c r="D204" s="7" t="str">
        <x:v>RFP-C2</x:v>
      </x:c>
      <x:c r="E204" s="7" t="str">
        <x:v>FCE-06</x:v>
      </x:c>
      <x:c r="F204" s="7" t="str">
        <x:v>manual/passive</x:v>
      </x:c>
      <x:c r="G204" s="10" t="str">
        <x:v>field action or passive state without network dependence</x:v>
      </x:c>
      <x:c r="H204" s="10" t="str">
        <x:v>de-energized</x:v>
      </x:c>
      <x:c r="I204" s="7" t="n">
        <x:v>1</x:v>
      </x:c>
      <x:c r="J204" s="7" t="str"/>
      <x:c r="K204" s="7" t="str"/>
      <x:c r="L204" s="7" t="str">
        <x:v>OPEN</x:v>
      </x:c>
    </x:row>
    <x:row r="205" ht="40" customHeight="1">
      <x:c r="B205" s="7" t="str">
        <x:v>RFP-C2-FCE-07-P</x:v>
      </x:c>
      <x:c r="C205" s="7" t="str">
        <x:v>RFP-C2-FCE-07</x:v>
      </x:c>
      <x:c r="D205" s="7" t="str">
        <x:v>RFP-C2</x:v>
      </x:c>
      <x:c r="E205" s="7" t="str">
        <x:v>FCE-07</x:v>
      </x:c>
      <x:c r="F205" s="7" t="str">
        <x:v>primary</x:v>
      </x:c>
      <x:c r="G205" s="10" t="str">
        <x:v>registered command, independent energy and direct final-state sensor</x:v>
      </x:c>
      <x:c r="H205" s="10" t="str">
        <x:v>closed</x:v>
      </x:c>
      <x:c r="I205" s="7" t="n">
        <x:v>2</x:v>
      </x:c>
      <x:c r="J205" s="7" t="str"/>
      <x:c r="K205" s="7" t="str"/>
      <x:c r="L205" s="7" t="str">
        <x:v>OPEN</x:v>
      </x:c>
    </x:row>
    <x:row r="206" ht="40" customHeight="1">
      <x:c r="B206" s="7" t="str">
        <x:v>RFP-C2-FCE-07-D</x:v>
      </x:c>
      <x:c r="C206" s="7" t="str">
        <x:v>RFP-C2-FCE-07</x:v>
      </x:c>
      <x:c r="D206" s="7" t="str">
        <x:v>RFP-C2</x:v>
      </x:c>
      <x:c r="E206" s="7" t="str">
        <x:v>FCE-07</x:v>
      </x:c>
      <x:c r="F206" s="7" t="str">
        <x:v>diverse</x:v>
      </x:c>
      <x:c r="G206" s="10" t="str">
        <x:v>unlike local trip, separate energy and unlike state indication</x:v>
      </x:c>
      <x:c r="H206" s="10" t="str">
        <x:v>closed</x:v>
      </x:c>
      <x:c r="I206" s="7" t="n">
        <x:v>2</x:v>
      </x:c>
      <x:c r="J206" s="7" t="str"/>
      <x:c r="K206" s="7" t="str"/>
      <x:c r="L206" s="7" t="str">
        <x:v>OPEN</x:v>
      </x:c>
    </x:row>
    <x:row r="207" ht="40" customHeight="1">
      <x:c r="B207" s="7" t="str">
        <x:v>RFP-C2-FCE-07-M</x:v>
      </x:c>
      <x:c r="C207" s="7" t="str">
        <x:v>RFP-C2-FCE-07</x:v>
      </x:c>
      <x:c r="D207" s="7" t="str">
        <x:v>RFP-C2</x:v>
      </x:c>
      <x:c r="E207" s="7" t="str">
        <x:v>FCE-07</x:v>
      </x:c>
      <x:c r="F207" s="7" t="str">
        <x:v>manual/passive</x:v>
      </x:c>
      <x:c r="G207" s="10" t="str">
        <x:v>field action or passive state without network dependence</x:v>
      </x:c>
      <x:c r="H207" s="10" t="str">
        <x:v>closed</x:v>
      </x:c>
      <x:c r="I207" s="7" t="n">
        <x:v>2</x:v>
      </x:c>
      <x:c r="J207" s="7" t="str"/>
      <x:c r="K207" s="7" t="str"/>
      <x:c r="L207" s="7" t="str">
        <x:v>OPEN</x:v>
      </x:c>
    </x:row>
    <x:row r="208" ht="40" customHeight="1">
      <x:c r="B208" s="7" t="str">
        <x:v>RFP-C2-FCE-08-P</x:v>
      </x:c>
      <x:c r="C208" s="7" t="str">
        <x:v>RFP-C2-FCE-08</x:v>
      </x:c>
      <x:c r="D208" s="7" t="str">
        <x:v>RFP-C2</x:v>
      </x:c>
      <x:c r="E208" s="7" t="str">
        <x:v>FCE-08</x:v>
      </x:c>
      <x:c r="F208" s="7" t="str">
        <x:v>primary</x:v>
      </x:c>
      <x:c r="G208" s="10" t="str">
        <x:v>registered command, independent energy and direct final-state sensor</x:v>
      </x:c>
      <x:c r="H208" s="10" t="str">
        <x:v>open to casualty receiver</x:v>
      </x:c>
      <x:c r="I208" s="7" t="n">
        <x:v>5</x:v>
      </x:c>
      <x:c r="J208" s="7" t="str"/>
      <x:c r="K208" s="7" t="str"/>
      <x:c r="L208" s="7" t="str">
        <x:v>OPEN</x:v>
      </x:c>
    </x:row>
    <x:row r="209" ht="40" customHeight="1">
      <x:c r="B209" s="7" t="str">
        <x:v>RFP-C2-FCE-08-D</x:v>
      </x:c>
      <x:c r="C209" s="7" t="str">
        <x:v>RFP-C2-FCE-08</x:v>
      </x:c>
      <x:c r="D209" s="7" t="str">
        <x:v>RFP-C2</x:v>
      </x:c>
      <x:c r="E209" s="7" t="str">
        <x:v>FCE-08</x:v>
      </x:c>
      <x:c r="F209" s="7" t="str">
        <x:v>diverse</x:v>
      </x:c>
      <x:c r="G209" s="10" t="str">
        <x:v>unlike local trip, separate energy and unlike state indication</x:v>
      </x:c>
      <x:c r="H209" s="10" t="str">
        <x:v>open to casualty receiver</x:v>
      </x:c>
      <x:c r="I209" s="7" t="n">
        <x:v>5</x:v>
      </x:c>
      <x:c r="J209" s="7" t="str"/>
      <x:c r="K209" s="7" t="str"/>
      <x:c r="L209" s="7" t="str">
        <x:v>OPEN</x:v>
      </x:c>
    </x:row>
    <x:row r="210" ht="40" customHeight="1">
      <x:c r="B210" s="7" t="str">
        <x:v>RFP-C2-FCE-08-M</x:v>
      </x:c>
      <x:c r="C210" s="7" t="str">
        <x:v>RFP-C2-FCE-08</x:v>
      </x:c>
      <x:c r="D210" s="7" t="str">
        <x:v>RFP-C2</x:v>
      </x:c>
      <x:c r="E210" s="7" t="str">
        <x:v>FCE-08</x:v>
      </x:c>
      <x:c r="F210" s="7" t="str">
        <x:v>manual/passive</x:v>
      </x:c>
      <x:c r="G210" s="10" t="str">
        <x:v>field action or passive state without network dependence</x:v>
      </x:c>
      <x:c r="H210" s="10" t="str">
        <x:v>open to casualty receiver</x:v>
      </x:c>
      <x:c r="I210" s="7" t="n">
        <x:v>5</x:v>
      </x:c>
      <x:c r="J210" s="7" t="str"/>
      <x:c r="K210" s="7" t="str"/>
      <x:c r="L210" s="7" t="str">
        <x:v>OPEN</x:v>
      </x:c>
    </x:row>
    <x:row r="211" ht="40" customHeight="1">
      <x:c r="B211" s="7" t="str">
        <x:v>RFP-C2-FCE-09-P</x:v>
      </x:c>
      <x:c r="C211" s="7" t="str">
        <x:v>RFP-C2-FCE-09</x:v>
      </x:c>
      <x:c r="D211" s="7" t="str">
        <x:v>RFP-C2</x:v>
      </x:c>
      <x:c r="E211" s="7" t="str">
        <x:v>FCE-09</x:v>
      </x:c>
      <x:c r="F211" s="7" t="str">
        <x:v>primary</x:v>
      </x:c>
      <x:c r="G211" s="10" t="str">
        <x:v>registered command, independent energy and direct final-state sensor</x:v>
      </x:c>
      <x:c r="H211" s="10" t="str">
        <x:v>isolated</x:v>
      </x:c>
      <x:c r="I211" s="7" t="n">
        <x:v>1</x:v>
      </x:c>
      <x:c r="J211" s="7" t="str"/>
      <x:c r="K211" s="7" t="str"/>
      <x:c r="L211" s="7" t="str">
        <x:v>OPEN</x:v>
      </x:c>
    </x:row>
    <x:row r="212" ht="40" customHeight="1">
      <x:c r="B212" s="7" t="str">
        <x:v>RFP-C2-FCE-09-D</x:v>
      </x:c>
      <x:c r="C212" s="7" t="str">
        <x:v>RFP-C2-FCE-09</x:v>
      </x:c>
      <x:c r="D212" s="7" t="str">
        <x:v>RFP-C2</x:v>
      </x:c>
      <x:c r="E212" s="7" t="str">
        <x:v>FCE-09</x:v>
      </x:c>
      <x:c r="F212" s="7" t="str">
        <x:v>diverse</x:v>
      </x:c>
      <x:c r="G212" s="10" t="str">
        <x:v>unlike local trip, separate energy and unlike state indication</x:v>
      </x:c>
      <x:c r="H212" s="10" t="str">
        <x:v>isolated</x:v>
      </x:c>
      <x:c r="I212" s="7" t="n">
        <x:v>1</x:v>
      </x:c>
      <x:c r="J212" s="7" t="str"/>
      <x:c r="K212" s="7" t="str"/>
      <x:c r="L212" s="7" t="str">
        <x:v>OPEN</x:v>
      </x:c>
    </x:row>
    <x:row r="213" ht="40" customHeight="1">
      <x:c r="B213" s="7" t="str">
        <x:v>RFP-C2-FCE-09-M</x:v>
      </x:c>
      <x:c r="C213" s="7" t="str">
        <x:v>RFP-C2-FCE-09</x:v>
      </x:c>
      <x:c r="D213" s="7" t="str">
        <x:v>RFP-C2</x:v>
      </x:c>
      <x:c r="E213" s="7" t="str">
        <x:v>FCE-09</x:v>
      </x:c>
      <x:c r="F213" s="7" t="str">
        <x:v>manual/passive</x:v>
      </x:c>
      <x:c r="G213" s="10" t="str">
        <x:v>field action or passive state without network dependence</x:v>
      </x:c>
      <x:c r="H213" s="10" t="str">
        <x:v>isolated</x:v>
      </x:c>
      <x:c r="I213" s="7" t="n">
        <x:v>1</x:v>
      </x:c>
      <x:c r="J213" s="7" t="str"/>
      <x:c r="K213" s="7" t="str"/>
      <x:c r="L213" s="7" t="str">
        <x:v>OPEN</x:v>
      </x:c>
    </x:row>
    <x:row r="214" ht="40" customHeight="1">
      <x:c r="B214" s="7" t="str">
        <x:v>RFP-C2-FCE-10-P</x:v>
      </x:c>
      <x:c r="C214" s="7" t="str">
        <x:v>RFP-C2-FCE-10</x:v>
      </x:c>
      <x:c r="D214" s="7" t="str">
        <x:v>RFP-C2</x:v>
      </x:c>
      <x:c r="E214" s="7" t="str">
        <x:v>FCE-10</x:v>
      </x:c>
      <x:c r="F214" s="7" t="str">
        <x:v>primary</x:v>
      </x:c>
      <x:c r="G214" s="10" t="str">
        <x:v>registered command, independent energy and direct final-state sensor</x:v>
      </x:c>
      <x:c r="H214" s="10" t="str">
        <x:v>maintained for final action</x:v>
      </x:c>
      <x:c r="I214" s="7" t="n">
        <x:v>30</x:v>
      </x:c>
      <x:c r="J214" s="7" t="str"/>
      <x:c r="K214" s="7" t="str"/>
      <x:c r="L214" s="7" t="str">
        <x:v>OPEN</x:v>
      </x:c>
    </x:row>
    <x:row r="215" ht="40" customHeight="1">
      <x:c r="B215" s="7" t="str">
        <x:v>RFP-C2-FCE-10-D</x:v>
      </x:c>
      <x:c r="C215" s="7" t="str">
        <x:v>RFP-C2-FCE-10</x:v>
      </x:c>
      <x:c r="D215" s="7" t="str">
        <x:v>RFP-C2</x:v>
      </x:c>
      <x:c r="E215" s="7" t="str">
        <x:v>FCE-10</x:v>
      </x:c>
      <x:c r="F215" s="7" t="str">
        <x:v>diverse</x:v>
      </x:c>
      <x:c r="G215" s="10" t="str">
        <x:v>unlike local trip, separate energy and unlike state indication</x:v>
      </x:c>
      <x:c r="H215" s="10" t="str">
        <x:v>maintained for final action</x:v>
      </x:c>
      <x:c r="I215" s="7" t="n">
        <x:v>30</x:v>
      </x:c>
      <x:c r="J215" s="7" t="str"/>
      <x:c r="K215" s="7" t="str"/>
      <x:c r="L215" s="7" t="str">
        <x:v>OPEN</x:v>
      </x:c>
    </x:row>
    <x:row r="216" ht="40" customHeight="1">
      <x:c r="B216" s="7" t="str">
        <x:v>RFP-C2-FCE-10-M</x:v>
      </x:c>
      <x:c r="C216" s="7" t="str">
        <x:v>RFP-C2-FCE-10</x:v>
      </x:c>
      <x:c r="D216" s="7" t="str">
        <x:v>RFP-C2</x:v>
      </x:c>
      <x:c r="E216" s="7" t="str">
        <x:v>FCE-10</x:v>
      </x:c>
      <x:c r="F216" s="7" t="str">
        <x:v>manual/passive</x:v>
      </x:c>
      <x:c r="G216" s="10" t="str">
        <x:v>field action or passive state without network dependence</x:v>
      </x:c>
      <x:c r="H216" s="10" t="str">
        <x:v>maintained for final action</x:v>
      </x:c>
      <x:c r="I216" s="7" t="n">
        <x:v>30</x:v>
      </x:c>
      <x:c r="J216" s="7" t="str"/>
      <x:c r="K216" s="7" t="str"/>
      <x:c r="L216" s="7" t="str">
        <x:v>OPEN</x:v>
      </x:c>
    </x:row>
    <x:row r="217" ht="40" customHeight="1">
      <x:c r="B217" s="7" t="str">
        <x:v>RFP-C2-FCE-11-P</x:v>
      </x:c>
      <x:c r="C217" s="7" t="str">
        <x:v>RFP-C2-FCE-11</x:v>
      </x:c>
      <x:c r="D217" s="7" t="str">
        <x:v>RFP-C2</x:v>
      </x:c>
      <x:c r="E217" s="7" t="str">
        <x:v>FCE-11</x:v>
      </x:c>
      <x:c r="F217" s="7" t="str">
        <x:v>primary</x:v>
      </x:c>
      <x:c r="G217" s="10" t="str">
        <x:v>registered command, independent energy and direct final-state sensor</x:v>
      </x:c>
      <x:c r="H217" s="10" t="str">
        <x:v>contained safe route</x:v>
      </x:c>
      <x:c r="I217" s="7" t="n">
        <x:v>10</x:v>
      </x:c>
      <x:c r="J217" s="7" t="str"/>
      <x:c r="K217" s="7" t="str"/>
      <x:c r="L217" s="7" t="str">
        <x:v>OPEN</x:v>
      </x:c>
    </x:row>
    <x:row r="218" ht="40" customHeight="1">
      <x:c r="B218" s="7" t="str">
        <x:v>RFP-C2-FCE-11-D</x:v>
      </x:c>
      <x:c r="C218" s="7" t="str">
        <x:v>RFP-C2-FCE-11</x:v>
      </x:c>
      <x:c r="D218" s="7" t="str">
        <x:v>RFP-C2</x:v>
      </x:c>
      <x:c r="E218" s="7" t="str">
        <x:v>FCE-11</x:v>
      </x:c>
      <x:c r="F218" s="7" t="str">
        <x:v>diverse</x:v>
      </x:c>
      <x:c r="G218" s="10" t="str">
        <x:v>unlike local trip, separate energy and unlike state indication</x:v>
      </x:c>
      <x:c r="H218" s="10" t="str">
        <x:v>contained safe route</x:v>
      </x:c>
      <x:c r="I218" s="7" t="n">
        <x:v>10</x:v>
      </x:c>
      <x:c r="J218" s="7" t="str"/>
      <x:c r="K218" s="7" t="str"/>
      <x:c r="L218" s="7" t="str">
        <x:v>OPEN</x:v>
      </x:c>
    </x:row>
    <x:row r="219" ht="40" customHeight="1">
      <x:c r="B219" s="7" t="str">
        <x:v>RFP-C2-FCE-11-M</x:v>
      </x:c>
      <x:c r="C219" s="7" t="str">
        <x:v>RFP-C2-FCE-11</x:v>
      </x:c>
      <x:c r="D219" s="7" t="str">
        <x:v>RFP-C2</x:v>
      </x:c>
      <x:c r="E219" s="7" t="str">
        <x:v>FCE-11</x:v>
      </x:c>
      <x:c r="F219" s="7" t="str">
        <x:v>manual/passive</x:v>
      </x:c>
      <x:c r="G219" s="10" t="str">
        <x:v>field action or passive state without network dependence</x:v>
      </x:c>
      <x:c r="H219" s="10" t="str">
        <x:v>contained safe route</x:v>
      </x:c>
      <x:c r="I219" s="7" t="n">
        <x:v>10</x:v>
      </x:c>
      <x:c r="J219" s="7" t="str"/>
      <x:c r="K219" s="7" t="str"/>
      <x:c r="L219" s="7" t="str">
        <x:v>OPEN</x:v>
      </x:c>
    </x:row>
    <x:row r="220" ht="40" customHeight="1">
      <x:c r="B220" s="7" t="str">
        <x:v>RFP-C2-FCE-12-P</x:v>
      </x:c>
      <x:c r="C220" s="7" t="str">
        <x:v>RFP-C2-FCE-12</x:v>
      </x:c>
      <x:c r="D220" s="7" t="str">
        <x:v>RFP-C2</x:v>
      </x:c>
      <x:c r="E220" s="7" t="str">
        <x:v>FCE-12</x:v>
      </x:c>
      <x:c r="F220" s="7" t="str">
        <x:v>primary</x:v>
      </x:c>
      <x:c r="G220" s="10" t="str">
        <x:v>registered command, independent energy and direct final-state sensor</x:v>
      </x:c>
      <x:c r="H220" s="10" t="str">
        <x:v>latched and locally readable</x:v>
      </x:c>
      <x:c r="I220" s="7" t="n">
        <x:v>1</x:v>
      </x:c>
      <x:c r="J220" s="7" t="str"/>
      <x:c r="K220" s="7" t="str"/>
      <x:c r="L220" s="7" t="str">
        <x:v>OPEN</x:v>
      </x:c>
    </x:row>
    <x:row r="221" ht="40" customHeight="1">
      <x:c r="B221" s="7" t="str">
        <x:v>RFP-C2-FCE-12-D</x:v>
      </x:c>
      <x:c r="C221" s="7" t="str">
        <x:v>RFP-C2-FCE-12</x:v>
      </x:c>
      <x:c r="D221" s="7" t="str">
        <x:v>RFP-C2</x:v>
      </x:c>
      <x:c r="E221" s="7" t="str">
        <x:v>FCE-12</x:v>
      </x:c>
      <x:c r="F221" s="7" t="str">
        <x:v>diverse</x:v>
      </x:c>
      <x:c r="G221" s="10" t="str">
        <x:v>unlike local trip, separate energy and unlike state indication</x:v>
      </x:c>
      <x:c r="H221" s="10" t="str">
        <x:v>latched and locally readable</x:v>
      </x:c>
      <x:c r="I221" s="7" t="n">
        <x:v>1</x:v>
      </x:c>
      <x:c r="J221" s="7" t="str"/>
      <x:c r="K221" s="7" t="str"/>
      <x:c r="L221" s="7" t="str">
        <x:v>OPEN</x:v>
      </x:c>
    </x:row>
    <x:row r="222" ht="40" customHeight="1">
      <x:c r="B222" s="7" t="str">
        <x:v>RFP-C2-FCE-12-M</x:v>
      </x:c>
      <x:c r="C222" s="7" t="str">
        <x:v>RFP-C2-FCE-12</x:v>
      </x:c>
      <x:c r="D222" s="7" t="str">
        <x:v>RFP-C2</x:v>
      </x:c>
      <x:c r="E222" s="7" t="str">
        <x:v>FCE-12</x:v>
      </x:c>
      <x:c r="F222" s="7" t="str">
        <x:v>manual/passive</x:v>
      </x:c>
      <x:c r="G222" s="10" t="str">
        <x:v>field action or passive state without network dependence</x:v>
      </x:c>
      <x:c r="H222" s="10" t="str">
        <x:v>latched and locally readable</x:v>
      </x:c>
      <x:c r="I222" s="7" t="n">
        <x:v>1</x:v>
      </x:c>
      <x:c r="J222" s="7" t="str"/>
      <x:c r="K222" s="7" t="str"/>
      <x:c r="L222" s="7" t="str">
        <x:v>OPEN</x:v>
      </x:c>
    </x:row>
  </x:sheetData>
  <x:conditionalFormatting sqref="L7:L222">
    <x:cfRule type="containsText" dxfId="81" priority="1" operator="containsText" text="FAIL"/>
    <x:cfRule type="containsText" dxfId="82" priority="2" operator="containsText" text="INVALID"/>
    <x:cfRule type="containsText" dxfId="83" priority="3" operator="containsText" text="BLOCKED"/>
    <x:cfRule type="containsText" dxfId="84" priority="4" operator="containsText" text="OPEN"/>
    <x:cfRule type="containsText" dxfId="85" priority="5" operator="containsText" text="HELD"/>
    <x:cfRule type="containsText" dxfId="86" priority="6" operator="containsText" text="DORMANT"/>
    <x:cfRule type="containsText" dxfId="87" priority="7" operator="containsText" text="PASS"/>
    <x:cfRule type="containsText" dxfId="88" priority="8" operator="containsText" text="VALID"/>
    <x:cfRule type="containsText" dxfId="89" priority="9" operator="containsText" text="ISSUE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8" hidden="0" customWidth="1"/>
    <x:col min="3" max="3" width="27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22" hidden="0" customWidth="1"/>
    <x:col min="9" max="9" width="22" hidden="0" customWidth="1"/>
    <x:col min="10" max="10" width="25" hidden="0" customWidth="1"/>
    <x:col min="11" max="11" width="17" hidden="0" customWidth="1"/>
    <x:col min="12" max="12" width="21" hidden="0" customWidth="1"/>
    <x:col min="13" max="13" width="14" hidden="0" customWidth="1"/>
  </x:cols>
  <x:sheetData>
    <x:row r="2">
      <x:c r="B2" s="1" t="str">
        <x:v>Two hundred sixteen path-proof records</x:v>
      </x:c>
    </x:row>
    <x:row r="3">
      <x:c r="B3" s="2" t="str">
        <x:v>A path passes only after its trigger, energy condition, final-state witness, action time and reset state are accepted together.</x:v>
      </x:c>
    </x:row>
    <x:row r="6" ht="24" customHeight="1">
      <x:c r="B6" s="6" t="str">
        <x:v>Proof</x:v>
      </x:c>
      <x:c r="C6" s="6" t="str">
        <x:v>Path</x:v>
      </x:c>
      <x:c r="D6" s="6" t="str">
        <x:v>Rig</x:v>
      </x:c>
      <x:c r="E6" s="6" t="str">
        <x:v>Element</x:v>
      </x:c>
      <x:c r="F6" s="6" t="str">
        <x:v>Path class</x:v>
      </x:c>
      <x:c r="G6" s="6" t="str">
        <x:v>Target s</x:v>
      </x:c>
      <x:c r="H6" s="6" t="str">
        <x:v>Trigger observed</x:v>
      </x:c>
      <x:c r="I6" s="6" t="str">
        <x:v>Energy state</x:v>
      </x:c>
      <x:c r="J6" s="6" t="str">
        <x:v>Final state</x:v>
      </x:c>
      <x:c r="K6" s="6" t="str">
        <x:v>Action time s</x:v>
      </x:c>
      <x:c r="L6" s="6" t="str">
        <x:v>Accepted UTC</x:v>
      </x:c>
      <x:c r="M6" s="6" t="str">
        <x:v>State</x:v>
      </x:c>
    </x:row>
    <x:row r="7" ht="36" customHeight="1">
      <x:c r="B7" s="7" t="str">
        <x:v>RAE-PP-001</x:v>
      </x:c>
      <x:c r="C7" s="7" t="str">
        <x:v>RFP-A1-FCE-01-P</x:v>
      </x:c>
      <x:c r="D7" s="7" t="str">
        <x:v>RFP-A1</x:v>
      </x:c>
      <x:c r="E7" s="7" t="str">
        <x:v>FCE-01</x:v>
      </x:c>
      <x:c r="F7" s="7" t="str">
        <x:v>primary</x:v>
      </x:c>
      <x:c r="G7" s="7" t="n">
        <x:v>2</x:v>
      </x:c>
      <x:c r="H7" s="10" t="str"/>
      <x:c r="I7" s="10" t="str"/>
      <x:c r="J7" s="10" t="str"/>
      <x:c r="K7" s="7" t="str"/>
      <x:c r="L7" s="7" t="str">
        <x:v>OPEN</x:v>
      </x:c>
      <x:c r="M7" s="7"/>
    </x:row>
    <x:row r="8" ht="36" customHeight="1">
      <x:c r="B8" s="7" t="str">
        <x:v>RAE-PP-002</x:v>
      </x:c>
      <x:c r="C8" s="7" t="str">
        <x:v>RFP-A1-FCE-01-D</x:v>
      </x:c>
      <x:c r="D8" s="7" t="str">
        <x:v>RFP-A1</x:v>
      </x:c>
      <x:c r="E8" s="7" t="str">
        <x:v>FCE-01</x:v>
      </x:c>
      <x:c r="F8" s="7" t="str">
        <x:v>diverse</x:v>
      </x:c>
      <x:c r="G8" s="7" t="n">
        <x:v>2</x:v>
      </x:c>
      <x:c r="H8" s="10" t="str"/>
      <x:c r="I8" s="10" t="str"/>
      <x:c r="J8" s="10" t="str"/>
      <x:c r="K8" s="7" t="str"/>
      <x:c r="L8" s="7" t="str">
        <x:v>OPEN</x:v>
      </x:c>
      <x:c r="M8" s="7"/>
    </x:row>
    <x:row r="9" ht="36" customHeight="1">
      <x:c r="B9" s="7" t="str">
        <x:v>RAE-PP-003</x:v>
      </x:c>
      <x:c r="C9" s="7" t="str">
        <x:v>RFP-A1-FCE-01-M</x:v>
      </x:c>
      <x:c r="D9" s="7" t="str">
        <x:v>RFP-A1</x:v>
      </x:c>
      <x:c r="E9" s="7" t="str">
        <x:v>FCE-01</x:v>
      </x:c>
      <x:c r="F9" s="7" t="str">
        <x:v>manual/passive</x:v>
      </x:c>
      <x:c r="G9" s="7" t="n">
        <x:v>2</x:v>
      </x:c>
      <x:c r="H9" s="10" t="str"/>
      <x:c r="I9" s="10" t="str"/>
      <x:c r="J9" s="10" t="str"/>
      <x:c r="K9" s="7" t="str"/>
      <x:c r="L9" s="7" t="str">
        <x:v>OPEN</x:v>
      </x:c>
      <x:c r="M9" s="7"/>
    </x:row>
    <x:row r="10" ht="36" customHeight="1">
      <x:c r="B10" s="7" t="str">
        <x:v>RAE-PP-004</x:v>
      </x:c>
      <x:c r="C10" s="7" t="str">
        <x:v>RFP-A1-FCE-02-P</x:v>
      </x:c>
      <x:c r="D10" s="7" t="str">
        <x:v>RFP-A1</x:v>
      </x:c>
      <x:c r="E10" s="7" t="str">
        <x:v>FCE-02</x:v>
      </x:c>
      <x:c r="F10" s="7" t="str">
        <x:v>primary</x:v>
      </x:c>
      <x:c r="G10" s="7" t="n">
        <x:v>2</x:v>
      </x:c>
      <x:c r="H10" s="10" t="str"/>
      <x:c r="I10" s="10" t="str"/>
      <x:c r="J10" s="10" t="str"/>
      <x:c r="K10" s="7" t="str"/>
      <x:c r="L10" s="7" t="str">
        <x:v>OPEN</x:v>
      </x:c>
      <x:c r="M10" s="7"/>
    </x:row>
    <x:row r="11" ht="36" customHeight="1">
      <x:c r="B11" s="7" t="str">
        <x:v>RAE-PP-005</x:v>
      </x:c>
      <x:c r="C11" s="7" t="str">
        <x:v>RFP-A1-FCE-02-D</x:v>
      </x:c>
      <x:c r="D11" s="7" t="str">
        <x:v>RFP-A1</x:v>
      </x:c>
      <x:c r="E11" s="7" t="str">
        <x:v>FCE-02</x:v>
      </x:c>
      <x:c r="F11" s="7" t="str">
        <x:v>diverse</x:v>
      </x:c>
      <x:c r="G11" s="7" t="n">
        <x:v>2</x:v>
      </x:c>
      <x:c r="H11" s="10" t="str"/>
      <x:c r="I11" s="10" t="str"/>
      <x:c r="J11" s="10" t="str"/>
      <x:c r="K11" s="7" t="str"/>
      <x:c r="L11" s="7" t="str">
        <x:v>OPEN</x:v>
      </x:c>
      <x:c r="M11" s="7"/>
    </x:row>
    <x:row r="12" ht="36" customHeight="1">
      <x:c r="B12" s="7" t="str">
        <x:v>RAE-PP-006</x:v>
      </x:c>
      <x:c r="C12" s="7" t="str">
        <x:v>RFP-A1-FCE-02-M</x:v>
      </x:c>
      <x:c r="D12" s="7" t="str">
        <x:v>RFP-A1</x:v>
      </x:c>
      <x:c r="E12" s="7" t="str">
        <x:v>FCE-02</x:v>
      </x:c>
      <x:c r="F12" s="7" t="str">
        <x:v>manual/passive</x:v>
      </x:c>
      <x:c r="G12" s="7" t="n">
        <x:v>2</x:v>
      </x:c>
      <x:c r="H12" s="10" t="str"/>
      <x:c r="I12" s="10" t="str"/>
      <x:c r="J12" s="10" t="str"/>
      <x:c r="K12" s="7" t="str"/>
      <x:c r="L12" s="7" t="str">
        <x:v>OPEN</x:v>
      </x:c>
      <x:c r="M12" s="7"/>
    </x:row>
    <x:row r="13" ht="36" customHeight="1">
      <x:c r="B13" s="7" t="str">
        <x:v>RAE-PP-007</x:v>
      </x:c>
      <x:c r="C13" s="7" t="str">
        <x:v>RFP-A1-FCE-03-P</x:v>
      </x:c>
      <x:c r="D13" s="7" t="str">
        <x:v>RFP-A1</x:v>
      </x:c>
      <x:c r="E13" s="7" t="str">
        <x:v>FCE-03</x:v>
      </x:c>
      <x:c r="F13" s="7" t="str">
        <x:v>primary</x:v>
      </x:c>
      <x:c r="G13" s="7" t="n">
        <x:v>5</x:v>
      </x:c>
      <x:c r="H13" s="10" t="str"/>
      <x:c r="I13" s="10" t="str"/>
      <x:c r="J13" s="10" t="str"/>
      <x:c r="K13" s="7" t="str"/>
      <x:c r="L13" s="7" t="str">
        <x:v>OPEN</x:v>
      </x:c>
      <x:c r="M13" s="7"/>
    </x:row>
    <x:row r="14" ht="36" customHeight="1">
      <x:c r="B14" s="7" t="str">
        <x:v>RAE-PP-008</x:v>
      </x:c>
      <x:c r="C14" s="7" t="str">
        <x:v>RFP-A1-FCE-03-D</x:v>
      </x:c>
      <x:c r="D14" s="7" t="str">
        <x:v>RFP-A1</x:v>
      </x:c>
      <x:c r="E14" s="7" t="str">
        <x:v>FCE-03</x:v>
      </x:c>
      <x:c r="F14" s="7" t="str">
        <x:v>diverse</x:v>
      </x:c>
      <x:c r="G14" s="7" t="n">
        <x:v>5</x:v>
      </x:c>
      <x:c r="H14" s="10" t="str"/>
      <x:c r="I14" s="10" t="str"/>
      <x:c r="J14" s="10" t="str"/>
      <x:c r="K14" s="7" t="str"/>
      <x:c r="L14" s="7" t="str">
        <x:v>OPEN</x:v>
      </x:c>
      <x:c r="M14" s="7"/>
    </x:row>
    <x:row r="15" ht="36" customHeight="1">
      <x:c r="B15" s="7" t="str">
        <x:v>RAE-PP-009</x:v>
      </x:c>
      <x:c r="C15" s="7" t="str">
        <x:v>RFP-A1-FCE-03-M</x:v>
      </x:c>
      <x:c r="D15" s="7" t="str">
        <x:v>RFP-A1</x:v>
      </x:c>
      <x:c r="E15" s="7" t="str">
        <x:v>FCE-03</x:v>
      </x:c>
      <x:c r="F15" s="7" t="str">
        <x:v>manual/passive</x:v>
      </x:c>
      <x:c r="G15" s="7" t="n">
        <x:v>5</x:v>
      </x:c>
      <x:c r="H15" s="10" t="str"/>
      <x:c r="I15" s="10" t="str"/>
      <x:c r="J15" s="10" t="str"/>
      <x:c r="K15" s="7" t="str"/>
      <x:c r="L15" s="7" t="str">
        <x:v>OPEN</x:v>
      </x:c>
      <x:c r="M15" s="7"/>
    </x:row>
    <x:row r="16" ht="36" customHeight="1">
      <x:c r="B16" s="7" t="str">
        <x:v>RAE-PP-010</x:v>
      </x:c>
      <x:c r="C16" s="7" t="str">
        <x:v>RFP-A1-FCE-04-P</x:v>
      </x:c>
      <x:c r="D16" s="7" t="str">
        <x:v>RFP-A1</x:v>
      </x:c>
      <x:c r="E16" s="7" t="str">
        <x:v>FCE-04</x:v>
      </x:c>
      <x:c r="F16" s="7" t="str">
        <x:v>primary</x:v>
      </x:c>
      <x:c r="G16" s="7" t="n">
        <x:v>3</x:v>
      </x:c>
      <x:c r="H16" s="10" t="str"/>
      <x:c r="I16" s="10" t="str"/>
      <x:c r="J16" s="10" t="str"/>
      <x:c r="K16" s="7" t="str"/>
      <x:c r="L16" s="7" t="str">
        <x:v>OPEN</x:v>
      </x:c>
      <x:c r="M16" s="7"/>
    </x:row>
    <x:row r="17" ht="36" customHeight="1">
      <x:c r="B17" s="7" t="str">
        <x:v>RAE-PP-011</x:v>
      </x:c>
      <x:c r="C17" s="7" t="str">
        <x:v>RFP-A1-FCE-04-D</x:v>
      </x:c>
      <x:c r="D17" s="7" t="str">
        <x:v>RFP-A1</x:v>
      </x:c>
      <x:c r="E17" s="7" t="str">
        <x:v>FCE-04</x:v>
      </x:c>
      <x:c r="F17" s="7" t="str">
        <x:v>diverse</x:v>
      </x:c>
      <x:c r="G17" s="7" t="n">
        <x:v>3</x:v>
      </x:c>
      <x:c r="H17" s="10" t="str"/>
      <x:c r="I17" s="10" t="str"/>
      <x:c r="J17" s="10" t="str"/>
      <x:c r="K17" s="7" t="str"/>
      <x:c r="L17" s="7" t="str">
        <x:v>OPEN</x:v>
      </x:c>
      <x:c r="M17" s="7"/>
    </x:row>
    <x:row r="18" ht="36" customHeight="1">
      <x:c r="B18" s="7" t="str">
        <x:v>RAE-PP-012</x:v>
      </x:c>
      <x:c r="C18" s="7" t="str">
        <x:v>RFP-A1-FCE-04-M</x:v>
      </x:c>
      <x:c r="D18" s="7" t="str">
        <x:v>RFP-A1</x:v>
      </x:c>
      <x:c r="E18" s="7" t="str">
        <x:v>FCE-04</x:v>
      </x:c>
      <x:c r="F18" s="7" t="str">
        <x:v>manual/passive</x:v>
      </x:c>
      <x:c r="G18" s="7" t="n">
        <x:v>3</x:v>
      </x:c>
      <x:c r="H18" s="10" t="str"/>
      <x:c r="I18" s="10" t="str"/>
      <x:c r="J18" s="10" t="str"/>
      <x:c r="K18" s="7" t="str"/>
      <x:c r="L18" s="7" t="str">
        <x:v>OPEN</x:v>
      </x:c>
      <x:c r="M18" s="7"/>
    </x:row>
    <x:row r="19" ht="36" customHeight="1">
      <x:c r="B19" s="7" t="str">
        <x:v>RAE-PP-013</x:v>
      </x:c>
      <x:c r="C19" s="7" t="str">
        <x:v>RFP-A1-FCE-05-P</x:v>
      </x:c>
      <x:c r="D19" s="7" t="str">
        <x:v>RFP-A1</x:v>
      </x:c>
      <x:c r="E19" s="7" t="str">
        <x:v>FCE-05</x:v>
      </x:c>
      <x:c r="F19" s="7" t="str">
        <x:v>primary</x:v>
      </x:c>
      <x:c r="G19" s="7" t="n">
        <x:v>5</x:v>
      </x:c>
      <x:c r="H19" s="10" t="str"/>
      <x:c r="I19" s="10" t="str"/>
      <x:c r="J19" s="10" t="str"/>
      <x:c r="K19" s="7" t="str"/>
      <x:c r="L19" s="7" t="str">
        <x:v>OPEN</x:v>
      </x:c>
      <x:c r="M19" s="7"/>
    </x:row>
    <x:row r="20" ht="36" customHeight="1">
      <x:c r="B20" s="7" t="str">
        <x:v>RAE-PP-014</x:v>
      </x:c>
      <x:c r="C20" s="7" t="str">
        <x:v>RFP-A1-FCE-05-D</x:v>
      </x:c>
      <x:c r="D20" s="7" t="str">
        <x:v>RFP-A1</x:v>
      </x:c>
      <x:c r="E20" s="7" t="str">
        <x:v>FCE-05</x:v>
      </x:c>
      <x:c r="F20" s="7" t="str">
        <x:v>diverse</x:v>
      </x:c>
      <x:c r="G20" s="7" t="n">
        <x:v>5</x:v>
      </x:c>
      <x:c r="H20" s="10" t="str"/>
      <x:c r="I20" s="10" t="str"/>
      <x:c r="J20" s="10" t="str"/>
      <x:c r="K20" s="7" t="str"/>
      <x:c r="L20" s="7" t="str">
        <x:v>OPEN</x:v>
      </x:c>
      <x:c r="M20" s="7"/>
    </x:row>
    <x:row r="21" ht="36" customHeight="1">
      <x:c r="B21" s="7" t="str">
        <x:v>RAE-PP-015</x:v>
      </x:c>
      <x:c r="C21" s="7" t="str">
        <x:v>RFP-A1-FCE-05-M</x:v>
      </x:c>
      <x:c r="D21" s="7" t="str">
        <x:v>RFP-A1</x:v>
      </x:c>
      <x:c r="E21" s="7" t="str">
        <x:v>FCE-05</x:v>
      </x:c>
      <x:c r="F21" s="7" t="str">
        <x:v>manual/passive</x:v>
      </x:c>
      <x:c r="G21" s="7" t="n">
        <x:v>5</x:v>
      </x:c>
      <x:c r="H21" s="10" t="str"/>
      <x:c r="I21" s="10" t="str"/>
      <x:c r="J21" s="10" t="str"/>
      <x:c r="K21" s="7" t="str"/>
      <x:c r="L21" s="7" t="str">
        <x:v>OPEN</x:v>
      </x:c>
      <x:c r="M21" s="7"/>
    </x:row>
    <x:row r="22" ht="36" customHeight="1">
      <x:c r="B22" s="7" t="str">
        <x:v>RAE-PP-016</x:v>
      </x:c>
      <x:c r="C22" s="7" t="str">
        <x:v>RFP-A1-FCE-06-P</x:v>
      </x:c>
      <x:c r="D22" s="7" t="str">
        <x:v>RFP-A1</x:v>
      </x:c>
      <x:c r="E22" s="7" t="str">
        <x:v>FCE-06</x:v>
      </x:c>
      <x:c r="F22" s="7" t="str">
        <x:v>primary</x:v>
      </x:c>
      <x:c r="G22" s="7" t="n">
        <x:v>1</x:v>
      </x:c>
      <x:c r="H22" s="10" t="str"/>
      <x:c r="I22" s="10" t="str"/>
      <x:c r="J22" s="10" t="str"/>
      <x:c r="K22" s="7" t="str"/>
      <x:c r="L22" s="7" t="str">
        <x:v>OPEN</x:v>
      </x:c>
      <x:c r="M22" s="7"/>
    </x:row>
    <x:row r="23" ht="36" customHeight="1">
      <x:c r="B23" s="7" t="str">
        <x:v>RAE-PP-017</x:v>
      </x:c>
      <x:c r="C23" s="7" t="str">
        <x:v>RFP-A1-FCE-06-D</x:v>
      </x:c>
      <x:c r="D23" s="7" t="str">
        <x:v>RFP-A1</x:v>
      </x:c>
      <x:c r="E23" s="7" t="str">
        <x:v>FCE-06</x:v>
      </x:c>
      <x:c r="F23" s="7" t="str">
        <x:v>diverse</x:v>
      </x:c>
      <x:c r="G23" s="7" t="n">
        <x:v>1</x:v>
      </x:c>
      <x:c r="H23" s="10" t="str"/>
      <x:c r="I23" s="10" t="str"/>
      <x:c r="J23" s="10" t="str"/>
      <x:c r="K23" s="7" t="str"/>
      <x:c r="L23" s="7" t="str">
        <x:v>OPEN</x:v>
      </x:c>
      <x:c r="M23" s="7"/>
    </x:row>
    <x:row r="24" ht="36" customHeight="1">
      <x:c r="B24" s="7" t="str">
        <x:v>RAE-PP-018</x:v>
      </x:c>
      <x:c r="C24" s="7" t="str">
        <x:v>RFP-A1-FCE-06-M</x:v>
      </x:c>
      <x:c r="D24" s="7" t="str">
        <x:v>RFP-A1</x:v>
      </x:c>
      <x:c r="E24" s="7" t="str">
        <x:v>FCE-06</x:v>
      </x:c>
      <x:c r="F24" s="7" t="str">
        <x:v>manual/passive</x:v>
      </x:c>
      <x:c r="G24" s="7" t="n">
        <x:v>1</x:v>
      </x:c>
      <x:c r="H24" s="10" t="str"/>
      <x:c r="I24" s="10" t="str"/>
      <x:c r="J24" s="10" t="str"/>
      <x:c r="K24" s="7" t="str"/>
      <x:c r="L24" s="7" t="str">
        <x:v>OPEN</x:v>
      </x:c>
      <x:c r="M24" s="7"/>
    </x:row>
    <x:row r="25" ht="36" customHeight="1">
      <x:c r="B25" s="7" t="str">
        <x:v>RAE-PP-019</x:v>
      </x:c>
      <x:c r="C25" s="7" t="str">
        <x:v>RFP-A1-FCE-07-P</x:v>
      </x:c>
      <x:c r="D25" s="7" t="str">
        <x:v>RFP-A1</x:v>
      </x:c>
      <x:c r="E25" s="7" t="str">
        <x:v>FCE-07</x:v>
      </x:c>
      <x:c r="F25" s="7" t="str">
        <x:v>primary</x:v>
      </x:c>
      <x:c r="G25" s="7" t="n">
        <x:v>2</x:v>
      </x:c>
      <x:c r="H25" s="10" t="str"/>
      <x:c r="I25" s="10" t="str"/>
      <x:c r="J25" s="10" t="str"/>
      <x:c r="K25" s="7" t="str"/>
      <x:c r="L25" s="7" t="str">
        <x:v>OPEN</x:v>
      </x:c>
      <x:c r="M25" s="7"/>
    </x:row>
    <x:row r="26" ht="36" customHeight="1">
      <x:c r="B26" s="7" t="str">
        <x:v>RAE-PP-020</x:v>
      </x:c>
      <x:c r="C26" s="7" t="str">
        <x:v>RFP-A1-FCE-07-D</x:v>
      </x:c>
      <x:c r="D26" s="7" t="str">
        <x:v>RFP-A1</x:v>
      </x:c>
      <x:c r="E26" s="7" t="str">
        <x:v>FCE-07</x:v>
      </x:c>
      <x:c r="F26" s="7" t="str">
        <x:v>diverse</x:v>
      </x:c>
      <x:c r="G26" s="7" t="n">
        <x:v>2</x:v>
      </x:c>
      <x:c r="H26" s="10" t="str"/>
      <x:c r="I26" s="10" t="str"/>
      <x:c r="J26" s="10" t="str"/>
      <x:c r="K26" s="7" t="str"/>
      <x:c r="L26" s="7" t="str">
        <x:v>OPEN</x:v>
      </x:c>
      <x:c r="M26" s="7"/>
    </x:row>
    <x:row r="27" ht="36" customHeight="1">
      <x:c r="B27" s="7" t="str">
        <x:v>RAE-PP-021</x:v>
      </x:c>
      <x:c r="C27" s="7" t="str">
        <x:v>RFP-A1-FCE-07-M</x:v>
      </x:c>
      <x:c r="D27" s="7" t="str">
        <x:v>RFP-A1</x:v>
      </x:c>
      <x:c r="E27" s="7" t="str">
        <x:v>FCE-07</x:v>
      </x:c>
      <x:c r="F27" s="7" t="str">
        <x:v>manual/passive</x:v>
      </x:c>
      <x:c r="G27" s="7" t="n">
        <x:v>2</x:v>
      </x:c>
      <x:c r="H27" s="10" t="str"/>
      <x:c r="I27" s="10" t="str"/>
      <x:c r="J27" s="10" t="str"/>
      <x:c r="K27" s="7" t="str"/>
      <x:c r="L27" s="7" t="str">
        <x:v>OPEN</x:v>
      </x:c>
      <x:c r="M27" s="7"/>
    </x:row>
    <x:row r="28" ht="36" customHeight="1">
      <x:c r="B28" s="7" t="str">
        <x:v>RAE-PP-022</x:v>
      </x:c>
      <x:c r="C28" s="7" t="str">
        <x:v>RFP-A1-FCE-08-P</x:v>
      </x:c>
      <x:c r="D28" s="7" t="str">
        <x:v>RFP-A1</x:v>
      </x:c>
      <x:c r="E28" s="7" t="str">
        <x:v>FCE-08</x:v>
      </x:c>
      <x:c r="F28" s="7" t="str">
        <x:v>primary</x:v>
      </x:c>
      <x:c r="G28" s="7" t="n">
        <x:v>5</x:v>
      </x:c>
      <x:c r="H28" s="10" t="str"/>
      <x:c r="I28" s="10" t="str"/>
      <x:c r="J28" s="10" t="str"/>
      <x:c r="K28" s="7" t="str"/>
      <x:c r="L28" s="7" t="str">
        <x:v>OPEN</x:v>
      </x:c>
      <x:c r="M28" s="7"/>
    </x:row>
    <x:row r="29" ht="36" customHeight="1">
      <x:c r="B29" s="7" t="str">
        <x:v>RAE-PP-023</x:v>
      </x:c>
      <x:c r="C29" s="7" t="str">
        <x:v>RFP-A1-FCE-08-D</x:v>
      </x:c>
      <x:c r="D29" s="7" t="str">
        <x:v>RFP-A1</x:v>
      </x:c>
      <x:c r="E29" s="7" t="str">
        <x:v>FCE-08</x:v>
      </x:c>
      <x:c r="F29" s="7" t="str">
        <x:v>diverse</x:v>
      </x:c>
      <x:c r="G29" s="7" t="n">
        <x:v>5</x:v>
      </x:c>
      <x:c r="H29" s="10" t="str"/>
      <x:c r="I29" s="10" t="str"/>
      <x:c r="J29" s="10" t="str"/>
      <x:c r="K29" s="7" t="str"/>
      <x:c r="L29" s="7" t="str">
        <x:v>OPEN</x:v>
      </x:c>
      <x:c r="M29" s="7"/>
    </x:row>
    <x:row r="30" ht="36" customHeight="1">
      <x:c r="B30" s="7" t="str">
        <x:v>RAE-PP-024</x:v>
      </x:c>
      <x:c r="C30" s="7" t="str">
        <x:v>RFP-A1-FCE-08-M</x:v>
      </x:c>
      <x:c r="D30" s="7" t="str">
        <x:v>RFP-A1</x:v>
      </x:c>
      <x:c r="E30" s="7" t="str">
        <x:v>FCE-08</x:v>
      </x:c>
      <x:c r="F30" s="7" t="str">
        <x:v>manual/passive</x:v>
      </x:c>
      <x:c r="G30" s="7" t="n">
        <x:v>5</x:v>
      </x:c>
      <x:c r="H30" s="10" t="str"/>
      <x:c r="I30" s="10" t="str"/>
      <x:c r="J30" s="10" t="str"/>
      <x:c r="K30" s="7" t="str"/>
      <x:c r="L30" s="7" t="str">
        <x:v>OPEN</x:v>
      </x:c>
      <x:c r="M30" s="7"/>
    </x:row>
    <x:row r="31" ht="36" customHeight="1">
      <x:c r="B31" s="7" t="str">
        <x:v>RAE-PP-025</x:v>
      </x:c>
      <x:c r="C31" s="7" t="str">
        <x:v>RFP-A1-FCE-09-P</x:v>
      </x:c>
      <x:c r="D31" s="7" t="str">
        <x:v>RFP-A1</x:v>
      </x:c>
      <x:c r="E31" s="7" t="str">
        <x:v>FCE-09</x:v>
      </x:c>
      <x:c r="F31" s="7" t="str">
        <x:v>primary</x:v>
      </x:c>
      <x:c r="G31" s="7" t="n">
        <x:v>1</x:v>
      </x:c>
      <x:c r="H31" s="10" t="str"/>
      <x:c r="I31" s="10" t="str"/>
      <x:c r="J31" s="10" t="str"/>
      <x:c r="K31" s="7" t="str"/>
      <x:c r="L31" s="7" t="str">
        <x:v>OPEN</x:v>
      </x:c>
      <x:c r="M31" s="7"/>
    </x:row>
    <x:row r="32" ht="36" customHeight="1">
      <x:c r="B32" s="7" t="str">
        <x:v>RAE-PP-026</x:v>
      </x:c>
      <x:c r="C32" s="7" t="str">
        <x:v>RFP-A1-FCE-09-D</x:v>
      </x:c>
      <x:c r="D32" s="7" t="str">
        <x:v>RFP-A1</x:v>
      </x:c>
      <x:c r="E32" s="7" t="str">
        <x:v>FCE-09</x:v>
      </x:c>
      <x:c r="F32" s="7" t="str">
        <x:v>diverse</x:v>
      </x:c>
      <x:c r="G32" s="7" t="n">
        <x:v>1</x:v>
      </x:c>
      <x:c r="H32" s="10" t="str"/>
      <x:c r="I32" s="10" t="str"/>
      <x:c r="J32" s="10" t="str"/>
      <x:c r="K32" s="7" t="str"/>
      <x:c r="L32" s="7" t="str">
        <x:v>OPEN</x:v>
      </x:c>
      <x:c r="M32" s="7"/>
    </x:row>
    <x:row r="33" ht="36" customHeight="1">
      <x:c r="B33" s="7" t="str">
        <x:v>RAE-PP-027</x:v>
      </x:c>
      <x:c r="C33" s="7" t="str">
        <x:v>RFP-A1-FCE-09-M</x:v>
      </x:c>
      <x:c r="D33" s="7" t="str">
        <x:v>RFP-A1</x:v>
      </x:c>
      <x:c r="E33" s="7" t="str">
        <x:v>FCE-09</x:v>
      </x:c>
      <x:c r="F33" s="7" t="str">
        <x:v>manual/passive</x:v>
      </x:c>
      <x:c r="G33" s="7" t="n">
        <x:v>1</x:v>
      </x:c>
      <x:c r="H33" s="10" t="str"/>
      <x:c r="I33" s="10" t="str"/>
      <x:c r="J33" s="10" t="str"/>
      <x:c r="K33" s="7" t="str"/>
      <x:c r="L33" s="7" t="str">
        <x:v>OPEN</x:v>
      </x:c>
      <x:c r="M33" s="7"/>
    </x:row>
    <x:row r="34" ht="36" customHeight="1">
      <x:c r="B34" s="7" t="str">
        <x:v>RAE-PP-028</x:v>
      </x:c>
      <x:c r="C34" s="7" t="str">
        <x:v>RFP-A1-FCE-10-P</x:v>
      </x:c>
      <x:c r="D34" s="7" t="str">
        <x:v>RFP-A1</x:v>
      </x:c>
      <x:c r="E34" s="7" t="str">
        <x:v>FCE-10</x:v>
      </x:c>
      <x:c r="F34" s="7" t="str">
        <x:v>primary</x:v>
      </x:c>
      <x:c r="G34" s="7" t="n">
        <x:v>30</x:v>
      </x:c>
      <x:c r="H34" s="10" t="str"/>
      <x:c r="I34" s="10" t="str"/>
      <x:c r="J34" s="10" t="str"/>
      <x:c r="K34" s="7" t="str"/>
      <x:c r="L34" s="7" t="str">
        <x:v>OPEN</x:v>
      </x:c>
      <x:c r="M34" s="7"/>
    </x:row>
    <x:row r="35" ht="36" customHeight="1">
      <x:c r="B35" s="7" t="str">
        <x:v>RAE-PP-029</x:v>
      </x:c>
      <x:c r="C35" s="7" t="str">
        <x:v>RFP-A1-FCE-10-D</x:v>
      </x:c>
      <x:c r="D35" s="7" t="str">
        <x:v>RFP-A1</x:v>
      </x:c>
      <x:c r="E35" s="7" t="str">
        <x:v>FCE-10</x:v>
      </x:c>
      <x:c r="F35" s="7" t="str">
        <x:v>diverse</x:v>
      </x:c>
      <x:c r="G35" s="7" t="n">
        <x:v>30</x:v>
      </x:c>
      <x:c r="H35" s="10" t="str"/>
      <x:c r="I35" s="10" t="str"/>
      <x:c r="J35" s="10" t="str"/>
      <x:c r="K35" s="7" t="str"/>
      <x:c r="L35" s="7" t="str">
        <x:v>OPEN</x:v>
      </x:c>
      <x:c r="M35" s="7"/>
    </x:row>
    <x:row r="36" ht="36" customHeight="1">
      <x:c r="B36" s="7" t="str">
        <x:v>RAE-PP-030</x:v>
      </x:c>
      <x:c r="C36" s="7" t="str">
        <x:v>RFP-A1-FCE-10-M</x:v>
      </x:c>
      <x:c r="D36" s="7" t="str">
        <x:v>RFP-A1</x:v>
      </x:c>
      <x:c r="E36" s="7" t="str">
        <x:v>FCE-10</x:v>
      </x:c>
      <x:c r="F36" s="7" t="str">
        <x:v>manual/passive</x:v>
      </x:c>
      <x:c r="G36" s="7" t="n">
        <x:v>30</x:v>
      </x:c>
      <x:c r="H36" s="10" t="str"/>
      <x:c r="I36" s="10" t="str"/>
      <x:c r="J36" s="10" t="str"/>
      <x:c r="K36" s="7" t="str"/>
      <x:c r="L36" s="7" t="str">
        <x:v>OPEN</x:v>
      </x:c>
      <x:c r="M36" s="7"/>
    </x:row>
    <x:row r="37" ht="36" customHeight="1">
      <x:c r="B37" s="7" t="str">
        <x:v>RAE-PP-031</x:v>
      </x:c>
      <x:c r="C37" s="7" t="str">
        <x:v>RFP-A1-FCE-11-P</x:v>
      </x:c>
      <x:c r="D37" s="7" t="str">
        <x:v>RFP-A1</x:v>
      </x:c>
      <x:c r="E37" s="7" t="str">
        <x:v>FCE-11</x:v>
      </x:c>
      <x:c r="F37" s="7" t="str">
        <x:v>primary</x:v>
      </x:c>
      <x:c r="G37" s="7" t="n">
        <x:v>10</x:v>
      </x:c>
      <x:c r="H37" s="10" t="str"/>
      <x:c r="I37" s="10" t="str"/>
      <x:c r="J37" s="10" t="str"/>
      <x:c r="K37" s="7" t="str"/>
      <x:c r="L37" s="7" t="str">
        <x:v>OPEN</x:v>
      </x:c>
      <x:c r="M37" s="7"/>
    </x:row>
    <x:row r="38" ht="36" customHeight="1">
      <x:c r="B38" s="7" t="str">
        <x:v>RAE-PP-032</x:v>
      </x:c>
      <x:c r="C38" s="7" t="str">
        <x:v>RFP-A1-FCE-11-D</x:v>
      </x:c>
      <x:c r="D38" s="7" t="str">
        <x:v>RFP-A1</x:v>
      </x:c>
      <x:c r="E38" s="7" t="str">
        <x:v>FCE-11</x:v>
      </x:c>
      <x:c r="F38" s="7" t="str">
        <x:v>diverse</x:v>
      </x:c>
      <x:c r="G38" s="7" t="n">
        <x:v>10</x:v>
      </x:c>
      <x:c r="H38" s="10" t="str"/>
      <x:c r="I38" s="10" t="str"/>
      <x:c r="J38" s="10" t="str"/>
      <x:c r="K38" s="7" t="str"/>
      <x:c r="L38" s="7" t="str">
        <x:v>OPEN</x:v>
      </x:c>
      <x:c r="M38" s="7"/>
    </x:row>
    <x:row r="39" ht="36" customHeight="1">
      <x:c r="B39" s="7" t="str">
        <x:v>RAE-PP-033</x:v>
      </x:c>
      <x:c r="C39" s="7" t="str">
        <x:v>RFP-A1-FCE-11-M</x:v>
      </x:c>
      <x:c r="D39" s="7" t="str">
        <x:v>RFP-A1</x:v>
      </x:c>
      <x:c r="E39" s="7" t="str">
        <x:v>FCE-11</x:v>
      </x:c>
      <x:c r="F39" s="7" t="str">
        <x:v>manual/passive</x:v>
      </x:c>
      <x:c r="G39" s="7" t="n">
        <x:v>10</x:v>
      </x:c>
      <x:c r="H39" s="10" t="str"/>
      <x:c r="I39" s="10" t="str"/>
      <x:c r="J39" s="10" t="str"/>
      <x:c r="K39" s="7" t="str"/>
      <x:c r="L39" s="7" t="str">
        <x:v>OPEN</x:v>
      </x:c>
      <x:c r="M39" s="7"/>
    </x:row>
    <x:row r="40" ht="36" customHeight="1">
      <x:c r="B40" s="7" t="str">
        <x:v>RAE-PP-034</x:v>
      </x:c>
      <x:c r="C40" s="7" t="str">
        <x:v>RFP-A1-FCE-12-P</x:v>
      </x:c>
      <x:c r="D40" s="7" t="str">
        <x:v>RFP-A1</x:v>
      </x:c>
      <x:c r="E40" s="7" t="str">
        <x:v>FCE-12</x:v>
      </x:c>
      <x:c r="F40" s="7" t="str">
        <x:v>primary</x:v>
      </x:c>
      <x:c r="G40" s="7" t="n">
        <x:v>1</x:v>
      </x:c>
      <x:c r="H40" s="10" t="str"/>
      <x:c r="I40" s="10" t="str"/>
      <x:c r="J40" s="10" t="str"/>
      <x:c r="K40" s="7" t="str"/>
      <x:c r="L40" s="7" t="str">
        <x:v>OPEN</x:v>
      </x:c>
      <x:c r="M40" s="7"/>
    </x:row>
    <x:row r="41" ht="36" customHeight="1">
      <x:c r="B41" s="7" t="str">
        <x:v>RAE-PP-035</x:v>
      </x:c>
      <x:c r="C41" s="7" t="str">
        <x:v>RFP-A1-FCE-12-D</x:v>
      </x:c>
      <x:c r="D41" s="7" t="str">
        <x:v>RFP-A1</x:v>
      </x:c>
      <x:c r="E41" s="7" t="str">
        <x:v>FCE-12</x:v>
      </x:c>
      <x:c r="F41" s="7" t="str">
        <x:v>diverse</x:v>
      </x:c>
      <x:c r="G41" s="7" t="n">
        <x:v>1</x:v>
      </x:c>
      <x:c r="H41" s="10" t="str"/>
      <x:c r="I41" s="10" t="str"/>
      <x:c r="J41" s="10" t="str"/>
      <x:c r="K41" s="7" t="str"/>
      <x:c r="L41" s="7" t="str">
        <x:v>OPEN</x:v>
      </x:c>
      <x:c r="M41" s="7"/>
    </x:row>
    <x:row r="42" ht="36" customHeight="1">
      <x:c r="B42" s="7" t="str">
        <x:v>RAE-PP-036</x:v>
      </x:c>
      <x:c r="C42" s="7" t="str">
        <x:v>RFP-A1-FCE-12-M</x:v>
      </x:c>
      <x:c r="D42" s="7" t="str">
        <x:v>RFP-A1</x:v>
      </x:c>
      <x:c r="E42" s="7" t="str">
        <x:v>FCE-12</x:v>
      </x:c>
      <x:c r="F42" s="7" t="str">
        <x:v>manual/passive</x:v>
      </x:c>
      <x:c r="G42" s="7" t="n">
        <x:v>1</x:v>
      </x:c>
      <x:c r="H42" s="10" t="str"/>
      <x:c r="I42" s="10" t="str"/>
      <x:c r="J42" s="10" t="str"/>
      <x:c r="K42" s="7" t="str"/>
      <x:c r="L42" s="7" t="str">
        <x:v>OPEN</x:v>
      </x:c>
      <x:c r="M42" s="7"/>
    </x:row>
    <x:row r="43" ht="36" customHeight="1">
      <x:c r="B43" s="7" t="str">
        <x:v>RAE-PP-037</x:v>
      </x:c>
      <x:c r="C43" s="7" t="str">
        <x:v>RFP-A2-FCE-01-P</x:v>
      </x:c>
      <x:c r="D43" s="7" t="str">
        <x:v>RFP-A2</x:v>
      </x:c>
      <x:c r="E43" s="7" t="str">
        <x:v>FCE-01</x:v>
      </x:c>
      <x:c r="F43" s="7" t="str">
        <x:v>primary</x:v>
      </x:c>
      <x:c r="G43" s="7" t="n">
        <x:v>2</x:v>
      </x:c>
      <x:c r="H43" s="10" t="str"/>
      <x:c r="I43" s="10" t="str"/>
      <x:c r="J43" s="10" t="str"/>
      <x:c r="K43" s="7" t="str"/>
      <x:c r="L43" s="7" t="str">
        <x:v>OPEN</x:v>
      </x:c>
      <x:c r="M43" s="7"/>
    </x:row>
    <x:row r="44" ht="36" customHeight="1">
      <x:c r="B44" s="7" t="str">
        <x:v>RAE-PP-038</x:v>
      </x:c>
      <x:c r="C44" s="7" t="str">
        <x:v>RFP-A2-FCE-01-D</x:v>
      </x:c>
      <x:c r="D44" s="7" t="str">
        <x:v>RFP-A2</x:v>
      </x:c>
      <x:c r="E44" s="7" t="str">
        <x:v>FCE-01</x:v>
      </x:c>
      <x:c r="F44" s="7" t="str">
        <x:v>diverse</x:v>
      </x:c>
      <x:c r="G44" s="7" t="n">
        <x:v>2</x:v>
      </x:c>
      <x:c r="H44" s="10" t="str"/>
      <x:c r="I44" s="10" t="str"/>
      <x:c r="J44" s="10" t="str"/>
      <x:c r="K44" s="7" t="str"/>
      <x:c r="L44" s="7" t="str">
        <x:v>OPEN</x:v>
      </x:c>
      <x:c r="M44" s="7"/>
    </x:row>
    <x:row r="45" ht="36" customHeight="1">
      <x:c r="B45" s="7" t="str">
        <x:v>RAE-PP-039</x:v>
      </x:c>
      <x:c r="C45" s="7" t="str">
        <x:v>RFP-A2-FCE-01-M</x:v>
      </x:c>
      <x:c r="D45" s="7" t="str">
        <x:v>RFP-A2</x:v>
      </x:c>
      <x:c r="E45" s="7" t="str">
        <x:v>FCE-01</x:v>
      </x:c>
      <x:c r="F45" s="7" t="str">
        <x:v>manual/passive</x:v>
      </x:c>
      <x:c r="G45" s="7" t="n">
        <x:v>2</x:v>
      </x:c>
      <x:c r="H45" s="10" t="str"/>
      <x:c r="I45" s="10" t="str"/>
      <x:c r="J45" s="10" t="str"/>
      <x:c r="K45" s="7" t="str"/>
      <x:c r="L45" s="7" t="str">
        <x:v>OPEN</x:v>
      </x:c>
      <x:c r="M45" s="7"/>
    </x:row>
    <x:row r="46" ht="36" customHeight="1">
      <x:c r="B46" s="7" t="str">
        <x:v>RAE-PP-040</x:v>
      </x:c>
      <x:c r="C46" s="7" t="str">
        <x:v>RFP-A2-FCE-02-P</x:v>
      </x:c>
      <x:c r="D46" s="7" t="str">
        <x:v>RFP-A2</x:v>
      </x:c>
      <x:c r="E46" s="7" t="str">
        <x:v>FCE-02</x:v>
      </x:c>
      <x:c r="F46" s="7" t="str">
        <x:v>primary</x:v>
      </x:c>
      <x:c r="G46" s="7" t="n">
        <x:v>2</x:v>
      </x:c>
      <x:c r="H46" s="10" t="str"/>
      <x:c r="I46" s="10" t="str"/>
      <x:c r="J46" s="10" t="str"/>
      <x:c r="K46" s="7" t="str"/>
      <x:c r="L46" s="7" t="str">
        <x:v>OPEN</x:v>
      </x:c>
      <x:c r="M46" s="7"/>
    </x:row>
    <x:row r="47" ht="36" customHeight="1">
      <x:c r="B47" s="7" t="str">
        <x:v>RAE-PP-041</x:v>
      </x:c>
      <x:c r="C47" s="7" t="str">
        <x:v>RFP-A2-FCE-02-D</x:v>
      </x:c>
      <x:c r="D47" s="7" t="str">
        <x:v>RFP-A2</x:v>
      </x:c>
      <x:c r="E47" s="7" t="str">
        <x:v>FCE-02</x:v>
      </x:c>
      <x:c r="F47" s="7" t="str">
        <x:v>diverse</x:v>
      </x:c>
      <x:c r="G47" s="7" t="n">
        <x:v>2</x:v>
      </x:c>
      <x:c r="H47" s="10" t="str"/>
      <x:c r="I47" s="10" t="str"/>
      <x:c r="J47" s="10" t="str"/>
      <x:c r="K47" s="7" t="str"/>
      <x:c r="L47" s="7" t="str">
        <x:v>OPEN</x:v>
      </x:c>
      <x:c r="M47" s="7"/>
    </x:row>
    <x:row r="48" ht="36" customHeight="1">
      <x:c r="B48" s="7" t="str">
        <x:v>RAE-PP-042</x:v>
      </x:c>
      <x:c r="C48" s="7" t="str">
        <x:v>RFP-A2-FCE-02-M</x:v>
      </x:c>
      <x:c r="D48" s="7" t="str">
        <x:v>RFP-A2</x:v>
      </x:c>
      <x:c r="E48" s="7" t="str">
        <x:v>FCE-02</x:v>
      </x:c>
      <x:c r="F48" s="7" t="str">
        <x:v>manual/passive</x:v>
      </x:c>
      <x:c r="G48" s="7" t="n">
        <x:v>2</x:v>
      </x:c>
      <x:c r="H48" s="10" t="str"/>
      <x:c r="I48" s="10" t="str"/>
      <x:c r="J48" s="10" t="str"/>
      <x:c r="K48" s="7" t="str"/>
      <x:c r="L48" s="7" t="str">
        <x:v>OPEN</x:v>
      </x:c>
      <x:c r="M48" s="7"/>
    </x:row>
    <x:row r="49" ht="36" customHeight="1">
      <x:c r="B49" s="7" t="str">
        <x:v>RAE-PP-043</x:v>
      </x:c>
      <x:c r="C49" s="7" t="str">
        <x:v>RFP-A2-FCE-03-P</x:v>
      </x:c>
      <x:c r="D49" s="7" t="str">
        <x:v>RFP-A2</x:v>
      </x:c>
      <x:c r="E49" s="7" t="str">
        <x:v>FCE-03</x:v>
      </x:c>
      <x:c r="F49" s="7" t="str">
        <x:v>primary</x:v>
      </x:c>
      <x:c r="G49" s="7" t="n">
        <x:v>5</x:v>
      </x:c>
      <x:c r="H49" s="10" t="str"/>
      <x:c r="I49" s="10" t="str"/>
      <x:c r="J49" s="10" t="str"/>
      <x:c r="K49" s="7" t="str"/>
      <x:c r="L49" s="7" t="str">
        <x:v>OPEN</x:v>
      </x:c>
      <x:c r="M49" s="7"/>
    </x:row>
    <x:row r="50" ht="36" customHeight="1">
      <x:c r="B50" s="7" t="str">
        <x:v>RAE-PP-044</x:v>
      </x:c>
      <x:c r="C50" s="7" t="str">
        <x:v>RFP-A2-FCE-03-D</x:v>
      </x:c>
      <x:c r="D50" s="7" t="str">
        <x:v>RFP-A2</x:v>
      </x:c>
      <x:c r="E50" s="7" t="str">
        <x:v>FCE-03</x:v>
      </x:c>
      <x:c r="F50" s="7" t="str">
        <x:v>diverse</x:v>
      </x:c>
      <x:c r="G50" s="7" t="n">
        <x:v>5</x:v>
      </x:c>
      <x:c r="H50" s="10" t="str"/>
      <x:c r="I50" s="10" t="str"/>
      <x:c r="J50" s="10" t="str"/>
      <x:c r="K50" s="7" t="str"/>
      <x:c r="L50" s="7" t="str">
        <x:v>OPEN</x:v>
      </x:c>
      <x:c r="M50" s="7"/>
    </x:row>
    <x:row r="51" ht="36" customHeight="1">
      <x:c r="B51" s="7" t="str">
        <x:v>RAE-PP-045</x:v>
      </x:c>
      <x:c r="C51" s="7" t="str">
        <x:v>RFP-A2-FCE-03-M</x:v>
      </x:c>
      <x:c r="D51" s="7" t="str">
        <x:v>RFP-A2</x:v>
      </x:c>
      <x:c r="E51" s="7" t="str">
        <x:v>FCE-03</x:v>
      </x:c>
      <x:c r="F51" s="7" t="str">
        <x:v>manual/passive</x:v>
      </x:c>
      <x:c r="G51" s="7" t="n">
        <x:v>5</x:v>
      </x:c>
      <x:c r="H51" s="10" t="str"/>
      <x:c r="I51" s="10" t="str"/>
      <x:c r="J51" s="10" t="str"/>
      <x:c r="K51" s="7" t="str"/>
      <x:c r="L51" s="7" t="str">
        <x:v>OPEN</x:v>
      </x:c>
      <x:c r="M51" s="7"/>
    </x:row>
    <x:row r="52" ht="36" customHeight="1">
      <x:c r="B52" s="7" t="str">
        <x:v>RAE-PP-046</x:v>
      </x:c>
      <x:c r="C52" s="7" t="str">
        <x:v>RFP-A2-FCE-04-P</x:v>
      </x:c>
      <x:c r="D52" s="7" t="str">
        <x:v>RFP-A2</x:v>
      </x:c>
      <x:c r="E52" s="7" t="str">
        <x:v>FCE-04</x:v>
      </x:c>
      <x:c r="F52" s="7" t="str">
        <x:v>primary</x:v>
      </x:c>
      <x:c r="G52" s="7" t="n">
        <x:v>3</x:v>
      </x:c>
      <x:c r="H52" s="10" t="str"/>
      <x:c r="I52" s="10" t="str"/>
      <x:c r="J52" s="10" t="str"/>
      <x:c r="K52" s="7" t="str"/>
      <x:c r="L52" s="7" t="str">
        <x:v>OPEN</x:v>
      </x:c>
      <x:c r="M52" s="7"/>
    </x:row>
    <x:row r="53" ht="36" customHeight="1">
      <x:c r="B53" s="7" t="str">
        <x:v>RAE-PP-047</x:v>
      </x:c>
      <x:c r="C53" s="7" t="str">
        <x:v>RFP-A2-FCE-04-D</x:v>
      </x:c>
      <x:c r="D53" s="7" t="str">
        <x:v>RFP-A2</x:v>
      </x:c>
      <x:c r="E53" s="7" t="str">
        <x:v>FCE-04</x:v>
      </x:c>
      <x:c r="F53" s="7" t="str">
        <x:v>diverse</x:v>
      </x:c>
      <x:c r="G53" s="7" t="n">
        <x:v>3</x:v>
      </x:c>
      <x:c r="H53" s="10" t="str"/>
      <x:c r="I53" s="10" t="str"/>
      <x:c r="J53" s="10" t="str"/>
      <x:c r="K53" s="7" t="str"/>
      <x:c r="L53" s="7" t="str">
        <x:v>OPEN</x:v>
      </x:c>
      <x:c r="M53" s="7"/>
    </x:row>
    <x:row r="54" ht="36" customHeight="1">
      <x:c r="B54" s="7" t="str">
        <x:v>RAE-PP-048</x:v>
      </x:c>
      <x:c r="C54" s="7" t="str">
        <x:v>RFP-A2-FCE-04-M</x:v>
      </x:c>
      <x:c r="D54" s="7" t="str">
        <x:v>RFP-A2</x:v>
      </x:c>
      <x:c r="E54" s="7" t="str">
        <x:v>FCE-04</x:v>
      </x:c>
      <x:c r="F54" s="7" t="str">
        <x:v>manual/passive</x:v>
      </x:c>
      <x:c r="G54" s="7" t="n">
        <x:v>3</x:v>
      </x:c>
      <x:c r="H54" s="10" t="str"/>
      <x:c r="I54" s="10" t="str"/>
      <x:c r="J54" s="10" t="str"/>
      <x:c r="K54" s="7" t="str"/>
      <x:c r="L54" s="7" t="str">
        <x:v>OPEN</x:v>
      </x:c>
      <x:c r="M54" s="7"/>
    </x:row>
    <x:row r="55" ht="36" customHeight="1">
      <x:c r="B55" s="7" t="str">
        <x:v>RAE-PP-049</x:v>
      </x:c>
      <x:c r="C55" s="7" t="str">
        <x:v>RFP-A2-FCE-05-P</x:v>
      </x:c>
      <x:c r="D55" s="7" t="str">
        <x:v>RFP-A2</x:v>
      </x:c>
      <x:c r="E55" s="7" t="str">
        <x:v>FCE-05</x:v>
      </x:c>
      <x:c r="F55" s="7" t="str">
        <x:v>primary</x:v>
      </x:c>
      <x:c r="G55" s="7" t="n">
        <x:v>5</x:v>
      </x:c>
      <x:c r="H55" s="10" t="str"/>
      <x:c r="I55" s="10" t="str"/>
      <x:c r="J55" s="10" t="str"/>
      <x:c r="K55" s="7" t="str"/>
      <x:c r="L55" s="7" t="str">
        <x:v>OPEN</x:v>
      </x:c>
      <x:c r="M55" s="7"/>
    </x:row>
    <x:row r="56" ht="36" customHeight="1">
      <x:c r="B56" s="7" t="str">
        <x:v>RAE-PP-050</x:v>
      </x:c>
      <x:c r="C56" s="7" t="str">
        <x:v>RFP-A2-FCE-05-D</x:v>
      </x:c>
      <x:c r="D56" s="7" t="str">
        <x:v>RFP-A2</x:v>
      </x:c>
      <x:c r="E56" s="7" t="str">
        <x:v>FCE-05</x:v>
      </x:c>
      <x:c r="F56" s="7" t="str">
        <x:v>diverse</x:v>
      </x:c>
      <x:c r="G56" s="7" t="n">
        <x:v>5</x:v>
      </x:c>
      <x:c r="H56" s="10" t="str"/>
      <x:c r="I56" s="10" t="str"/>
      <x:c r="J56" s="10" t="str"/>
      <x:c r="K56" s="7" t="str"/>
      <x:c r="L56" s="7" t="str">
        <x:v>OPEN</x:v>
      </x:c>
      <x:c r="M56" s="7"/>
    </x:row>
    <x:row r="57" ht="36" customHeight="1">
      <x:c r="B57" s="7" t="str">
        <x:v>RAE-PP-051</x:v>
      </x:c>
      <x:c r="C57" s="7" t="str">
        <x:v>RFP-A2-FCE-05-M</x:v>
      </x:c>
      <x:c r="D57" s="7" t="str">
        <x:v>RFP-A2</x:v>
      </x:c>
      <x:c r="E57" s="7" t="str">
        <x:v>FCE-05</x:v>
      </x:c>
      <x:c r="F57" s="7" t="str">
        <x:v>manual/passive</x:v>
      </x:c>
      <x:c r="G57" s="7" t="n">
        <x:v>5</x:v>
      </x:c>
      <x:c r="H57" s="10" t="str"/>
      <x:c r="I57" s="10" t="str"/>
      <x:c r="J57" s="10" t="str"/>
      <x:c r="K57" s="7" t="str"/>
      <x:c r="L57" s="7" t="str">
        <x:v>OPEN</x:v>
      </x:c>
      <x:c r="M57" s="7"/>
    </x:row>
    <x:row r="58" ht="36" customHeight="1">
      <x:c r="B58" s="7" t="str">
        <x:v>RAE-PP-052</x:v>
      </x:c>
      <x:c r="C58" s="7" t="str">
        <x:v>RFP-A2-FCE-06-P</x:v>
      </x:c>
      <x:c r="D58" s="7" t="str">
        <x:v>RFP-A2</x:v>
      </x:c>
      <x:c r="E58" s="7" t="str">
        <x:v>FCE-06</x:v>
      </x:c>
      <x:c r="F58" s="7" t="str">
        <x:v>primary</x:v>
      </x:c>
      <x:c r="G58" s="7" t="n">
        <x:v>1</x:v>
      </x:c>
      <x:c r="H58" s="10" t="str"/>
      <x:c r="I58" s="10" t="str"/>
      <x:c r="J58" s="10" t="str"/>
      <x:c r="K58" s="7" t="str"/>
      <x:c r="L58" s="7" t="str">
        <x:v>OPEN</x:v>
      </x:c>
      <x:c r="M58" s="7"/>
    </x:row>
    <x:row r="59" ht="36" customHeight="1">
      <x:c r="B59" s="7" t="str">
        <x:v>RAE-PP-053</x:v>
      </x:c>
      <x:c r="C59" s="7" t="str">
        <x:v>RFP-A2-FCE-06-D</x:v>
      </x:c>
      <x:c r="D59" s="7" t="str">
        <x:v>RFP-A2</x:v>
      </x:c>
      <x:c r="E59" s="7" t="str">
        <x:v>FCE-06</x:v>
      </x:c>
      <x:c r="F59" s="7" t="str">
        <x:v>diverse</x:v>
      </x:c>
      <x:c r="G59" s="7" t="n">
        <x:v>1</x:v>
      </x:c>
      <x:c r="H59" s="10" t="str"/>
      <x:c r="I59" s="10" t="str"/>
      <x:c r="J59" s="10" t="str"/>
      <x:c r="K59" s="7" t="str"/>
      <x:c r="L59" s="7" t="str">
        <x:v>OPEN</x:v>
      </x:c>
      <x:c r="M59" s="7"/>
    </x:row>
    <x:row r="60" ht="36" customHeight="1">
      <x:c r="B60" s="7" t="str">
        <x:v>RAE-PP-054</x:v>
      </x:c>
      <x:c r="C60" s="7" t="str">
        <x:v>RFP-A2-FCE-06-M</x:v>
      </x:c>
      <x:c r="D60" s="7" t="str">
        <x:v>RFP-A2</x:v>
      </x:c>
      <x:c r="E60" s="7" t="str">
        <x:v>FCE-06</x:v>
      </x:c>
      <x:c r="F60" s="7" t="str">
        <x:v>manual/passive</x:v>
      </x:c>
      <x:c r="G60" s="7" t="n">
        <x:v>1</x:v>
      </x:c>
      <x:c r="H60" s="10" t="str"/>
      <x:c r="I60" s="10" t="str"/>
      <x:c r="J60" s="10" t="str"/>
      <x:c r="K60" s="7" t="str"/>
      <x:c r="L60" s="7" t="str">
        <x:v>OPEN</x:v>
      </x:c>
      <x:c r="M60" s="7"/>
    </x:row>
    <x:row r="61" ht="36" customHeight="1">
      <x:c r="B61" s="7" t="str">
        <x:v>RAE-PP-055</x:v>
      </x:c>
      <x:c r="C61" s="7" t="str">
        <x:v>RFP-A2-FCE-07-P</x:v>
      </x:c>
      <x:c r="D61" s="7" t="str">
        <x:v>RFP-A2</x:v>
      </x:c>
      <x:c r="E61" s="7" t="str">
        <x:v>FCE-07</x:v>
      </x:c>
      <x:c r="F61" s="7" t="str">
        <x:v>primary</x:v>
      </x:c>
      <x:c r="G61" s="7" t="n">
        <x:v>2</x:v>
      </x:c>
      <x:c r="H61" s="10" t="str"/>
      <x:c r="I61" s="10" t="str"/>
      <x:c r="J61" s="10" t="str"/>
      <x:c r="K61" s="7" t="str"/>
      <x:c r="L61" s="7" t="str">
        <x:v>OPEN</x:v>
      </x:c>
      <x:c r="M61" s="7"/>
    </x:row>
    <x:row r="62" ht="36" customHeight="1">
      <x:c r="B62" s="7" t="str">
        <x:v>RAE-PP-056</x:v>
      </x:c>
      <x:c r="C62" s="7" t="str">
        <x:v>RFP-A2-FCE-07-D</x:v>
      </x:c>
      <x:c r="D62" s="7" t="str">
        <x:v>RFP-A2</x:v>
      </x:c>
      <x:c r="E62" s="7" t="str">
        <x:v>FCE-07</x:v>
      </x:c>
      <x:c r="F62" s="7" t="str">
        <x:v>diverse</x:v>
      </x:c>
      <x:c r="G62" s="7" t="n">
        <x:v>2</x:v>
      </x:c>
      <x:c r="H62" s="10" t="str"/>
      <x:c r="I62" s="10" t="str"/>
      <x:c r="J62" s="10" t="str"/>
      <x:c r="K62" s="7" t="str"/>
      <x:c r="L62" s="7" t="str">
        <x:v>OPEN</x:v>
      </x:c>
      <x:c r="M62" s="7"/>
    </x:row>
    <x:row r="63" ht="36" customHeight="1">
      <x:c r="B63" s="7" t="str">
        <x:v>RAE-PP-057</x:v>
      </x:c>
      <x:c r="C63" s="7" t="str">
        <x:v>RFP-A2-FCE-07-M</x:v>
      </x:c>
      <x:c r="D63" s="7" t="str">
        <x:v>RFP-A2</x:v>
      </x:c>
      <x:c r="E63" s="7" t="str">
        <x:v>FCE-07</x:v>
      </x:c>
      <x:c r="F63" s="7" t="str">
        <x:v>manual/passive</x:v>
      </x:c>
      <x:c r="G63" s="7" t="n">
        <x:v>2</x:v>
      </x:c>
      <x:c r="H63" s="10" t="str"/>
      <x:c r="I63" s="10" t="str"/>
      <x:c r="J63" s="10" t="str"/>
      <x:c r="K63" s="7" t="str"/>
      <x:c r="L63" s="7" t="str">
        <x:v>OPEN</x:v>
      </x:c>
      <x:c r="M63" s="7"/>
    </x:row>
    <x:row r="64" ht="36" customHeight="1">
      <x:c r="B64" s="7" t="str">
        <x:v>RAE-PP-058</x:v>
      </x:c>
      <x:c r="C64" s="7" t="str">
        <x:v>RFP-A2-FCE-08-P</x:v>
      </x:c>
      <x:c r="D64" s="7" t="str">
        <x:v>RFP-A2</x:v>
      </x:c>
      <x:c r="E64" s="7" t="str">
        <x:v>FCE-08</x:v>
      </x:c>
      <x:c r="F64" s="7" t="str">
        <x:v>primary</x:v>
      </x:c>
      <x:c r="G64" s="7" t="n">
        <x:v>5</x:v>
      </x:c>
      <x:c r="H64" s="10" t="str"/>
      <x:c r="I64" s="10" t="str"/>
      <x:c r="J64" s="10" t="str"/>
      <x:c r="K64" s="7" t="str"/>
      <x:c r="L64" s="7" t="str">
        <x:v>OPEN</x:v>
      </x:c>
      <x:c r="M64" s="7"/>
    </x:row>
    <x:row r="65" ht="36" customHeight="1">
      <x:c r="B65" s="7" t="str">
        <x:v>RAE-PP-059</x:v>
      </x:c>
      <x:c r="C65" s="7" t="str">
        <x:v>RFP-A2-FCE-08-D</x:v>
      </x:c>
      <x:c r="D65" s="7" t="str">
        <x:v>RFP-A2</x:v>
      </x:c>
      <x:c r="E65" s="7" t="str">
        <x:v>FCE-08</x:v>
      </x:c>
      <x:c r="F65" s="7" t="str">
        <x:v>diverse</x:v>
      </x:c>
      <x:c r="G65" s="7" t="n">
        <x:v>5</x:v>
      </x:c>
      <x:c r="H65" s="10" t="str"/>
      <x:c r="I65" s="10" t="str"/>
      <x:c r="J65" s="10" t="str"/>
      <x:c r="K65" s="7" t="str"/>
      <x:c r="L65" s="7" t="str">
        <x:v>OPEN</x:v>
      </x:c>
      <x:c r="M65" s="7"/>
    </x:row>
    <x:row r="66" ht="36" customHeight="1">
      <x:c r="B66" s="7" t="str">
        <x:v>RAE-PP-060</x:v>
      </x:c>
      <x:c r="C66" s="7" t="str">
        <x:v>RFP-A2-FCE-08-M</x:v>
      </x:c>
      <x:c r="D66" s="7" t="str">
        <x:v>RFP-A2</x:v>
      </x:c>
      <x:c r="E66" s="7" t="str">
        <x:v>FCE-08</x:v>
      </x:c>
      <x:c r="F66" s="7" t="str">
        <x:v>manual/passive</x:v>
      </x:c>
      <x:c r="G66" s="7" t="n">
        <x:v>5</x:v>
      </x:c>
      <x:c r="H66" s="10" t="str"/>
      <x:c r="I66" s="10" t="str"/>
      <x:c r="J66" s="10" t="str"/>
      <x:c r="K66" s="7" t="str"/>
      <x:c r="L66" s="7" t="str">
        <x:v>OPEN</x:v>
      </x:c>
      <x:c r="M66" s="7"/>
    </x:row>
    <x:row r="67" ht="36" customHeight="1">
      <x:c r="B67" s="7" t="str">
        <x:v>RAE-PP-061</x:v>
      </x:c>
      <x:c r="C67" s="7" t="str">
        <x:v>RFP-A2-FCE-09-P</x:v>
      </x:c>
      <x:c r="D67" s="7" t="str">
        <x:v>RFP-A2</x:v>
      </x:c>
      <x:c r="E67" s="7" t="str">
        <x:v>FCE-09</x:v>
      </x:c>
      <x:c r="F67" s="7" t="str">
        <x:v>primary</x:v>
      </x:c>
      <x:c r="G67" s="7" t="n">
        <x:v>1</x:v>
      </x:c>
      <x:c r="H67" s="10" t="str"/>
      <x:c r="I67" s="10" t="str"/>
      <x:c r="J67" s="10" t="str"/>
      <x:c r="K67" s="7" t="str"/>
      <x:c r="L67" s="7" t="str">
        <x:v>OPEN</x:v>
      </x:c>
      <x:c r="M67" s="7"/>
    </x:row>
    <x:row r="68" ht="36" customHeight="1">
      <x:c r="B68" s="7" t="str">
        <x:v>RAE-PP-062</x:v>
      </x:c>
      <x:c r="C68" s="7" t="str">
        <x:v>RFP-A2-FCE-09-D</x:v>
      </x:c>
      <x:c r="D68" s="7" t="str">
        <x:v>RFP-A2</x:v>
      </x:c>
      <x:c r="E68" s="7" t="str">
        <x:v>FCE-09</x:v>
      </x:c>
      <x:c r="F68" s="7" t="str">
        <x:v>diverse</x:v>
      </x:c>
      <x:c r="G68" s="7" t="n">
        <x:v>1</x:v>
      </x:c>
      <x:c r="H68" s="10" t="str"/>
      <x:c r="I68" s="10" t="str"/>
      <x:c r="J68" s="10" t="str"/>
      <x:c r="K68" s="7" t="str"/>
      <x:c r="L68" s="7" t="str">
        <x:v>OPEN</x:v>
      </x:c>
      <x:c r="M68" s="7"/>
    </x:row>
    <x:row r="69" ht="36" customHeight="1">
      <x:c r="B69" s="7" t="str">
        <x:v>RAE-PP-063</x:v>
      </x:c>
      <x:c r="C69" s="7" t="str">
        <x:v>RFP-A2-FCE-09-M</x:v>
      </x:c>
      <x:c r="D69" s="7" t="str">
        <x:v>RFP-A2</x:v>
      </x:c>
      <x:c r="E69" s="7" t="str">
        <x:v>FCE-09</x:v>
      </x:c>
      <x:c r="F69" s="7" t="str">
        <x:v>manual/passive</x:v>
      </x:c>
      <x:c r="G69" s="7" t="n">
        <x:v>1</x:v>
      </x:c>
      <x:c r="H69" s="10" t="str"/>
      <x:c r="I69" s="10" t="str"/>
      <x:c r="J69" s="10" t="str"/>
      <x:c r="K69" s="7" t="str"/>
      <x:c r="L69" s="7" t="str">
        <x:v>OPEN</x:v>
      </x:c>
      <x:c r="M69" s="7"/>
    </x:row>
    <x:row r="70" ht="36" customHeight="1">
      <x:c r="B70" s="7" t="str">
        <x:v>RAE-PP-064</x:v>
      </x:c>
      <x:c r="C70" s="7" t="str">
        <x:v>RFP-A2-FCE-10-P</x:v>
      </x:c>
      <x:c r="D70" s="7" t="str">
        <x:v>RFP-A2</x:v>
      </x:c>
      <x:c r="E70" s="7" t="str">
        <x:v>FCE-10</x:v>
      </x:c>
      <x:c r="F70" s="7" t="str">
        <x:v>primary</x:v>
      </x:c>
      <x:c r="G70" s="7" t="n">
        <x:v>30</x:v>
      </x:c>
      <x:c r="H70" s="10" t="str"/>
      <x:c r="I70" s="10" t="str"/>
      <x:c r="J70" s="10" t="str"/>
      <x:c r="K70" s="7" t="str"/>
      <x:c r="L70" s="7" t="str">
        <x:v>OPEN</x:v>
      </x:c>
      <x:c r="M70" s="7"/>
    </x:row>
    <x:row r="71" ht="36" customHeight="1">
      <x:c r="B71" s="7" t="str">
        <x:v>RAE-PP-065</x:v>
      </x:c>
      <x:c r="C71" s="7" t="str">
        <x:v>RFP-A2-FCE-10-D</x:v>
      </x:c>
      <x:c r="D71" s="7" t="str">
        <x:v>RFP-A2</x:v>
      </x:c>
      <x:c r="E71" s="7" t="str">
        <x:v>FCE-10</x:v>
      </x:c>
      <x:c r="F71" s="7" t="str">
        <x:v>diverse</x:v>
      </x:c>
      <x:c r="G71" s="7" t="n">
        <x:v>30</x:v>
      </x:c>
      <x:c r="H71" s="10" t="str"/>
      <x:c r="I71" s="10" t="str"/>
      <x:c r="J71" s="10" t="str"/>
      <x:c r="K71" s="7" t="str"/>
      <x:c r="L71" s="7" t="str">
        <x:v>OPEN</x:v>
      </x:c>
      <x:c r="M71" s="7"/>
    </x:row>
    <x:row r="72" ht="36" customHeight="1">
      <x:c r="B72" s="7" t="str">
        <x:v>RAE-PP-066</x:v>
      </x:c>
      <x:c r="C72" s="7" t="str">
        <x:v>RFP-A2-FCE-10-M</x:v>
      </x:c>
      <x:c r="D72" s="7" t="str">
        <x:v>RFP-A2</x:v>
      </x:c>
      <x:c r="E72" s="7" t="str">
        <x:v>FCE-10</x:v>
      </x:c>
      <x:c r="F72" s="7" t="str">
        <x:v>manual/passive</x:v>
      </x:c>
      <x:c r="G72" s="7" t="n">
        <x:v>30</x:v>
      </x:c>
      <x:c r="H72" s="10" t="str"/>
      <x:c r="I72" s="10" t="str"/>
      <x:c r="J72" s="10" t="str"/>
      <x:c r="K72" s="7" t="str"/>
      <x:c r="L72" s="7" t="str">
        <x:v>OPEN</x:v>
      </x:c>
      <x:c r="M72" s="7"/>
    </x:row>
    <x:row r="73" ht="36" customHeight="1">
      <x:c r="B73" s="7" t="str">
        <x:v>RAE-PP-067</x:v>
      </x:c>
      <x:c r="C73" s="7" t="str">
        <x:v>RFP-A2-FCE-11-P</x:v>
      </x:c>
      <x:c r="D73" s="7" t="str">
        <x:v>RFP-A2</x:v>
      </x:c>
      <x:c r="E73" s="7" t="str">
        <x:v>FCE-11</x:v>
      </x:c>
      <x:c r="F73" s="7" t="str">
        <x:v>primary</x:v>
      </x:c>
      <x:c r="G73" s="7" t="n">
        <x:v>10</x:v>
      </x:c>
      <x:c r="H73" s="10" t="str"/>
      <x:c r="I73" s="10" t="str"/>
      <x:c r="J73" s="10" t="str"/>
      <x:c r="K73" s="7" t="str"/>
      <x:c r="L73" s="7" t="str">
        <x:v>OPEN</x:v>
      </x:c>
      <x:c r="M73" s="7"/>
    </x:row>
    <x:row r="74" ht="36" customHeight="1">
      <x:c r="B74" s="7" t="str">
        <x:v>RAE-PP-068</x:v>
      </x:c>
      <x:c r="C74" s="7" t="str">
        <x:v>RFP-A2-FCE-11-D</x:v>
      </x:c>
      <x:c r="D74" s="7" t="str">
        <x:v>RFP-A2</x:v>
      </x:c>
      <x:c r="E74" s="7" t="str">
        <x:v>FCE-11</x:v>
      </x:c>
      <x:c r="F74" s="7" t="str">
        <x:v>diverse</x:v>
      </x:c>
      <x:c r="G74" s="7" t="n">
        <x:v>10</x:v>
      </x:c>
      <x:c r="H74" s="10" t="str"/>
      <x:c r="I74" s="10" t="str"/>
      <x:c r="J74" s="10" t="str"/>
      <x:c r="K74" s="7" t="str"/>
      <x:c r="L74" s="7" t="str">
        <x:v>OPEN</x:v>
      </x:c>
      <x:c r="M74" s="7"/>
    </x:row>
    <x:row r="75" ht="36" customHeight="1">
      <x:c r="B75" s="7" t="str">
        <x:v>RAE-PP-069</x:v>
      </x:c>
      <x:c r="C75" s="7" t="str">
        <x:v>RFP-A2-FCE-11-M</x:v>
      </x:c>
      <x:c r="D75" s="7" t="str">
        <x:v>RFP-A2</x:v>
      </x:c>
      <x:c r="E75" s="7" t="str">
        <x:v>FCE-11</x:v>
      </x:c>
      <x:c r="F75" s="7" t="str">
        <x:v>manual/passive</x:v>
      </x:c>
      <x:c r="G75" s="7" t="n">
        <x:v>10</x:v>
      </x:c>
      <x:c r="H75" s="10" t="str"/>
      <x:c r="I75" s="10" t="str"/>
      <x:c r="J75" s="10" t="str"/>
      <x:c r="K75" s="7" t="str"/>
      <x:c r="L75" s="7" t="str">
        <x:v>OPEN</x:v>
      </x:c>
      <x:c r="M75" s="7"/>
    </x:row>
    <x:row r="76" ht="36" customHeight="1">
      <x:c r="B76" s="7" t="str">
        <x:v>RAE-PP-070</x:v>
      </x:c>
      <x:c r="C76" s="7" t="str">
        <x:v>RFP-A2-FCE-12-P</x:v>
      </x:c>
      <x:c r="D76" s="7" t="str">
        <x:v>RFP-A2</x:v>
      </x:c>
      <x:c r="E76" s="7" t="str">
        <x:v>FCE-12</x:v>
      </x:c>
      <x:c r="F76" s="7" t="str">
        <x:v>primary</x:v>
      </x:c>
      <x:c r="G76" s="7" t="n">
        <x:v>1</x:v>
      </x:c>
      <x:c r="H76" s="10" t="str"/>
      <x:c r="I76" s="10" t="str"/>
      <x:c r="J76" s="10" t="str"/>
      <x:c r="K76" s="7" t="str"/>
      <x:c r="L76" s="7" t="str">
        <x:v>OPEN</x:v>
      </x:c>
      <x:c r="M76" s="7"/>
    </x:row>
    <x:row r="77" ht="36" customHeight="1">
      <x:c r="B77" s="7" t="str">
        <x:v>RAE-PP-071</x:v>
      </x:c>
      <x:c r="C77" s="7" t="str">
        <x:v>RFP-A2-FCE-12-D</x:v>
      </x:c>
      <x:c r="D77" s="7" t="str">
        <x:v>RFP-A2</x:v>
      </x:c>
      <x:c r="E77" s="7" t="str">
        <x:v>FCE-12</x:v>
      </x:c>
      <x:c r="F77" s="7" t="str">
        <x:v>diverse</x:v>
      </x:c>
      <x:c r="G77" s="7" t="n">
        <x:v>1</x:v>
      </x:c>
      <x:c r="H77" s="10" t="str"/>
      <x:c r="I77" s="10" t="str"/>
      <x:c r="J77" s="10" t="str"/>
      <x:c r="K77" s="7" t="str"/>
      <x:c r="L77" s="7" t="str">
        <x:v>OPEN</x:v>
      </x:c>
      <x:c r="M77" s="7"/>
    </x:row>
    <x:row r="78" ht="36" customHeight="1">
      <x:c r="B78" s="7" t="str">
        <x:v>RAE-PP-072</x:v>
      </x:c>
      <x:c r="C78" s="7" t="str">
        <x:v>RFP-A2-FCE-12-M</x:v>
      </x:c>
      <x:c r="D78" s="7" t="str">
        <x:v>RFP-A2</x:v>
      </x:c>
      <x:c r="E78" s="7" t="str">
        <x:v>FCE-12</x:v>
      </x:c>
      <x:c r="F78" s="7" t="str">
        <x:v>manual/passive</x:v>
      </x:c>
      <x:c r="G78" s="7" t="n">
        <x:v>1</x:v>
      </x:c>
      <x:c r="H78" s="10" t="str"/>
      <x:c r="I78" s="10" t="str"/>
      <x:c r="J78" s="10" t="str"/>
      <x:c r="K78" s="7" t="str"/>
      <x:c r="L78" s="7" t="str">
        <x:v>OPEN</x:v>
      </x:c>
      <x:c r="M78" s="7"/>
    </x:row>
    <x:row r="79" ht="36" customHeight="1">
      <x:c r="B79" s="7" t="str">
        <x:v>RAE-PP-073</x:v>
      </x:c>
      <x:c r="C79" s="7" t="str">
        <x:v>RFP-B1-FCE-01-P</x:v>
      </x:c>
      <x:c r="D79" s="7" t="str">
        <x:v>RFP-B1</x:v>
      </x:c>
      <x:c r="E79" s="7" t="str">
        <x:v>FCE-01</x:v>
      </x:c>
      <x:c r="F79" s="7" t="str">
        <x:v>primary</x:v>
      </x:c>
      <x:c r="G79" s="7" t="n">
        <x:v>2</x:v>
      </x:c>
      <x:c r="H79" s="10" t="str"/>
      <x:c r="I79" s="10" t="str"/>
      <x:c r="J79" s="10" t="str"/>
      <x:c r="K79" s="7" t="str"/>
      <x:c r="L79" s="7" t="str">
        <x:v>OPEN</x:v>
      </x:c>
      <x:c r="M79" s="7"/>
    </x:row>
    <x:row r="80" ht="36" customHeight="1">
      <x:c r="B80" s="7" t="str">
        <x:v>RAE-PP-074</x:v>
      </x:c>
      <x:c r="C80" s="7" t="str">
        <x:v>RFP-B1-FCE-01-D</x:v>
      </x:c>
      <x:c r="D80" s="7" t="str">
        <x:v>RFP-B1</x:v>
      </x:c>
      <x:c r="E80" s="7" t="str">
        <x:v>FCE-01</x:v>
      </x:c>
      <x:c r="F80" s="7" t="str">
        <x:v>diverse</x:v>
      </x:c>
      <x:c r="G80" s="7" t="n">
        <x:v>2</x:v>
      </x:c>
      <x:c r="H80" s="10" t="str"/>
      <x:c r="I80" s="10" t="str"/>
      <x:c r="J80" s="10" t="str"/>
      <x:c r="K80" s="7" t="str"/>
      <x:c r="L80" s="7" t="str">
        <x:v>OPEN</x:v>
      </x:c>
      <x:c r="M80" s="7"/>
    </x:row>
    <x:row r="81" ht="36" customHeight="1">
      <x:c r="B81" s="7" t="str">
        <x:v>RAE-PP-075</x:v>
      </x:c>
      <x:c r="C81" s="7" t="str">
        <x:v>RFP-B1-FCE-01-M</x:v>
      </x:c>
      <x:c r="D81" s="7" t="str">
        <x:v>RFP-B1</x:v>
      </x:c>
      <x:c r="E81" s="7" t="str">
        <x:v>FCE-01</x:v>
      </x:c>
      <x:c r="F81" s="7" t="str">
        <x:v>manual/passive</x:v>
      </x:c>
      <x:c r="G81" s="7" t="n">
        <x:v>2</x:v>
      </x:c>
      <x:c r="H81" s="10" t="str"/>
      <x:c r="I81" s="10" t="str"/>
      <x:c r="J81" s="10" t="str"/>
      <x:c r="K81" s="7" t="str"/>
      <x:c r="L81" s="7" t="str">
        <x:v>OPEN</x:v>
      </x:c>
      <x:c r="M81" s="7"/>
    </x:row>
    <x:row r="82" ht="36" customHeight="1">
      <x:c r="B82" s="7" t="str">
        <x:v>RAE-PP-076</x:v>
      </x:c>
      <x:c r="C82" s="7" t="str">
        <x:v>RFP-B1-FCE-02-P</x:v>
      </x:c>
      <x:c r="D82" s="7" t="str">
        <x:v>RFP-B1</x:v>
      </x:c>
      <x:c r="E82" s="7" t="str">
        <x:v>FCE-02</x:v>
      </x:c>
      <x:c r="F82" s="7" t="str">
        <x:v>primary</x:v>
      </x:c>
      <x:c r="G82" s="7" t="n">
        <x:v>2</x:v>
      </x:c>
      <x:c r="H82" s="10" t="str"/>
      <x:c r="I82" s="10" t="str"/>
      <x:c r="J82" s="10" t="str"/>
      <x:c r="K82" s="7" t="str"/>
      <x:c r="L82" s="7" t="str">
        <x:v>OPEN</x:v>
      </x:c>
      <x:c r="M82" s="7"/>
    </x:row>
    <x:row r="83" ht="36" customHeight="1">
      <x:c r="B83" s="7" t="str">
        <x:v>RAE-PP-077</x:v>
      </x:c>
      <x:c r="C83" s="7" t="str">
        <x:v>RFP-B1-FCE-02-D</x:v>
      </x:c>
      <x:c r="D83" s="7" t="str">
        <x:v>RFP-B1</x:v>
      </x:c>
      <x:c r="E83" s="7" t="str">
        <x:v>FCE-02</x:v>
      </x:c>
      <x:c r="F83" s="7" t="str">
        <x:v>diverse</x:v>
      </x:c>
      <x:c r="G83" s="7" t="n">
        <x:v>2</x:v>
      </x:c>
      <x:c r="H83" s="10" t="str"/>
      <x:c r="I83" s="10" t="str"/>
      <x:c r="J83" s="10" t="str"/>
      <x:c r="K83" s="7" t="str"/>
      <x:c r="L83" s="7" t="str">
        <x:v>OPEN</x:v>
      </x:c>
      <x:c r="M83" s="7"/>
    </x:row>
    <x:row r="84" ht="36" customHeight="1">
      <x:c r="B84" s="7" t="str">
        <x:v>RAE-PP-078</x:v>
      </x:c>
      <x:c r="C84" s="7" t="str">
        <x:v>RFP-B1-FCE-02-M</x:v>
      </x:c>
      <x:c r="D84" s="7" t="str">
        <x:v>RFP-B1</x:v>
      </x:c>
      <x:c r="E84" s="7" t="str">
        <x:v>FCE-02</x:v>
      </x:c>
      <x:c r="F84" s="7" t="str">
        <x:v>manual/passive</x:v>
      </x:c>
      <x:c r="G84" s="7" t="n">
        <x:v>2</x:v>
      </x:c>
      <x:c r="H84" s="10" t="str"/>
      <x:c r="I84" s="10" t="str"/>
      <x:c r="J84" s="10" t="str"/>
      <x:c r="K84" s="7" t="str"/>
      <x:c r="L84" s="7" t="str">
        <x:v>OPEN</x:v>
      </x:c>
      <x:c r="M84" s="7"/>
    </x:row>
    <x:row r="85" ht="36" customHeight="1">
      <x:c r="B85" s="7" t="str">
        <x:v>RAE-PP-079</x:v>
      </x:c>
      <x:c r="C85" s="7" t="str">
        <x:v>RFP-B1-FCE-03-P</x:v>
      </x:c>
      <x:c r="D85" s="7" t="str">
        <x:v>RFP-B1</x:v>
      </x:c>
      <x:c r="E85" s="7" t="str">
        <x:v>FCE-03</x:v>
      </x:c>
      <x:c r="F85" s="7" t="str">
        <x:v>primary</x:v>
      </x:c>
      <x:c r="G85" s="7" t="n">
        <x:v>5</x:v>
      </x:c>
      <x:c r="H85" s="10" t="str"/>
      <x:c r="I85" s="10" t="str"/>
      <x:c r="J85" s="10" t="str"/>
      <x:c r="K85" s="7" t="str"/>
      <x:c r="L85" s="7" t="str">
        <x:v>OPEN</x:v>
      </x:c>
      <x:c r="M85" s="7"/>
    </x:row>
    <x:row r="86" ht="36" customHeight="1">
      <x:c r="B86" s="7" t="str">
        <x:v>RAE-PP-080</x:v>
      </x:c>
      <x:c r="C86" s="7" t="str">
        <x:v>RFP-B1-FCE-03-D</x:v>
      </x:c>
      <x:c r="D86" s="7" t="str">
        <x:v>RFP-B1</x:v>
      </x:c>
      <x:c r="E86" s="7" t="str">
        <x:v>FCE-03</x:v>
      </x:c>
      <x:c r="F86" s="7" t="str">
        <x:v>diverse</x:v>
      </x:c>
      <x:c r="G86" s="7" t="n">
        <x:v>5</x:v>
      </x:c>
      <x:c r="H86" s="10" t="str"/>
      <x:c r="I86" s="10" t="str"/>
      <x:c r="J86" s="10" t="str"/>
      <x:c r="K86" s="7" t="str"/>
      <x:c r="L86" s="7" t="str">
        <x:v>OPEN</x:v>
      </x:c>
      <x:c r="M86" s="7"/>
    </x:row>
    <x:row r="87" ht="36" customHeight="1">
      <x:c r="B87" s="7" t="str">
        <x:v>RAE-PP-081</x:v>
      </x:c>
      <x:c r="C87" s="7" t="str">
        <x:v>RFP-B1-FCE-03-M</x:v>
      </x:c>
      <x:c r="D87" s="7" t="str">
        <x:v>RFP-B1</x:v>
      </x:c>
      <x:c r="E87" s="7" t="str">
        <x:v>FCE-03</x:v>
      </x:c>
      <x:c r="F87" s="7" t="str">
        <x:v>manual/passive</x:v>
      </x:c>
      <x:c r="G87" s="7" t="n">
        <x:v>5</x:v>
      </x:c>
      <x:c r="H87" s="10" t="str"/>
      <x:c r="I87" s="10" t="str"/>
      <x:c r="J87" s="10" t="str"/>
      <x:c r="K87" s="7" t="str"/>
      <x:c r="L87" s="7" t="str">
        <x:v>OPEN</x:v>
      </x:c>
      <x:c r="M87" s="7"/>
    </x:row>
    <x:row r="88" ht="36" customHeight="1">
      <x:c r="B88" s="7" t="str">
        <x:v>RAE-PP-082</x:v>
      </x:c>
      <x:c r="C88" s="7" t="str">
        <x:v>RFP-B1-FCE-04-P</x:v>
      </x:c>
      <x:c r="D88" s="7" t="str">
        <x:v>RFP-B1</x:v>
      </x:c>
      <x:c r="E88" s="7" t="str">
        <x:v>FCE-04</x:v>
      </x:c>
      <x:c r="F88" s="7" t="str">
        <x:v>primary</x:v>
      </x:c>
      <x:c r="G88" s="7" t="n">
        <x:v>3</x:v>
      </x:c>
      <x:c r="H88" s="10" t="str"/>
      <x:c r="I88" s="10" t="str"/>
      <x:c r="J88" s="10" t="str"/>
      <x:c r="K88" s="7" t="str"/>
      <x:c r="L88" s="7" t="str">
        <x:v>OPEN</x:v>
      </x:c>
      <x:c r="M88" s="7"/>
    </x:row>
    <x:row r="89" ht="36" customHeight="1">
      <x:c r="B89" s="7" t="str">
        <x:v>RAE-PP-083</x:v>
      </x:c>
      <x:c r="C89" s="7" t="str">
        <x:v>RFP-B1-FCE-04-D</x:v>
      </x:c>
      <x:c r="D89" s="7" t="str">
        <x:v>RFP-B1</x:v>
      </x:c>
      <x:c r="E89" s="7" t="str">
        <x:v>FCE-04</x:v>
      </x:c>
      <x:c r="F89" s="7" t="str">
        <x:v>diverse</x:v>
      </x:c>
      <x:c r="G89" s="7" t="n">
        <x:v>3</x:v>
      </x:c>
      <x:c r="H89" s="10" t="str"/>
      <x:c r="I89" s="10" t="str"/>
      <x:c r="J89" s="10" t="str"/>
      <x:c r="K89" s="7" t="str"/>
      <x:c r="L89" s="7" t="str">
        <x:v>OPEN</x:v>
      </x:c>
      <x:c r="M89" s="7"/>
    </x:row>
    <x:row r="90" ht="36" customHeight="1">
      <x:c r="B90" s="7" t="str">
        <x:v>RAE-PP-084</x:v>
      </x:c>
      <x:c r="C90" s="7" t="str">
        <x:v>RFP-B1-FCE-04-M</x:v>
      </x:c>
      <x:c r="D90" s="7" t="str">
        <x:v>RFP-B1</x:v>
      </x:c>
      <x:c r="E90" s="7" t="str">
        <x:v>FCE-04</x:v>
      </x:c>
      <x:c r="F90" s="7" t="str">
        <x:v>manual/passive</x:v>
      </x:c>
      <x:c r="G90" s="7" t="n">
        <x:v>3</x:v>
      </x:c>
      <x:c r="H90" s="10" t="str"/>
      <x:c r="I90" s="10" t="str"/>
      <x:c r="J90" s="10" t="str"/>
      <x:c r="K90" s="7" t="str"/>
      <x:c r="L90" s="7" t="str">
        <x:v>OPEN</x:v>
      </x:c>
      <x:c r="M90" s="7"/>
    </x:row>
    <x:row r="91" ht="36" customHeight="1">
      <x:c r="B91" s="7" t="str">
        <x:v>RAE-PP-085</x:v>
      </x:c>
      <x:c r="C91" s="7" t="str">
        <x:v>RFP-B1-FCE-05-P</x:v>
      </x:c>
      <x:c r="D91" s="7" t="str">
        <x:v>RFP-B1</x:v>
      </x:c>
      <x:c r="E91" s="7" t="str">
        <x:v>FCE-05</x:v>
      </x:c>
      <x:c r="F91" s="7" t="str">
        <x:v>primary</x:v>
      </x:c>
      <x:c r="G91" s="7" t="n">
        <x:v>5</x:v>
      </x:c>
      <x:c r="H91" s="10" t="str"/>
      <x:c r="I91" s="10" t="str"/>
      <x:c r="J91" s="10" t="str"/>
      <x:c r="K91" s="7" t="str"/>
      <x:c r="L91" s="7" t="str">
        <x:v>OPEN</x:v>
      </x:c>
      <x:c r="M91" s="7"/>
    </x:row>
    <x:row r="92" ht="36" customHeight="1">
      <x:c r="B92" s="7" t="str">
        <x:v>RAE-PP-086</x:v>
      </x:c>
      <x:c r="C92" s="7" t="str">
        <x:v>RFP-B1-FCE-05-D</x:v>
      </x:c>
      <x:c r="D92" s="7" t="str">
        <x:v>RFP-B1</x:v>
      </x:c>
      <x:c r="E92" s="7" t="str">
        <x:v>FCE-05</x:v>
      </x:c>
      <x:c r="F92" s="7" t="str">
        <x:v>diverse</x:v>
      </x:c>
      <x:c r="G92" s="7" t="n">
        <x:v>5</x:v>
      </x:c>
      <x:c r="H92" s="10" t="str"/>
      <x:c r="I92" s="10" t="str"/>
      <x:c r="J92" s="10" t="str"/>
      <x:c r="K92" s="7" t="str"/>
      <x:c r="L92" s="7" t="str">
        <x:v>OPEN</x:v>
      </x:c>
      <x:c r="M92" s="7"/>
    </x:row>
    <x:row r="93" ht="36" customHeight="1">
      <x:c r="B93" s="7" t="str">
        <x:v>RAE-PP-087</x:v>
      </x:c>
      <x:c r="C93" s="7" t="str">
        <x:v>RFP-B1-FCE-05-M</x:v>
      </x:c>
      <x:c r="D93" s="7" t="str">
        <x:v>RFP-B1</x:v>
      </x:c>
      <x:c r="E93" s="7" t="str">
        <x:v>FCE-05</x:v>
      </x:c>
      <x:c r="F93" s="7" t="str">
        <x:v>manual/passive</x:v>
      </x:c>
      <x:c r="G93" s="7" t="n">
        <x:v>5</x:v>
      </x:c>
      <x:c r="H93" s="10" t="str"/>
      <x:c r="I93" s="10" t="str"/>
      <x:c r="J93" s="10" t="str"/>
      <x:c r="K93" s="7" t="str"/>
      <x:c r="L93" s="7" t="str">
        <x:v>OPEN</x:v>
      </x:c>
      <x:c r="M93" s="7"/>
    </x:row>
    <x:row r="94" ht="36" customHeight="1">
      <x:c r="B94" s="7" t="str">
        <x:v>RAE-PP-088</x:v>
      </x:c>
      <x:c r="C94" s="7" t="str">
        <x:v>RFP-B1-FCE-06-P</x:v>
      </x:c>
      <x:c r="D94" s="7" t="str">
        <x:v>RFP-B1</x:v>
      </x:c>
      <x:c r="E94" s="7" t="str">
        <x:v>FCE-06</x:v>
      </x:c>
      <x:c r="F94" s="7" t="str">
        <x:v>primary</x:v>
      </x:c>
      <x:c r="G94" s="7" t="n">
        <x:v>1</x:v>
      </x:c>
      <x:c r="H94" s="10" t="str"/>
      <x:c r="I94" s="10" t="str"/>
      <x:c r="J94" s="10" t="str"/>
      <x:c r="K94" s="7" t="str"/>
      <x:c r="L94" s="7" t="str">
        <x:v>OPEN</x:v>
      </x:c>
      <x:c r="M94" s="7"/>
    </x:row>
    <x:row r="95" ht="36" customHeight="1">
      <x:c r="B95" s="7" t="str">
        <x:v>RAE-PP-089</x:v>
      </x:c>
      <x:c r="C95" s="7" t="str">
        <x:v>RFP-B1-FCE-06-D</x:v>
      </x:c>
      <x:c r="D95" s="7" t="str">
        <x:v>RFP-B1</x:v>
      </x:c>
      <x:c r="E95" s="7" t="str">
        <x:v>FCE-06</x:v>
      </x:c>
      <x:c r="F95" s="7" t="str">
        <x:v>diverse</x:v>
      </x:c>
      <x:c r="G95" s="7" t="n">
        <x:v>1</x:v>
      </x:c>
      <x:c r="H95" s="10" t="str"/>
      <x:c r="I95" s="10" t="str"/>
      <x:c r="J95" s="10" t="str"/>
      <x:c r="K95" s="7" t="str"/>
      <x:c r="L95" s="7" t="str">
        <x:v>OPEN</x:v>
      </x:c>
      <x:c r="M95" s="7"/>
    </x:row>
    <x:row r="96" ht="36" customHeight="1">
      <x:c r="B96" s="7" t="str">
        <x:v>RAE-PP-090</x:v>
      </x:c>
      <x:c r="C96" s="7" t="str">
        <x:v>RFP-B1-FCE-06-M</x:v>
      </x:c>
      <x:c r="D96" s="7" t="str">
        <x:v>RFP-B1</x:v>
      </x:c>
      <x:c r="E96" s="7" t="str">
        <x:v>FCE-06</x:v>
      </x:c>
      <x:c r="F96" s="7" t="str">
        <x:v>manual/passive</x:v>
      </x:c>
      <x:c r="G96" s="7" t="n">
        <x:v>1</x:v>
      </x:c>
      <x:c r="H96" s="10" t="str"/>
      <x:c r="I96" s="10" t="str"/>
      <x:c r="J96" s="10" t="str"/>
      <x:c r="K96" s="7" t="str"/>
      <x:c r="L96" s="7" t="str">
        <x:v>OPEN</x:v>
      </x:c>
      <x:c r="M96" s="7"/>
    </x:row>
    <x:row r="97" ht="36" customHeight="1">
      <x:c r="B97" s="7" t="str">
        <x:v>RAE-PP-091</x:v>
      </x:c>
      <x:c r="C97" s="7" t="str">
        <x:v>RFP-B1-FCE-07-P</x:v>
      </x:c>
      <x:c r="D97" s="7" t="str">
        <x:v>RFP-B1</x:v>
      </x:c>
      <x:c r="E97" s="7" t="str">
        <x:v>FCE-07</x:v>
      </x:c>
      <x:c r="F97" s="7" t="str">
        <x:v>primary</x:v>
      </x:c>
      <x:c r="G97" s="7" t="n">
        <x:v>2</x:v>
      </x:c>
      <x:c r="H97" s="10" t="str"/>
      <x:c r="I97" s="10" t="str"/>
      <x:c r="J97" s="10" t="str"/>
      <x:c r="K97" s="7" t="str"/>
      <x:c r="L97" s="7" t="str">
        <x:v>OPEN</x:v>
      </x:c>
      <x:c r="M97" s="7"/>
    </x:row>
    <x:row r="98" ht="36" customHeight="1">
      <x:c r="B98" s="7" t="str">
        <x:v>RAE-PP-092</x:v>
      </x:c>
      <x:c r="C98" s="7" t="str">
        <x:v>RFP-B1-FCE-07-D</x:v>
      </x:c>
      <x:c r="D98" s="7" t="str">
        <x:v>RFP-B1</x:v>
      </x:c>
      <x:c r="E98" s="7" t="str">
        <x:v>FCE-07</x:v>
      </x:c>
      <x:c r="F98" s="7" t="str">
        <x:v>diverse</x:v>
      </x:c>
      <x:c r="G98" s="7" t="n">
        <x:v>2</x:v>
      </x:c>
      <x:c r="H98" s="10" t="str"/>
      <x:c r="I98" s="10" t="str"/>
      <x:c r="J98" s="10" t="str"/>
      <x:c r="K98" s="7" t="str"/>
      <x:c r="L98" s="7" t="str">
        <x:v>OPEN</x:v>
      </x:c>
      <x:c r="M98" s="7"/>
    </x:row>
    <x:row r="99" ht="36" customHeight="1">
      <x:c r="B99" s="7" t="str">
        <x:v>RAE-PP-093</x:v>
      </x:c>
      <x:c r="C99" s="7" t="str">
        <x:v>RFP-B1-FCE-07-M</x:v>
      </x:c>
      <x:c r="D99" s="7" t="str">
        <x:v>RFP-B1</x:v>
      </x:c>
      <x:c r="E99" s="7" t="str">
        <x:v>FCE-07</x:v>
      </x:c>
      <x:c r="F99" s="7" t="str">
        <x:v>manual/passive</x:v>
      </x:c>
      <x:c r="G99" s="7" t="n">
        <x:v>2</x:v>
      </x:c>
      <x:c r="H99" s="10" t="str"/>
      <x:c r="I99" s="10" t="str"/>
      <x:c r="J99" s="10" t="str"/>
      <x:c r="K99" s="7" t="str"/>
      <x:c r="L99" s="7" t="str">
        <x:v>OPEN</x:v>
      </x:c>
      <x:c r="M99" s="7"/>
    </x:row>
    <x:row r="100" ht="36" customHeight="1">
      <x:c r="B100" s="7" t="str">
        <x:v>RAE-PP-094</x:v>
      </x:c>
      <x:c r="C100" s="7" t="str">
        <x:v>RFP-B1-FCE-08-P</x:v>
      </x:c>
      <x:c r="D100" s="7" t="str">
        <x:v>RFP-B1</x:v>
      </x:c>
      <x:c r="E100" s="7" t="str">
        <x:v>FCE-08</x:v>
      </x:c>
      <x:c r="F100" s="7" t="str">
        <x:v>primary</x:v>
      </x:c>
      <x:c r="G100" s="7" t="n">
        <x:v>5</x:v>
      </x:c>
      <x:c r="H100" s="10" t="str"/>
      <x:c r="I100" s="10" t="str"/>
      <x:c r="J100" s="10" t="str"/>
      <x:c r="K100" s="7" t="str"/>
      <x:c r="L100" s="7" t="str">
        <x:v>OPEN</x:v>
      </x:c>
      <x:c r="M100" s="7"/>
    </x:row>
    <x:row r="101" ht="36" customHeight="1">
      <x:c r="B101" s="7" t="str">
        <x:v>RAE-PP-095</x:v>
      </x:c>
      <x:c r="C101" s="7" t="str">
        <x:v>RFP-B1-FCE-08-D</x:v>
      </x:c>
      <x:c r="D101" s="7" t="str">
        <x:v>RFP-B1</x:v>
      </x:c>
      <x:c r="E101" s="7" t="str">
        <x:v>FCE-08</x:v>
      </x:c>
      <x:c r="F101" s="7" t="str">
        <x:v>diverse</x:v>
      </x:c>
      <x:c r="G101" s="7" t="n">
        <x:v>5</x:v>
      </x:c>
      <x:c r="H101" s="10" t="str"/>
      <x:c r="I101" s="10" t="str"/>
      <x:c r="J101" s="10" t="str"/>
      <x:c r="K101" s="7" t="str"/>
      <x:c r="L101" s="7" t="str">
        <x:v>OPEN</x:v>
      </x:c>
      <x:c r="M101" s="7"/>
    </x:row>
    <x:row r="102" ht="36" customHeight="1">
      <x:c r="B102" s="7" t="str">
        <x:v>RAE-PP-096</x:v>
      </x:c>
      <x:c r="C102" s="7" t="str">
        <x:v>RFP-B1-FCE-08-M</x:v>
      </x:c>
      <x:c r="D102" s="7" t="str">
        <x:v>RFP-B1</x:v>
      </x:c>
      <x:c r="E102" s="7" t="str">
        <x:v>FCE-08</x:v>
      </x:c>
      <x:c r="F102" s="7" t="str">
        <x:v>manual/passive</x:v>
      </x:c>
      <x:c r="G102" s="7" t="n">
        <x:v>5</x:v>
      </x:c>
      <x:c r="H102" s="10" t="str"/>
      <x:c r="I102" s="10" t="str"/>
      <x:c r="J102" s="10" t="str"/>
      <x:c r="K102" s="7" t="str"/>
      <x:c r="L102" s="7" t="str">
        <x:v>OPEN</x:v>
      </x:c>
      <x:c r="M102" s="7"/>
    </x:row>
    <x:row r="103" ht="36" customHeight="1">
      <x:c r="B103" s="7" t="str">
        <x:v>RAE-PP-097</x:v>
      </x:c>
      <x:c r="C103" s="7" t="str">
        <x:v>RFP-B1-FCE-09-P</x:v>
      </x:c>
      <x:c r="D103" s="7" t="str">
        <x:v>RFP-B1</x:v>
      </x:c>
      <x:c r="E103" s="7" t="str">
        <x:v>FCE-09</x:v>
      </x:c>
      <x:c r="F103" s="7" t="str">
        <x:v>primary</x:v>
      </x:c>
      <x:c r="G103" s="7" t="n">
        <x:v>1</x:v>
      </x:c>
      <x:c r="H103" s="10" t="str"/>
      <x:c r="I103" s="10" t="str"/>
      <x:c r="J103" s="10" t="str"/>
      <x:c r="K103" s="7" t="str"/>
      <x:c r="L103" s="7" t="str">
        <x:v>OPEN</x:v>
      </x:c>
      <x:c r="M103" s="7"/>
    </x:row>
    <x:row r="104" ht="36" customHeight="1">
      <x:c r="B104" s="7" t="str">
        <x:v>RAE-PP-098</x:v>
      </x:c>
      <x:c r="C104" s="7" t="str">
        <x:v>RFP-B1-FCE-09-D</x:v>
      </x:c>
      <x:c r="D104" s="7" t="str">
        <x:v>RFP-B1</x:v>
      </x:c>
      <x:c r="E104" s="7" t="str">
        <x:v>FCE-09</x:v>
      </x:c>
      <x:c r="F104" s="7" t="str">
        <x:v>diverse</x:v>
      </x:c>
      <x:c r="G104" s="7" t="n">
        <x:v>1</x:v>
      </x:c>
      <x:c r="H104" s="10" t="str"/>
      <x:c r="I104" s="10" t="str"/>
      <x:c r="J104" s="10" t="str"/>
      <x:c r="K104" s="7" t="str"/>
      <x:c r="L104" s="7" t="str">
        <x:v>OPEN</x:v>
      </x:c>
      <x:c r="M104" s="7"/>
    </x:row>
    <x:row r="105" ht="36" customHeight="1">
      <x:c r="B105" s="7" t="str">
        <x:v>RAE-PP-099</x:v>
      </x:c>
      <x:c r="C105" s="7" t="str">
        <x:v>RFP-B1-FCE-09-M</x:v>
      </x:c>
      <x:c r="D105" s="7" t="str">
        <x:v>RFP-B1</x:v>
      </x:c>
      <x:c r="E105" s="7" t="str">
        <x:v>FCE-09</x:v>
      </x:c>
      <x:c r="F105" s="7" t="str">
        <x:v>manual/passive</x:v>
      </x:c>
      <x:c r="G105" s="7" t="n">
        <x:v>1</x:v>
      </x:c>
      <x:c r="H105" s="10" t="str"/>
      <x:c r="I105" s="10" t="str"/>
      <x:c r="J105" s="10" t="str"/>
      <x:c r="K105" s="7" t="str"/>
      <x:c r="L105" s="7" t="str">
        <x:v>OPEN</x:v>
      </x:c>
      <x:c r="M105" s="7"/>
    </x:row>
    <x:row r="106" ht="36" customHeight="1">
      <x:c r="B106" s="7" t="str">
        <x:v>RAE-PP-100</x:v>
      </x:c>
      <x:c r="C106" s="7" t="str">
        <x:v>RFP-B1-FCE-10-P</x:v>
      </x:c>
      <x:c r="D106" s="7" t="str">
        <x:v>RFP-B1</x:v>
      </x:c>
      <x:c r="E106" s="7" t="str">
        <x:v>FCE-10</x:v>
      </x:c>
      <x:c r="F106" s="7" t="str">
        <x:v>primary</x:v>
      </x:c>
      <x:c r="G106" s="7" t="n">
        <x:v>30</x:v>
      </x:c>
      <x:c r="H106" s="10" t="str"/>
      <x:c r="I106" s="10" t="str"/>
      <x:c r="J106" s="10" t="str"/>
      <x:c r="K106" s="7" t="str"/>
      <x:c r="L106" s="7" t="str">
        <x:v>OPEN</x:v>
      </x:c>
      <x:c r="M106" s="7"/>
    </x:row>
    <x:row r="107" ht="36" customHeight="1">
      <x:c r="B107" s="7" t="str">
        <x:v>RAE-PP-101</x:v>
      </x:c>
      <x:c r="C107" s="7" t="str">
        <x:v>RFP-B1-FCE-10-D</x:v>
      </x:c>
      <x:c r="D107" s="7" t="str">
        <x:v>RFP-B1</x:v>
      </x:c>
      <x:c r="E107" s="7" t="str">
        <x:v>FCE-10</x:v>
      </x:c>
      <x:c r="F107" s="7" t="str">
        <x:v>diverse</x:v>
      </x:c>
      <x:c r="G107" s="7" t="n">
        <x:v>30</x:v>
      </x:c>
      <x:c r="H107" s="10" t="str"/>
      <x:c r="I107" s="10" t="str"/>
      <x:c r="J107" s="10" t="str"/>
      <x:c r="K107" s="7" t="str"/>
      <x:c r="L107" s="7" t="str">
        <x:v>OPEN</x:v>
      </x:c>
      <x:c r="M107" s="7"/>
    </x:row>
    <x:row r="108" ht="36" customHeight="1">
      <x:c r="B108" s="7" t="str">
        <x:v>RAE-PP-102</x:v>
      </x:c>
      <x:c r="C108" s="7" t="str">
        <x:v>RFP-B1-FCE-10-M</x:v>
      </x:c>
      <x:c r="D108" s="7" t="str">
        <x:v>RFP-B1</x:v>
      </x:c>
      <x:c r="E108" s="7" t="str">
        <x:v>FCE-10</x:v>
      </x:c>
      <x:c r="F108" s="7" t="str">
        <x:v>manual/passive</x:v>
      </x:c>
      <x:c r="G108" s="7" t="n">
        <x:v>30</x:v>
      </x:c>
      <x:c r="H108" s="10" t="str"/>
      <x:c r="I108" s="10" t="str"/>
      <x:c r="J108" s="10" t="str"/>
      <x:c r="K108" s="7" t="str"/>
      <x:c r="L108" s="7" t="str">
        <x:v>OPEN</x:v>
      </x:c>
      <x:c r="M108" s="7"/>
    </x:row>
    <x:row r="109" ht="36" customHeight="1">
      <x:c r="B109" s="7" t="str">
        <x:v>RAE-PP-103</x:v>
      </x:c>
      <x:c r="C109" s="7" t="str">
        <x:v>RFP-B1-FCE-11-P</x:v>
      </x:c>
      <x:c r="D109" s="7" t="str">
        <x:v>RFP-B1</x:v>
      </x:c>
      <x:c r="E109" s="7" t="str">
        <x:v>FCE-11</x:v>
      </x:c>
      <x:c r="F109" s="7" t="str">
        <x:v>primary</x:v>
      </x:c>
      <x:c r="G109" s="7" t="n">
        <x:v>10</x:v>
      </x:c>
      <x:c r="H109" s="10" t="str"/>
      <x:c r="I109" s="10" t="str"/>
      <x:c r="J109" s="10" t="str"/>
      <x:c r="K109" s="7" t="str"/>
      <x:c r="L109" s="7" t="str">
        <x:v>OPEN</x:v>
      </x:c>
      <x:c r="M109" s="7"/>
    </x:row>
    <x:row r="110" ht="36" customHeight="1">
      <x:c r="B110" s="7" t="str">
        <x:v>RAE-PP-104</x:v>
      </x:c>
      <x:c r="C110" s="7" t="str">
        <x:v>RFP-B1-FCE-11-D</x:v>
      </x:c>
      <x:c r="D110" s="7" t="str">
        <x:v>RFP-B1</x:v>
      </x:c>
      <x:c r="E110" s="7" t="str">
        <x:v>FCE-11</x:v>
      </x:c>
      <x:c r="F110" s="7" t="str">
        <x:v>diverse</x:v>
      </x:c>
      <x:c r="G110" s="7" t="n">
        <x:v>10</x:v>
      </x:c>
      <x:c r="H110" s="10" t="str"/>
      <x:c r="I110" s="10" t="str"/>
      <x:c r="J110" s="10" t="str"/>
      <x:c r="K110" s="7" t="str"/>
      <x:c r="L110" s="7" t="str">
        <x:v>OPEN</x:v>
      </x:c>
      <x:c r="M110" s="7"/>
    </x:row>
    <x:row r="111" ht="36" customHeight="1">
      <x:c r="B111" s="7" t="str">
        <x:v>RAE-PP-105</x:v>
      </x:c>
      <x:c r="C111" s="7" t="str">
        <x:v>RFP-B1-FCE-11-M</x:v>
      </x:c>
      <x:c r="D111" s="7" t="str">
        <x:v>RFP-B1</x:v>
      </x:c>
      <x:c r="E111" s="7" t="str">
        <x:v>FCE-11</x:v>
      </x:c>
      <x:c r="F111" s="7" t="str">
        <x:v>manual/passive</x:v>
      </x:c>
      <x:c r="G111" s="7" t="n">
        <x:v>10</x:v>
      </x:c>
      <x:c r="H111" s="10" t="str"/>
      <x:c r="I111" s="10" t="str"/>
      <x:c r="J111" s="10" t="str"/>
      <x:c r="K111" s="7" t="str"/>
      <x:c r="L111" s="7" t="str">
        <x:v>OPEN</x:v>
      </x:c>
      <x:c r="M111" s="7"/>
    </x:row>
    <x:row r="112" ht="36" customHeight="1">
      <x:c r="B112" s="7" t="str">
        <x:v>RAE-PP-106</x:v>
      </x:c>
      <x:c r="C112" s="7" t="str">
        <x:v>RFP-B1-FCE-12-P</x:v>
      </x:c>
      <x:c r="D112" s="7" t="str">
        <x:v>RFP-B1</x:v>
      </x:c>
      <x:c r="E112" s="7" t="str">
        <x:v>FCE-12</x:v>
      </x:c>
      <x:c r="F112" s="7" t="str">
        <x:v>primary</x:v>
      </x:c>
      <x:c r="G112" s="7" t="n">
        <x:v>1</x:v>
      </x:c>
      <x:c r="H112" s="10" t="str"/>
      <x:c r="I112" s="10" t="str"/>
      <x:c r="J112" s="10" t="str"/>
      <x:c r="K112" s="7" t="str"/>
      <x:c r="L112" s="7" t="str">
        <x:v>OPEN</x:v>
      </x:c>
      <x:c r="M112" s="7"/>
    </x:row>
    <x:row r="113" ht="36" customHeight="1">
      <x:c r="B113" s="7" t="str">
        <x:v>RAE-PP-107</x:v>
      </x:c>
      <x:c r="C113" s="7" t="str">
        <x:v>RFP-B1-FCE-12-D</x:v>
      </x:c>
      <x:c r="D113" s="7" t="str">
        <x:v>RFP-B1</x:v>
      </x:c>
      <x:c r="E113" s="7" t="str">
        <x:v>FCE-12</x:v>
      </x:c>
      <x:c r="F113" s="7" t="str">
        <x:v>diverse</x:v>
      </x:c>
      <x:c r="G113" s="7" t="n">
        <x:v>1</x:v>
      </x:c>
      <x:c r="H113" s="10" t="str"/>
      <x:c r="I113" s="10" t="str"/>
      <x:c r="J113" s="10" t="str"/>
      <x:c r="K113" s="7" t="str"/>
      <x:c r="L113" s="7" t="str">
        <x:v>OPEN</x:v>
      </x:c>
      <x:c r="M113" s="7"/>
    </x:row>
    <x:row r="114" ht="36" customHeight="1">
      <x:c r="B114" s="7" t="str">
        <x:v>RAE-PP-108</x:v>
      </x:c>
      <x:c r="C114" s="7" t="str">
        <x:v>RFP-B1-FCE-12-M</x:v>
      </x:c>
      <x:c r="D114" s="7" t="str">
        <x:v>RFP-B1</x:v>
      </x:c>
      <x:c r="E114" s="7" t="str">
        <x:v>FCE-12</x:v>
      </x:c>
      <x:c r="F114" s="7" t="str">
        <x:v>manual/passive</x:v>
      </x:c>
      <x:c r="G114" s="7" t="n">
        <x:v>1</x:v>
      </x:c>
      <x:c r="H114" s="10" t="str"/>
      <x:c r="I114" s="10" t="str"/>
      <x:c r="J114" s="10" t="str"/>
      <x:c r="K114" s="7" t="str"/>
      <x:c r="L114" s="7" t="str">
        <x:v>OPEN</x:v>
      </x:c>
      <x:c r="M114" s="7"/>
    </x:row>
    <x:row r="115" ht="36" customHeight="1">
      <x:c r="B115" s="7" t="str">
        <x:v>RAE-PP-109</x:v>
      </x:c>
      <x:c r="C115" s="7" t="str">
        <x:v>RFP-B2-FCE-01-P</x:v>
      </x:c>
      <x:c r="D115" s="7" t="str">
        <x:v>RFP-B2</x:v>
      </x:c>
      <x:c r="E115" s="7" t="str">
        <x:v>FCE-01</x:v>
      </x:c>
      <x:c r="F115" s="7" t="str">
        <x:v>primary</x:v>
      </x:c>
      <x:c r="G115" s="7" t="n">
        <x:v>2</x:v>
      </x:c>
      <x:c r="H115" s="10" t="str"/>
      <x:c r="I115" s="10" t="str"/>
      <x:c r="J115" s="10" t="str"/>
      <x:c r="K115" s="7" t="str"/>
      <x:c r="L115" s="7" t="str">
        <x:v>OPEN</x:v>
      </x:c>
      <x:c r="M115" s="7"/>
    </x:row>
    <x:row r="116" ht="36" customHeight="1">
      <x:c r="B116" s="7" t="str">
        <x:v>RAE-PP-110</x:v>
      </x:c>
      <x:c r="C116" s="7" t="str">
        <x:v>RFP-B2-FCE-01-D</x:v>
      </x:c>
      <x:c r="D116" s="7" t="str">
        <x:v>RFP-B2</x:v>
      </x:c>
      <x:c r="E116" s="7" t="str">
        <x:v>FCE-01</x:v>
      </x:c>
      <x:c r="F116" s="7" t="str">
        <x:v>diverse</x:v>
      </x:c>
      <x:c r="G116" s="7" t="n">
        <x:v>2</x:v>
      </x:c>
      <x:c r="H116" s="10" t="str"/>
      <x:c r="I116" s="10" t="str"/>
      <x:c r="J116" s="10" t="str"/>
      <x:c r="K116" s="7" t="str"/>
      <x:c r="L116" s="7" t="str">
        <x:v>OPEN</x:v>
      </x:c>
      <x:c r="M116" s="7"/>
    </x:row>
    <x:row r="117" ht="36" customHeight="1">
      <x:c r="B117" s="7" t="str">
        <x:v>RAE-PP-111</x:v>
      </x:c>
      <x:c r="C117" s="7" t="str">
        <x:v>RFP-B2-FCE-01-M</x:v>
      </x:c>
      <x:c r="D117" s="7" t="str">
        <x:v>RFP-B2</x:v>
      </x:c>
      <x:c r="E117" s="7" t="str">
        <x:v>FCE-01</x:v>
      </x:c>
      <x:c r="F117" s="7" t="str">
        <x:v>manual/passive</x:v>
      </x:c>
      <x:c r="G117" s="7" t="n">
        <x:v>2</x:v>
      </x:c>
      <x:c r="H117" s="10" t="str"/>
      <x:c r="I117" s="10" t="str"/>
      <x:c r="J117" s="10" t="str"/>
      <x:c r="K117" s="7" t="str"/>
      <x:c r="L117" s="7" t="str">
        <x:v>OPEN</x:v>
      </x:c>
      <x:c r="M117" s="7"/>
    </x:row>
    <x:row r="118" ht="36" customHeight="1">
      <x:c r="B118" s="7" t="str">
        <x:v>RAE-PP-112</x:v>
      </x:c>
      <x:c r="C118" s="7" t="str">
        <x:v>RFP-B2-FCE-02-P</x:v>
      </x:c>
      <x:c r="D118" s="7" t="str">
        <x:v>RFP-B2</x:v>
      </x:c>
      <x:c r="E118" s="7" t="str">
        <x:v>FCE-02</x:v>
      </x:c>
      <x:c r="F118" s="7" t="str">
        <x:v>primary</x:v>
      </x:c>
      <x:c r="G118" s="7" t="n">
        <x:v>2</x:v>
      </x:c>
      <x:c r="H118" s="10" t="str"/>
      <x:c r="I118" s="10" t="str"/>
      <x:c r="J118" s="10" t="str"/>
      <x:c r="K118" s="7" t="str"/>
      <x:c r="L118" s="7" t="str">
        <x:v>OPEN</x:v>
      </x:c>
      <x:c r="M118" s="7"/>
    </x:row>
    <x:row r="119" ht="36" customHeight="1">
      <x:c r="B119" s="7" t="str">
        <x:v>RAE-PP-113</x:v>
      </x:c>
      <x:c r="C119" s="7" t="str">
        <x:v>RFP-B2-FCE-02-D</x:v>
      </x:c>
      <x:c r="D119" s="7" t="str">
        <x:v>RFP-B2</x:v>
      </x:c>
      <x:c r="E119" s="7" t="str">
        <x:v>FCE-02</x:v>
      </x:c>
      <x:c r="F119" s="7" t="str">
        <x:v>diverse</x:v>
      </x:c>
      <x:c r="G119" s="7" t="n">
        <x:v>2</x:v>
      </x:c>
      <x:c r="H119" s="10" t="str"/>
      <x:c r="I119" s="10" t="str"/>
      <x:c r="J119" s="10" t="str"/>
      <x:c r="K119" s="7" t="str"/>
      <x:c r="L119" s="7" t="str">
        <x:v>OPEN</x:v>
      </x:c>
      <x:c r="M119" s="7"/>
    </x:row>
    <x:row r="120" ht="36" customHeight="1">
      <x:c r="B120" s="7" t="str">
        <x:v>RAE-PP-114</x:v>
      </x:c>
      <x:c r="C120" s="7" t="str">
        <x:v>RFP-B2-FCE-02-M</x:v>
      </x:c>
      <x:c r="D120" s="7" t="str">
        <x:v>RFP-B2</x:v>
      </x:c>
      <x:c r="E120" s="7" t="str">
        <x:v>FCE-02</x:v>
      </x:c>
      <x:c r="F120" s="7" t="str">
        <x:v>manual/passive</x:v>
      </x:c>
      <x:c r="G120" s="7" t="n">
        <x:v>2</x:v>
      </x:c>
      <x:c r="H120" s="10" t="str"/>
      <x:c r="I120" s="10" t="str"/>
      <x:c r="J120" s="10" t="str"/>
      <x:c r="K120" s="7" t="str"/>
      <x:c r="L120" s="7" t="str">
        <x:v>OPEN</x:v>
      </x:c>
      <x:c r="M120" s="7"/>
    </x:row>
    <x:row r="121" ht="36" customHeight="1">
      <x:c r="B121" s="7" t="str">
        <x:v>RAE-PP-115</x:v>
      </x:c>
      <x:c r="C121" s="7" t="str">
        <x:v>RFP-B2-FCE-03-P</x:v>
      </x:c>
      <x:c r="D121" s="7" t="str">
        <x:v>RFP-B2</x:v>
      </x:c>
      <x:c r="E121" s="7" t="str">
        <x:v>FCE-03</x:v>
      </x:c>
      <x:c r="F121" s="7" t="str">
        <x:v>primary</x:v>
      </x:c>
      <x:c r="G121" s="7" t="n">
        <x:v>5</x:v>
      </x:c>
      <x:c r="H121" s="10" t="str"/>
      <x:c r="I121" s="10" t="str"/>
      <x:c r="J121" s="10" t="str"/>
      <x:c r="K121" s="7" t="str"/>
      <x:c r="L121" s="7" t="str">
        <x:v>OPEN</x:v>
      </x:c>
      <x:c r="M121" s="7"/>
    </x:row>
    <x:row r="122" ht="36" customHeight="1">
      <x:c r="B122" s="7" t="str">
        <x:v>RAE-PP-116</x:v>
      </x:c>
      <x:c r="C122" s="7" t="str">
        <x:v>RFP-B2-FCE-03-D</x:v>
      </x:c>
      <x:c r="D122" s="7" t="str">
        <x:v>RFP-B2</x:v>
      </x:c>
      <x:c r="E122" s="7" t="str">
        <x:v>FCE-03</x:v>
      </x:c>
      <x:c r="F122" s="7" t="str">
        <x:v>diverse</x:v>
      </x:c>
      <x:c r="G122" s="7" t="n">
        <x:v>5</x:v>
      </x:c>
      <x:c r="H122" s="10" t="str"/>
      <x:c r="I122" s="10" t="str"/>
      <x:c r="J122" s="10" t="str"/>
      <x:c r="K122" s="7" t="str"/>
      <x:c r="L122" s="7" t="str">
        <x:v>OPEN</x:v>
      </x:c>
      <x:c r="M122" s="7"/>
    </x:row>
    <x:row r="123" ht="36" customHeight="1">
      <x:c r="B123" s="7" t="str">
        <x:v>RAE-PP-117</x:v>
      </x:c>
      <x:c r="C123" s="7" t="str">
        <x:v>RFP-B2-FCE-03-M</x:v>
      </x:c>
      <x:c r="D123" s="7" t="str">
        <x:v>RFP-B2</x:v>
      </x:c>
      <x:c r="E123" s="7" t="str">
        <x:v>FCE-03</x:v>
      </x:c>
      <x:c r="F123" s="7" t="str">
        <x:v>manual/passive</x:v>
      </x:c>
      <x:c r="G123" s="7" t="n">
        <x:v>5</x:v>
      </x:c>
      <x:c r="H123" s="10" t="str"/>
      <x:c r="I123" s="10" t="str"/>
      <x:c r="J123" s="10" t="str"/>
      <x:c r="K123" s="7" t="str"/>
      <x:c r="L123" s="7" t="str">
        <x:v>OPEN</x:v>
      </x:c>
      <x:c r="M123" s="7"/>
    </x:row>
    <x:row r="124" ht="36" customHeight="1">
      <x:c r="B124" s="7" t="str">
        <x:v>RAE-PP-118</x:v>
      </x:c>
      <x:c r="C124" s="7" t="str">
        <x:v>RFP-B2-FCE-04-P</x:v>
      </x:c>
      <x:c r="D124" s="7" t="str">
        <x:v>RFP-B2</x:v>
      </x:c>
      <x:c r="E124" s="7" t="str">
        <x:v>FCE-04</x:v>
      </x:c>
      <x:c r="F124" s="7" t="str">
        <x:v>primary</x:v>
      </x:c>
      <x:c r="G124" s="7" t="n">
        <x:v>3</x:v>
      </x:c>
      <x:c r="H124" s="10" t="str"/>
      <x:c r="I124" s="10" t="str"/>
      <x:c r="J124" s="10" t="str"/>
      <x:c r="K124" s="7" t="str"/>
      <x:c r="L124" s="7" t="str">
        <x:v>OPEN</x:v>
      </x:c>
      <x:c r="M124" s="7"/>
    </x:row>
    <x:row r="125" ht="36" customHeight="1">
      <x:c r="B125" s="7" t="str">
        <x:v>RAE-PP-119</x:v>
      </x:c>
      <x:c r="C125" s="7" t="str">
        <x:v>RFP-B2-FCE-04-D</x:v>
      </x:c>
      <x:c r="D125" s="7" t="str">
        <x:v>RFP-B2</x:v>
      </x:c>
      <x:c r="E125" s="7" t="str">
        <x:v>FCE-04</x:v>
      </x:c>
      <x:c r="F125" s="7" t="str">
        <x:v>diverse</x:v>
      </x:c>
      <x:c r="G125" s="7" t="n">
        <x:v>3</x:v>
      </x:c>
      <x:c r="H125" s="10" t="str"/>
      <x:c r="I125" s="10" t="str"/>
      <x:c r="J125" s="10" t="str"/>
      <x:c r="K125" s="7" t="str"/>
      <x:c r="L125" s="7" t="str">
        <x:v>OPEN</x:v>
      </x:c>
      <x:c r="M125" s="7"/>
    </x:row>
    <x:row r="126" ht="36" customHeight="1">
      <x:c r="B126" s="7" t="str">
        <x:v>RAE-PP-120</x:v>
      </x:c>
      <x:c r="C126" s="7" t="str">
        <x:v>RFP-B2-FCE-04-M</x:v>
      </x:c>
      <x:c r="D126" s="7" t="str">
        <x:v>RFP-B2</x:v>
      </x:c>
      <x:c r="E126" s="7" t="str">
        <x:v>FCE-04</x:v>
      </x:c>
      <x:c r="F126" s="7" t="str">
        <x:v>manual/passive</x:v>
      </x:c>
      <x:c r="G126" s="7" t="n">
        <x:v>3</x:v>
      </x:c>
      <x:c r="H126" s="10" t="str"/>
      <x:c r="I126" s="10" t="str"/>
      <x:c r="J126" s="10" t="str"/>
      <x:c r="K126" s="7" t="str"/>
      <x:c r="L126" s="7" t="str">
        <x:v>OPEN</x:v>
      </x:c>
      <x:c r="M126" s="7"/>
    </x:row>
    <x:row r="127" ht="36" customHeight="1">
      <x:c r="B127" s="7" t="str">
        <x:v>RAE-PP-121</x:v>
      </x:c>
      <x:c r="C127" s="7" t="str">
        <x:v>RFP-B2-FCE-05-P</x:v>
      </x:c>
      <x:c r="D127" s="7" t="str">
        <x:v>RFP-B2</x:v>
      </x:c>
      <x:c r="E127" s="7" t="str">
        <x:v>FCE-05</x:v>
      </x:c>
      <x:c r="F127" s="7" t="str">
        <x:v>primary</x:v>
      </x:c>
      <x:c r="G127" s="7" t="n">
        <x:v>5</x:v>
      </x:c>
      <x:c r="H127" s="10" t="str"/>
      <x:c r="I127" s="10" t="str"/>
      <x:c r="J127" s="10" t="str"/>
      <x:c r="K127" s="7" t="str"/>
      <x:c r="L127" s="7" t="str">
        <x:v>OPEN</x:v>
      </x:c>
      <x:c r="M127" s="7"/>
    </x:row>
    <x:row r="128" ht="36" customHeight="1">
      <x:c r="B128" s="7" t="str">
        <x:v>RAE-PP-122</x:v>
      </x:c>
      <x:c r="C128" s="7" t="str">
        <x:v>RFP-B2-FCE-05-D</x:v>
      </x:c>
      <x:c r="D128" s="7" t="str">
        <x:v>RFP-B2</x:v>
      </x:c>
      <x:c r="E128" s="7" t="str">
        <x:v>FCE-05</x:v>
      </x:c>
      <x:c r="F128" s="7" t="str">
        <x:v>diverse</x:v>
      </x:c>
      <x:c r="G128" s="7" t="n">
        <x:v>5</x:v>
      </x:c>
      <x:c r="H128" s="10" t="str"/>
      <x:c r="I128" s="10" t="str"/>
      <x:c r="J128" s="10" t="str"/>
      <x:c r="K128" s="7" t="str"/>
      <x:c r="L128" s="7" t="str">
        <x:v>OPEN</x:v>
      </x:c>
      <x:c r="M128" s="7"/>
    </x:row>
    <x:row r="129" ht="36" customHeight="1">
      <x:c r="B129" s="7" t="str">
        <x:v>RAE-PP-123</x:v>
      </x:c>
      <x:c r="C129" s="7" t="str">
        <x:v>RFP-B2-FCE-05-M</x:v>
      </x:c>
      <x:c r="D129" s="7" t="str">
        <x:v>RFP-B2</x:v>
      </x:c>
      <x:c r="E129" s="7" t="str">
        <x:v>FCE-05</x:v>
      </x:c>
      <x:c r="F129" s="7" t="str">
        <x:v>manual/passive</x:v>
      </x:c>
      <x:c r="G129" s="7" t="n">
        <x:v>5</x:v>
      </x:c>
      <x:c r="H129" s="10" t="str"/>
      <x:c r="I129" s="10" t="str"/>
      <x:c r="J129" s="10" t="str"/>
      <x:c r="K129" s="7" t="str"/>
      <x:c r="L129" s="7" t="str">
        <x:v>OPEN</x:v>
      </x:c>
      <x:c r="M129" s="7"/>
    </x:row>
    <x:row r="130" ht="36" customHeight="1">
      <x:c r="B130" s="7" t="str">
        <x:v>RAE-PP-124</x:v>
      </x:c>
      <x:c r="C130" s="7" t="str">
        <x:v>RFP-B2-FCE-06-P</x:v>
      </x:c>
      <x:c r="D130" s="7" t="str">
        <x:v>RFP-B2</x:v>
      </x:c>
      <x:c r="E130" s="7" t="str">
        <x:v>FCE-06</x:v>
      </x:c>
      <x:c r="F130" s="7" t="str">
        <x:v>primary</x:v>
      </x:c>
      <x:c r="G130" s="7" t="n">
        <x:v>1</x:v>
      </x:c>
      <x:c r="H130" s="10" t="str"/>
      <x:c r="I130" s="10" t="str"/>
      <x:c r="J130" s="10" t="str"/>
      <x:c r="K130" s="7" t="str"/>
      <x:c r="L130" s="7" t="str">
        <x:v>OPEN</x:v>
      </x:c>
      <x:c r="M130" s="7"/>
    </x:row>
    <x:row r="131" ht="36" customHeight="1">
      <x:c r="B131" s="7" t="str">
        <x:v>RAE-PP-125</x:v>
      </x:c>
      <x:c r="C131" s="7" t="str">
        <x:v>RFP-B2-FCE-06-D</x:v>
      </x:c>
      <x:c r="D131" s="7" t="str">
        <x:v>RFP-B2</x:v>
      </x:c>
      <x:c r="E131" s="7" t="str">
        <x:v>FCE-06</x:v>
      </x:c>
      <x:c r="F131" s="7" t="str">
        <x:v>diverse</x:v>
      </x:c>
      <x:c r="G131" s="7" t="n">
        <x:v>1</x:v>
      </x:c>
      <x:c r="H131" s="10" t="str"/>
      <x:c r="I131" s="10" t="str"/>
      <x:c r="J131" s="10" t="str"/>
      <x:c r="K131" s="7" t="str"/>
      <x:c r="L131" s="7" t="str">
        <x:v>OPEN</x:v>
      </x:c>
      <x:c r="M131" s="7"/>
    </x:row>
    <x:row r="132" ht="36" customHeight="1">
      <x:c r="B132" s="7" t="str">
        <x:v>RAE-PP-126</x:v>
      </x:c>
      <x:c r="C132" s="7" t="str">
        <x:v>RFP-B2-FCE-06-M</x:v>
      </x:c>
      <x:c r="D132" s="7" t="str">
        <x:v>RFP-B2</x:v>
      </x:c>
      <x:c r="E132" s="7" t="str">
        <x:v>FCE-06</x:v>
      </x:c>
      <x:c r="F132" s="7" t="str">
        <x:v>manual/passive</x:v>
      </x:c>
      <x:c r="G132" s="7" t="n">
        <x:v>1</x:v>
      </x:c>
      <x:c r="H132" s="10" t="str"/>
      <x:c r="I132" s="10" t="str"/>
      <x:c r="J132" s="10" t="str"/>
      <x:c r="K132" s="7" t="str"/>
      <x:c r="L132" s="7" t="str">
        <x:v>OPEN</x:v>
      </x:c>
      <x:c r="M132" s="7"/>
    </x:row>
    <x:row r="133" ht="36" customHeight="1">
      <x:c r="B133" s="7" t="str">
        <x:v>RAE-PP-127</x:v>
      </x:c>
      <x:c r="C133" s="7" t="str">
        <x:v>RFP-B2-FCE-07-P</x:v>
      </x:c>
      <x:c r="D133" s="7" t="str">
        <x:v>RFP-B2</x:v>
      </x:c>
      <x:c r="E133" s="7" t="str">
        <x:v>FCE-07</x:v>
      </x:c>
      <x:c r="F133" s="7" t="str">
        <x:v>primary</x:v>
      </x:c>
      <x:c r="G133" s="7" t="n">
        <x:v>2</x:v>
      </x:c>
      <x:c r="H133" s="10" t="str"/>
      <x:c r="I133" s="10" t="str"/>
      <x:c r="J133" s="10" t="str"/>
      <x:c r="K133" s="7" t="str"/>
      <x:c r="L133" s="7" t="str">
        <x:v>OPEN</x:v>
      </x:c>
      <x:c r="M133" s="7"/>
    </x:row>
    <x:row r="134" ht="36" customHeight="1">
      <x:c r="B134" s="7" t="str">
        <x:v>RAE-PP-128</x:v>
      </x:c>
      <x:c r="C134" s="7" t="str">
        <x:v>RFP-B2-FCE-07-D</x:v>
      </x:c>
      <x:c r="D134" s="7" t="str">
        <x:v>RFP-B2</x:v>
      </x:c>
      <x:c r="E134" s="7" t="str">
        <x:v>FCE-07</x:v>
      </x:c>
      <x:c r="F134" s="7" t="str">
        <x:v>diverse</x:v>
      </x:c>
      <x:c r="G134" s="7" t="n">
        <x:v>2</x:v>
      </x:c>
      <x:c r="H134" s="10" t="str"/>
      <x:c r="I134" s="10" t="str"/>
      <x:c r="J134" s="10" t="str"/>
      <x:c r="K134" s="7" t="str"/>
      <x:c r="L134" s="7" t="str">
        <x:v>OPEN</x:v>
      </x:c>
      <x:c r="M134" s="7"/>
    </x:row>
    <x:row r="135" ht="36" customHeight="1">
      <x:c r="B135" s="7" t="str">
        <x:v>RAE-PP-129</x:v>
      </x:c>
      <x:c r="C135" s="7" t="str">
        <x:v>RFP-B2-FCE-07-M</x:v>
      </x:c>
      <x:c r="D135" s="7" t="str">
        <x:v>RFP-B2</x:v>
      </x:c>
      <x:c r="E135" s="7" t="str">
        <x:v>FCE-07</x:v>
      </x:c>
      <x:c r="F135" s="7" t="str">
        <x:v>manual/passive</x:v>
      </x:c>
      <x:c r="G135" s="7" t="n">
        <x:v>2</x:v>
      </x:c>
      <x:c r="H135" s="10" t="str"/>
      <x:c r="I135" s="10" t="str"/>
      <x:c r="J135" s="10" t="str"/>
      <x:c r="K135" s="7" t="str"/>
      <x:c r="L135" s="7" t="str">
        <x:v>OPEN</x:v>
      </x:c>
      <x:c r="M135" s="7"/>
    </x:row>
    <x:row r="136" ht="36" customHeight="1">
      <x:c r="B136" s="7" t="str">
        <x:v>RAE-PP-130</x:v>
      </x:c>
      <x:c r="C136" s="7" t="str">
        <x:v>RFP-B2-FCE-08-P</x:v>
      </x:c>
      <x:c r="D136" s="7" t="str">
        <x:v>RFP-B2</x:v>
      </x:c>
      <x:c r="E136" s="7" t="str">
        <x:v>FCE-08</x:v>
      </x:c>
      <x:c r="F136" s="7" t="str">
        <x:v>primary</x:v>
      </x:c>
      <x:c r="G136" s="7" t="n">
        <x:v>5</x:v>
      </x:c>
      <x:c r="H136" s="10" t="str"/>
      <x:c r="I136" s="10" t="str"/>
      <x:c r="J136" s="10" t="str"/>
      <x:c r="K136" s="7" t="str"/>
      <x:c r="L136" s="7" t="str">
        <x:v>OPEN</x:v>
      </x:c>
      <x:c r="M136" s="7"/>
    </x:row>
    <x:row r="137" ht="36" customHeight="1">
      <x:c r="B137" s="7" t="str">
        <x:v>RAE-PP-131</x:v>
      </x:c>
      <x:c r="C137" s="7" t="str">
        <x:v>RFP-B2-FCE-08-D</x:v>
      </x:c>
      <x:c r="D137" s="7" t="str">
        <x:v>RFP-B2</x:v>
      </x:c>
      <x:c r="E137" s="7" t="str">
        <x:v>FCE-08</x:v>
      </x:c>
      <x:c r="F137" s="7" t="str">
        <x:v>diverse</x:v>
      </x:c>
      <x:c r="G137" s="7" t="n">
        <x:v>5</x:v>
      </x:c>
      <x:c r="H137" s="10" t="str"/>
      <x:c r="I137" s="10" t="str"/>
      <x:c r="J137" s="10" t="str"/>
      <x:c r="K137" s="7" t="str"/>
      <x:c r="L137" s="7" t="str">
        <x:v>OPEN</x:v>
      </x:c>
      <x:c r="M137" s="7"/>
    </x:row>
    <x:row r="138" ht="36" customHeight="1">
      <x:c r="B138" s="7" t="str">
        <x:v>RAE-PP-132</x:v>
      </x:c>
      <x:c r="C138" s="7" t="str">
        <x:v>RFP-B2-FCE-08-M</x:v>
      </x:c>
      <x:c r="D138" s="7" t="str">
        <x:v>RFP-B2</x:v>
      </x:c>
      <x:c r="E138" s="7" t="str">
        <x:v>FCE-08</x:v>
      </x:c>
      <x:c r="F138" s="7" t="str">
        <x:v>manual/passive</x:v>
      </x:c>
      <x:c r="G138" s="7" t="n">
        <x:v>5</x:v>
      </x:c>
      <x:c r="H138" s="10" t="str"/>
      <x:c r="I138" s="10" t="str"/>
      <x:c r="J138" s="10" t="str"/>
      <x:c r="K138" s="7" t="str"/>
      <x:c r="L138" s="7" t="str">
        <x:v>OPEN</x:v>
      </x:c>
      <x:c r="M138" s="7"/>
    </x:row>
    <x:row r="139" ht="36" customHeight="1">
      <x:c r="B139" s="7" t="str">
        <x:v>RAE-PP-133</x:v>
      </x:c>
      <x:c r="C139" s="7" t="str">
        <x:v>RFP-B2-FCE-09-P</x:v>
      </x:c>
      <x:c r="D139" s="7" t="str">
        <x:v>RFP-B2</x:v>
      </x:c>
      <x:c r="E139" s="7" t="str">
        <x:v>FCE-09</x:v>
      </x:c>
      <x:c r="F139" s="7" t="str">
        <x:v>primary</x:v>
      </x:c>
      <x:c r="G139" s="7" t="n">
        <x:v>1</x:v>
      </x:c>
      <x:c r="H139" s="10" t="str"/>
      <x:c r="I139" s="10" t="str"/>
      <x:c r="J139" s="10" t="str"/>
      <x:c r="K139" s="7" t="str"/>
      <x:c r="L139" s="7" t="str">
        <x:v>OPEN</x:v>
      </x:c>
      <x:c r="M139" s="7"/>
    </x:row>
    <x:row r="140" ht="36" customHeight="1">
      <x:c r="B140" s="7" t="str">
        <x:v>RAE-PP-134</x:v>
      </x:c>
      <x:c r="C140" s="7" t="str">
        <x:v>RFP-B2-FCE-09-D</x:v>
      </x:c>
      <x:c r="D140" s="7" t="str">
        <x:v>RFP-B2</x:v>
      </x:c>
      <x:c r="E140" s="7" t="str">
        <x:v>FCE-09</x:v>
      </x:c>
      <x:c r="F140" s="7" t="str">
        <x:v>diverse</x:v>
      </x:c>
      <x:c r="G140" s="7" t="n">
        <x:v>1</x:v>
      </x:c>
      <x:c r="H140" s="10" t="str"/>
      <x:c r="I140" s="10" t="str"/>
      <x:c r="J140" s="10" t="str"/>
      <x:c r="K140" s="7" t="str"/>
      <x:c r="L140" s="7" t="str">
        <x:v>OPEN</x:v>
      </x:c>
      <x:c r="M140" s="7"/>
    </x:row>
    <x:row r="141" ht="36" customHeight="1">
      <x:c r="B141" s="7" t="str">
        <x:v>RAE-PP-135</x:v>
      </x:c>
      <x:c r="C141" s="7" t="str">
        <x:v>RFP-B2-FCE-09-M</x:v>
      </x:c>
      <x:c r="D141" s="7" t="str">
        <x:v>RFP-B2</x:v>
      </x:c>
      <x:c r="E141" s="7" t="str">
        <x:v>FCE-09</x:v>
      </x:c>
      <x:c r="F141" s="7" t="str">
        <x:v>manual/passive</x:v>
      </x:c>
      <x:c r="G141" s="7" t="n">
        <x:v>1</x:v>
      </x:c>
      <x:c r="H141" s="10" t="str"/>
      <x:c r="I141" s="10" t="str"/>
      <x:c r="J141" s="10" t="str"/>
      <x:c r="K141" s="7" t="str"/>
      <x:c r="L141" s="7" t="str">
        <x:v>OPEN</x:v>
      </x:c>
      <x:c r="M141" s="7"/>
    </x:row>
    <x:row r="142" ht="36" customHeight="1">
      <x:c r="B142" s="7" t="str">
        <x:v>RAE-PP-136</x:v>
      </x:c>
      <x:c r="C142" s="7" t="str">
        <x:v>RFP-B2-FCE-10-P</x:v>
      </x:c>
      <x:c r="D142" s="7" t="str">
        <x:v>RFP-B2</x:v>
      </x:c>
      <x:c r="E142" s="7" t="str">
        <x:v>FCE-10</x:v>
      </x:c>
      <x:c r="F142" s="7" t="str">
        <x:v>primary</x:v>
      </x:c>
      <x:c r="G142" s="7" t="n">
        <x:v>30</x:v>
      </x:c>
      <x:c r="H142" s="10" t="str"/>
      <x:c r="I142" s="10" t="str"/>
      <x:c r="J142" s="10" t="str"/>
      <x:c r="K142" s="7" t="str"/>
      <x:c r="L142" s="7" t="str">
        <x:v>OPEN</x:v>
      </x:c>
      <x:c r="M142" s="7"/>
    </x:row>
    <x:row r="143" ht="36" customHeight="1">
      <x:c r="B143" s="7" t="str">
        <x:v>RAE-PP-137</x:v>
      </x:c>
      <x:c r="C143" s="7" t="str">
        <x:v>RFP-B2-FCE-10-D</x:v>
      </x:c>
      <x:c r="D143" s="7" t="str">
        <x:v>RFP-B2</x:v>
      </x:c>
      <x:c r="E143" s="7" t="str">
        <x:v>FCE-10</x:v>
      </x:c>
      <x:c r="F143" s="7" t="str">
        <x:v>diverse</x:v>
      </x:c>
      <x:c r="G143" s="7" t="n">
        <x:v>30</x:v>
      </x:c>
      <x:c r="H143" s="10" t="str"/>
      <x:c r="I143" s="10" t="str"/>
      <x:c r="J143" s="10" t="str"/>
      <x:c r="K143" s="7" t="str"/>
      <x:c r="L143" s="7" t="str">
        <x:v>OPEN</x:v>
      </x:c>
      <x:c r="M143" s="7"/>
    </x:row>
    <x:row r="144" ht="36" customHeight="1">
      <x:c r="B144" s="7" t="str">
        <x:v>RAE-PP-138</x:v>
      </x:c>
      <x:c r="C144" s="7" t="str">
        <x:v>RFP-B2-FCE-10-M</x:v>
      </x:c>
      <x:c r="D144" s="7" t="str">
        <x:v>RFP-B2</x:v>
      </x:c>
      <x:c r="E144" s="7" t="str">
        <x:v>FCE-10</x:v>
      </x:c>
      <x:c r="F144" s="7" t="str">
        <x:v>manual/passive</x:v>
      </x:c>
      <x:c r="G144" s="7" t="n">
        <x:v>30</x:v>
      </x:c>
      <x:c r="H144" s="10" t="str"/>
      <x:c r="I144" s="10" t="str"/>
      <x:c r="J144" s="10" t="str"/>
      <x:c r="K144" s="7" t="str"/>
      <x:c r="L144" s="7" t="str">
        <x:v>OPEN</x:v>
      </x:c>
      <x:c r="M144" s="7"/>
    </x:row>
    <x:row r="145" ht="36" customHeight="1">
      <x:c r="B145" s="7" t="str">
        <x:v>RAE-PP-139</x:v>
      </x:c>
      <x:c r="C145" s="7" t="str">
        <x:v>RFP-B2-FCE-11-P</x:v>
      </x:c>
      <x:c r="D145" s="7" t="str">
        <x:v>RFP-B2</x:v>
      </x:c>
      <x:c r="E145" s="7" t="str">
        <x:v>FCE-11</x:v>
      </x:c>
      <x:c r="F145" s="7" t="str">
        <x:v>primary</x:v>
      </x:c>
      <x:c r="G145" s="7" t="n">
        <x:v>10</x:v>
      </x:c>
      <x:c r="H145" s="10" t="str"/>
      <x:c r="I145" s="10" t="str"/>
      <x:c r="J145" s="10" t="str"/>
      <x:c r="K145" s="7" t="str"/>
      <x:c r="L145" s="7" t="str">
        <x:v>OPEN</x:v>
      </x:c>
      <x:c r="M145" s="7"/>
    </x:row>
    <x:row r="146" ht="36" customHeight="1">
      <x:c r="B146" s="7" t="str">
        <x:v>RAE-PP-140</x:v>
      </x:c>
      <x:c r="C146" s="7" t="str">
        <x:v>RFP-B2-FCE-11-D</x:v>
      </x:c>
      <x:c r="D146" s="7" t="str">
        <x:v>RFP-B2</x:v>
      </x:c>
      <x:c r="E146" s="7" t="str">
        <x:v>FCE-11</x:v>
      </x:c>
      <x:c r="F146" s="7" t="str">
        <x:v>diverse</x:v>
      </x:c>
      <x:c r="G146" s="7" t="n">
        <x:v>10</x:v>
      </x:c>
      <x:c r="H146" s="10" t="str"/>
      <x:c r="I146" s="10" t="str"/>
      <x:c r="J146" s="10" t="str"/>
      <x:c r="K146" s="7" t="str"/>
      <x:c r="L146" s="7" t="str">
        <x:v>OPEN</x:v>
      </x:c>
      <x:c r="M146" s="7"/>
    </x:row>
    <x:row r="147" ht="36" customHeight="1">
      <x:c r="B147" s="7" t="str">
        <x:v>RAE-PP-141</x:v>
      </x:c>
      <x:c r="C147" s="7" t="str">
        <x:v>RFP-B2-FCE-11-M</x:v>
      </x:c>
      <x:c r="D147" s="7" t="str">
        <x:v>RFP-B2</x:v>
      </x:c>
      <x:c r="E147" s="7" t="str">
        <x:v>FCE-11</x:v>
      </x:c>
      <x:c r="F147" s="7" t="str">
        <x:v>manual/passive</x:v>
      </x:c>
      <x:c r="G147" s="7" t="n">
        <x:v>10</x:v>
      </x:c>
      <x:c r="H147" s="10" t="str"/>
      <x:c r="I147" s="10" t="str"/>
      <x:c r="J147" s="10" t="str"/>
      <x:c r="K147" s="7" t="str"/>
      <x:c r="L147" s="7" t="str">
        <x:v>OPEN</x:v>
      </x:c>
      <x:c r="M147" s="7"/>
    </x:row>
    <x:row r="148" ht="36" customHeight="1">
      <x:c r="B148" s="7" t="str">
        <x:v>RAE-PP-142</x:v>
      </x:c>
      <x:c r="C148" s="7" t="str">
        <x:v>RFP-B2-FCE-12-P</x:v>
      </x:c>
      <x:c r="D148" s="7" t="str">
        <x:v>RFP-B2</x:v>
      </x:c>
      <x:c r="E148" s="7" t="str">
        <x:v>FCE-12</x:v>
      </x:c>
      <x:c r="F148" s="7" t="str">
        <x:v>primary</x:v>
      </x:c>
      <x:c r="G148" s="7" t="n">
        <x:v>1</x:v>
      </x:c>
      <x:c r="H148" s="10" t="str"/>
      <x:c r="I148" s="10" t="str"/>
      <x:c r="J148" s="10" t="str"/>
      <x:c r="K148" s="7" t="str"/>
      <x:c r="L148" s="7" t="str">
        <x:v>OPEN</x:v>
      </x:c>
      <x:c r="M148" s="7"/>
    </x:row>
    <x:row r="149" ht="36" customHeight="1">
      <x:c r="B149" s="7" t="str">
        <x:v>RAE-PP-143</x:v>
      </x:c>
      <x:c r="C149" s="7" t="str">
        <x:v>RFP-B2-FCE-12-D</x:v>
      </x:c>
      <x:c r="D149" s="7" t="str">
        <x:v>RFP-B2</x:v>
      </x:c>
      <x:c r="E149" s="7" t="str">
        <x:v>FCE-12</x:v>
      </x:c>
      <x:c r="F149" s="7" t="str">
        <x:v>diverse</x:v>
      </x:c>
      <x:c r="G149" s="7" t="n">
        <x:v>1</x:v>
      </x:c>
      <x:c r="H149" s="10" t="str"/>
      <x:c r="I149" s="10" t="str"/>
      <x:c r="J149" s="10" t="str"/>
      <x:c r="K149" s="7" t="str"/>
      <x:c r="L149" s="7" t="str">
        <x:v>OPEN</x:v>
      </x:c>
      <x:c r="M149" s="7"/>
    </x:row>
    <x:row r="150" ht="36" customHeight="1">
      <x:c r="B150" s="7" t="str">
        <x:v>RAE-PP-144</x:v>
      </x:c>
      <x:c r="C150" s="7" t="str">
        <x:v>RFP-B2-FCE-12-M</x:v>
      </x:c>
      <x:c r="D150" s="7" t="str">
        <x:v>RFP-B2</x:v>
      </x:c>
      <x:c r="E150" s="7" t="str">
        <x:v>FCE-12</x:v>
      </x:c>
      <x:c r="F150" s="7" t="str">
        <x:v>manual/passive</x:v>
      </x:c>
      <x:c r="G150" s="7" t="n">
        <x:v>1</x:v>
      </x:c>
      <x:c r="H150" s="10" t="str"/>
      <x:c r="I150" s="10" t="str"/>
      <x:c r="J150" s="10" t="str"/>
      <x:c r="K150" s="7" t="str"/>
      <x:c r="L150" s="7" t="str">
        <x:v>OPEN</x:v>
      </x:c>
      <x:c r="M150" s="7"/>
    </x:row>
    <x:row r="151" ht="36" customHeight="1">
      <x:c r="B151" s="7" t="str">
        <x:v>RAE-PP-145</x:v>
      </x:c>
      <x:c r="C151" s="7" t="str">
        <x:v>RFP-C1-FCE-01-P</x:v>
      </x:c>
      <x:c r="D151" s="7" t="str">
        <x:v>RFP-C1</x:v>
      </x:c>
      <x:c r="E151" s="7" t="str">
        <x:v>FCE-01</x:v>
      </x:c>
      <x:c r="F151" s="7" t="str">
        <x:v>primary</x:v>
      </x:c>
      <x:c r="G151" s="7" t="n">
        <x:v>2</x:v>
      </x:c>
      <x:c r="H151" s="10" t="str"/>
      <x:c r="I151" s="10" t="str"/>
      <x:c r="J151" s="10" t="str"/>
      <x:c r="K151" s="7" t="str"/>
      <x:c r="L151" s="7" t="str">
        <x:v>OPEN</x:v>
      </x:c>
      <x:c r="M151" s="7"/>
    </x:row>
    <x:row r="152" ht="36" customHeight="1">
      <x:c r="B152" s="7" t="str">
        <x:v>RAE-PP-146</x:v>
      </x:c>
      <x:c r="C152" s="7" t="str">
        <x:v>RFP-C1-FCE-01-D</x:v>
      </x:c>
      <x:c r="D152" s="7" t="str">
        <x:v>RFP-C1</x:v>
      </x:c>
      <x:c r="E152" s="7" t="str">
        <x:v>FCE-01</x:v>
      </x:c>
      <x:c r="F152" s="7" t="str">
        <x:v>diverse</x:v>
      </x:c>
      <x:c r="G152" s="7" t="n">
        <x:v>2</x:v>
      </x:c>
      <x:c r="H152" s="10" t="str"/>
      <x:c r="I152" s="10" t="str"/>
      <x:c r="J152" s="10" t="str"/>
      <x:c r="K152" s="7" t="str"/>
      <x:c r="L152" s="7" t="str">
        <x:v>OPEN</x:v>
      </x:c>
      <x:c r="M152" s="7"/>
    </x:row>
    <x:row r="153" ht="36" customHeight="1">
      <x:c r="B153" s="7" t="str">
        <x:v>RAE-PP-147</x:v>
      </x:c>
      <x:c r="C153" s="7" t="str">
        <x:v>RFP-C1-FCE-01-M</x:v>
      </x:c>
      <x:c r="D153" s="7" t="str">
        <x:v>RFP-C1</x:v>
      </x:c>
      <x:c r="E153" s="7" t="str">
        <x:v>FCE-01</x:v>
      </x:c>
      <x:c r="F153" s="7" t="str">
        <x:v>manual/passive</x:v>
      </x:c>
      <x:c r="G153" s="7" t="n">
        <x:v>2</x:v>
      </x:c>
      <x:c r="H153" s="10" t="str"/>
      <x:c r="I153" s="10" t="str"/>
      <x:c r="J153" s="10" t="str"/>
      <x:c r="K153" s="7" t="str"/>
      <x:c r="L153" s="7" t="str">
        <x:v>OPEN</x:v>
      </x:c>
      <x:c r="M153" s="7"/>
    </x:row>
    <x:row r="154" ht="36" customHeight="1">
      <x:c r="B154" s="7" t="str">
        <x:v>RAE-PP-148</x:v>
      </x:c>
      <x:c r="C154" s="7" t="str">
        <x:v>RFP-C1-FCE-02-P</x:v>
      </x:c>
      <x:c r="D154" s="7" t="str">
        <x:v>RFP-C1</x:v>
      </x:c>
      <x:c r="E154" s="7" t="str">
        <x:v>FCE-02</x:v>
      </x:c>
      <x:c r="F154" s="7" t="str">
        <x:v>primary</x:v>
      </x:c>
      <x:c r="G154" s="7" t="n">
        <x:v>2</x:v>
      </x:c>
      <x:c r="H154" s="10" t="str"/>
      <x:c r="I154" s="10" t="str"/>
      <x:c r="J154" s="10" t="str"/>
      <x:c r="K154" s="7" t="str"/>
      <x:c r="L154" s="7" t="str">
        <x:v>OPEN</x:v>
      </x:c>
      <x:c r="M154" s="7"/>
    </x:row>
    <x:row r="155" ht="36" customHeight="1">
      <x:c r="B155" s="7" t="str">
        <x:v>RAE-PP-149</x:v>
      </x:c>
      <x:c r="C155" s="7" t="str">
        <x:v>RFP-C1-FCE-02-D</x:v>
      </x:c>
      <x:c r="D155" s="7" t="str">
        <x:v>RFP-C1</x:v>
      </x:c>
      <x:c r="E155" s="7" t="str">
        <x:v>FCE-02</x:v>
      </x:c>
      <x:c r="F155" s="7" t="str">
        <x:v>diverse</x:v>
      </x:c>
      <x:c r="G155" s="7" t="n">
        <x:v>2</x:v>
      </x:c>
      <x:c r="H155" s="10" t="str"/>
      <x:c r="I155" s="10" t="str"/>
      <x:c r="J155" s="10" t="str"/>
      <x:c r="K155" s="7" t="str"/>
      <x:c r="L155" s="7" t="str">
        <x:v>OPEN</x:v>
      </x:c>
      <x:c r="M155" s="7"/>
    </x:row>
    <x:row r="156" ht="36" customHeight="1">
      <x:c r="B156" s="7" t="str">
        <x:v>RAE-PP-150</x:v>
      </x:c>
      <x:c r="C156" s="7" t="str">
        <x:v>RFP-C1-FCE-02-M</x:v>
      </x:c>
      <x:c r="D156" s="7" t="str">
        <x:v>RFP-C1</x:v>
      </x:c>
      <x:c r="E156" s="7" t="str">
        <x:v>FCE-02</x:v>
      </x:c>
      <x:c r="F156" s="7" t="str">
        <x:v>manual/passive</x:v>
      </x:c>
      <x:c r="G156" s="7" t="n">
        <x:v>2</x:v>
      </x:c>
      <x:c r="H156" s="10" t="str"/>
      <x:c r="I156" s="10" t="str"/>
      <x:c r="J156" s="10" t="str"/>
      <x:c r="K156" s="7" t="str"/>
      <x:c r="L156" s="7" t="str">
        <x:v>OPEN</x:v>
      </x:c>
      <x:c r="M156" s="7"/>
    </x:row>
    <x:row r="157" ht="36" customHeight="1">
      <x:c r="B157" s="7" t="str">
        <x:v>RAE-PP-151</x:v>
      </x:c>
      <x:c r="C157" s="7" t="str">
        <x:v>RFP-C1-FCE-03-P</x:v>
      </x:c>
      <x:c r="D157" s="7" t="str">
        <x:v>RFP-C1</x:v>
      </x:c>
      <x:c r="E157" s="7" t="str">
        <x:v>FCE-03</x:v>
      </x:c>
      <x:c r="F157" s="7" t="str">
        <x:v>primary</x:v>
      </x:c>
      <x:c r="G157" s="7" t="n">
        <x:v>5</x:v>
      </x:c>
      <x:c r="H157" s="10" t="str"/>
      <x:c r="I157" s="10" t="str"/>
      <x:c r="J157" s="10" t="str"/>
      <x:c r="K157" s="7" t="str"/>
      <x:c r="L157" s="7" t="str">
        <x:v>OPEN</x:v>
      </x:c>
      <x:c r="M157" s="7"/>
    </x:row>
    <x:row r="158" ht="36" customHeight="1">
      <x:c r="B158" s="7" t="str">
        <x:v>RAE-PP-152</x:v>
      </x:c>
      <x:c r="C158" s="7" t="str">
        <x:v>RFP-C1-FCE-03-D</x:v>
      </x:c>
      <x:c r="D158" s="7" t="str">
        <x:v>RFP-C1</x:v>
      </x:c>
      <x:c r="E158" s="7" t="str">
        <x:v>FCE-03</x:v>
      </x:c>
      <x:c r="F158" s="7" t="str">
        <x:v>diverse</x:v>
      </x:c>
      <x:c r="G158" s="7" t="n">
        <x:v>5</x:v>
      </x:c>
      <x:c r="H158" s="10" t="str"/>
      <x:c r="I158" s="10" t="str"/>
      <x:c r="J158" s="10" t="str"/>
      <x:c r="K158" s="7" t="str"/>
      <x:c r="L158" s="7" t="str">
        <x:v>OPEN</x:v>
      </x:c>
      <x:c r="M158" s="7"/>
    </x:row>
    <x:row r="159" ht="36" customHeight="1">
      <x:c r="B159" s="7" t="str">
        <x:v>RAE-PP-153</x:v>
      </x:c>
      <x:c r="C159" s="7" t="str">
        <x:v>RFP-C1-FCE-03-M</x:v>
      </x:c>
      <x:c r="D159" s="7" t="str">
        <x:v>RFP-C1</x:v>
      </x:c>
      <x:c r="E159" s="7" t="str">
        <x:v>FCE-03</x:v>
      </x:c>
      <x:c r="F159" s="7" t="str">
        <x:v>manual/passive</x:v>
      </x:c>
      <x:c r="G159" s="7" t="n">
        <x:v>5</x:v>
      </x:c>
      <x:c r="H159" s="10" t="str"/>
      <x:c r="I159" s="10" t="str"/>
      <x:c r="J159" s="10" t="str"/>
      <x:c r="K159" s="7" t="str"/>
      <x:c r="L159" s="7" t="str">
        <x:v>OPEN</x:v>
      </x:c>
      <x:c r="M159" s="7"/>
    </x:row>
    <x:row r="160" ht="36" customHeight="1">
      <x:c r="B160" s="7" t="str">
        <x:v>RAE-PP-154</x:v>
      </x:c>
      <x:c r="C160" s="7" t="str">
        <x:v>RFP-C1-FCE-04-P</x:v>
      </x:c>
      <x:c r="D160" s="7" t="str">
        <x:v>RFP-C1</x:v>
      </x:c>
      <x:c r="E160" s="7" t="str">
        <x:v>FCE-04</x:v>
      </x:c>
      <x:c r="F160" s="7" t="str">
        <x:v>primary</x:v>
      </x:c>
      <x:c r="G160" s="7" t="n">
        <x:v>3</x:v>
      </x:c>
      <x:c r="H160" s="10" t="str"/>
      <x:c r="I160" s="10" t="str"/>
      <x:c r="J160" s="10" t="str"/>
      <x:c r="K160" s="7" t="str"/>
      <x:c r="L160" s="7" t="str">
        <x:v>OPEN</x:v>
      </x:c>
      <x:c r="M160" s="7"/>
    </x:row>
    <x:row r="161" ht="36" customHeight="1">
      <x:c r="B161" s="7" t="str">
        <x:v>RAE-PP-155</x:v>
      </x:c>
      <x:c r="C161" s="7" t="str">
        <x:v>RFP-C1-FCE-04-D</x:v>
      </x:c>
      <x:c r="D161" s="7" t="str">
        <x:v>RFP-C1</x:v>
      </x:c>
      <x:c r="E161" s="7" t="str">
        <x:v>FCE-04</x:v>
      </x:c>
      <x:c r="F161" s="7" t="str">
        <x:v>diverse</x:v>
      </x:c>
      <x:c r="G161" s="7" t="n">
        <x:v>3</x:v>
      </x:c>
      <x:c r="H161" s="10" t="str"/>
      <x:c r="I161" s="10" t="str"/>
      <x:c r="J161" s="10" t="str"/>
      <x:c r="K161" s="7" t="str"/>
      <x:c r="L161" s="7" t="str">
        <x:v>OPEN</x:v>
      </x:c>
      <x:c r="M161" s="7"/>
    </x:row>
    <x:row r="162" ht="36" customHeight="1">
      <x:c r="B162" s="7" t="str">
        <x:v>RAE-PP-156</x:v>
      </x:c>
      <x:c r="C162" s="7" t="str">
        <x:v>RFP-C1-FCE-04-M</x:v>
      </x:c>
      <x:c r="D162" s="7" t="str">
        <x:v>RFP-C1</x:v>
      </x:c>
      <x:c r="E162" s="7" t="str">
        <x:v>FCE-04</x:v>
      </x:c>
      <x:c r="F162" s="7" t="str">
        <x:v>manual/passive</x:v>
      </x:c>
      <x:c r="G162" s="7" t="n">
        <x:v>3</x:v>
      </x:c>
      <x:c r="H162" s="10" t="str"/>
      <x:c r="I162" s="10" t="str"/>
      <x:c r="J162" s="10" t="str"/>
      <x:c r="K162" s="7" t="str"/>
      <x:c r="L162" s="7" t="str">
        <x:v>OPEN</x:v>
      </x:c>
      <x:c r="M162" s="7"/>
    </x:row>
    <x:row r="163" ht="36" customHeight="1">
      <x:c r="B163" s="7" t="str">
        <x:v>RAE-PP-157</x:v>
      </x:c>
      <x:c r="C163" s="7" t="str">
        <x:v>RFP-C1-FCE-05-P</x:v>
      </x:c>
      <x:c r="D163" s="7" t="str">
        <x:v>RFP-C1</x:v>
      </x:c>
      <x:c r="E163" s="7" t="str">
        <x:v>FCE-05</x:v>
      </x:c>
      <x:c r="F163" s="7" t="str">
        <x:v>primary</x:v>
      </x:c>
      <x:c r="G163" s="7" t="n">
        <x:v>5</x:v>
      </x:c>
      <x:c r="H163" s="10" t="str"/>
      <x:c r="I163" s="10" t="str"/>
      <x:c r="J163" s="10" t="str"/>
      <x:c r="K163" s="7" t="str"/>
      <x:c r="L163" s="7" t="str">
        <x:v>OPEN</x:v>
      </x:c>
      <x:c r="M163" s="7"/>
    </x:row>
    <x:row r="164" ht="36" customHeight="1">
      <x:c r="B164" s="7" t="str">
        <x:v>RAE-PP-158</x:v>
      </x:c>
      <x:c r="C164" s="7" t="str">
        <x:v>RFP-C1-FCE-05-D</x:v>
      </x:c>
      <x:c r="D164" s="7" t="str">
        <x:v>RFP-C1</x:v>
      </x:c>
      <x:c r="E164" s="7" t="str">
        <x:v>FCE-05</x:v>
      </x:c>
      <x:c r="F164" s="7" t="str">
        <x:v>diverse</x:v>
      </x:c>
      <x:c r="G164" s="7" t="n">
        <x:v>5</x:v>
      </x:c>
      <x:c r="H164" s="10" t="str"/>
      <x:c r="I164" s="10" t="str"/>
      <x:c r="J164" s="10" t="str"/>
      <x:c r="K164" s="7" t="str"/>
      <x:c r="L164" s="7" t="str">
        <x:v>OPEN</x:v>
      </x:c>
      <x:c r="M164" s="7"/>
    </x:row>
    <x:row r="165" ht="36" customHeight="1">
      <x:c r="B165" s="7" t="str">
        <x:v>RAE-PP-159</x:v>
      </x:c>
      <x:c r="C165" s="7" t="str">
        <x:v>RFP-C1-FCE-05-M</x:v>
      </x:c>
      <x:c r="D165" s="7" t="str">
        <x:v>RFP-C1</x:v>
      </x:c>
      <x:c r="E165" s="7" t="str">
        <x:v>FCE-05</x:v>
      </x:c>
      <x:c r="F165" s="7" t="str">
        <x:v>manual/passive</x:v>
      </x:c>
      <x:c r="G165" s="7" t="n">
        <x:v>5</x:v>
      </x:c>
      <x:c r="H165" s="10" t="str"/>
      <x:c r="I165" s="10" t="str"/>
      <x:c r="J165" s="10" t="str"/>
      <x:c r="K165" s="7" t="str"/>
      <x:c r="L165" s="7" t="str">
        <x:v>OPEN</x:v>
      </x:c>
      <x:c r="M165" s="7"/>
    </x:row>
    <x:row r="166" ht="36" customHeight="1">
      <x:c r="B166" s="7" t="str">
        <x:v>RAE-PP-160</x:v>
      </x:c>
      <x:c r="C166" s="7" t="str">
        <x:v>RFP-C1-FCE-06-P</x:v>
      </x:c>
      <x:c r="D166" s="7" t="str">
        <x:v>RFP-C1</x:v>
      </x:c>
      <x:c r="E166" s="7" t="str">
        <x:v>FCE-06</x:v>
      </x:c>
      <x:c r="F166" s="7" t="str">
        <x:v>primary</x:v>
      </x:c>
      <x:c r="G166" s="7" t="n">
        <x:v>1</x:v>
      </x:c>
      <x:c r="H166" s="10" t="str"/>
      <x:c r="I166" s="10" t="str"/>
      <x:c r="J166" s="10" t="str"/>
      <x:c r="K166" s="7" t="str"/>
      <x:c r="L166" s="7" t="str">
        <x:v>OPEN</x:v>
      </x:c>
      <x:c r="M166" s="7"/>
    </x:row>
    <x:row r="167" ht="36" customHeight="1">
      <x:c r="B167" s="7" t="str">
        <x:v>RAE-PP-161</x:v>
      </x:c>
      <x:c r="C167" s="7" t="str">
        <x:v>RFP-C1-FCE-06-D</x:v>
      </x:c>
      <x:c r="D167" s="7" t="str">
        <x:v>RFP-C1</x:v>
      </x:c>
      <x:c r="E167" s="7" t="str">
        <x:v>FCE-06</x:v>
      </x:c>
      <x:c r="F167" s="7" t="str">
        <x:v>diverse</x:v>
      </x:c>
      <x:c r="G167" s="7" t="n">
        <x:v>1</x:v>
      </x:c>
      <x:c r="H167" s="10" t="str"/>
      <x:c r="I167" s="10" t="str"/>
      <x:c r="J167" s="10" t="str"/>
      <x:c r="K167" s="7" t="str"/>
      <x:c r="L167" s="7" t="str">
        <x:v>OPEN</x:v>
      </x:c>
      <x:c r="M167" s="7"/>
    </x:row>
    <x:row r="168" ht="36" customHeight="1">
      <x:c r="B168" s="7" t="str">
        <x:v>RAE-PP-162</x:v>
      </x:c>
      <x:c r="C168" s="7" t="str">
        <x:v>RFP-C1-FCE-06-M</x:v>
      </x:c>
      <x:c r="D168" s="7" t="str">
        <x:v>RFP-C1</x:v>
      </x:c>
      <x:c r="E168" s="7" t="str">
        <x:v>FCE-06</x:v>
      </x:c>
      <x:c r="F168" s="7" t="str">
        <x:v>manual/passive</x:v>
      </x:c>
      <x:c r="G168" s="7" t="n">
        <x:v>1</x:v>
      </x:c>
      <x:c r="H168" s="10" t="str"/>
      <x:c r="I168" s="10" t="str"/>
      <x:c r="J168" s="10" t="str"/>
      <x:c r="K168" s="7" t="str"/>
      <x:c r="L168" s="7" t="str">
        <x:v>OPEN</x:v>
      </x:c>
      <x:c r="M168" s="7"/>
    </x:row>
    <x:row r="169" ht="36" customHeight="1">
      <x:c r="B169" s="7" t="str">
        <x:v>RAE-PP-163</x:v>
      </x:c>
      <x:c r="C169" s="7" t="str">
        <x:v>RFP-C1-FCE-07-P</x:v>
      </x:c>
      <x:c r="D169" s="7" t="str">
        <x:v>RFP-C1</x:v>
      </x:c>
      <x:c r="E169" s="7" t="str">
        <x:v>FCE-07</x:v>
      </x:c>
      <x:c r="F169" s="7" t="str">
        <x:v>primary</x:v>
      </x:c>
      <x:c r="G169" s="7" t="n">
        <x:v>2</x:v>
      </x:c>
      <x:c r="H169" s="10" t="str"/>
      <x:c r="I169" s="10" t="str"/>
      <x:c r="J169" s="10" t="str"/>
      <x:c r="K169" s="7" t="str"/>
      <x:c r="L169" s="7" t="str">
        <x:v>OPEN</x:v>
      </x:c>
      <x:c r="M169" s="7"/>
    </x:row>
    <x:row r="170" ht="36" customHeight="1">
      <x:c r="B170" s="7" t="str">
        <x:v>RAE-PP-164</x:v>
      </x:c>
      <x:c r="C170" s="7" t="str">
        <x:v>RFP-C1-FCE-07-D</x:v>
      </x:c>
      <x:c r="D170" s="7" t="str">
        <x:v>RFP-C1</x:v>
      </x:c>
      <x:c r="E170" s="7" t="str">
        <x:v>FCE-07</x:v>
      </x:c>
      <x:c r="F170" s="7" t="str">
        <x:v>diverse</x:v>
      </x:c>
      <x:c r="G170" s="7" t="n">
        <x:v>2</x:v>
      </x:c>
      <x:c r="H170" s="10" t="str"/>
      <x:c r="I170" s="10" t="str"/>
      <x:c r="J170" s="10" t="str"/>
      <x:c r="K170" s="7" t="str"/>
      <x:c r="L170" s="7" t="str">
        <x:v>OPEN</x:v>
      </x:c>
      <x:c r="M170" s="7"/>
    </x:row>
    <x:row r="171" ht="36" customHeight="1">
      <x:c r="B171" s="7" t="str">
        <x:v>RAE-PP-165</x:v>
      </x:c>
      <x:c r="C171" s="7" t="str">
        <x:v>RFP-C1-FCE-07-M</x:v>
      </x:c>
      <x:c r="D171" s="7" t="str">
        <x:v>RFP-C1</x:v>
      </x:c>
      <x:c r="E171" s="7" t="str">
        <x:v>FCE-07</x:v>
      </x:c>
      <x:c r="F171" s="7" t="str">
        <x:v>manual/passive</x:v>
      </x:c>
      <x:c r="G171" s="7" t="n">
        <x:v>2</x:v>
      </x:c>
      <x:c r="H171" s="10" t="str"/>
      <x:c r="I171" s="10" t="str"/>
      <x:c r="J171" s="10" t="str"/>
      <x:c r="K171" s="7" t="str"/>
      <x:c r="L171" s="7" t="str">
        <x:v>OPEN</x:v>
      </x:c>
      <x:c r="M171" s="7"/>
    </x:row>
    <x:row r="172" ht="36" customHeight="1">
      <x:c r="B172" s="7" t="str">
        <x:v>RAE-PP-166</x:v>
      </x:c>
      <x:c r="C172" s="7" t="str">
        <x:v>RFP-C1-FCE-08-P</x:v>
      </x:c>
      <x:c r="D172" s="7" t="str">
        <x:v>RFP-C1</x:v>
      </x:c>
      <x:c r="E172" s="7" t="str">
        <x:v>FCE-08</x:v>
      </x:c>
      <x:c r="F172" s="7" t="str">
        <x:v>primary</x:v>
      </x:c>
      <x:c r="G172" s="7" t="n">
        <x:v>5</x:v>
      </x:c>
      <x:c r="H172" s="10" t="str"/>
      <x:c r="I172" s="10" t="str"/>
      <x:c r="J172" s="10" t="str"/>
      <x:c r="K172" s="7" t="str"/>
      <x:c r="L172" s="7" t="str">
        <x:v>OPEN</x:v>
      </x:c>
      <x:c r="M172" s="7"/>
    </x:row>
    <x:row r="173" ht="36" customHeight="1">
      <x:c r="B173" s="7" t="str">
        <x:v>RAE-PP-167</x:v>
      </x:c>
      <x:c r="C173" s="7" t="str">
        <x:v>RFP-C1-FCE-08-D</x:v>
      </x:c>
      <x:c r="D173" s="7" t="str">
        <x:v>RFP-C1</x:v>
      </x:c>
      <x:c r="E173" s="7" t="str">
        <x:v>FCE-08</x:v>
      </x:c>
      <x:c r="F173" s="7" t="str">
        <x:v>diverse</x:v>
      </x:c>
      <x:c r="G173" s="7" t="n">
        <x:v>5</x:v>
      </x:c>
      <x:c r="H173" s="10" t="str"/>
      <x:c r="I173" s="10" t="str"/>
      <x:c r="J173" s="10" t="str"/>
      <x:c r="K173" s="7" t="str"/>
      <x:c r="L173" s="7" t="str">
        <x:v>OPEN</x:v>
      </x:c>
      <x:c r="M173" s="7"/>
    </x:row>
    <x:row r="174" ht="36" customHeight="1">
      <x:c r="B174" s="7" t="str">
        <x:v>RAE-PP-168</x:v>
      </x:c>
      <x:c r="C174" s="7" t="str">
        <x:v>RFP-C1-FCE-08-M</x:v>
      </x:c>
      <x:c r="D174" s="7" t="str">
        <x:v>RFP-C1</x:v>
      </x:c>
      <x:c r="E174" s="7" t="str">
        <x:v>FCE-08</x:v>
      </x:c>
      <x:c r="F174" s="7" t="str">
        <x:v>manual/passive</x:v>
      </x:c>
      <x:c r="G174" s="7" t="n">
        <x:v>5</x:v>
      </x:c>
      <x:c r="H174" s="10" t="str"/>
      <x:c r="I174" s="10" t="str"/>
      <x:c r="J174" s="10" t="str"/>
      <x:c r="K174" s="7" t="str"/>
      <x:c r="L174" s="7" t="str">
        <x:v>OPEN</x:v>
      </x:c>
      <x:c r="M174" s="7"/>
    </x:row>
    <x:row r="175" ht="36" customHeight="1">
      <x:c r="B175" s="7" t="str">
        <x:v>RAE-PP-169</x:v>
      </x:c>
      <x:c r="C175" s="7" t="str">
        <x:v>RFP-C1-FCE-09-P</x:v>
      </x:c>
      <x:c r="D175" s="7" t="str">
        <x:v>RFP-C1</x:v>
      </x:c>
      <x:c r="E175" s="7" t="str">
        <x:v>FCE-09</x:v>
      </x:c>
      <x:c r="F175" s="7" t="str">
        <x:v>primary</x:v>
      </x:c>
      <x:c r="G175" s="7" t="n">
        <x:v>1</x:v>
      </x:c>
      <x:c r="H175" s="10" t="str"/>
      <x:c r="I175" s="10" t="str"/>
      <x:c r="J175" s="10" t="str"/>
      <x:c r="K175" s="7" t="str"/>
      <x:c r="L175" s="7" t="str">
        <x:v>OPEN</x:v>
      </x:c>
      <x:c r="M175" s="7"/>
    </x:row>
    <x:row r="176" ht="36" customHeight="1">
      <x:c r="B176" s="7" t="str">
        <x:v>RAE-PP-170</x:v>
      </x:c>
      <x:c r="C176" s="7" t="str">
        <x:v>RFP-C1-FCE-09-D</x:v>
      </x:c>
      <x:c r="D176" s="7" t="str">
        <x:v>RFP-C1</x:v>
      </x:c>
      <x:c r="E176" s="7" t="str">
        <x:v>FCE-09</x:v>
      </x:c>
      <x:c r="F176" s="7" t="str">
        <x:v>diverse</x:v>
      </x:c>
      <x:c r="G176" s="7" t="n">
        <x:v>1</x:v>
      </x:c>
      <x:c r="H176" s="10" t="str"/>
      <x:c r="I176" s="10" t="str"/>
      <x:c r="J176" s="10" t="str"/>
      <x:c r="K176" s="7" t="str"/>
      <x:c r="L176" s="7" t="str">
        <x:v>OPEN</x:v>
      </x:c>
      <x:c r="M176" s="7"/>
    </x:row>
    <x:row r="177" ht="36" customHeight="1">
      <x:c r="B177" s="7" t="str">
        <x:v>RAE-PP-171</x:v>
      </x:c>
      <x:c r="C177" s="7" t="str">
        <x:v>RFP-C1-FCE-09-M</x:v>
      </x:c>
      <x:c r="D177" s="7" t="str">
        <x:v>RFP-C1</x:v>
      </x:c>
      <x:c r="E177" s="7" t="str">
        <x:v>FCE-09</x:v>
      </x:c>
      <x:c r="F177" s="7" t="str">
        <x:v>manual/passive</x:v>
      </x:c>
      <x:c r="G177" s="7" t="n">
        <x:v>1</x:v>
      </x:c>
      <x:c r="H177" s="10" t="str"/>
      <x:c r="I177" s="10" t="str"/>
      <x:c r="J177" s="10" t="str"/>
      <x:c r="K177" s="7" t="str"/>
      <x:c r="L177" s="7" t="str">
        <x:v>OPEN</x:v>
      </x:c>
      <x:c r="M177" s="7"/>
    </x:row>
    <x:row r="178" ht="36" customHeight="1">
      <x:c r="B178" s="7" t="str">
        <x:v>RAE-PP-172</x:v>
      </x:c>
      <x:c r="C178" s="7" t="str">
        <x:v>RFP-C1-FCE-10-P</x:v>
      </x:c>
      <x:c r="D178" s="7" t="str">
        <x:v>RFP-C1</x:v>
      </x:c>
      <x:c r="E178" s="7" t="str">
        <x:v>FCE-10</x:v>
      </x:c>
      <x:c r="F178" s="7" t="str">
        <x:v>primary</x:v>
      </x:c>
      <x:c r="G178" s="7" t="n">
        <x:v>30</x:v>
      </x:c>
      <x:c r="H178" s="10" t="str"/>
      <x:c r="I178" s="10" t="str"/>
      <x:c r="J178" s="10" t="str"/>
      <x:c r="K178" s="7" t="str"/>
      <x:c r="L178" s="7" t="str">
        <x:v>OPEN</x:v>
      </x:c>
      <x:c r="M178" s="7"/>
    </x:row>
    <x:row r="179" ht="36" customHeight="1">
      <x:c r="B179" s="7" t="str">
        <x:v>RAE-PP-173</x:v>
      </x:c>
      <x:c r="C179" s="7" t="str">
        <x:v>RFP-C1-FCE-10-D</x:v>
      </x:c>
      <x:c r="D179" s="7" t="str">
        <x:v>RFP-C1</x:v>
      </x:c>
      <x:c r="E179" s="7" t="str">
        <x:v>FCE-10</x:v>
      </x:c>
      <x:c r="F179" s="7" t="str">
        <x:v>diverse</x:v>
      </x:c>
      <x:c r="G179" s="7" t="n">
        <x:v>30</x:v>
      </x:c>
      <x:c r="H179" s="10" t="str"/>
      <x:c r="I179" s="10" t="str"/>
      <x:c r="J179" s="10" t="str"/>
      <x:c r="K179" s="7" t="str"/>
      <x:c r="L179" s="7" t="str">
        <x:v>OPEN</x:v>
      </x:c>
      <x:c r="M179" s="7"/>
    </x:row>
    <x:row r="180" ht="36" customHeight="1">
      <x:c r="B180" s="7" t="str">
        <x:v>RAE-PP-174</x:v>
      </x:c>
      <x:c r="C180" s="7" t="str">
        <x:v>RFP-C1-FCE-10-M</x:v>
      </x:c>
      <x:c r="D180" s="7" t="str">
        <x:v>RFP-C1</x:v>
      </x:c>
      <x:c r="E180" s="7" t="str">
        <x:v>FCE-10</x:v>
      </x:c>
      <x:c r="F180" s="7" t="str">
        <x:v>manual/passive</x:v>
      </x:c>
      <x:c r="G180" s="7" t="n">
        <x:v>30</x:v>
      </x:c>
      <x:c r="H180" s="10" t="str"/>
      <x:c r="I180" s="10" t="str"/>
      <x:c r="J180" s="10" t="str"/>
      <x:c r="K180" s="7" t="str"/>
      <x:c r="L180" s="7" t="str">
        <x:v>OPEN</x:v>
      </x:c>
      <x:c r="M180" s="7"/>
    </x:row>
    <x:row r="181" ht="36" customHeight="1">
      <x:c r="B181" s="7" t="str">
        <x:v>RAE-PP-175</x:v>
      </x:c>
      <x:c r="C181" s="7" t="str">
        <x:v>RFP-C1-FCE-11-P</x:v>
      </x:c>
      <x:c r="D181" s="7" t="str">
        <x:v>RFP-C1</x:v>
      </x:c>
      <x:c r="E181" s="7" t="str">
        <x:v>FCE-11</x:v>
      </x:c>
      <x:c r="F181" s="7" t="str">
        <x:v>primary</x:v>
      </x:c>
      <x:c r="G181" s="7" t="n">
        <x:v>10</x:v>
      </x:c>
      <x:c r="H181" s="10" t="str"/>
      <x:c r="I181" s="10" t="str"/>
      <x:c r="J181" s="10" t="str"/>
      <x:c r="K181" s="7" t="str"/>
      <x:c r="L181" s="7" t="str">
        <x:v>OPEN</x:v>
      </x:c>
      <x:c r="M181" s="7"/>
    </x:row>
    <x:row r="182" ht="36" customHeight="1">
      <x:c r="B182" s="7" t="str">
        <x:v>RAE-PP-176</x:v>
      </x:c>
      <x:c r="C182" s="7" t="str">
        <x:v>RFP-C1-FCE-11-D</x:v>
      </x:c>
      <x:c r="D182" s="7" t="str">
        <x:v>RFP-C1</x:v>
      </x:c>
      <x:c r="E182" s="7" t="str">
        <x:v>FCE-11</x:v>
      </x:c>
      <x:c r="F182" s="7" t="str">
        <x:v>diverse</x:v>
      </x:c>
      <x:c r="G182" s="7" t="n">
        <x:v>10</x:v>
      </x:c>
      <x:c r="H182" s="10" t="str"/>
      <x:c r="I182" s="10" t="str"/>
      <x:c r="J182" s="10" t="str"/>
      <x:c r="K182" s="7" t="str"/>
      <x:c r="L182" s="7" t="str">
        <x:v>OPEN</x:v>
      </x:c>
      <x:c r="M182" s="7"/>
    </x:row>
    <x:row r="183" ht="36" customHeight="1">
      <x:c r="B183" s="7" t="str">
        <x:v>RAE-PP-177</x:v>
      </x:c>
      <x:c r="C183" s="7" t="str">
        <x:v>RFP-C1-FCE-11-M</x:v>
      </x:c>
      <x:c r="D183" s="7" t="str">
        <x:v>RFP-C1</x:v>
      </x:c>
      <x:c r="E183" s="7" t="str">
        <x:v>FCE-11</x:v>
      </x:c>
      <x:c r="F183" s="7" t="str">
        <x:v>manual/passive</x:v>
      </x:c>
      <x:c r="G183" s="7" t="n">
        <x:v>10</x:v>
      </x:c>
      <x:c r="H183" s="10" t="str"/>
      <x:c r="I183" s="10" t="str"/>
      <x:c r="J183" s="10" t="str"/>
      <x:c r="K183" s="7" t="str"/>
      <x:c r="L183" s="7" t="str">
        <x:v>OPEN</x:v>
      </x:c>
      <x:c r="M183" s="7"/>
    </x:row>
    <x:row r="184" ht="36" customHeight="1">
      <x:c r="B184" s="7" t="str">
        <x:v>RAE-PP-178</x:v>
      </x:c>
      <x:c r="C184" s="7" t="str">
        <x:v>RFP-C1-FCE-12-P</x:v>
      </x:c>
      <x:c r="D184" s="7" t="str">
        <x:v>RFP-C1</x:v>
      </x:c>
      <x:c r="E184" s="7" t="str">
        <x:v>FCE-12</x:v>
      </x:c>
      <x:c r="F184" s="7" t="str">
        <x:v>primary</x:v>
      </x:c>
      <x:c r="G184" s="7" t="n">
        <x:v>1</x:v>
      </x:c>
      <x:c r="H184" s="10" t="str"/>
      <x:c r="I184" s="10" t="str"/>
      <x:c r="J184" s="10" t="str"/>
      <x:c r="K184" s="7" t="str"/>
      <x:c r="L184" s="7" t="str">
        <x:v>OPEN</x:v>
      </x:c>
      <x:c r="M184" s="7"/>
    </x:row>
    <x:row r="185" ht="36" customHeight="1">
      <x:c r="B185" s="7" t="str">
        <x:v>RAE-PP-179</x:v>
      </x:c>
      <x:c r="C185" s="7" t="str">
        <x:v>RFP-C1-FCE-12-D</x:v>
      </x:c>
      <x:c r="D185" s="7" t="str">
        <x:v>RFP-C1</x:v>
      </x:c>
      <x:c r="E185" s="7" t="str">
        <x:v>FCE-12</x:v>
      </x:c>
      <x:c r="F185" s="7" t="str">
        <x:v>diverse</x:v>
      </x:c>
      <x:c r="G185" s="7" t="n">
        <x:v>1</x:v>
      </x:c>
      <x:c r="H185" s="10" t="str"/>
      <x:c r="I185" s="10" t="str"/>
      <x:c r="J185" s="10" t="str"/>
      <x:c r="K185" s="7" t="str"/>
      <x:c r="L185" s="7" t="str">
        <x:v>OPEN</x:v>
      </x:c>
      <x:c r="M185" s="7"/>
    </x:row>
    <x:row r="186" ht="36" customHeight="1">
      <x:c r="B186" s="7" t="str">
        <x:v>RAE-PP-180</x:v>
      </x:c>
      <x:c r="C186" s="7" t="str">
        <x:v>RFP-C1-FCE-12-M</x:v>
      </x:c>
      <x:c r="D186" s="7" t="str">
        <x:v>RFP-C1</x:v>
      </x:c>
      <x:c r="E186" s="7" t="str">
        <x:v>FCE-12</x:v>
      </x:c>
      <x:c r="F186" s="7" t="str">
        <x:v>manual/passive</x:v>
      </x:c>
      <x:c r="G186" s="7" t="n">
        <x:v>1</x:v>
      </x:c>
      <x:c r="H186" s="10" t="str"/>
      <x:c r="I186" s="10" t="str"/>
      <x:c r="J186" s="10" t="str"/>
      <x:c r="K186" s="7" t="str"/>
      <x:c r="L186" s="7" t="str">
        <x:v>OPEN</x:v>
      </x:c>
      <x:c r="M186" s="7"/>
    </x:row>
    <x:row r="187" ht="36" customHeight="1">
      <x:c r="B187" s="7" t="str">
        <x:v>RAE-PP-181</x:v>
      </x:c>
      <x:c r="C187" s="7" t="str">
        <x:v>RFP-C2-FCE-01-P</x:v>
      </x:c>
      <x:c r="D187" s="7" t="str">
        <x:v>RFP-C2</x:v>
      </x:c>
      <x:c r="E187" s="7" t="str">
        <x:v>FCE-01</x:v>
      </x:c>
      <x:c r="F187" s="7" t="str">
        <x:v>primary</x:v>
      </x:c>
      <x:c r="G187" s="7" t="n">
        <x:v>2</x:v>
      </x:c>
      <x:c r="H187" s="10" t="str"/>
      <x:c r="I187" s="10" t="str"/>
      <x:c r="J187" s="10" t="str"/>
      <x:c r="K187" s="7" t="str"/>
      <x:c r="L187" s="7" t="str">
        <x:v>OPEN</x:v>
      </x:c>
      <x:c r="M187" s="7"/>
    </x:row>
    <x:row r="188" ht="36" customHeight="1">
      <x:c r="B188" s="7" t="str">
        <x:v>RAE-PP-182</x:v>
      </x:c>
      <x:c r="C188" s="7" t="str">
        <x:v>RFP-C2-FCE-01-D</x:v>
      </x:c>
      <x:c r="D188" s="7" t="str">
        <x:v>RFP-C2</x:v>
      </x:c>
      <x:c r="E188" s="7" t="str">
        <x:v>FCE-01</x:v>
      </x:c>
      <x:c r="F188" s="7" t="str">
        <x:v>diverse</x:v>
      </x:c>
      <x:c r="G188" s="7" t="n">
        <x:v>2</x:v>
      </x:c>
      <x:c r="H188" s="10" t="str"/>
      <x:c r="I188" s="10" t="str"/>
      <x:c r="J188" s="10" t="str"/>
      <x:c r="K188" s="7" t="str"/>
      <x:c r="L188" s="7" t="str">
        <x:v>OPEN</x:v>
      </x:c>
      <x:c r="M188" s="7"/>
    </x:row>
    <x:row r="189" ht="36" customHeight="1">
      <x:c r="B189" s="7" t="str">
        <x:v>RAE-PP-183</x:v>
      </x:c>
      <x:c r="C189" s="7" t="str">
        <x:v>RFP-C2-FCE-01-M</x:v>
      </x:c>
      <x:c r="D189" s="7" t="str">
        <x:v>RFP-C2</x:v>
      </x:c>
      <x:c r="E189" s="7" t="str">
        <x:v>FCE-01</x:v>
      </x:c>
      <x:c r="F189" s="7" t="str">
        <x:v>manual/passive</x:v>
      </x:c>
      <x:c r="G189" s="7" t="n">
        <x:v>2</x:v>
      </x:c>
      <x:c r="H189" s="10" t="str"/>
      <x:c r="I189" s="10" t="str"/>
      <x:c r="J189" s="10" t="str"/>
      <x:c r="K189" s="7" t="str"/>
      <x:c r="L189" s="7" t="str">
        <x:v>OPEN</x:v>
      </x:c>
      <x:c r="M189" s="7"/>
    </x:row>
    <x:row r="190" ht="36" customHeight="1">
      <x:c r="B190" s="7" t="str">
        <x:v>RAE-PP-184</x:v>
      </x:c>
      <x:c r="C190" s="7" t="str">
        <x:v>RFP-C2-FCE-02-P</x:v>
      </x:c>
      <x:c r="D190" s="7" t="str">
        <x:v>RFP-C2</x:v>
      </x:c>
      <x:c r="E190" s="7" t="str">
        <x:v>FCE-02</x:v>
      </x:c>
      <x:c r="F190" s="7" t="str">
        <x:v>primary</x:v>
      </x:c>
      <x:c r="G190" s="7" t="n">
        <x:v>2</x:v>
      </x:c>
      <x:c r="H190" s="10" t="str"/>
      <x:c r="I190" s="10" t="str"/>
      <x:c r="J190" s="10" t="str"/>
      <x:c r="K190" s="7" t="str"/>
      <x:c r="L190" s="7" t="str">
        <x:v>OPEN</x:v>
      </x:c>
      <x:c r="M190" s="7"/>
    </x:row>
    <x:row r="191" ht="36" customHeight="1">
      <x:c r="B191" s="7" t="str">
        <x:v>RAE-PP-185</x:v>
      </x:c>
      <x:c r="C191" s="7" t="str">
        <x:v>RFP-C2-FCE-02-D</x:v>
      </x:c>
      <x:c r="D191" s="7" t="str">
        <x:v>RFP-C2</x:v>
      </x:c>
      <x:c r="E191" s="7" t="str">
        <x:v>FCE-02</x:v>
      </x:c>
      <x:c r="F191" s="7" t="str">
        <x:v>diverse</x:v>
      </x:c>
      <x:c r="G191" s="7" t="n">
        <x:v>2</x:v>
      </x:c>
      <x:c r="H191" s="10" t="str"/>
      <x:c r="I191" s="10" t="str"/>
      <x:c r="J191" s="10" t="str"/>
      <x:c r="K191" s="7" t="str"/>
      <x:c r="L191" s="7" t="str">
        <x:v>OPEN</x:v>
      </x:c>
      <x:c r="M191" s="7"/>
    </x:row>
    <x:row r="192" ht="36" customHeight="1">
      <x:c r="B192" s="7" t="str">
        <x:v>RAE-PP-186</x:v>
      </x:c>
      <x:c r="C192" s="7" t="str">
        <x:v>RFP-C2-FCE-02-M</x:v>
      </x:c>
      <x:c r="D192" s="7" t="str">
        <x:v>RFP-C2</x:v>
      </x:c>
      <x:c r="E192" s="7" t="str">
        <x:v>FCE-02</x:v>
      </x:c>
      <x:c r="F192" s="7" t="str">
        <x:v>manual/passive</x:v>
      </x:c>
      <x:c r="G192" s="7" t="n">
        <x:v>2</x:v>
      </x:c>
      <x:c r="H192" s="10" t="str"/>
      <x:c r="I192" s="10" t="str"/>
      <x:c r="J192" s="10" t="str"/>
      <x:c r="K192" s="7" t="str"/>
      <x:c r="L192" s="7" t="str">
        <x:v>OPEN</x:v>
      </x:c>
      <x:c r="M192" s="7"/>
    </x:row>
    <x:row r="193" ht="36" customHeight="1">
      <x:c r="B193" s="7" t="str">
        <x:v>RAE-PP-187</x:v>
      </x:c>
      <x:c r="C193" s="7" t="str">
        <x:v>RFP-C2-FCE-03-P</x:v>
      </x:c>
      <x:c r="D193" s="7" t="str">
        <x:v>RFP-C2</x:v>
      </x:c>
      <x:c r="E193" s="7" t="str">
        <x:v>FCE-03</x:v>
      </x:c>
      <x:c r="F193" s="7" t="str">
        <x:v>primary</x:v>
      </x:c>
      <x:c r="G193" s="7" t="n">
        <x:v>5</x:v>
      </x:c>
      <x:c r="H193" s="10" t="str"/>
      <x:c r="I193" s="10" t="str"/>
      <x:c r="J193" s="10" t="str"/>
      <x:c r="K193" s="7" t="str"/>
      <x:c r="L193" s="7" t="str">
        <x:v>OPEN</x:v>
      </x:c>
      <x:c r="M193" s="7"/>
    </x:row>
    <x:row r="194" ht="36" customHeight="1">
      <x:c r="B194" s="7" t="str">
        <x:v>RAE-PP-188</x:v>
      </x:c>
      <x:c r="C194" s="7" t="str">
        <x:v>RFP-C2-FCE-03-D</x:v>
      </x:c>
      <x:c r="D194" s="7" t="str">
        <x:v>RFP-C2</x:v>
      </x:c>
      <x:c r="E194" s="7" t="str">
        <x:v>FCE-03</x:v>
      </x:c>
      <x:c r="F194" s="7" t="str">
        <x:v>diverse</x:v>
      </x:c>
      <x:c r="G194" s="7" t="n">
        <x:v>5</x:v>
      </x:c>
      <x:c r="H194" s="10" t="str"/>
      <x:c r="I194" s="10" t="str"/>
      <x:c r="J194" s="10" t="str"/>
      <x:c r="K194" s="7" t="str"/>
      <x:c r="L194" s="7" t="str">
        <x:v>OPEN</x:v>
      </x:c>
      <x:c r="M194" s="7"/>
    </x:row>
    <x:row r="195" ht="36" customHeight="1">
      <x:c r="B195" s="7" t="str">
        <x:v>RAE-PP-189</x:v>
      </x:c>
      <x:c r="C195" s="7" t="str">
        <x:v>RFP-C2-FCE-03-M</x:v>
      </x:c>
      <x:c r="D195" s="7" t="str">
        <x:v>RFP-C2</x:v>
      </x:c>
      <x:c r="E195" s="7" t="str">
        <x:v>FCE-03</x:v>
      </x:c>
      <x:c r="F195" s="7" t="str">
        <x:v>manual/passive</x:v>
      </x:c>
      <x:c r="G195" s="7" t="n">
        <x:v>5</x:v>
      </x:c>
      <x:c r="H195" s="10" t="str"/>
      <x:c r="I195" s="10" t="str"/>
      <x:c r="J195" s="10" t="str"/>
      <x:c r="K195" s="7" t="str"/>
      <x:c r="L195" s="7" t="str">
        <x:v>OPEN</x:v>
      </x:c>
      <x:c r="M195" s="7"/>
    </x:row>
    <x:row r="196" ht="36" customHeight="1">
      <x:c r="B196" s="7" t="str">
        <x:v>RAE-PP-190</x:v>
      </x:c>
      <x:c r="C196" s="7" t="str">
        <x:v>RFP-C2-FCE-04-P</x:v>
      </x:c>
      <x:c r="D196" s="7" t="str">
        <x:v>RFP-C2</x:v>
      </x:c>
      <x:c r="E196" s="7" t="str">
        <x:v>FCE-04</x:v>
      </x:c>
      <x:c r="F196" s="7" t="str">
        <x:v>primary</x:v>
      </x:c>
      <x:c r="G196" s="7" t="n">
        <x:v>3</x:v>
      </x:c>
      <x:c r="H196" s="10" t="str"/>
      <x:c r="I196" s="10" t="str"/>
      <x:c r="J196" s="10" t="str"/>
      <x:c r="K196" s="7" t="str"/>
      <x:c r="L196" s="7" t="str">
        <x:v>OPEN</x:v>
      </x:c>
      <x:c r="M196" s="7"/>
    </x:row>
    <x:row r="197" ht="36" customHeight="1">
      <x:c r="B197" s="7" t="str">
        <x:v>RAE-PP-191</x:v>
      </x:c>
      <x:c r="C197" s="7" t="str">
        <x:v>RFP-C2-FCE-04-D</x:v>
      </x:c>
      <x:c r="D197" s="7" t="str">
        <x:v>RFP-C2</x:v>
      </x:c>
      <x:c r="E197" s="7" t="str">
        <x:v>FCE-04</x:v>
      </x:c>
      <x:c r="F197" s="7" t="str">
        <x:v>diverse</x:v>
      </x:c>
      <x:c r="G197" s="7" t="n">
        <x:v>3</x:v>
      </x:c>
      <x:c r="H197" s="10" t="str"/>
      <x:c r="I197" s="10" t="str"/>
      <x:c r="J197" s="10" t="str"/>
      <x:c r="K197" s="7" t="str"/>
      <x:c r="L197" s="7" t="str">
        <x:v>OPEN</x:v>
      </x:c>
      <x:c r="M197" s="7"/>
    </x:row>
    <x:row r="198" ht="36" customHeight="1">
      <x:c r="B198" s="7" t="str">
        <x:v>RAE-PP-192</x:v>
      </x:c>
      <x:c r="C198" s="7" t="str">
        <x:v>RFP-C2-FCE-04-M</x:v>
      </x:c>
      <x:c r="D198" s="7" t="str">
        <x:v>RFP-C2</x:v>
      </x:c>
      <x:c r="E198" s="7" t="str">
        <x:v>FCE-04</x:v>
      </x:c>
      <x:c r="F198" s="7" t="str">
        <x:v>manual/passive</x:v>
      </x:c>
      <x:c r="G198" s="7" t="n">
        <x:v>3</x:v>
      </x:c>
      <x:c r="H198" s="10" t="str"/>
      <x:c r="I198" s="10" t="str"/>
      <x:c r="J198" s="10" t="str"/>
      <x:c r="K198" s="7" t="str"/>
      <x:c r="L198" s="7" t="str">
        <x:v>OPEN</x:v>
      </x:c>
      <x:c r="M198" s="7"/>
    </x:row>
    <x:row r="199" ht="36" customHeight="1">
      <x:c r="B199" s="7" t="str">
        <x:v>RAE-PP-193</x:v>
      </x:c>
      <x:c r="C199" s="7" t="str">
        <x:v>RFP-C2-FCE-05-P</x:v>
      </x:c>
      <x:c r="D199" s="7" t="str">
        <x:v>RFP-C2</x:v>
      </x:c>
      <x:c r="E199" s="7" t="str">
        <x:v>FCE-05</x:v>
      </x:c>
      <x:c r="F199" s="7" t="str">
        <x:v>primary</x:v>
      </x:c>
      <x:c r="G199" s="7" t="n">
        <x:v>5</x:v>
      </x:c>
      <x:c r="H199" s="10" t="str"/>
      <x:c r="I199" s="10" t="str"/>
      <x:c r="J199" s="10" t="str"/>
      <x:c r="K199" s="7" t="str"/>
      <x:c r="L199" s="7" t="str">
        <x:v>OPEN</x:v>
      </x:c>
      <x:c r="M199" s="7"/>
    </x:row>
    <x:row r="200" ht="36" customHeight="1">
      <x:c r="B200" s="7" t="str">
        <x:v>RAE-PP-194</x:v>
      </x:c>
      <x:c r="C200" s="7" t="str">
        <x:v>RFP-C2-FCE-05-D</x:v>
      </x:c>
      <x:c r="D200" s="7" t="str">
        <x:v>RFP-C2</x:v>
      </x:c>
      <x:c r="E200" s="7" t="str">
        <x:v>FCE-05</x:v>
      </x:c>
      <x:c r="F200" s="7" t="str">
        <x:v>diverse</x:v>
      </x:c>
      <x:c r="G200" s="7" t="n">
        <x:v>5</x:v>
      </x:c>
      <x:c r="H200" s="10" t="str"/>
      <x:c r="I200" s="10" t="str"/>
      <x:c r="J200" s="10" t="str"/>
      <x:c r="K200" s="7" t="str"/>
      <x:c r="L200" s="7" t="str">
        <x:v>OPEN</x:v>
      </x:c>
      <x:c r="M200" s="7"/>
    </x:row>
    <x:row r="201" ht="36" customHeight="1">
      <x:c r="B201" s="7" t="str">
        <x:v>RAE-PP-195</x:v>
      </x:c>
      <x:c r="C201" s="7" t="str">
        <x:v>RFP-C2-FCE-05-M</x:v>
      </x:c>
      <x:c r="D201" s="7" t="str">
        <x:v>RFP-C2</x:v>
      </x:c>
      <x:c r="E201" s="7" t="str">
        <x:v>FCE-05</x:v>
      </x:c>
      <x:c r="F201" s="7" t="str">
        <x:v>manual/passive</x:v>
      </x:c>
      <x:c r="G201" s="7" t="n">
        <x:v>5</x:v>
      </x:c>
      <x:c r="H201" s="10" t="str"/>
      <x:c r="I201" s="10" t="str"/>
      <x:c r="J201" s="10" t="str"/>
      <x:c r="K201" s="7" t="str"/>
      <x:c r="L201" s="7" t="str">
        <x:v>OPEN</x:v>
      </x:c>
      <x:c r="M201" s="7"/>
    </x:row>
    <x:row r="202" ht="36" customHeight="1">
      <x:c r="B202" s="7" t="str">
        <x:v>RAE-PP-196</x:v>
      </x:c>
      <x:c r="C202" s="7" t="str">
        <x:v>RFP-C2-FCE-06-P</x:v>
      </x:c>
      <x:c r="D202" s="7" t="str">
        <x:v>RFP-C2</x:v>
      </x:c>
      <x:c r="E202" s="7" t="str">
        <x:v>FCE-06</x:v>
      </x:c>
      <x:c r="F202" s="7" t="str">
        <x:v>primary</x:v>
      </x:c>
      <x:c r="G202" s="7" t="n">
        <x:v>1</x:v>
      </x:c>
      <x:c r="H202" s="10" t="str"/>
      <x:c r="I202" s="10" t="str"/>
      <x:c r="J202" s="10" t="str"/>
      <x:c r="K202" s="7" t="str"/>
      <x:c r="L202" s="7" t="str">
        <x:v>OPEN</x:v>
      </x:c>
      <x:c r="M202" s="7"/>
    </x:row>
    <x:row r="203" ht="36" customHeight="1">
      <x:c r="B203" s="7" t="str">
        <x:v>RAE-PP-197</x:v>
      </x:c>
      <x:c r="C203" s="7" t="str">
        <x:v>RFP-C2-FCE-06-D</x:v>
      </x:c>
      <x:c r="D203" s="7" t="str">
        <x:v>RFP-C2</x:v>
      </x:c>
      <x:c r="E203" s="7" t="str">
        <x:v>FCE-06</x:v>
      </x:c>
      <x:c r="F203" s="7" t="str">
        <x:v>diverse</x:v>
      </x:c>
      <x:c r="G203" s="7" t="n">
        <x:v>1</x:v>
      </x:c>
      <x:c r="H203" s="10" t="str"/>
      <x:c r="I203" s="10" t="str"/>
      <x:c r="J203" s="10" t="str"/>
      <x:c r="K203" s="7" t="str"/>
      <x:c r="L203" s="7" t="str">
        <x:v>OPEN</x:v>
      </x:c>
      <x:c r="M203" s="7"/>
    </x:row>
    <x:row r="204" ht="36" customHeight="1">
      <x:c r="B204" s="7" t="str">
        <x:v>RAE-PP-198</x:v>
      </x:c>
      <x:c r="C204" s="7" t="str">
        <x:v>RFP-C2-FCE-06-M</x:v>
      </x:c>
      <x:c r="D204" s="7" t="str">
        <x:v>RFP-C2</x:v>
      </x:c>
      <x:c r="E204" s="7" t="str">
        <x:v>FCE-06</x:v>
      </x:c>
      <x:c r="F204" s="7" t="str">
        <x:v>manual/passive</x:v>
      </x:c>
      <x:c r="G204" s="7" t="n">
        <x:v>1</x:v>
      </x:c>
      <x:c r="H204" s="10" t="str"/>
      <x:c r="I204" s="10" t="str"/>
      <x:c r="J204" s="10" t="str"/>
      <x:c r="K204" s="7" t="str"/>
      <x:c r="L204" s="7" t="str">
        <x:v>OPEN</x:v>
      </x:c>
      <x:c r="M204" s="7"/>
    </x:row>
    <x:row r="205" ht="36" customHeight="1">
      <x:c r="B205" s="7" t="str">
        <x:v>RAE-PP-199</x:v>
      </x:c>
      <x:c r="C205" s="7" t="str">
        <x:v>RFP-C2-FCE-07-P</x:v>
      </x:c>
      <x:c r="D205" s="7" t="str">
        <x:v>RFP-C2</x:v>
      </x:c>
      <x:c r="E205" s="7" t="str">
        <x:v>FCE-07</x:v>
      </x:c>
      <x:c r="F205" s="7" t="str">
        <x:v>primary</x:v>
      </x:c>
      <x:c r="G205" s="7" t="n">
        <x:v>2</x:v>
      </x:c>
      <x:c r="H205" s="10" t="str"/>
      <x:c r="I205" s="10" t="str"/>
      <x:c r="J205" s="10" t="str"/>
      <x:c r="K205" s="7" t="str"/>
      <x:c r="L205" s="7" t="str">
        <x:v>OPEN</x:v>
      </x:c>
      <x:c r="M205" s="7"/>
    </x:row>
    <x:row r="206" ht="36" customHeight="1">
      <x:c r="B206" s="7" t="str">
        <x:v>RAE-PP-200</x:v>
      </x:c>
      <x:c r="C206" s="7" t="str">
        <x:v>RFP-C2-FCE-07-D</x:v>
      </x:c>
      <x:c r="D206" s="7" t="str">
        <x:v>RFP-C2</x:v>
      </x:c>
      <x:c r="E206" s="7" t="str">
        <x:v>FCE-07</x:v>
      </x:c>
      <x:c r="F206" s="7" t="str">
        <x:v>diverse</x:v>
      </x:c>
      <x:c r="G206" s="7" t="n">
        <x:v>2</x:v>
      </x:c>
      <x:c r="H206" s="10" t="str"/>
      <x:c r="I206" s="10" t="str"/>
      <x:c r="J206" s="10" t="str"/>
      <x:c r="K206" s="7" t="str"/>
      <x:c r="L206" s="7" t="str">
        <x:v>OPEN</x:v>
      </x:c>
      <x:c r="M206" s="7"/>
    </x:row>
    <x:row r="207" ht="36" customHeight="1">
      <x:c r="B207" s="7" t="str">
        <x:v>RAE-PP-201</x:v>
      </x:c>
      <x:c r="C207" s="7" t="str">
        <x:v>RFP-C2-FCE-07-M</x:v>
      </x:c>
      <x:c r="D207" s="7" t="str">
        <x:v>RFP-C2</x:v>
      </x:c>
      <x:c r="E207" s="7" t="str">
        <x:v>FCE-07</x:v>
      </x:c>
      <x:c r="F207" s="7" t="str">
        <x:v>manual/passive</x:v>
      </x:c>
      <x:c r="G207" s="7" t="n">
        <x:v>2</x:v>
      </x:c>
      <x:c r="H207" s="10" t="str"/>
      <x:c r="I207" s="10" t="str"/>
      <x:c r="J207" s="10" t="str"/>
      <x:c r="K207" s="7" t="str"/>
      <x:c r="L207" s="7" t="str">
        <x:v>OPEN</x:v>
      </x:c>
      <x:c r="M207" s="7"/>
    </x:row>
    <x:row r="208" ht="36" customHeight="1">
      <x:c r="B208" s="7" t="str">
        <x:v>RAE-PP-202</x:v>
      </x:c>
      <x:c r="C208" s="7" t="str">
        <x:v>RFP-C2-FCE-08-P</x:v>
      </x:c>
      <x:c r="D208" s="7" t="str">
        <x:v>RFP-C2</x:v>
      </x:c>
      <x:c r="E208" s="7" t="str">
        <x:v>FCE-08</x:v>
      </x:c>
      <x:c r="F208" s="7" t="str">
        <x:v>primary</x:v>
      </x:c>
      <x:c r="G208" s="7" t="n">
        <x:v>5</x:v>
      </x:c>
      <x:c r="H208" s="10" t="str"/>
      <x:c r="I208" s="10" t="str"/>
      <x:c r="J208" s="10" t="str"/>
      <x:c r="K208" s="7" t="str"/>
      <x:c r="L208" s="7" t="str">
        <x:v>OPEN</x:v>
      </x:c>
      <x:c r="M208" s="7"/>
    </x:row>
    <x:row r="209" ht="36" customHeight="1">
      <x:c r="B209" s="7" t="str">
        <x:v>RAE-PP-203</x:v>
      </x:c>
      <x:c r="C209" s="7" t="str">
        <x:v>RFP-C2-FCE-08-D</x:v>
      </x:c>
      <x:c r="D209" s="7" t="str">
        <x:v>RFP-C2</x:v>
      </x:c>
      <x:c r="E209" s="7" t="str">
        <x:v>FCE-08</x:v>
      </x:c>
      <x:c r="F209" s="7" t="str">
        <x:v>diverse</x:v>
      </x:c>
      <x:c r="G209" s="7" t="n">
        <x:v>5</x:v>
      </x:c>
      <x:c r="H209" s="10" t="str"/>
      <x:c r="I209" s="10" t="str"/>
      <x:c r="J209" s="10" t="str"/>
      <x:c r="K209" s="7" t="str"/>
      <x:c r="L209" s="7" t="str">
        <x:v>OPEN</x:v>
      </x:c>
      <x:c r="M209" s="7"/>
    </x:row>
    <x:row r="210" ht="36" customHeight="1">
      <x:c r="B210" s="7" t="str">
        <x:v>RAE-PP-204</x:v>
      </x:c>
      <x:c r="C210" s="7" t="str">
        <x:v>RFP-C2-FCE-08-M</x:v>
      </x:c>
      <x:c r="D210" s="7" t="str">
        <x:v>RFP-C2</x:v>
      </x:c>
      <x:c r="E210" s="7" t="str">
        <x:v>FCE-08</x:v>
      </x:c>
      <x:c r="F210" s="7" t="str">
        <x:v>manual/passive</x:v>
      </x:c>
      <x:c r="G210" s="7" t="n">
        <x:v>5</x:v>
      </x:c>
      <x:c r="H210" s="10" t="str"/>
      <x:c r="I210" s="10" t="str"/>
      <x:c r="J210" s="10" t="str"/>
      <x:c r="K210" s="7" t="str"/>
      <x:c r="L210" s="7" t="str">
        <x:v>OPEN</x:v>
      </x:c>
      <x:c r="M210" s="7"/>
    </x:row>
    <x:row r="211" ht="36" customHeight="1">
      <x:c r="B211" s="7" t="str">
        <x:v>RAE-PP-205</x:v>
      </x:c>
      <x:c r="C211" s="7" t="str">
        <x:v>RFP-C2-FCE-09-P</x:v>
      </x:c>
      <x:c r="D211" s="7" t="str">
        <x:v>RFP-C2</x:v>
      </x:c>
      <x:c r="E211" s="7" t="str">
        <x:v>FCE-09</x:v>
      </x:c>
      <x:c r="F211" s="7" t="str">
        <x:v>primary</x:v>
      </x:c>
      <x:c r="G211" s="7" t="n">
        <x:v>1</x:v>
      </x:c>
      <x:c r="H211" s="10" t="str"/>
      <x:c r="I211" s="10" t="str"/>
      <x:c r="J211" s="10" t="str"/>
      <x:c r="K211" s="7" t="str"/>
      <x:c r="L211" s="7" t="str">
        <x:v>OPEN</x:v>
      </x:c>
      <x:c r="M211" s="7"/>
    </x:row>
    <x:row r="212" ht="36" customHeight="1">
      <x:c r="B212" s="7" t="str">
        <x:v>RAE-PP-206</x:v>
      </x:c>
      <x:c r="C212" s="7" t="str">
        <x:v>RFP-C2-FCE-09-D</x:v>
      </x:c>
      <x:c r="D212" s="7" t="str">
        <x:v>RFP-C2</x:v>
      </x:c>
      <x:c r="E212" s="7" t="str">
        <x:v>FCE-09</x:v>
      </x:c>
      <x:c r="F212" s="7" t="str">
        <x:v>diverse</x:v>
      </x:c>
      <x:c r="G212" s="7" t="n">
        <x:v>1</x:v>
      </x:c>
      <x:c r="H212" s="10" t="str"/>
      <x:c r="I212" s="10" t="str"/>
      <x:c r="J212" s="10" t="str"/>
      <x:c r="K212" s="7" t="str"/>
      <x:c r="L212" s="7" t="str">
        <x:v>OPEN</x:v>
      </x:c>
      <x:c r="M212" s="7"/>
    </x:row>
    <x:row r="213" ht="36" customHeight="1">
      <x:c r="B213" s="7" t="str">
        <x:v>RAE-PP-207</x:v>
      </x:c>
      <x:c r="C213" s="7" t="str">
        <x:v>RFP-C2-FCE-09-M</x:v>
      </x:c>
      <x:c r="D213" s="7" t="str">
        <x:v>RFP-C2</x:v>
      </x:c>
      <x:c r="E213" s="7" t="str">
        <x:v>FCE-09</x:v>
      </x:c>
      <x:c r="F213" s="7" t="str">
        <x:v>manual/passive</x:v>
      </x:c>
      <x:c r="G213" s="7" t="n">
        <x:v>1</x:v>
      </x:c>
      <x:c r="H213" s="10" t="str"/>
      <x:c r="I213" s="10" t="str"/>
      <x:c r="J213" s="10" t="str"/>
      <x:c r="K213" s="7" t="str"/>
      <x:c r="L213" s="7" t="str">
        <x:v>OPEN</x:v>
      </x:c>
      <x:c r="M213" s="7"/>
    </x:row>
    <x:row r="214" ht="36" customHeight="1">
      <x:c r="B214" s="7" t="str">
        <x:v>RAE-PP-208</x:v>
      </x:c>
      <x:c r="C214" s="7" t="str">
        <x:v>RFP-C2-FCE-10-P</x:v>
      </x:c>
      <x:c r="D214" s="7" t="str">
        <x:v>RFP-C2</x:v>
      </x:c>
      <x:c r="E214" s="7" t="str">
        <x:v>FCE-10</x:v>
      </x:c>
      <x:c r="F214" s="7" t="str">
        <x:v>primary</x:v>
      </x:c>
      <x:c r="G214" s="7" t="n">
        <x:v>30</x:v>
      </x:c>
      <x:c r="H214" s="10" t="str"/>
      <x:c r="I214" s="10" t="str"/>
      <x:c r="J214" s="10" t="str"/>
      <x:c r="K214" s="7" t="str"/>
      <x:c r="L214" s="7" t="str">
        <x:v>OPEN</x:v>
      </x:c>
      <x:c r="M214" s="7"/>
    </x:row>
    <x:row r="215" ht="36" customHeight="1">
      <x:c r="B215" s="7" t="str">
        <x:v>RAE-PP-209</x:v>
      </x:c>
      <x:c r="C215" s="7" t="str">
        <x:v>RFP-C2-FCE-10-D</x:v>
      </x:c>
      <x:c r="D215" s="7" t="str">
        <x:v>RFP-C2</x:v>
      </x:c>
      <x:c r="E215" s="7" t="str">
        <x:v>FCE-10</x:v>
      </x:c>
      <x:c r="F215" s="7" t="str">
        <x:v>diverse</x:v>
      </x:c>
      <x:c r="G215" s="7" t="n">
        <x:v>30</x:v>
      </x:c>
      <x:c r="H215" s="10" t="str"/>
      <x:c r="I215" s="10" t="str"/>
      <x:c r="J215" s="10" t="str"/>
      <x:c r="K215" s="7" t="str"/>
      <x:c r="L215" s="7" t="str">
        <x:v>OPEN</x:v>
      </x:c>
      <x:c r="M215" s="7"/>
    </x:row>
    <x:row r="216" ht="36" customHeight="1">
      <x:c r="B216" s="7" t="str">
        <x:v>RAE-PP-210</x:v>
      </x:c>
      <x:c r="C216" s="7" t="str">
        <x:v>RFP-C2-FCE-10-M</x:v>
      </x:c>
      <x:c r="D216" s="7" t="str">
        <x:v>RFP-C2</x:v>
      </x:c>
      <x:c r="E216" s="7" t="str">
        <x:v>FCE-10</x:v>
      </x:c>
      <x:c r="F216" s="7" t="str">
        <x:v>manual/passive</x:v>
      </x:c>
      <x:c r="G216" s="7" t="n">
        <x:v>30</x:v>
      </x:c>
      <x:c r="H216" s="10" t="str"/>
      <x:c r="I216" s="10" t="str"/>
      <x:c r="J216" s="10" t="str"/>
      <x:c r="K216" s="7" t="str"/>
      <x:c r="L216" s="7" t="str">
        <x:v>OPEN</x:v>
      </x:c>
      <x:c r="M216" s="7"/>
    </x:row>
    <x:row r="217" ht="36" customHeight="1">
      <x:c r="B217" s="7" t="str">
        <x:v>RAE-PP-211</x:v>
      </x:c>
      <x:c r="C217" s="7" t="str">
        <x:v>RFP-C2-FCE-11-P</x:v>
      </x:c>
      <x:c r="D217" s="7" t="str">
        <x:v>RFP-C2</x:v>
      </x:c>
      <x:c r="E217" s="7" t="str">
        <x:v>FCE-11</x:v>
      </x:c>
      <x:c r="F217" s="7" t="str">
        <x:v>primary</x:v>
      </x:c>
      <x:c r="G217" s="7" t="n">
        <x:v>10</x:v>
      </x:c>
      <x:c r="H217" s="10" t="str"/>
      <x:c r="I217" s="10" t="str"/>
      <x:c r="J217" s="10" t="str"/>
      <x:c r="K217" s="7" t="str"/>
      <x:c r="L217" s="7" t="str">
        <x:v>OPEN</x:v>
      </x:c>
      <x:c r="M217" s="7"/>
    </x:row>
    <x:row r="218" ht="36" customHeight="1">
      <x:c r="B218" s="7" t="str">
        <x:v>RAE-PP-212</x:v>
      </x:c>
      <x:c r="C218" s="7" t="str">
        <x:v>RFP-C2-FCE-11-D</x:v>
      </x:c>
      <x:c r="D218" s="7" t="str">
        <x:v>RFP-C2</x:v>
      </x:c>
      <x:c r="E218" s="7" t="str">
        <x:v>FCE-11</x:v>
      </x:c>
      <x:c r="F218" s="7" t="str">
        <x:v>diverse</x:v>
      </x:c>
      <x:c r="G218" s="7" t="n">
        <x:v>10</x:v>
      </x:c>
      <x:c r="H218" s="10" t="str"/>
      <x:c r="I218" s="10" t="str"/>
      <x:c r="J218" s="10" t="str"/>
      <x:c r="K218" s="7" t="str"/>
      <x:c r="L218" s="7" t="str">
        <x:v>OPEN</x:v>
      </x:c>
      <x:c r="M218" s="7"/>
    </x:row>
    <x:row r="219" ht="36" customHeight="1">
      <x:c r="B219" s="7" t="str">
        <x:v>RAE-PP-213</x:v>
      </x:c>
      <x:c r="C219" s="7" t="str">
        <x:v>RFP-C2-FCE-11-M</x:v>
      </x:c>
      <x:c r="D219" s="7" t="str">
        <x:v>RFP-C2</x:v>
      </x:c>
      <x:c r="E219" s="7" t="str">
        <x:v>FCE-11</x:v>
      </x:c>
      <x:c r="F219" s="7" t="str">
        <x:v>manual/passive</x:v>
      </x:c>
      <x:c r="G219" s="7" t="n">
        <x:v>10</x:v>
      </x:c>
      <x:c r="H219" s="10" t="str"/>
      <x:c r="I219" s="10" t="str"/>
      <x:c r="J219" s="10" t="str"/>
      <x:c r="K219" s="7" t="str"/>
      <x:c r="L219" s="7" t="str">
        <x:v>OPEN</x:v>
      </x:c>
      <x:c r="M219" s="7"/>
    </x:row>
    <x:row r="220" ht="36" customHeight="1">
      <x:c r="B220" s="7" t="str">
        <x:v>RAE-PP-214</x:v>
      </x:c>
      <x:c r="C220" s="7" t="str">
        <x:v>RFP-C2-FCE-12-P</x:v>
      </x:c>
      <x:c r="D220" s="7" t="str">
        <x:v>RFP-C2</x:v>
      </x:c>
      <x:c r="E220" s="7" t="str">
        <x:v>FCE-12</x:v>
      </x:c>
      <x:c r="F220" s="7" t="str">
        <x:v>primary</x:v>
      </x:c>
      <x:c r="G220" s="7" t="n">
        <x:v>1</x:v>
      </x:c>
      <x:c r="H220" s="10" t="str"/>
      <x:c r="I220" s="10" t="str"/>
      <x:c r="J220" s="10" t="str"/>
      <x:c r="K220" s="7" t="str"/>
      <x:c r="L220" s="7" t="str">
        <x:v>OPEN</x:v>
      </x:c>
      <x:c r="M220" s="7"/>
    </x:row>
    <x:row r="221" ht="36" customHeight="1">
      <x:c r="B221" s="7" t="str">
        <x:v>RAE-PP-215</x:v>
      </x:c>
      <x:c r="C221" s="7" t="str">
        <x:v>RFP-C2-FCE-12-D</x:v>
      </x:c>
      <x:c r="D221" s="7" t="str">
        <x:v>RFP-C2</x:v>
      </x:c>
      <x:c r="E221" s="7" t="str">
        <x:v>FCE-12</x:v>
      </x:c>
      <x:c r="F221" s="7" t="str">
        <x:v>diverse</x:v>
      </x:c>
      <x:c r="G221" s="7" t="n">
        <x:v>1</x:v>
      </x:c>
      <x:c r="H221" s="10" t="str"/>
      <x:c r="I221" s="10" t="str"/>
      <x:c r="J221" s="10" t="str"/>
      <x:c r="K221" s="7" t="str"/>
      <x:c r="L221" s="7" t="str">
        <x:v>OPEN</x:v>
      </x:c>
      <x:c r="M221" s="7"/>
    </x:row>
    <x:row r="222" ht="36" customHeight="1">
      <x:c r="B222" s="7" t="str">
        <x:v>RAE-PP-216</x:v>
      </x:c>
      <x:c r="C222" s="7" t="str">
        <x:v>RFP-C2-FCE-12-M</x:v>
      </x:c>
      <x:c r="D222" s="7" t="str">
        <x:v>RFP-C2</x:v>
      </x:c>
      <x:c r="E222" s="7" t="str">
        <x:v>FCE-12</x:v>
      </x:c>
      <x:c r="F222" s="7" t="str">
        <x:v>manual/passive</x:v>
      </x:c>
      <x:c r="G222" s="7" t="n">
        <x:v>1</x:v>
      </x:c>
      <x:c r="H222" s="10" t="str"/>
      <x:c r="I222" s="10" t="str"/>
      <x:c r="J222" s="10" t="str"/>
      <x:c r="K222" s="7" t="str"/>
      <x:c r="L222" s="7" t="str">
        <x:v>OPEN</x:v>
      </x:c>
      <x:c r="M222" s="7"/>
    </x:row>
  </x:sheetData>
  <x:conditionalFormatting sqref="M7:M222">
    <x:cfRule type="containsText" dxfId="90" priority="1" operator="containsText" text="FAIL"/>
    <x:cfRule type="containsText" dxfId="91" priority="2" operator="containsText" text="INVALID"/>
    <x:cfRule type="containsText" dxfId="92" priority="3" operator="containsText" text="BLOCKED"/>
    <x:cfRule type="containsText" dxfId="93" priority="4" operator="containsText" text="OPEN"/>
    <x:cfRule type="containsText" dxfId="94" priority="5" operator="containsText" text="HELD"/>
    <x:cfRule type="containsText" dxfId="95" priority="6" operator="containsText" text="DORMANT"/>
    <x:cfRule type="containsText" dxfId="96" priority="7" operator="containsText" text="PASS"/>
    <x:cfRule type="containsText" dxfId="97" priority="8" operator="containsText" text="VALID"/>
    <x:cfRule type="containsText" dxfId="98" priority="9" operator="containsText" text="ISSUE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5" hidden="0" customWidth="1"/>
    <x:col min="4" max="4" width="16" hidden="0" customWidth="1"/>
    <x:col min="5" max="5" width="58" hidden="0" customWidth="1"/>
    <x:col min="6" max="6" width="61" hidden="0" customWidth="1"/>
    <x:col min="7" max="7" width="38" hidden="0" customWidth="1"/>
  </x:cols>
  <x:sheetData>
    <x:row r="2">
      <x:c r="B2" s="1" t="str">
        <x:v>Thirty-two walkdown definitions</x:v>
      </x:c>
    </x:row>
    <x:row r="3">
      <x:c r="B3" s="2" t="str">
        <x:v>The walkdown is a structured observation system, not a tour or a checklist substitute.</x:v>
      </x:c>
    </x:row>
    <x:row r="6" ht="24" customHeight="1">
      <x:c r="B6" s="6" t="str">
        <x:v>Definition</x:v>
      </x:c>
      <x:c r="C6" s="6" t="str">
        <x:v>Domain</x:v>
      </x:c>
      <x:c r="D6" s="6" t="str">
        <x:v>Question</x:v>
      </x:c>
      <x:c r="E6" s="6" t="str">
        <x:v>Object boundary</x:v>
      </x:c>
      <x:c r="F6" s="6" t="str">
        <x:v>Acceptance question</x:v>
      </x:c>
      <x:c r="G6" s="6" t="str">
        <x:v>Minimum witness</x:v>
      </x:c>
    </x:row>
    <x:row r="7" ht="42" customHeight="1">
      <x:c r="B7" s="7" t="str">
        <x:v>WD-01</x:v>
      </x:c>
      <x:c r="C7" s="7" t="str">
        <x:v>configuration</x:v>
      </x:c>
      <x:c r="D7" s="7" t="str">
        <x:v>identity</x:v>
      </x:c>
      <x:c r="E7" s="10" t="str">
        <x:v>article, cell section and master configuration</x:v>
      </x:c>
      <x:c r="F7" s="10" t="str">
        <x:v>serialized identity matches the event baseline</x:v>
      </x:c>
      <x:c r="G7" s="10" t="str">
        <x:v>one witness plus independent accepter</x:v>
      </x:c>
    </x:row>
    <x:row r="8" ht="42" customHeight="1">
      <x:c r="B8" s="7" t="str">
        <x:v>WD-02</x:v>
      </x:c>
      <x:c r="C8" s="7" t="str">
        <x:v>configuration</x:v>
      </x:c>
      <x:c r="D8" s="7" t="str">
        <x:v>capacity</x:v>
      </x:c>
      <x:c r="E8" s="10" t="str">
        <x:v>article, cell section and master configuration</x:v>
      </x:c>
      <x:c r="F8" s="10" t="str">
        <x:v>measured capacity or operating range covers the registered class</x:v>
      </x:c>
      <x:c r="G8" s="10" t="str">
        <x:v>one witness plus independent accepter</x:v>
      </x:c>
    </x:row>
    <x:row r="9" ht="42" customHeight="1">
      <x:c r="B9" s="7" t="str">
        <x:v>WD-03</x:v>
      </x:c>
      <x:c r="C9" s="7" t="str">
        <x:v>configuration</x:v>
      </x:c>
      <x:c r="D9" s="7" t="str">
        <x:v>state</x:v>
      </x:c>
      <x:c r="E9" s="10" t="str">
        <x:v>article, cell section and master configuration</x:v>
      </x:c>
      <x:c r="F9" s="10" t="str">
        <x:v>observed state matches the required pre-event state</x:v>
      </x:c>
      <x:c r="G9" s="10" t="str">
        <x:v>one witness plus independent accepter</x:v>
      </x:c>
    </x:row>
    <x:row r="10" ht="42" customHeight="1">
      <x:c r="B10" s="7" t="str">
        <x:v>WD-04</x:v>
      </x:c>
      <x:c r="C10" s="7" t="str">
        <x:v>configuration</x:v>
      </x:c>
      <x:c r="D10" s="7" t="str">
        <x:v>authority</x:v>
      </x:c>
      <x:c r="E10" s="10" t="str">
        <x:v>article, cell section and master configuration</x:v>
      </x:c>
      <x:c r="F10" s="10" t="str">
        <x:v>named owner accepts the observation for this event</x:v>
      </x:c>
      <x:c r="G10" s="10" t="str">
        <x:v>one witness plus independent accepter</x:v>
      </x:c>
    </x:row>
    <x:row r="11" ht="42" customHeight="1">
      <x:c r="B11" s="7" t="str">
        <x:v>WD-05</x:v>
      </x:c>
      <x:c r="C11" s="7" t="str">
        <x:v>source</x:v>
      </x:c>
      <x:c r="D11" s="7" t="str">
        <x:v>identity</x:v>
      </x:c>
      <x:c r="E11" s="10" t="str">
        <x:v>package, conditioning, identity and quarantine</x:v>
      </x:c>
      <x:c r="F11" s="10" t="str">
        <x:v>serialized identity matches the event baseline</x:v>
      </x:c>
      <x:c r="G11" s="10" t="str">
        <x:v>one witness plus independent accepter</x:v>
      </x:c>
    </x:row>
    <x:row r="12" ht="42" customHeight="1">
      <x:c r="B12" s="7" t="str">
        <x:v>WD-06</x:v>
      </x:c>
      <x:c r="C12" s="7" t="str">
        <x:v>source</x:v>
      </x:c>
      <x:c r="D12" s="7" t="str">
        <x:v>capacity</x:v>
      </x:c>
      <x:c r="E12" s="10" t="str">
        <x:v>package, conditioning, identity and quarantine</x:v>
      </x:c>
      <x:c r="F12" s="10" t="str">
        <x:v>measured capacity or operating range covers the registered class</x:v>
      </x:c>
      <x:c r="G12" s="10" t="str">
        <x:v>one witness plus independent accepter</x:v>
      </x:c>
    </x:row>
    <x:row r="13" ht="42" customHeight="1">
      <x:c r="B13" s="7" t="str">
        <x:v>WD-07</x:v>
      </x:c>
      <x:c r="C13" s="7" t="str">
        <x:v>source</x:v>
      </x:c>
      <x:c r="D13" s="7" t="str">
        <x:v>state</x:v>
      </x:c>
      <x:c r="E13" s="10" t="str">
        <x:v>package, conditioning, identity and quarantine</x:v>
      </x:c>
      <x:c r="F13" s="10" t="str">
        <x:v>observed state matches the required pre-event state</x:v>
      </x:c>
      <x:c r="G13" s="10" t="str">
        <x:v>one witness plus independent accepter</x:v>
      </x:c>
    </x:row>
    <x:row r="14" ht="42" customHeight="1">
      <x:c r="B14" s="7" t="str">
        <x:v>WD-08</x:v>
      </x:c>
      <x:c r="C14" s="7" t="str">
        <x:v>source</x:v>
      </x:c>
      <x:c r="D14" s="7" t="str">
        <x:v>authority</x:v>
      </x:c>
      <x:c r="E14" s="10" t="str">
        <x:v>package, conditioning, identity and quarantine</x:v>
      </x:c>
      <x:c r="F14" s="10" t="str">
        <x:v>named owner accepts the observation for this event</x:v>
      </x:c>
      <x:c r="G14" s="10" t="str">
        <x:v>one witness plus independent accepter</x:v>
      </x:c>
    </x:row>
    <x:row r="15" ht="42" customHeight="1">
      <x:c r="B15" s="7" t="str">
        <x:v>WD-09</x:v>
      </x:c>
      <x:c r="C15" s="7" t="str">
        <x:v>containment and terrain</x:v>
      </x:c>
      <x:c r="D15" s="7" t="str">
        <x:v>identity</x:v>
      </x:c>
      <x:c r="E15" s="10" t="str">
        <x:v>pan, catchment, grade and protected boundary</x:v>
      </x:c>
      <x:c r="F15" s="10" t="str">
        <x:v>serialized identity matches the event baseline</x:v>
      </x:c>
      <x:c r="G15" s="10" t="str">
        <x:v>one witness plus independent accepter</x:v>
      </x:c>
    </x:row>
    <x:row r="16" ht="42" customHeight="1">
      <x:c r="B16" s="7" t="str">
        <x:v>WD-10</x:v>
      </x:c>
      <x:c r="C16" s="7" t="str">
        <x:v>containment and terrain</x:v>
      </x:c>
      <x:c r="D16" s="7" t="str">
        <x:v>capacity</x:v>
      </x:c>
      <x:c r="E16" s="10" t="str">
        <x:v>pan, catchment, grade and protected boundary</x:v>
      </x:c>
      <x:c r="F16" s="10" t="str">
        <x:v>measured capacity or operating range covers the registered class</x:v>
      </x:c>
      <x:c r="G16" s="10" t="str">
        <x:v>one witness plus independent accepter</x:v>
      </x:c>
    </x:row>
    <x:row r="17" ht="42" customHeight="1">
      <x:c r="B17" s="7" t="str">
        <x:v>WD-11</x:v>
      </x:c>
      <x:c r="C17" s="7" t="str">
        <x:v>containment and terrain</x:v>
      </x:c>
      <x:c r="D17" s="7" t="str">
        <x:v>state</x:v>
      </x:c>
      <x:c r="E17" s="10" t="str">
        <x:v>pan, catchment, grade and protected boundary</x:v>
      </x:c>
      <x:c r="F17" s="10" t="str">
        <x:v>observed state matches the required pre-event state</x:v>
      </x:c>
      <x:c r="G17" s="10" t="str">
        <x:v>one witness plus independent accepter</x:v>
      </x:c>
    </x:row>
    <x:row r="18" ht="42" customHeight="1">
      <x:c r="B18" s="7" t="str">
        <x:v>WD-12</x:v>
      </x:c>
      <x:c r="C18" s="7" t="str">
        <x:v>containment and terrain</x:v>
      </x:c>
      <x:c r="D18" s="7" t="str">
        <x:v>authority</x:v>
      </x:c>
      <x:c r="E18" s="10" t="str">
        <x:v>pan, catchment, grade and protected boundary</x:v>
      </x:c>
      <x:c r="F18" s="10" t="str">
        <x:v>named owner accepts the observation for this event</x:v>
      </x:c>
      <x:c r="G18" s="10" t="str">
        <x:v>one witness plus independent accepter</x:v>
      </x:c>
    </x:row>
    <x:row r="19" ht="42" customHeight="1">
      <x:c r="B19" s="7" t="str">
        <x:v>WD-13</x:v>
      </x:c>
      <x:c r="C19" s="7" t="str">
        <x:v>water and receivers</x:v>
      </x:c>
      <x:c r="D19" s="7" t="str">
        <x:v>identity</x:v>
      </x:c>
      <x:c r="E19" s="10" t="str">
        <x:v>initial inventories, isolation and free volume</x:v>
      </x:c>
      <x:c r="F19" s="10" t="str">
        <x:v>serialized identity matches the event baseline</x:v>
      </x:c>
      <x:c r="G19" s="10" t="str">
        <x:v>one witness plus independent accepter</x:v>
      </x:c>
    </x:row>
    <x:row r="20" ht="42" customHeight="1">
      <x:c r="B20" s="7" t="str">
        <x:v>WD-14</x:v>
      </x:c>
      <x:c r="C20" s="7" t="str">
        <x:v>water and receivers</x:v>
      </x:c>
      <x:c r="D20" s="7" t="str">
        <x:v>capacity</x:v>
      </x:c>
      <x:c r="E20" s="10" t="str">
        <x:v>initial inventories, isolation and free volume</x:v>
      </x:c>
      <x:c r="F20" s="10" t="str">
        <x:v>measured capacity or operating range covers the registered class</x:v>
      </x:c>
      <x:c r="G20" s="10" t="str">
        <x:v>one witness plus independent accepter</x:v>
      </x:c>
    </x:row>
    <x:row r="21" ht="42" customHeight="1">
      <x:c r="B21" s="7" t="str">
        <x:v>WD-15</x:v>
      </x:c>
      <x:c r="C21" s="7" t="str">
        <x:v>water and receivers</x:v>
      </x:c>
      <x:c r="D21" s="7" t="str">
        <x:v>state</x:v>
      </x:c>
      <x:c r="E21" s="10" t="str">
        <x:v>initial inventories, isolation and free volume</x:v>
      </x:c>
      <x:c r="F21" s="10" t="str">
        <x:v>observed state matches the required pre-event state</x:v>
      </x:c>
      <x:c r="G21" s="10" t="str">
        <x:v>one witness plus independent accepter</x:v>
      </x:c>
    </x:row>
    <x:row r="22" ht="42" customHeight="1">
      <x:c r="B22" s="7" t="str">
        <x:v>WD-16</x:v>
      </x:c>
      <x:c r="C22" s="7" t="str">
        <x:v>water and receivers</x:v>
      </x:c>
      <x:c r="D22" s="7" t="str">
        <x:v>authority</x:v>
      </x:c>
      <x:c r="E22" s="10" t="str">
        <x:v>initial inventories, isolation and free volume</x:v>
      </x:c>
      <x:c r="F22" s="10" t="str">
        <x:v>named owner accepts the observation for this event</x:v>
      </x:c>
      <x:c r="G22" s="10" t="str">
        <x:v>one witness plus independent accepter</x:v>
      </x:c>
    </x:row>
    <x:row r="23" ht="42" customHeight="1">
      <x:c r="B23" s="7" t="str">
        <x:v>WD-17</x:v>
      </x:c>
      <x:c r="C23" s="7" t="str">
        <x:v>safety and control</x:v>
      </x:c>
      <x:c r="D23" s="7" t="str">
        <x:v>identity</x:v>
      </x:c>
      <x:c r="E23" s="10" t="str">
        <x:v>final elements, motive energy and local indication</x:v>
      </x:c>
      <x:c r="F23" s="10" t="str">
        <x:v>serialized identity matches the event baseline</x:v>
      </x:c>
      <x:c r="G23" s="10" t="str">
        <x:v>one witness plus independent accepter</x:v>
      </x:c>
    </x:row>
    <x:row r="24" ht="42" customHeight="1">
      <x:c r="B24" s="7" t="str">
        <x:v>WD-18</x:v>
      </x:c>
      <x:c r="C24" s="7" t="str">
        <x:v>safety and control</x:v>
      </x:c>
      <x:c r="D24" s="7" t="str">
        <x:v>capacity</x:v>
      </x:c>
      <x:c r="E24" s="10" t="str">
        <x:v>final elements, motive energy and local indication</x:v>
      </x:c>
      <x:c r="F24" s="10" t="str">
        <x:v>measured capacity or operating range covers the registered class</x:v>
      </x:c>
      <x:c r="G24" s="10" t="str">
        <x:v>one witness plus independent accepter</x:v>
      </x:c>
    </x:row>
    <x:row r="25" ht="42" customHeight="1">
      <x:c r="B25" s="7" t="str">
        <x:v>WD-19</x:v>
      </x:c>
      <x:c r="C25" s="7" t="str">
        <x:v>safety and control</x:v>
      </x:c>
      <x:c r="D25" s="7" t="str">
        <x:v>state</x:v>
      </x:c>
      <x:c r="E25" s="10" t="str">
        <x:v>final elements, motive energy and local indication</x:v>
      </x:c>
      <x:c r="F25" s="10" t="str">
        <x:v>observed state matches the required pre-event state</x:v>
      </x:c>
      <x:c r="G25" s="10" t="str">
        <x:v>one witness plus independent accepter</x:v>
      </x:c>
    </x:row>
    <x:row r="26" ht="42" customHeight="1">
      <x:c r="B26" s="7" t="str">
        <x:v>WD-20</x:v>
      </x:c>
      <x:c r="C26" s="7" t="str">
        <x:v>safety and control</x:v>
      </x:c>
      <x:c r="D26" s="7" t="str">
        <x:v>authority</x:v>
      </x:c>
      <x:c r="E26" s="10" t="str">
        <x:v>final elements, motive energy and local indication</x:v>
      </x:c>
      <x:c r="F26" s="10" t="str">
        <x:v>named owner accepts the observation for this event</x:v>
      </x:c>
      <x:c r="G26" s="10" t="str">
        <x:v>one witness plus independent accepter</x:v>
      </x:c>
    </x:row>
    <x:row r="27" ht="42" customHeight="1">
      <x:c r="B27" s="7" t="str">
        <x:v>WD-21</x:v>
      </x:c>
      <x:c r="C27" s="7" t="str">
        <x:v>measurement and time</x:v>
      </x:c>
      <x:c r="D27" s="7" t="str">
        <x:v>identity</x:v>
      </x:c>
      <x:c r="E27" s="10" t="str">
        <x:v>calibration, common epoch and native capture</x:v>
      </x:c>
      <x:c r="F27" s="10" t="str">
        <x:v>serialized identity matches the event baseline</x:v>
      </x:c>
      <x:c r="G27" s="10" t="str">
        <x:v>one witness plus independent accepter</x:v>
      </x:c>
    </x:row>
    <x:row r="28" ht="42" customHeight="1">
      <x:c r="B28" s="7" t="str">
        <x:v>WD-22</x:v>
      </x:c>
      <x:c r="C28" s="7" t="str">
        <x:v>measurement and time</x:v>
      </x:c>
      <x:c r="D28" s="7" t="str">
        <x:v>capacity</x:v>
      </x:c>
      <x:c r="E28" s="10" t="str">
        <x:v>calibration, common epoch and native capture</x:v>
      </x:c>
      <x:c r="F28" s="10" t="str">
        <x:v>measured capacity or operating range covers the registered class</x:v>
      </x:c>
      <x:c r="G28" s="10" t="str">
        <x:v>one witness plus independent accepter</x:v>
      </x:c>
    </x:row>
    <x:row r="29" ht="42" customHeight="1">
      <x:c r="B29" s="7" t="str">
        <x:v>WD-23</x:v>
      </x:c>
      <x:c r="C29" s="7" t="str">
        <x:v>measurement and time</x:v>
      </x:c>
      <x:c r="D29" s="7" t="str">
        <x:v>state</x:v>
      </x:c>
      <x:c r="E29" s="10" t="str">
        <x:v>calibration, common epoch and native capture</x:v>
      </x:c>
      <x:c r="F29" s="10" t="str">
        <x:v>observed state matches the required pre-event state</x:v>
      </x:c>
      <x:c r="G29" s="10" t="str">
        <x:v>one witness plus independent accepter</x:v>
      </x:c>
    </x:row>
    <x:row r="30" ht="42" customHeight="1">
      <x:c r="B30" s="7" t="str">
        <x:v>WD-24</x:v>
      </x:c>
      <x:c r="C30" s="7" t="str">
        <x:v>measurement and time</x:v>
      </x:c>
      <x:c r="D30" s="7" t="str">
        <x:v>authority</x:v>
      </x:c>
      <x:c r="E30" s="10" t="str">
        <x:v>calibration, common epoch and native capture</x:v>
      </x:c>
      <x:c r="F30" s="10" t="str">
        <x:v>named owner accepts the observation for this event</x:v>
      </x:c>
      <x:c r="G30" s="10" t="str">
        <x:v>one witness plus independent accepter</x:v>
      </x:c>
    </x:row>
    <x:row r="31" ht="42" customHeight="1">
      <x:c r="B31" s="7" t="str">
        <x:v>WD-25</x:v>
      </x:c>
      <x:c r="C31" s="7" t="str">
        <x:v>environment and recovery</x:v>
      </x:c>
      <x:c r="D31" s="7" t="str">
        <x:v>identity</x:v>
      </x:c>
      <x:c r="E31" s="10" t="str">
        <x:v>background, sampling and post-event custody</x:v>
      </x:c>
      <x:c r="F31" s="10" t="str">
        <x:v>serialized identity matches the event baseline</x:v>
      </x:c>
      <x:c r="G31" s="10" t="str">
        <x:v>one witness plus independent accepter</x:v>
      </x:c>
    </x:row>
    <x:row r="32" ht="42" customHeight="1">
      <x:c r="B32" s="7" t="str">
        <x:v>WD-26</x:v>
      </x:c>
      <x:c r="C32" s="7" t="str">
        <x:v>environment and recovery</x:v>
      </x:c>
      <x:c r="D32" s="7" t="str">
        <x:v>capacity</x:v>
      </x:c>
      <x:c r="E32" s="10" t="str">
        <x:v>background, sampling and post-event custody</x:v>
      </x:c>
      <x:c r="F32" s="10" t="str">
        <x:v>measured capacity or operating range covers the registered class</x:v>
      </x:c>
      <x:c r="G32" s="10" t="str">
        <x:v>one witness plus independent accepter</x:v>
      </x:c>
    </x:row>
    <x:row r="33" ht="42" customHeight="1">
      <x:c r="B33" s="7" t="str">
        <x:v>WD-27</x:v>
      </x:c>
      <x:c r="C33" s="7" t="str">
        <x:v>environment and recovery</x:v>
      </x:c>
      <x:c r="D33" s="7" t="str">
        <x:v>state</x:v>
      </x:c>
      <x:c r="E33" s="10" t="str">
        <x:v>background, sampling and post-event custody</x:v>
      </x:c>
      <x:c r="F33" s="10" t="str">
        <x:v>observed state matches the required pre-event state</x:v>
      </x:c>
      <x:c r="G33" s="10" t="str">
        <x:v>one witness plus independent accepter</x:v>
      </x:c>
    </x:row>
    <x:row r="34" ht="42" customHeight="1">
      <x:c r="B34" s="7" t="str">
        <x:v>WD-28</x:v>
      </x:c>
      <x:c r="C34" s="7" t="str">
        <x:v>environment and recovery</x:v>
      </x:c>
      <x:c r="D34" s="7" t="str">
        <x:v>authority</x:v>
      </x:c>
      <x:c r="E34" s="10" t="str">
        <x:v>background, sampling and post-event custody</x:v>
      </x:c>
      <x:c r="F34" s="10" t="str">
        <x:v>named owner accepts the observation for this event</x:v>
      </x:c>
      <x:c r="G34" s="10" t="str">
        <x:v>one witness plus independent accepter</x:v>
      </x:c>
    </x:row>
    <x:row r="35" ht="42" customHeight="1">
      <x:c r="B35" s="7" t="str">
        <x:v>WD-29</x:v>
      </x:c>
      <x:c r="C35" s="7" t="str">
        <x:v>rescue and authority</x:v>
      </x:c>
      <x:c r="D35" s="7" t="str">
        <x:v>identity</x:v>
      </x:c>
      <x:c r="E35" s="10" t="str">
        <x:v>rescue posture, abort rights and named issuers</x:v>
      </x:c>
      <x:c r="F35" s="10" t="str">
        <x:v>serialized identity matches the event baseline</x:v>
      </x:c>
      <x:c r="G35" s="10" t="str">
        <x:v>one witness plus independent accepter</x:v>
      </x:c>
    </x:row>
    <x:row r="36" ht="42" customHeight="1">
      <x:c r="B36" s="7" t="str">
        <x:v>WD-30</x:v>
      </x:c>
      <x:c r="C36" s="7" t="str">
        <x:v>rescue and authority</x:v>
      </x:c>
      <x:c r="D36" s="7" t="str">
        <x:v>capacity</x:v>
      </x:c>
      <x:c r="E36" s="10" t="str">
        <x:v>rescue posture, abort rights and named issuers</x:v>
      </x:c>
      <x:c r="F36" s="10" t="str">
        <x:v>measured capacity or operating range covers the registered class</x:v>
      </x:c>
      <x:c r="G36" s="10" t="str">
        <x:v>one witness plus independent accepter</x:v>
      </x:c>
    </x:row>
    <x:row r="37" ht="42" customHeight="1">
      <x:c r="B37" s="7" t="str">
        <x:v>WD-31</x:v>
      </x:c>
      <x:c r="C37" s="7" t="str">
        <x:v>rescue and authority</x:v>
      </x:c>
      <x:c r="D37" s="7" t="str">
        <x:v>state</x:v>
      </x:c>
      <x:c r="E37" s="10" t="str">
        <x:v>rescue posture, abort rights and named issuers</x:v>
      </x:c>
      <x:c r="F37" s="10" t="str">
        <x:v>observed state matches the required pre-event state</x:v>
      </x:c>
      <x:c r="G37" s="10" t="str">
        <x:v>one witness plus independent accepter</x:v>
      </x:c>
    </x:row>
    <x:row r="38" ht="42" customHeight="1">
      <x:c r="B38" s="7" t="str">
        <x:v>WD-32</x:v>
      </x:c>
      <x:c r="C38" s="7" t="str">
        <x:v>rescue and authority</x:v>
      </x:c>
      <x:c r="D38" s="7" t="str">
        <x:v>authority</x:v>
      </x:c>
      <x:c r="E38" s="10" t="str">
        <x:v>rescue posture, abort rights and named issuers</x:v>
      </x:c>
      <x:c r="F38" s="10" t="str">
        <x:v>named owner accepts the observation for this event</x:v>
      </x:c>
      <x:c r="G38" s="10" t="str">
        <x:v>one witness plus independent accepter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3" hidden="0" customWidth="1"/>
    <x:col min="3" max="3" width="14" hidden="0" customWidth="1"/>
    <x:col min="4" max="4" width="13" hidden="0" customWidth="1"/>
    <x:col min="5" max="5" width="14" hidden="0" customWidth="1"/>
    <x:col min="6" max="6" width="26" hidden="0" customWidth="1"/>
    <x:col min="7" max="7" width="16" hidden="0" customWidth="1"/>
    <x:col min="8" max="8" width="54" hidden="0" customWidth="1"/>
    <x:col min="9" max="9" width="21" hidden="0" customWidth="1"/>
    <x:col min="10" max="10" width="14" hidden="0" customWidth="1"/>
  </x:cols>
  <x:sheetData>
    <x:row r="2">
      <x:c r="B2" s="1" t="str">
        <x:v>One hundred ninety-two rig walkdown records</x:v>
      </x:c>
    </x:row>
    <x:row r="3">
      <x:c r="B3" s="2" t="str">
        <x:v>Each definition is accepted separately on every rig. A campus-level observation cannot stand in for a rig record.</x:v>
      </x:c>
    </x:row>
    <x:row r="6" ht="24" customHeight="1">
      <x:c r="B6" s="6" t="str">
        <x:v>Record</x:v>
      </x:c>
      <x:c r="C6" s="6" t="str">
        <x:v>Rig</x:v>
      </x:c>
      <x:c r="D6" s="6" t="str">
        <x:v>Campus</x:v>
      </x:c>
      <x:c r="E6" s="6" t="str">
        <x:v>Definition</x:v>
      </x:c>
      <x:c r="F6" s="6" t="str">
        <x:v>Domain</x:v>
      </x:c>
      <x:c r="G6" s="6" t="str">
        <x:v>Question</x:v>
      </x:c>
      <x:c r="H6" s="6" t="str">
        <x:v>Observed condition</x:v>
      </x:c>
      <x:c r="I6" s="6" t="str">
        <x:v>Accepted UTC</x:v>
      </x:c>
      <x:c r="J6" s="6" t="str">
        <x:v>State</x:v>
      </x:c>
    </x:row>
    <x:row r="7" ht="36" customHeight="1">
      <x:c r="B7" s="7" t="str">
        <x:v>RFP-A1-WD-01</x:v>
      </x:c>
      <x:c r="C7" s="7" t="str">
        <x:v>RFP-A1</x:v>
      </x:c>
      <x:c r="D7" s="7" t="str">
        <x:v>PTC-A</x:v>
      </x:c>
      <x:c r="E7" s="7" t="str">
        <x:v>WD-01</x:v>
      </x:c>
      <x:c r="F7" s="7" t="str">
        <x:v>configuration</x:v>
      </x:c>
      <x:c r="G7" s="7" t="str">
        <x:v>identity</x:v>
      </x:c>
      <x:c r="H7" s="10" t="str"/>
      <x:c r="I7" s="7" t="str"/>
      <x:c r="J7" s="7" t="str">
        <x:v>OPEN</x:v>
      </x:c>
    </x:row>
    <x:row r="8" ht="36" customHeight="1">
      <x:c r="B8" s="7" t="str">
        <x:v>RFP-A1-WD-02</x:v>
      </x:c>
      <x:c r="C8" s="7" t="str">
        <x:v>RFP-A1</x:v>
      </x:c>
      <x:c r="D8" s="7" t="str">
        <x:v>PTC-A</x:v>
      </x:c>
      <x:c r="E8" s="7" t="str">
        <x:v>WD-02</x:v>
      </x:c>
      <x:c r="F8" s="7" t="str">
        <x:v>configuration</x:v>
      </x:c>
      <x:c r="G8" s="7" t="str">
        <x:v>capacity</x:v>
      </x:c>
      <x:c r="H8" s="10" t="str"/>
      <x:c r="I8" s="7" t="str"/>
      <x:c r="J8" s="7" t="str">
        <x:v>OPEN</x:v>
      </x:c>
    </x:row>
    <x:row r="9" ht="36" customHeight="1">
      <x:c r="B9" s="7" t="str">
        <x:v>RFP-A1-WD-03</x:v>
      </x:c>
      <x:c r="C9" s="7" t="str">
        <x:v>RFP-A1</x:v>
      </x:c>
      <x:c r="D9" s="7" t="str">
        <x:v>PTC-A</x:v>
      </x:c>
      <x:c r="E9" s="7" t="str">
        <x:v>WD-03</x:v>
      </x:c>
      <x:c r="F9" s="7" t="str">
        <x:v>configuration</x:v>
      </x:c>
      <x:c r="G9" s="7" t="str">
        <x:v>state</x:v>
      </x:c>
      <x:c r="H9" s="10" t="str"/>
      <x:c r="I9" s="7" t="str"/>
      <x:c r="J9" s="7" t="str">
        <x:v>OPEN</x:v>
      </x:c>
    </x:row>
    <x:row r="10" ht="36" customHeight="1">
      <x:c r="B10" s="7" t="str">
        <x:v>RFP-A1-WD-04</x:v>
      </x:c>
      <x:c r="C10" s="7" t="str">
        <x:v>RFP-A1</x:v>
      </x:c>
      <x:c r="D10" s="7" t="str">
        <x:v>PTC-A</x:v>
      </x:c>
      <x:c r="E10" s="7" t="str">
        <x:v>WD-04</x:v>
      </x:c>
      <x:c r="F10" s="7" t="str">
        <x:v>configuration</x:v>
      </x:c>
      <x:c r="G10" s="7" t="str">
        <x:v>authority</x:v>
      </x:c>
      <x:c r="H10" s="10" t="str"/>
      <x:c r="I10" s="7" t="str"/>
      <x:c r="J10" s="7" t="str">
        <x:v>OPEN</x:v>
      </x:c>
    </x:row>
    <x:row r="11" ht="36" customHeight="1">
      <x:c r="B11" s="7" t="str">
        <x:v>RFP-A1-WD-05</x:v>
      </x:c>
      <x:c r="C11" s="7" t="str">
        <x:v>RFP-A1</x:v>
      </x:c>
      <x:c r="D11" s="7" t="str">
        <x:v>PTC-A</x:v>
      </x:c>
      <x:c r="E11" s="7" t="str">
        <x:v>WD-05</x:v>
      </x:c>
      <x:c r="F11" s="7" t="str">
        <x:v>source</x:v>
      </x:c>
      <x:c r="G11" s="7" t="str">
        <x:v>identity</x:v>
      </x:c>
      <x:c r="H11" s="10" t="str"/>
      <x:c r="I11" s="7" t="str"/>
      <x:c r="J11" s="7" t="str">
        <x:v>OPEN</x:v>
      </x:c>
    </x:row>
    <x:row r="12" ht="36" customHeight="1">
      <x:c r="B12" s="7" t="str">
        <x:v>RFP-A1-WD-06</x:v>
      </x:c>
      <x:c r="C12" s="7" t="str">
        <x:v>RFP-A1</x:v>
      </x:c>
      <x:c r="D12" s="7" t="str">
        <x:v>PTC-A</x:v>
      </x:c>
      <x:c r="E12" s="7" t="str">
        <x:v>WD-06</x:v>
      </x:c>
      <x:c r="F12" s="7" t="str">
        <x:v>source</x:v>
      </x:c>
      <x:c r="G12" s="7" t="str">
        <x:v>capacity</x:v>
      </x:c>
      <x:c r="H12" s="10" t="str"/>
      <x:c r="I12" s="7" t="str"/>
      <x:c r="J12" s="7" t="str">
        <x:v>OPEN</x:v>
      </x:c>
    </x:row>
    <x:row r="13" ht="36" customHeight="1">
      <x:c r="B13" s="7" t="str">
        <x:v>RFP-A1-WD-07</x:v>
      </x:c>
      <x:c r="C13" s="7" t="str">
        <x:v>RFP-A1</x:v>
      </x:c>
      <x:c r="D13" s="7" t="str">
        <x:v>PTC-A</x:v>
      </x:c>
      <x:c r="E13" s="7" t="str">
        <x:v>WD-07</x:v>
      </x:c>
      <x:c r="F13" s="7" t="str">
        <x:v>source</x:v>
      </x:c>
      <x:c r="G13" s="7" t="str">
        <x:v>state</x:v>
      </x:c>
      <x:c r="H13" s="10" t="str"/>
      <x:c r="I13" s="7" t="str"/>
      <x:c r="J13" s="7" t="str">
        <x:v>OPEN</x:v>
      </x:c>
    </x:row>
    <x:row r="14" ht="36" customHeight="1">
      <x:c r="B14" s="7" t="str">
        <x:v>RFP-A1-WD-08</x:v>
      </x:c>
      <x:c r="C14" s="7" t="str">
        <x:v>RFP-A1</x:v>
      </x:c>
      <x:c r="D14" s="7" t="str">
        <x:v>PTC-A</x:v>
      </x:c>
      <x:c r="E14" s="7" t="str">
        <x:v>WD-08</x:v>
      </x:c>
      <x:c r="F14" s="7" t="str">
        <x:v>source</x:v>
      </x:c>
      <x:c r="G14" s="7" t="str">
        <x:v>authority</x:v>
      </x:c>
      <x:c r="H14" s="10" t="str"/>
      <x:c r="I14" s="7" t="str"/>
      <x:c r="J14" s="7" t="str">
        <x:v>OPEN</x:v>
      </x:c>
    </x:row>
    <x:row r="15" ht="36" customHeight="1">
      <x:c r="B15" s="7" t="str">
        <x:v>RFP-A1-WD-09</x:v>
      </x:c>
      <x:c r="C15" s="7" t="str">
        <x:v>RFP-A1</x:v>
      </x:c>
      <x:c r="D15" s="7" t="str">
        <x:v>PTC-A</x:v>
      </x:c>
      <x:c r="E15" s="7" t="str">
        <x:v>WD-09</x:v>
      </x:c>
      <x:c r="F15" s="7" t="str">
        <x:v>containment and terrain</x:v>
      </x:c>
      <x:c r="G15" s="7" t="str">
        <x:v>identity</x:v>
      </x:c>
      <x:c r="H15" s="10" t="str"/>
      <x:c r="I15" s="7" t="str"/>
      <x:c r="J15" s="7" t="str">
        <x:v>OPEN</x:v>
      </x:c>
    </x:row>
    <x:row r="16" ht="36" customHeight="1">
      <x:c r="B16" s="7" t="str">
        <x:v>RFP-A1-WD-10</x:v>
      </x:c>
      <x:c r="C16" s="7" t="str">
        <x:v>RFP-A1</x:v>
      </x:c>
      <x:c r="D16" s="7" t="str">
        <x:v>PTC-A</x:v>
      </x:c>
      <x:c r="E16" s="7" t="str">
        <x:v>WD-10</x:v>
      </x:c>
      <x:c r="F16" s="7" t="str">
        <x:v>containment and terrain</x:v>
      </x:c>
      <x:c r="G16" s="7" t="str">
        <x:v>capacity</x:v>
      </x:c>
      <x:c r="H16" s="10" t="str"/>
      <x:c r="I16" s="7" t="str"/>
      <x:c r="J16" s="7" t="str">
        <x:v>OPEN</x:v>
      </x:c>
    </x:row>
    <x:row r="17" ht="36" customHeight="1">
      <x:c r="B17" s="7" t="str">
        <x:v>RFP-A1-WD-11</x:v>
      </x:c>
      <x:c r="C17" s="7" t="str">
        <x:v>RFP-A1</x:v>
      </x:c>
      <x:c r="D17" s="7" t="str">
        <x:v>PTC-A</x:v>
      </x:c>
      <x:c r="E17" s="7" t="str">
        <x:v>WD-11</x:v>
      </x:c>
      <x:c r="F17" s="7" t="str">
        <x:v>containment and terrain</x:v>
      </x:c>
      <x:c r="G17" s="7" t="str">
        <x:v>state</x:v>
      </x:c>
      <x:c r="H17" s="10" t="str"/>
      <x:c r="I17" s="7" t="str"/>
      <x:c r="J17" s="7" t="str">
        <x:v>OPEN</x:v>
      </x:c>
    </x:row>
    <x:row r="18" ht="36" customHeight="1">
      <x:c r="B18" s="7" t="str">
        <x:v>RFP-A1-WD-12</x:v>
      </x:c>
      <x:c r="C18" s="7" t="str">
        <x:v>RFP-A1</x:v>
      </x:c>
      <x:c r="D18" s="7" t="str">
        <x:v>PTC-A</x:v>
      </x:c>
      <x:c r="E18" s="7" t="str">
        <x:v>WD-12</x:v>
      </x:c>
      <x:c r="F18" s="7" t="str">
        <x:v>containment and terrain</x:v>
      </x:c>
      <x:c r="G18" s="7" t="str">
        <x:v>authority</x:v>
      </x:c>
      <x:c r="H18" s="10" t="str"/>
      <x:c r="I18" s="7" t="str"/>
      <x:c r="J18" s="7" t="str">
        <x:v>OPEN</x:v>
      </x:c>
    </x:row>
    <x:row r="19" ht="36" customHeight="1">
      <x:c r="B19" s="7" t="str">
        <x:v>RFP-A1-WD-13</x:v>
      </x:c>
      <x:c r="C19" s="7" t="str">
        <x:v>RFP-A1</x:v>
      </x:c>
      <x:c r="D19" s="7" t="str">
        <x:v>PTC-A</x:v>
      </x:c>
      <x:c r="E19" s="7" t="str">
        <x:v>WD-13</x:v>
      </x:c>
      <x:c r="F19" s="7" t="str">
        <x:v>water and receivers</x:v>
      </x:c>
      <x:c r="G19" s="7" t="str">
        <x:v>identity</x:v>
      </x:c>
      <x:c r="H19" s="10" t="str"/>
      <x:c r="I19" s="7" t="str"/>
      <x:c r="J19" s="7" t="str">
        <x:v>OPEN</x:v>
      </x:c>
    </x:row>
    <x:row r="20" ht="36" customHeight="1">
      <x:c r="B20" s="7" t="str">
        <x:v>RFP-A1-WD-14</x:v>
      </x:c>
      <x:c r="C20" s="7" t="str">
        <x:v>RFP-A1</x:v>
      </x:c>
      <x:c r="D20" s="7" t="str">
        <x:v>PTC-A</x:v>
      </x:c>
      <x:c r="E20" s="7" t="str">
        <x:v>WD-14</x:v>
      </x:c>
      <x:c r="F20" s="7" t="str">
        <x:v>water and receivers</x:v>
      </x:c>
      <x:c r="G20" s="7" t="str">
        <x:v>capacity</x:v>
      </x:c>
      <x:c r="H20" s="10" t="str"/>
      <x:c r="I20" s="7" t="str"/>
      <x:c r="J20" s="7" t="str">
        <x:v>OPEN</x:v>
      </x:c>
    </x:row>
    <x:row r="21" ht="36" customHeight="1">
      <x:c r="B21" s="7" t="str">
        <x:v>RFP-A1-WD-15</x:v>
      </x:c>
      <x:c r="C21" s="7" t="str">
        <x:v>RFP-A1</x:v>
      </x:c>
      <x:c r="D21" s="7" t="str">
        <x:v>PTC-A</x:v>
      </x:c>
      <x:c r="E21" s="7" t="str">
        <x:v>WD-15</x:v>
      </x:c>
      <x:c r="F21" s="7" t="str">
        <x:v>water and receivers</x:v>
      </x:c>
      <x:c r="G21" s="7" t="str">
        <x:v>state</x:v>
      </x:c>
      <x:c r="H21" s="10" t="str"/>
      <x:c r="I21" s="7" t="str"/>
      <x:c r="J21" s="7" t="str">
        <x:v>OPEN</x:v>
      </x:c>
    </x:row>
    <x:row r="22" ht="36" customHeight="1">
      <x:c r="B22" s="7" t="str">
        <x:v>RFP-A1-WD-16</x:v>
      </x:c>
      <x:c r="C22" s="7" t="str">
        <x:v>RFP-A1</x:v>
      </x:c>
      <x:c r="D22" s="7" t="str">
        <x:v>PTC-A</x:v>
      </x:c>
      <x:c r="E22" s="7" t="str">
        <x:v>WD-16</x:v>
      </x:c>
      <x:c r="F22" s="7" t="str">
        <x:v>water and receivers</x:v>
      </x:c>
      <x:c r="G22" s="7" t="str">
        <x:v>authority</x:v>
      </x:c>
      <x:c r="H22" s="10" t="str"/>
      <x:c r="I22" s="7" t="str"/>
      <x:c r="J22" s="7" t="str">
        <x:v>OPEN</x:v>
      </x:c>
    </x:row>
    <x:row r="23" ht="36" customHeight="1">
      <x:c r="B23" s="7" t="str">
        <x:v>RFP-A1-WD-17</x:v>
      </x:c>
      <x:c r="C23" s="7" t="str">
        <x:v>RFP-A1</x:v>
      </x:c>
      <x:c r="D23" s="7" t="str">
        <x:v>PTC-A</x:v>
      </x:c>
      <x:c r="E23" s="7" t="str">
        <x:v>WD-17</x:v>
      </x:c>
      <x:c r="F23" s="7" t="str">
        <x:v>safety and control</x:v>
      </x:c>
      <x:c r="G23" s="7" t="str">
        <x:v>identity</x:v>
      </x:c>
      <x:c r="H23" s="10" t="str"/>
      <x:c r="I23" s="7" t="str"/>
      <x:c r="J23" s="7" t="str">
        <x:v>OPEN</x:v>
      </x:c>
    </x:row>
    <x:row r="24" ht="36" customHeight="1">
      <x:c r="B24" s="7" t="str">
        <x:v>RFP-A1-WD-18</x:v>
      </x:c>
      <x:c r="C24" s="7" t="str">
        <x:v>RFP-A1</x:v>
      </x:c>
      <x:c r="D24" s="7" t="str">
        <x:v>PTC-A</x:v>
      </x:c>
      <x:c r="E24" s="7" t="str">
        <x:v>WD-18</x:v>
      </x:c>
      <x:c r="F24" s="7" t="str">
        <x:v>safety and control</x:v>
      </x:c>
      <x:c r="G24" s="7" t="str">
        <x:v>capacity</x:v>
      </x:c>
      <x:c r="H24" s="10" t="str"/>
      <x:c r="I24" s="7" t="str"/>
      <x:c r="J24" s="7" t="str">
        <x:v>OPEN</x:v>
      </x:c>
    </x:row>
    <x:row r="25" ht="36" customHeight="1">
      <x:c r="B25" s="7" t="str">
        <x:v>RFP-A1-WD-19</x:v>
      </x:c>
      <x:c r="C25" s="7" t="str">
        <x:v>RFP-A1</x:v>
      </x:c>
      <x:c r="D25" s="7" t="str">
        <x:v>PTC-A</x:v>
      </x:c>
      <x:c r="E25" s="7" t="str">
        <x:v>WD-19</x:v>
      </x:c>
      <x:c r="F25" s="7" t="str">
        <x:v>safety and control</x:v>
      </x:c>
      <x:c r="G25" s="7" t="str">
        <x:v>state</x:v>
      </x:c>
      <x:c r="H25" s="10" t="str"/>
      <x:c r="I25" s="7" t="str"/>
      <x:c r="J25" s="7" t="str">
        <x:v>OPEN</x:v>
      </x:c>
    </x:row>
    <x:row r="26" ht="36" customHeight="1">
      <x:c r="B26" s="7" t="str">
        <x:v>RFP-A1-WD-20</x:v>
      </x:c>
      <x:c r="C26" s="7" t="str">
        <x:v>RFP-A1</x:v>
      </x:c>
      <x:c r="D26" s="7" t="str">
        <x:v>PTC-A</x:v>
      </x:c>
      <x:c r="E26" s="7" t="str">
        <x:v>WD-20</x:v>
      </x:c>
      <x:c r="F26" s="7" t="str">
        <x:v>safety and control</x:v>
      </x:c>
      <x:c r="G26" s="7" t="str">
        <x:v>authority</x:v>
      </x:c>
      <x:c r="H26" s="10" t="str"/>
      <x:c r="I26" s="7" t="str"/>
      <x:c r="J26" s="7" t="str">
        <x:v>OPEN</x:v>
      </x:c>
    </x:row>
    <x:row r="27" ht="36" customHeight="1">
      <x:c r="B27" s="7" t="str">
        <x:v>RFP-A1-WD-21</x:v>
      </x:c>
      <x:c r="C27" s="7" t="str">
        <x:v>RFP-A1</x:v>
      </x:c>
      <x:c r="D27" s="7" t="str">
        <x:v>PTC-A</x:v>
      </x:c>
      <x:c r="E27" s="7" t="str">
        <x:v>WD-21</x:v>
      </x:c>
      <x:c r="F27" s="7" t="str">
        <x:v>measurement and time</x:v>
      </x:c>
      <x:c r="G27" s="7" t="str">
        <x:v>identity</x:v>
      </x:c>
      <x:c r="H27" s="10" t="str"/>
      <x:c r="I27" s="7" t="str"/>
      <x:c r="J27" s="7" t="str">
        <x:v>OPEN</x:v>
      </x:c>
    </x:row>
    <x:row r="28" ht="36" customHeight="1">
      <x:c r="B28" s="7" t="str">
        <x:v>RFP-A1-WD-22</x:v>
      </x:c>
      <x:c r="C28" s="7" t="str">
        <x:v>RFP-A1</x:v>
      </x:c>
      <x:c r="D28" s="7" t="str">
        <x:v>PTC-A</x:v>
      </x:c>
      <x:c r="E28" s="7" t="str">
        <x:v>WD-22</x:v>
      </x:c>
      <x:c r="F28" s="7" t="str">
        <x:v>measurement and time</x:v>
      </x:c>
      <x:c r="G28" s="7" t="str">
        <x:v>capacity</x:v>
      </x:c>
      <x:c r="H28" s="10" t="str"/>
      <x:c r="I28" s="7" t="str"/>
      <x:c r="J28" s="7" t="str">
        <x:v>OPEN</x:v>
      </x:c>
    </x:row>
    <x:row r="29" ht="36" customHeight="1">
      <x:c r="B29" s="7" t="str">
        <x:v>RFP-A1-WD-23</x:v>
      </x:c>
      <x:c r="C29" s="7" t="str">
        <x:v>RFP-A1</x:v>
      </x:c>
      <x:c r="D29" s="7" t="str">
        <x:v>PTC-A</x:v>
      </x:c>
      <x:c r="E29" s="7" t="str">
        <x:v>WD-23</x:v>
      </x:c>
      <x:c r="F29" s="7" t="str">
        <x:v>measurement and time</x:v>
      </x:c>
      <x:c r="G29" s="7" t="str">
        <x:v>state</x:v>
      </x:c>
      <x:c r="H29" s="10" t="str"/>
      <x:c r="I29" s="7" t="str"/>
      <x:c r="J29" s="7" t="str">
        <x:v>OPEN</x:v>
      </x:c>
    </x:row>
    <x:row r="30" ht="36" customHeight="1">
      <x:c r="B30" s="7" t="str">
        <x:v>RFP-A1-WD-24</x:v>
      </x:c>
      <x:c r="C30" s="7" t="str">
        <x:v>RFP-A1</x:v>
      </x:c>
      <x:c r="D30" s="7" t="str">
        <x:v>PTC-A</x:v>
      </x:c>
      <x:c r="E30" s="7" t="str">
        <x:v>WD-24</x:v>
      </x:c>
      <x:c r="F30" s="7" t="str">
        <x:v>measurement and time</x:v>
      </x:c>
      <x:c r="G30" s="7" t="str">
        <x:v>authority</x:v>
      </x:c>
      <x:c r="H30" s="10" t="str"/>
      <x:c r="I30" s="7" t="str"/>
      <x:c r="J30" s="7" t="str">
        <x:v>OPEN</x:v>
      </x:c>
    </x:row>
    <x:row r="31" ht="36" customHeight="1">
      <x:c r="B31" s="7" t="str">
        <x:v>RFP-A1-WD-25</x:v>
      </x:c>
      <x:c r="C31" s="7" t="str">
        <x:v>RFP-A1</x:v>
      </x:c>
      <x:c r="D31" s="7" t="str">
        <x:v>PTC-A</x:v>
      </x:c>
      <x:c r="E31" s="7" t="str">
        <x:v>WD-25</x:v>
      </x:c>
      <x:c r="F31" s="7" t="str">
        <x:v>environment and recovery</x:v>
      </x:c>
      <x:c r="G31" s="7" t="str">
        <x:v>identity</x:v>
      </x:c>
      <x:c r="H31" s="10" t="str"/>
      <x:c r="I31" s="7" t="str"/>
      <x:c r="J31" s="7" t="str">
        <x:v>OPEN</x:v>
      </x:c>
    </x:row>
    <x:row r="32" ht="36" customHeight="1">
      <x:c r="B32" s="7" t="str">
        <x:v>RFP-A1-WD-26</x:v>
      </x:c>
      <x:c r="C32" s="7" t="str">
        <x:v>RFP-A1</x:v>
      </x:c>
      <x:c r="D32" s="7" t="str">
        <x:v>PTC-A</x:v>
      </x:c>
      <x:c r="E32" s="7" t="str">
        <x:v>WD-26</x:v>
      </x:c>
      <x:c r="F32" s="7" t="str">
        <x:v>environment and recovery</x:v>
      </x:c>
      <x:c r="G32" s="7" t="str">
        <x:v>capacity</x:v>
      </x:c>
      <x:c r="H32" s="10" t="str"/>
      <x:c r="I32" s="7" t="str"/>
      <x:c r="J32" s="7" t="str">
        <x:v>OPEN</x:v>
      </x:c>
    </x:row>
    <x:row r="33" ht="36" customHeight="1">
      <x:c r="B33" s="7" t="str">
        <x:v>RFP-A1-WD-27</x:v>
      </x:c>
      <x:c r="C33" s="7" t="str">
        <x:v>RFP-A1</x:v>
      </x:c>
      <x:c r="D33" s="7" t="str">
        <x:v>PTC-A</x:v>
      </x:c>
      <x:c r="E33" s="7" t="str">
        <x:v>WD-27</x:v>
      </x:c>
      <x:c r="F33" s="7" t="str">
        <x:v>environment and recovery</x:v>
      </x:c>
      <x:c r="G33" s="7" t="str">
        <x:v>state</x:v>
      </x:c>
      <x:c r="H33" s="10" t="str"/>
      <x:c r="I33" s="7" t="str"/>
      <x:c r="J33" s="7" t="str">
        <x:v>OPEN</x:v>
      </x:c>
    </x:row>
    <x:row r="34" ht="36" customHeight="1">
      <x:c r="B34" s="7" t="str">
        <x:v>RFP-A1-WD-28</x:v>
      </x:c>
      <x:c r="C34" s="7" t="str">
        <x:v>RFP-A1</x:v>
      </x:c>
      <x:c r="D34" s="7" t="str">
        <x:v>PTC-A</x:v>
      </x:c>
      <x:c r="E34" s="7" t="str">
        <x:v>WD-28</x:v>
      </x:c>
      <x:c r="F34" s="7" t="str">
        <x:v>environment and recovery</x:v>
      </x:c>
      <x:c r="G34" s="7" t="str">
        <x:v>authority</x:v>
      </x:c>
      <x:c r="H34" s="10" t="str"/>
      <x:c r="I34" s="7" t="str"/>
      <x:c r="J34" s="7" t="str">
        <x:v>OPEN</x:v>
      </x:c>
    </x:row>
    <x:row r="35" ht="36" customHeight="1">
      <x:c r="B35" s="7" t="str">
        <x:v>RFP-A1-WD-29</x:v>
      </x:c>
      <x:c r="C35" s="7" t="str">
        <x:v>RFP-A1</x:v>
      </x:c>
      <x:c r="D35" s="7" t="str">
        <x:v>PTC-A</x:v>
      </x:c>
      <x:c r="E35" s="7" t="str">
        <x:v>WD-29</x:v>
      </x:c>
      <x:c r="F35" s="7" t="str">
        <x:v>rescue and authority</x:v>
      </x:c>
      <x:c r="G35" s="7" t="str">
        <x:v>identity</x:v>
      </x:c>
      <x:c r="H35" s="10" t="str"/>
      <x:c r="I35" s="7" t="str"/>
      <x:c r="J35" s="7" t="str">
        <x:v>OPEN</x:v>
      </x:c>
    </x:row>
    <x:row r="36" ht="36" customHeight="1">
      <x:c r="B36" s="7" t="str">
        <x:v>RFP-A1-WD-30</x:v>
      </x:c>
      <x:c r="C36" s="7" t="str">
        <x:v>RFP-A1</x:v>
      </x:c>
      <x:c r="D36" s="7" t="str">
        <x:v>PTC-A</x:v>
      </x:c>
      <x:c r="E36" s="7" t="str">
        <x:v>WD-30</x:v>
      </x:c>
      <x:c r="F36" s="7" t="str">
        <x:v>rescue and authority</x:v>
      </x:c>
      <x:c r="G36" s="7" t="str">
        <x:v>capacity</x:v>
      </x:c>
      <x:c r="H36" s="10" t="str"/>
      <x:c r="I36" s="7" t="str"/>
      <x:c r="J36" s="7" t="str">
        <x:v>OPEN</x:v>
      </x:c>
    </x:row>
    <x:row r="37" ht="36" customHeight="1">
      <x:c r="B37" s="7" t="str">
        <x:v>RFP-A1-WD-31</x:v>
      </x:c>
      <x:c r="C37" s="7" t="str">
        <x:v>RFP-A1</x:v>
      </x:c>
      <x:c r="D37" s="7" t="str">
        <x:v>PTC-A</x:v>
      </x:c>
      <x:c r="E37" s="7" t="str">
        <x:v>WD-31</x:v>
      </x:c>
      <x:c r="F37" s="7" t="str">
        <x:v>rescue and authority</x:v>
      </x:c>
      <x:c r="G37" s="7" t="str">
        <x:v>state</x:v>
      </x:c>
      <x:c r="H37" s="10" t="str"/>
      <x:c r="I37" s="7" t="str"/>
      <x:c r="J37" s="7" t="str">
        <x:v>OPEN</x:v>
      </x:c>
    </x:row>
    <x:row r="38" ht="36" customHeight="1">
      <x:c r="B38" s="7" t="str">
        <x:v>RFP-A1-WD-32</x:v>
      </x:c>
      <x:c r="C38" s="7" t="str">
        <x:v>RFP-A1</x:v>
      </x:c>
      <x:c r="D38" s="7" t="str">
        <x:v>PTC-A</x:v>
      </x:c>
      <x:c r="E38" s="7" t="str">
        <x:v>WD-32</x:v>
      </x:c>
      <x:c r="F38" s="7" t="str">
        <x:v>rescue and authority</x:v>
      </x:c>
      <x:c r="G38" s="7" t="str">
        <x:v>authority</x:v>
      </x:c>
      <x:c r="H38" s="10" t="str"/>
      <x:c r="I38" s="7" t="str"/>
      <x:c r="J38" s="7" t="str">
        <x:v>OPEN</x:v>
      </x:c>
    </x:row>
    <x:row r="39" ht="36" customHeight="1">
      <x:c r="B39" s="7" t="str">
        <x:v>RFP-A2-WD-01</x:v>
      </x:c>
      <x:c r="C39" s="7" t="str">
        <x:v>RFP-A2</x:v>
      </x:c>
      <x:c r="D39" s="7" t="str">
        <x:v>PTC-A</x:v>
      </x:c>
      <x:c r="E39" s="7" t="str">
        <x:v>WD-01</x:v>
      </x:c>
      <x:c r="F39" s="7" t="str">
        <x:v>configuration</x:v>
      </x:c>
      <x:c r="G39" s="7" t="str">
        <x:v>identity</x:v>
      </x:c>
      <x:c r="H39" s="10" t="str"/>
      <x:c r="I39" s="7" t="str"/>
      <x:c r="J39" s="7" t="str">
        <x:v>OPEN</x:v>
      </x:c>
    </x:row>
    <x:row r="40" ht="36" customHeight="1">
      <x:c r="B40" s="7" t="str">
        <x:v>RFP-A2-WD-02</x:v>
      </x:c>
      <x:c r="C40" s="7" t="str">
        <x:v>RFP-A2</x:v>
      </x:c>
      <x:c r="D40" s="7" t="str">
        <x:v>PTC-A</x:v>
      </x:c>
      <x:c r="E40" s="7" t="str">
        <x:v>WD-02</x:v>
      </x:c>
      <x:c r="F40" s="7" t="str">
        <x:v>configuration</x:v>
      </x:c>
      <x:c r="G40" s="7" t="str">
        <x:v>capacity</x:v>
      </x:c>
      <x:c r="H40" s="10" t="str"/>
      <x:c r="I40" s="7" t="str"/>
      <x:c r="J40" s="7" t="str">
        <x:v>OPEN</x:v>
      </x:c>
    </x:row>
    <x:row r="41" ht="36" customHeight="1">
      <x:c r="B41" s="7" t="str">
        <x:v>RFP-A2-WD-03</x:v>
      </x:c>
      <x:c r="C41" s="7" t="str">
        <x:v>RFP-A2</x:v>
      </x:c>
      <x:c r="D41" s="7" t="str">
        <x:v>PTC-A</x:v>
      </x:c>
      <x:c r="E41" s="7" t="str">
        <x:v>WD-03</x:v>
      </x:c>
      <x:c r="F41" s="7" t="str">
        <x:v>configuration</x:v>
      </x:c>
      <x:c r="G41" s="7" t="str">
        <x:v>state</x:v>
      </x:c>
      <x:c r="H41" s="10" t="str"/>
      <x:c r="I41" s="7" t="str"/>
      <x:c r="J41" s="7" t="str">
        <x:v>OPEN</x:v>
      </x:c>
    </x:row>
    <x:row r="42" ht="36" customHeight="1">
      <x:c r="B42" s="7" t="str">
        <x:v>RFP-A2-WD-04</x:v>
      </x:c>
      <x:c r="C42" s="7" t="str">
        <x:v>RFP-A2</x:v>
      </x:c>
      <x:c r="D42" s="7" t="str">
        <x:v>PTC-A</x:v>
      </x:c>
      <x:c r="E42" s="7" t="str">
        <x:v>WD-04</x:v>
      </x:c>
      <x:c r="F42" s="7" t="str">
        <x:v>configuration</x:v>
      </x:c>
      <x:c r="G42" s="7" t="str">
        <x:v>authority</x:v>
      </x:c>
      <x:c r="H42" s="10" t="str"/>
      <x:c r="I42" s="7" t="str"/>
      <x:c r="J42" s="7" t="str">
        <x:v>OPEN</x:v>
      </x:c>
    </x:row>
    <x:row r="43" ht="36" customHeight="1">
      <x:c r="B43" s="7" t="str">
        <x:v>RFP-A2-WD-05</x:v>
      </x:c>
      <x:c r="C43" s="7" t="str">
        <x:v>RFP-A2</x:v>
      </x:c>
      <x:c r="D43" s="7" t="str">
        <x:v>PTC-A</x:v>
      </x:c>
      <x:c r="E43" s="7" t="str">
        <x:v>WD-05</x:v>
      </x:c>
      <x:c r="F43" s="7" t="str">
        <x:v>source</x:v>
      </x:c>
      <x:c r="G43" s="7" t="str">
        <x:v>identity</x:v>
      </x:c>
      <x:c r="H43" s="10" t="str"/>
      <x:c r="I43" s="7" t="str"/>
      <x:c r="J43" s="7" t="str">
        <x:v>OPEN</x:v>
      </x:c>
    </x:row>
    <x:row r="44" ht="36" customHeight="1">
      <x:c r="B44" s="7" t="str">
        <x:v>RFP-A2-WD-06</x:v>
      </x:c>
      <x:c r="C44" s="7" t="str">
        <x:v>RFP-A2</x:v>
      </x:c>
      <x:c r="D44" s="7" t="str">
        <x:v>PTC-A</x:v>
      </x:c>
      <x:c r="E44" s="7" t="str">
        <x:v>WD-06</x:v>
      </x:c>
      <x:c r="F44" s="7" t="str">
        <x:v>source</x:v>
      </x:c>
      <x:c r="G44" s="7" t="str">
        <x:v>capacity</x:v>
      </x:c>
      <x:c r="H44" s="10" t="str"/>
      <x:c r="I44" s="7" t="str"/>
      <x:c r="J44" s="7" t="str">
        <x:v>OPEN</x:v>
      </x:c>
    </x:row>
    <x:row r="45" ht="36" customHeight="1">
      <x:c r="B45" s="7" t="str">
        <x:v>RFP-A2-WD-07</x:v>
      </x:c>
      <x:c r="C45" s="7" t="str">
        <x:v>RFP-A2</x:v>
      </x:c>
      <x:c r="D45" s="7" t="str">
        <x:v>PTC-A</x:v>
      </x:c>
      <x:c r="E45" s="7" t="str">
        <x:v>WD-07</x:v>
      </x:c>
      <x:c r="F45" s="7" t="str">
        <x:v>source</x:v>
      </x:c>
      <x:c r="G45" s="7" t="str">
        <x:v>state</x:v>
      </x:c>
      <x:c r="H45" s="10" t="str"/>
      <x:c r="I45" s="7" t="str"/>
      <x:c r="J45" s="7" t="str">
        <x:v>OPEN</x:v>
      </x:c>
    </x:row>
    <x:row r="46" ht="36" customHeight="1">
      <x:c r="B46" s="7" t="str">
        <x:v>RFP-A2-WD-08</x:v>
      </x:c>
      <x:c r="C46" s="7" t="str">
        <x:v>RFP-A2</x:v>
      </x:c>
      <x:c r="D46" s="7" t="str">
        <x:v>PTC-A</x:v>
      </x:c>
      <x:c r="E46" s="7" t="str">
        <x:v>WD-08</x:v>
      </x:c>
      <x:c r="F46" s="7" t="str">
        <x:v>source</x:v>
      </x:c>
      <x:c r="G46" s="7" t="str">
        <x:v>authority</x:v>
      </x:c>
      <x:c r="H46" s="10" t="str"/>
      <x:c r="I46" s="7" t="str"/>
      <x:c r="J46" s="7" t="str">
        <x:v>OPEN</x:v>
      </x:c>
    </x:row>
    <x:row r="47" ht="36" customHeight="1">
      <x:c r="B47" s="7" t="str">
        <x:v>RFP-A2-WD-09</x:v>
      </x:c>
      <x:c r="C47" s="7" t="str">
        <x:v>RFP-A2</x:v>
      </x:c>
      <x:c r="D47" s="7" t="str">
        <x:v>PTC-A</x:v>
      </x:c>
      <x:c r="E47" s="7" t="str">
        <x:v>WD-09</x:v>
      </x:c>
      <x:c r="F47" s="7" t="str">
        <x:v>containment and terrain</x:v>
      </x:c>
      <x:c r="G47" s="7" t="str">
        <x:v>identity</x:v>
      </x:c>
      <x:c r="H47" s="10" t="str"/>
      <x:c r="I47" s="7" t="str"/>
      <x:c r="J47" s="7" t="str">
        <x:v>OPEN</x:v>
      </x:c>
    </x:row>
    <x:row r="48" ht="36" customHeight="1">
      <x:c r="B48" s="7" t="str">
        <x:v>RFP-A2-WD-10</x:v>
      </x:c>
      <x:c r="C48" s="7" t="str">
        <x:v>RFP-A2</x:v>
      </x:c>
      <x:c r="D48" s="7" t="str">
        <x:v>PTC-A</x:v>
      </x:c>
      <x:c r="E48" s="7" t="str">
        <x:v>WD-10</x:v>
      </x:c>
      <x:c r="F48" s="7" t="str">
        <x:v>containment and terrain</x:v>
      </x:c>
      <x:c r="G48" s="7" t="str">
        <x:v>capacity</x:v>
      </x:c>
      <x:c r="H48" s="10" t="str"/>
      <x:c r="I48" s="7" t="str"/>
      <x:c r="J48" s="7" t="str">
        <x:v>OPEN</x:v>
      </x:c>
    </x:row>
    <x:row r="49" ht="36" customHeight="1">
      <x:c r="B49" s="7" t="str">
        <x:v>RFP-A2-WD-11</x:v>
      </x:c>
      <x:c r="C49" s="7" t="str">
        <x:v>RFP-A2</x:v>
      </x:c>
      <x:c r="D49" s="7" t="str">
        <x:v>PTC-A</x:v>
      </x:c>
      <x:c r="E49" s="7" t="str">
        <x:v>WD-11</x:v>
      </x:c>
      <x:c r="F49" s="7" t="str">
        <x:v>containment and terrain</x:v>
      </x:c>
      <x:c r="G49" s="7" t="str">
        <x:v>state</x:v>
      </x:c>
      <x:c r="H49" s="10" t="str"/>
      <x:c r="I49" s="7" t="str"/>
      <x:c r="J49" s="7" t="str">
        <x:v>OPEN</x:v>
      </x:c>
    </x:row>
    <x:row r="50" ht="36" customHeight="1">
      <x:c r="B50" s="7" t="str">
        <x:v>RFP-A2-WD-12</x:v>
      </x:c>
      <x:c r="C50" s="7" t="str">
        <x:v>RFP-A2</x:v>
      </x:c>
      <x:c r="D50" s="7" t="str">
        <x:v>PTC-A</x:v>
      </x:c>
      <x:c r="E50" s="7" t="str">
        <x:v>WD-12</x:v>
      </x:c>
      <x:c r="F50" s="7" t="str">
        <x:v>containment and terrain</x:v>
      </x:c>
      <x:c r="G50" s="7" t="str">
        <x:v>authority</x:v>
      </x:c>
      <x:c r="H50" s="10" t="str"/>
      <x:c r="I50" s="7" t="str"/>
      <x:c r="J50" s="7" t="str">
        <x:v>OPEN</x:v>
      </x:c>
    </x:row>
    <x:row r="51" ht="36" customHeight="1">
      <x:c r="B51" s="7" t="str">
        <x:v>RFP-A2-WD-13</x:v>
      </x:c>
      <x:c r="C51" s="7" t="str">
        <x:v>RFP-A2</x:v>
      </x:c>
      <x:c r="D51" s="7" t="str">
        <x:v>PTC-A</x:v>
      </x:c>
      <x:c r="E51" s="7" t="str">
        <x:v>WD-13</x:v>
      </x:c>
      <x:c r="F51" s="7" t="str">
        <x:v>water and receivers</x:v>
      </x:c>
      <x:c r="G51" s="7" t="str">
        <x:v>identity</x:v>
      </x:c>
      <x:c r="H51" s="10" t="str"/>
      <x:c r="I51" s="7" t="str"/>
      <x:c r="J51" s="7" t="str">
        <x:v>OPEN</x:v>
      </x:c>
    </x:row>
    <x:row r="52" ht="36" customHeight="1">
      <x:c r="B52" s="7" t="str">
        <x:v>RFP-A2-WD-14</x:v>
      </x:c>
      <x:c r="C52" s="7" t="str">
        <x:v>RFP-A2</x:v>
      </x:c>
      <x:c r="D52" s="7" t="str">
        <x:v>PTC-A</x:v>
      </x:c>
      <x:c r="E52" s="7" t="str">
        <x:v>WD-14</x:v>
      </x:c>
      <x:c r="F52" s="7" t="str">
        <x:v>water and receivers</x:v>
      </x:c>
      <x:c r="G52" s="7" t="str">
        <x:v>capacity</x:v>
      </x:c>
      <x:c r="H52" s="10" t="str"/>
      <x:c r="I52" s="7" t="str"/>
      <x:c r="J52" s="7" t="str">
        <x:v>OPEN</x:v>
      </x:c>
    </x:row>
    <x:row r="53" ht="36" customHeight="1">
      <x:c r="B53" s="7" t="str">
        <x:v>RFP-A2-WD-15</x:v>
      </x:c>
      <x:c r="C53" s="7" t="str">
        <x:v>RFP-A2</x:v>
      </x:c>
      <x:c r="D53" s="7" t="str">
        <x:v>PTC-A</x:v>
      </x:c>
      <x:c r="E53" s="7" t="str">
        <x:v>WD-15</x:v>
      </x:c>
      <x:c r="F53" s="7" t="str">
        <x:v>water and receivers</x:v>
      </x:c>
      <x:c r="G53" s="7" t="str">
        <x:v>state</x:v>
      </x:c>
      <x:c r="H53" s="10" t="str"/>
      <x:c r="I53" s="7" t="str"/>
      <x:c r="J53" s="7" t="str">
        <x:v>OPEN</x:v>
      </x:c>
    </x:row>
    <x:row r="54" ht="36" customHeight="1">
      <x:c r="B54" s="7" t="str">
        <x:v>RFP-A2-WD-16</x:v>
      </x:c>
      <x:c r="C54" s="7" t="str">
        <x:v>RFP-A2</x:v>
      </x:c>
      <x:c r="D54" s="7" t="str">
        <x:v>PTC-A</x:v>
      </x:c>
      <x:c r="E54" s="7" t="str">
        <x:v>WD-16</x:v>
      </x:c>
      <x:c r="F54" s="7" t="str">
        <x:v>water and receivers</x:v>
      </x:c>
      <x:c r="G54" s="7" t="str">
        <x:v>authority</x:v>
      </x:c>
      <x:c r="H54" s="10" t="str"/>
      <x:c r="I54" s="7" t="str"/>
      <x:c r="J54" s="7" t="str">
        <x:v>OPEN</x:v>
      </x:c>
    </x:row>
    <x:row r="55" ht="36" customHeight="1">
      <x:c r="B55" s="7" t="str">
        <x:v>RFP-A2-WD-17</x:v>
      </x:c>
      <x:c r="C55" s="7" t="str">
        <x:v>RFP-A2</x:v>
      </x:c>
      <x:c r="D55" s="7" t="str">
        <x:v>PTC-A</x:v>
      </x:c>
      <x:c r="E55" s="7" t="str">
        <x:v>WD-17</x:v>
      </x:c>
      <x:c r="F55" s="7" t="str">
        <x:v>safety and control</x:v>
      </x:c>
      <x:c r="G55" s="7" t="str">
        <x:v>identity</x:v>
      </x:c>
      <x:c r="H55" s="10" t="str"/>
      <x:c r="I55" s="7" t="str"/>
      <x:c r="J55" s="7" t="str">
        <x:v>OPEN</x:v>
      </x:c>
    </x:row>
    <x:row r="56" ht="36" customHeight="1">
      <x:c r="B56" s="7" t="str">
        <x:v>RFP-A2-WD-18</x:v>
      </x:c>
      <x:c r="C56" s="7" t="str">
        <x:v>RFP-A2</x:v>
      </x:c>
      <x:c r="D56" s="7" t="str">
        <x:v>PTC-A</x:v>
      </x:c>
      <x:c r="E56" s="7" t="str">
        <x:v>WD-18</x:v>
      </x:c>
      <x:c r="F56" s="7" t="str">
        <x:v>safety and control</x:v>
      </x:c>
      <x:c r="G56" s="7" t="str">
        <x:v>capacity</x:v>
      </x:c>
      <x:c r="H56" s="10" t="str"/>
      <x:c r="I56" s="7" t="str"/>
      <x:c r="J56" s="7" t="str">
        <x:v>OPEN</x:v>
      </x:c>
    </x:row>
    <x:row r="57" ht="36" customHeight="1">
      <x:c r="B57" s="7" t="str">
        <x:v>RFP-A2-WD-19</x:v>
      </x:c>
      <x:c r="C57" s="7" t="str">
        <x:v>RFP-A2</x:v>
      </x:c>
      <x:c r="D57" s="7" t="str">
        <x:v>PTC-A</x:v>
      </x:c>
      <x:c r="E57" s="7" t="str">
        <x:v>WD-19</x:v>
      </x:c>
      <x:c r="F57" s="7" t="str">
        <x:v>safety and control</x:v>
      </x:c>
      <x:c r="G57" s="7" t="str">
        <x:v>state</x:v>
      </x:c>
      <x:c r="H57" s="10" t="str"/>
      <x:c r="I57" s="7" t="str"/>
      <x:c r="J57" s="7" t="str">
        <x:v>OPEN</x:v>
      </x:c>
    </x:row>
    <x:row r="58" ht="36" customHeight="1">
      <x:c r="B58" s="7" t="str">
        <x:v>RFP-A2-WD-20</x:v>
      </x:c>
      <x:c r="C58" s="7" t="str">
        <x:v>RFP-A2</x:v>
      </x:c>
      <x:c r="D58" s="7" t="str">
        <x:v>PTC-A</x:v>
      </x:c>
      <x:c r="E58" s="7" t="str">
        <x:v>WD-20</x:v>
      </x:c>
      <x:c r="F58" s="7" t="str">
        <x:v>safety and control</x:v>
      </x:c>
      <x:c r="G58" s="7" t="str">
        <x:v>authority</x:v>
      </x:c>
      <x:c r="H58" s="10" t="str"/>
      <x:c r="I58" s="7" t="str"/>
      <x:c r="J58" s="7" t="str">
        <x:v>OPEN</x:v>
      </x:c>
    </x:row>
    <x:row r="59" ht="36" customHeight="1">
      <x:c r="B59" s="7" t="str">
        <x:v>RFP-A2-WD-21</x:v>
      </x:c>
      <x:c r="C59" s="7" t="str">
        <x:v>RFP-A2</x:v>
      </x:c>
      <x:c r="D59" s="7" t="str">
        <x:v>PTC-A</x:v>
      </x:c>
      <x:c r="E59" s="7" t="str">
        <x:v>WD-21</x:v>
      </x:c>
      <x:c r="F59" s="7" t="str">
        <x:v>measurement and time</x:v>
      </x:c>
      <x:c r="G59" s="7" t="str">
        <x:v>identity</x:v>
      </x:c>
      <x:c r="H59" s="10" t="str"/>
      <x:c r="I59" s="7" t="str"/>
      <x:c r="J59" s="7" t="str">
        <x:v>OPEN</x:v>
      </x:c>
    </x:row>
    <x:row r="60" ht="36" customHeight="1">
      <x:c r="B60" s="7" t="str">
        <x:v>RFP-A2-WD-22</x:v>
      </x:c>
      <x:c r="C60" s="7" t="str">
        <x:v>RFP-A2</x:v>
      </x:c>
      <x:c r="D60" s="7" t="str">
        <x:v>PTC-A</x:v>
      </x:c>
      <x:c r="E60" s="7" t="str">
        <x:v>WD-22</x:v>
      </x:c>
      <x:c r="F60" s="7" t="str">
        <x:v>measurement and time</x:v>
      </x:c>
      <x:c r="G60" s="7" t="str">
        <x:v>capacity</x:v>
      </x:c>
      <x:c r="H60" s="10" t="str"/>
      <x:c r="I60" s="7" t="str"/>
      <x:c r="J60" s="7" t="str">
        <x:v>OPEN</x:v>
      </x:c>
    </x:row>
    <x:row r="61" ht="36" customHeight="1">
      <x:c r="B61" s="7" t="str">
        <x:v>RFP-A2-WD-23</x:v>
      </x:c>
      <x:c r="C61" s="7" t="str">
        <x:v>RFP-A2</x:v>
      </x:c>
      <x:c r="D61" s="7" t="str">
        <x:v>PTC-A</x:v>
      </x:c>
      <x:c r="E61" s="7" t="str">
        <x:v>WD-23</x:v>
      </x:c>
      <x:c r="F61" s="7" t="str">
        <x:v>measurement and time</x:v>
      </x:c>
      <x:c r="G61" s="7" t="str">
        <x:v>state</x:v>
      </x:c>
      <x:c r="H61" s="10" t="str"/>
      <x:c r="I61" s="7" t="str"/>
      <x:c r="J61" s="7" t="str">
        <x:v>OPEN</x:v>
      </x:c>
    </x:row>
    <x:row r="62" ht="36" customHeight="1">
      <x:c r="B62" s="7" t="str">
        <x:v>RFP-A2-WD-24</x:v>
      </x:c>
      <x:c r="C62" s="7" t="str">
        <x:v>RFP-A2</x:v>
      </x:c>
      <x:c r="D62" s="7" t="str">
        <x:v>PTC-A</x:v>
      </x:c>
      <x:c r="E62" s="7" t="str">
        <x:v>WD-24</x:v>
      </x:c>
      <x:c r="F62" s="7" t="str">
        <x:v>measurement and time</x:v>
      </x:c>
      <x:c r="G62" s="7" t="str">
        <x:v>authority</x:v>
      </x:c>
      <x:c r="H62" s="10" t="str"/>
      <x:c r="I62" s="7" t="str"/>
      <x:c r="J62" s="7" t="str">
        <x:v>OPEN</x:v>
      </x:c>
    </x:row>
    <x:row r="63" ht="36" customHeight="1">
      <x:c r="B63" s="7" t="str">
        <x:v>RFP-A2-WD-25</x:v>
      </x:c>
      <x:c r="C63" s="7" t="str">
        <x:v>RFP-A2</x:v>
      </x:c>
      <x:c r="D63" s="7" t="str">
        <x:v>PTC-A</x:v>
      </x:c>
      <x:c r="E63" s="7" t="str">
        <x:v>WD-25</x:v>
      </x:c>
      <x:c r="F63" s="7" t="str">
        <x:v>environment and recovery</x:v>
      </x:c>
      <x:c r="G63" s="7" t="str">
        <x:v>identity</x:v>
      </x:c>
      <x:c r="H63" s="10" t="str"/>
      <x:c r="I63" s="7" t="str"/>
      <x:c r="J63" s="7" t="str">
        <x:v>OPEN</x:v>
      </x:c>
    </x:row>
    <x:row r="64" ht="36" customHeight="1">
      <x:c r="B64" s="7" t="str">
        <x:v>RFP-A2-WD-26</x:v>
      </x:c>
      <x:c r="C64" s="7" t="str">
        <x:v>RFP-A2</x:v>
      </x:c>
      <x:c r="D64" s="7" t="str">
        <x:v>PTC-A</x:v>
      </x:c>
      <x:c r="E64" s="7" t="str">
        <x:v>WD-26</x:v>
      </x:c>
      <x:c r="F64" s="7" t="str">
        <x:v>environment and recovery</x:v>
      </x:c>
      <x:c r="G64" s="7" t="str">
        <x:v>capacity</x:v>
      </x:c>
      <x:c r="H64" s="10" t="str"/>
      <x:c r="I64" s="7" t="str"/>
      <x:c r="J64" s="7" t="str">
        <x:v>OPEN</x:v>
      </x:c>
    </x:row>
    <x:row r="65" ht="36" customHeight="1">
      <x:c r="B65" s="7" t="str">
        <x:v>RFP-A2-WD-27</x:v>
      </x:c>
      <x:c r="C65" s="7" t="str">
        <x:v>RFP-A2</x:v>
      </x:c>
      <x:c r="D65" s="7" t="str">
        <x:v>PTC-A</x:v>
      </x:c>
      <x:c r="E65" s="7" t="str">
        <x:v>WD-27</x:v>
      </x:c>
      <x:c r="F65" s="7" t="str">
        <x:v>environment and recovery</x:v>
      </x:c>
      <x:c r="G65" s="7" t="str">
        <x:v>state</x:v>
      </x:c>
      <x:c r="H65" s="10" t="str"/>
      <x:c r="I65" s="7" t="str"/>
      <x:c r="J65" s="7" t="str">
        <x:v>OPEN</x:v>
      </x:c>
    </x:row>
    <x:row r="66" ht="36" customHeight="1">
      <x:c r="B66" s="7" t="str">
        <x:v>RFP-A2-WD-28</x:v>
      </x:c>
      <x:c r="C66" s="7" t="str">
        <x:v>RFP-A2</x:v>
      </x:c>
      <x:c r="D66" s="7" t="str">
        <x:v>PTC-A</x:v>
      </x:c>
      <x:c r="E66" s="7" t="str">
        <x:v>WD-28</x:v>
      </x:c>
      <x:c r="F66" s="7" t="str">
        <x:v>environment and recovery</x:v>
      </x:c>
      <x:c r="G66" s="7" t="str">
        <x:v>authority</x:v>
      </x:c>
      <x:c r="H66" s="10" t="str"/>
      <x:c r="I66" s="7" t="str"/>
      <x:c r="J66" s="7" t="str">
        <x:v>OPEN</x:v>
      </x:c>
    </x:row>
    <x:row r="67" ht="36" customHeight="1">
      <x:c r="B67" s="7" t="str">
        <x:v>RFP-A2-WD-29</x:v>
      </x:c>
      <x:c r="C67" s="7" t="str">
        <x:v>RFP-A2</x:v>
      </x:c>
      <x:c r="D67" s="7" t="str">
        <x:v>PTC-A</x:v>
      </x:c>
      <x:c r="E67" s="7" t="str">
        <x:v>WD-29</x:v>
      </x:c>
      <x:c r="F67" s="7" t="str">
        <x:v>rescue and authority</x:v>
      </x:c>
      <x:c r="G67" s="7" t="str">
        <x:v>identity</x:v>
      </x:c>
      <x:c r="H67" s="10" t="str"/>
      <x:c r="I67" s="7" t="str"/>
      <x:c r="J67" s="7" t="str">
        <x:v>OPEN</x:v>
      </x:c>
    </x:row>
    <x:row r="68" ht="36" customHeight="1">
      <x:c r="B68" s="7" t="str">
        <x:v>RFP-A2-WD-30</x:v>
      </x:c>
      <x:c r="C68" s="7" t="str">
        <x:v>RFP-A2</x:v>
      </x:c>
      <x:c r="D68" s="7" t="str">
        <x:v>PTC-A</x:v>
      </x:c>
      <x:c r="E68" s="7" t="str">
        <x:v>WD-30</x:v>
      </x:c>
      <x:c r="F68" s="7" t="str">
        <x:v>rescue and authority</x:v>
      </x:c>
      <x:c r="G68" s="7" t="str">
        <x:v>capacity</x:v>
      </x:c>
      <x:c r="H68" s="10" t="str"/>
      <x:c r="I68" s="7" t="str"/>
      <x:c r="J68" s="7" t="str">
        <x:v>OPEN</x:v>
      </x:c>
    </x:row>
    <x:row r="69" ht="36" customHeight="1">
      <x:c r="B69" s="7" t="str">
        <x:v>RFP-A2-WD-31</x:v>
      </x:c>
      <x:c r="C69" s="7" t="str">
        <x:v>RFP-A2</x:v>
      </x:c>
      <x:c r="D69" s="7" t="str">
        <x:v>PTC-A</x:v>
      </x:c>
      <x:c r="E69" s="7" t="str">
        <x:v>WD-31</x:v>
      </x:c>
      <x:c r="F69" s="7" t="str">
        <x:v>rescue and authority</x:v>
      </x:c>
      <x:c r="G69" s="7" t="str">
        <x:v>state</x:v>
      </x:c>
      <x:c r="H69" s="10" t="str"/>
      <x:c r="I69" s="7" t="str"/>
      <x:c r="J69" s="7" t="str">
        <x:v>OPEN</x:v>
      </x:c>
    </x:row>
    <x:row r="70" ht="36" customHeight="1">
      <x:c r="B70" s="7" t="str">
        <x:v>RFP-A2-WD-32</x:v>
      </x:c>
      <x:c r="C70" s="7" t="str">
        <x:v>RFP-A2</x:v>
      </x:c>
      <x:c r="D70" s="7" t="str">
        <x:v>PTC-A</x:v>
      </x:c>
      <x:c r="E70" s="7" t="str">
        <x:v>WD-32</x:v>
      </x:c>
      <x:c r="F70" s="7" t="str">
        <x:v>rescue and authority</x:v>
      </x:c>
      <x:c r="G70" s="7" t="str">
        <x:v>authority</x:v>
      </x:c>
      <x:c r="H70" s="10" t="str"/>
      <x:c r="I70" s="7" t="str"/>
      <x:c r="J70" s="7" t="str">
        <x:v>OPEN</x:v>
      </x:c>
    </x:row>
    <x:row r="71" ht="36" customHeight="1">
      <x:c r="B71" s="7" t="str">
        <x:v>RFP-B1-WD-01</x:v>
      </x:c>
      <x:c r="C71" s="7" t="str">
        <x:v>RFP-B1</x:v>
      </x:c>
      <x:c r="D71" s="7" t="str">
        <x:v>PTC-B</x:v>
      </x:c>
      <x:c r="E71" s="7" t="str">
        <x:v>WD-01</x:v>
      </x:c>
      <x:c r="F71" s="7" t="str">
        <x:v>configuration</x:v>
      </x:c>
      <x:c r="G71" s="7" t="str">
        <x:v>identity</x:v>
      </x:c>
      <x:c r="H71" s="10" t="str"/>
      <x:c r="I71" s="7" t="str"/>
      <x:c r="J71" s="7" t="str">
        <x:v>OPEN</x:v>
      </x:c>
    </x:row>
    <x:row r="72" ht="36" customHeight="1">
      <x:c r="B72" s="7" t="str">
        <x:v>RFP-B1-WD-02</x:v>
      </x:c>
      <x:c r="C72" s="7" t="str">
        <x:v>RFP-B1</x:v>
      </x:c>
      <x:c r="D72" s="7" t="str">
        <x:v>PTC-B</x:v>
      </x:c>
      <x:c r="E72" s="7" t="str">
        <x:v>WD-02</x:v>
      </x:c>
      <x:c r="F72" s="7" t="str">
        <x:v>configuration</x:v>
      </x:c>
      <x:c r="G72" s="7" t="str">
        <x:v>capacity</x:v>
      </x:c>
      <x:c r="H72" s="10" t="str"/>
      <x:c r="I72" s="7" t="str"/>
      <x:c r="J72" s="7" t="str">
        <x:v>OPEN</x:v>
      </x:c>
    </x:row>
    <x:row r="73" ht="36" customHeight="1">
      <x:c r="B73" s="7" t="str">
        <x:v>RFP-B1-WD-03</x:v>
      </x:c>
      <x:c r="C73" s="7" t="str">
        <x:v>RFP-B1</x:v>
      </x:c>
      <x:c r="D73" s="7" t="str">
        <x:v>PTC-B</x:v>
      </x:c>
      <x:c r="E73" s="7" t="str">
        <x:v>WD-03</x:v>
      </x:c>
      <x:c r="F73" s="7" t="str">
        <x:v>configuration</x:v>
      </x:c>
      <x:c r="G73" s="7" t="str">
        <x:v>state</x:v>
      </x:c>
      <x:c r="H73" s="10" t="str"/>
      <x:c r="I73" s="7" t="str"/>
      <x:c r="J73" s="7" t="str">
        <x:v>OPEN</x:v>
      </x:c>
    </x:row>
    <x:row r="74" ht="36" customHeight="1">
      <x:c r="B74" s="7" t="str">
        <x:v>RFP-B1-WD-04</x:v>
      </x:c>
      <x:c r="C74" s="7" t="str">
        <x:v>RFP-B1</x:v>
      </x:c>
      <x:c r="D74" s="7" t="str">
        <x:v>PTC-B</x:v>
      </x:c>
      <x:c r="E74" s="7" t="str">
        <x:v>WD-04</x:v>
      </x:c>
      <x:c r="F74" s="7" t="str">
        <x:v>configuration</x:v>
      </x:c>
      <x:c r="G74" s="7" t="str">
        <x:v>authority</x:v>
      </x:c>
      <x:c r="H74" s="10" t="str"/>
      <x:c r="I74" s="7" t="str"/>
      <x:c r="J74" s="7" t="str">
        <x:v>OPEN</x:v>
      </x:c>
    </x:row>
    <x:row r="75" ht="36" customHeight="1">
      <x:c r="B75" s="7" t="str">
        <x:v>RFP-B1-WD-05</x:v>
      </x:c>
      <x:c r="C75" s="7" t="str">
        <x:v>RFP-B1</x:v>
      </x:c>
      <x:c r="D75" s="7" t="str">
        <x:v>PTC-B</x:v>
      </x:c>
      <x:c r="E75" s="7" t="str">
        <x:v>WD-05</x:v>
      </x:c>
      <x:c r="F75" s="7" t="str">
        <x:v>source</x:v>
      </x:c>
      <x:c r="G75" s="7" t="str">
        <x:v>identity</x:v>
      </x:c>
      <x:c r="H75" s="10" t="str"/>
      <x:c r="I75" s="7" t="str"/>
      <x:c r="J75" s="7" t="str">
        <x:v>OPEN</x:v>
      </x:c>
    </x:row>
    <x:row r="76" ht="36" customHeight="1">
      <x:c r="B76" s="7" t="str">
        <x:v>RFP-B1-WD-06</x:v>
      </x:c>
      <x:c r="C76" s="7" t="str">
        <x:v>RFP-B1</x:v>
      </x:c>
      <x:c r="D76" s="7" t="str">
        <x:v>PTC-B</x:v>
      </x:c>
      <x:c r="E76" s="7" t="str">
        <x:v>WD-06</x:v>
      </x:c>
      <x:c r="F76" s="7" t="str">
        <x:v>source</x:v>
      </x:c>
      <x:c r="G76" s="7" t="str">
        <x:v>capacity</x:v>
      </x:c>
      <x:c r="H76" s="10" t="str"/>
      <x:c r="I76" s="7" t="str"/>
      <x:c r="J76" s="7" t="str">
        <x:v>OPEN</x:v>
      </x:c>
    </x:row>
    <x:row r="77" ht="36" customHeight="1">
      <x:c r="B77" s="7" t="str">
        <x:v>RFP-B1-WD-07</x:v>
      </x:c>
      <x:c r="C77" s="7" t="str">
        <x:v>RFP-B1</x:v>
      </x:c>
      <x:c r="D77" s="7" t="str">
        <x:v>PTC-B</x:v>
      </x:c>
      <x:c r="E77" s="7" t="str">
        <x:v>WD-07</x:v>
      </x:c>
      <x:c r="F77" s="7" t="str">
        <x:v>source</x:v>
      </x:c>
      <x:c r="G77" s="7" t="str">
        <x:v>state</x:v>
      </x:c>
      <x:c r="H77" s="10" t="str"/>
      <x:c r="I77" s="7" t="str"/>
      <x:c r="J77" s="7" t="str">
        <x:v>OPEN</x:v>
      </x:c>
    </x:row>
    <x:row r="78" ht="36" customHeight="1">
      <x:c r="B78" s="7" t="str">
        <x:v>RFP-B1-WD-08</x:v>
      </x:c>
      <x:c r="C78" s="7" t="str">
        <x:v>RFP-B1</x:v>
      </x:c>
      <x:c r="D78" s="7" t="str">
        <x:v>PTC-B</x:v>
      </x:c>
      <x:c r="E78" s="7" t="str">
        <x:v>WD-08</x:v>
      </x:c>
      <x:c r="F78" s="7" t="str">
        <x:v>source</x:v>
      </x:c>
      <x:c r="G78" s="7" t="str">
        <x:v>authority</x:v>
      </x:c>
      <x:c r="H78" s="10" t="str"/>
      <x:c r="I78" s="7" t="str"/>
      <x:c r="J78" s="7" t="str">
        <x:v>OPEN</x:v>
      </x:c>
    </x:row>
    <x:row r="79" ht="36" customHeight="1">
      <x:c r="B79" s="7" t="str">
        <x:v>RFP-B1-WD-09</x:v>
      </x:c>
      <x:c r="C79" s="7" t="str">
        <x:v>RFP-B1</x:v>
      </x:c>
      <x:c r="D79" s="7" t="str">
        <x:v>PTC-B</x:v>
      </x:c>
      <x:c r="E79" s="7" t="str">
        <x:v>WD-09</x:v>
      </x:c>
      <x:c r="F79" s="7" t="str">
        <x:v>containment and terrain</x:v>
      </x:c>
      <x:c r="G79" s="7" t="str">
        <x:v>identity</x:v>
      </x:c>
      <x:c r="H79" s="10" t="str"/>
      <x:c r="I79" s="7" t="str"/>
      <x:c r="J79" s="7" t="str">
        <x:v>OPEN</x:v>
      </x:c>
    </x:row>
    <x:row r="80" ht="36" customHeight="1">
      <x:c r="B80" s="7" t="str">
        <x:v>RFP-B1-WD-10</x:v>
      </x:c>
      <x:c r="C80" s="7" t="str">
        <x:v>RFP-B1</x:v>
      </x:c>
      <x:c r="D80" s="7" t="str">
        <x:v>PTC-B</x:v>
      </x:c>
      <x:c r="E80" s="7" t="str">
        <x:v>WD-10</x:v>
      </x:c>
      <x:c r="F80" s="7" t="str">
        <x:v>containment and terrain</x:v>
      </x:c>
      <x:c r="G80" s="7" t="str">
        <x:v>capacity</x:v>
      </x:c>
      <x:c r="H80" s="10" t="str"/>
      <x:c r="I80" s="7" t="str"/>
      <x:c r="J80" s="7" t="str">
        <x:v>OPEN</x:v>
      </x:c>
    </x:row>
    <x:row r="81" ht="36" customHeight="1">
      <x:c r="B81" s="7" t="str">
        <x:v>RFP-B1-WD-11</x:v>
      </x:c>
      <x:c r="C81" s="7" t="str">
        <x:v>RFP-B1</x:v>
      </x:c>
      <x:c r="D81" s="7" t="str">
        <x:v>PTC-B</x:v>
      </x:c>
      <x:c r="E81" s="7" t="str">
        <x:v>WD-11</x:v>
      </x:c>
      <x:c r="F81" s="7" t="str">
        <x:v>containment and terrain</x:v>
      </x:c>
      <x:c r="G81" s="7" t="str">
        <x:v>state</x:v>
      </x:c>
      <x:c r="H81" s="10" t="str"/>
      <x:c r="I81" s="7" t="str"/>
      <x:c r="J81" s="7" t="str">
        <x:v>OPEN</x:v>
      </x:c>
    </x:row>
    <x:row r="82" ht="36" customHeight="1">
      <x:c r="B82" s="7" t="str">
        <x:v>RFP-B1-WD-12</x:v>
      </x:c>
      <x:c r="C82" s="7" t="str">
        <x:v>RFP-B1</x:v>
      </x:c>
      <x:c r="D82" s="7" t="str">
        <x:v>PTC-B</x:v>
      </x:c>
      <x:c r="E82" s="7" t="str">
        <x:v>WD-12</x:v>
      </x:c>
      <x:c r="F82" s="7" t="str">
        <x:v>containment and terrain</x:v>
      </x:c>
      <x:c r="G82" s="7" t="str">
        <x:v>authority</x:v>
      </x:c>
      <x:c r="H82" s="10" t="str"/>
      <x:c r="I82" s="7" t="str"/>
      <x:c r="J82" s="7" t="str">
        <x:v>OPEN</x:v>
      </x:c>
    </x:row>
    <x:row r="83" ht="36" customHeight="1">
      <x:c r="B83" s="7" t="str">
        <x:v>RFP-B1-WD-13</x:v>
      </x:c>
      <x:c r="C83" s="7" t="str">
        <x:v>RFP-B1</x:v>
      </x:c>
      <x:c r="D83" s="7" t="str">
        <x:v>PTC-B</x:v>
      </x:c>
      <x:c r="E83" s="7" t="str">
        <x:v>WD-13</x:v>
      </x:c>
      <x:c r="F83" s="7" t="str">
        <x:v>water and receivers</x:v>
      </x:c>
      <x:c r="G83" s="7" t="str">
        <x:v>identity</x:v>
      </x:c>
      <x:c r="H83" s="10" t="str"/>
      <x:c r="I83" s="7" t="str"/>
      <x:c r="J83" s="7" t="str">
        <x:v>OPEN</x:v>
      </x:c>
    </x:row>
    <x:row r="84" ht="36" customHeight="1">
      <x:c r="B84" s="7" t="str">
        <x:v>RFP-B1-WD-14</x:v>
      </x:c>
      <x:c r="C84" s="7" t="str">
        <x:v>RFP-B1</x:v>
      </x:c>
      <x:c r="D84" s="7" t="str">
        <x:v>PTC-B</x:v>
      </x:c>
      <x:c r="E84" s="7" t="str">
        <x:v>WD-14</x:v>
      </x:c>
      <x:c r="F84" s="7" t="str">
        <x:v>water and receivers</x:v>
      </x:c>
      <x:c r="G84" s="7" t="str">
        <x:v>capacity</x:v>
      </x:c>
      <x:c r="H84" s="10" t="str"/>
      <x:c r="I84" s="7" t="str"/>
      <x:c r="J84" s="7" t="str">
        <x:v>OPEN</x:v>
      </x:c>
    </x:row>
    <x:row r="85" ht="36" customHeight="1">
      <x:c r="B85" s="7" t="str">
        <x:v>RFP-B1-WD-15</x:v>
      </x:c>
      <x:c r="C85" s="7" t="str">
        <x:v>RFP-B1</x:v>
      </x:c>
      <x:c r="D85" s="7" t="str">
        <x:v>PTC-B</x:v>
      </x:c>
      <x:c r="E85" s="7" t="str">
        <x:v>WD-15</x:v>
      </x:c>
      <x:c r="F85" s="7" t="str">
        <x:v>water and receivers</x:v>
      </x:c>
      <x:c r="G85" s="7" t="str">
        <x:v>state</x:v>
      </x:c>
      <x:c r="H85" s="10" t="str"/>
      <x:c r="I85" s="7" t="str"/>
      <x:c r="J85" s="7" t="str">
        <x:v>OPEN</x:v>
      </x:c>
    </x:row>
    <x:row r="86" ht="36" customHeight="1">
      <x:c r="B86" s="7" t="str">
        <x:v>RFP-B1-WD-16</x:v>
      </x:c>
      <x:c r="C86" s="7" t="str">
        <x:v>RFP-B1</x:v>
      </x:c>
      <x:c r="D86" s="7" t="str">
        <x:v>PTC-B</x:v>
      </x:c>
      <x:c r="E86" s="7" t="str">
        <x:v>WD-16</x:v>
      </x:c>
      <x:c r="F86" s="7" t="str">
        <x:v>water and receivers</x:v>
      </x:c>
      <x:c r="G86" s="7" t="str">
        <x:v>authority</x:v>
      </x:c>
      <x:c r="H86" s="10" t="str"/>
      <x:c r="I86" s="7" t="str"/>
      <x:c r="J86" s="7" t="str">
        <x:v>OPEN</x:v>
      </x:c>
    </x:row>
    <x:row r="87" ht="36" customHeight="1">
      <x:c r="B87" s="7" t="str">
        <x:v>RFP-B1-WD-17</x:v>
      </x:c>
      <x:c r="C87" s="7" t="str">
        <x:v>RFP-B1</x:v>
      </x:c>
      <x:c r="D87" s="7" t="str">
        <x:v>PTC-B</x:v>
      </x:c>
      <x:c r="E87" s="7" t="str">
        <x:v>WD-17</x:v>
      </x:c>
      <x:c r="F87" s="7" t="str">
        <x:v>safety and control</x:v>
      </x:c>
      <x:c r="G87" s="7" t="str">
        <x:v>identity</x:v>
      </x:c>
      <x:c r="H87" s="10" t="str"/>
      <x:c r="I87" s="7" t="str"/>
      <x:c r="J87" s="7" t="str">
        <x:v>OPEN</x:v>
      </x:c>
    </x:row>
    <x:row r="88" ht="36" customHeight="1">
      <x:c r="B88" s="7" t="str">
        <x:v>RFP-B1-WD-18</x:v>
      </x:c>
      <x:c r="C88" s="7" t="str">
        <x:v>RFP-B1</x:v>
      </x:c>
      <x:c r="D88" s="7" t="str">
        <x:v>PTC-B</x:v>
      </x:c>
      <x:c r="E88" s="7" t="str">
        <x:v>WD-18</x:v>
      </x:c>
      <x:c r="F88" s="7" t="str">
        <x:v>safety and control</x:v>
      </x:c>
      <x:c r="G88" s="7" t="str">
        <x:v>capacity</x:v>
      </x:c>
      <x:c r="H88" s="10" t="str"/>
      <x:c r="I88" s="7" t="str"/>
      <x:c r="J88" s="7" t="str">
        <x:v>OPEN</x:v>
      </x:c>
    </x:row>
    <x:row r="89" ht="36" customHeight="1">
      <x:c r="B89" s="7" t="str">
        <x:v>RFP-B1-WD-19</x:v>
      </x:c>
      <x:c r="C89" s="7" t="str">
        <x:v>RFP-B1</x:v>
      </x:c>
      <x:c r="D89" s="7" t="str">
        <x:v>PTC-B</x:v>
      </x:c>
      <x:c r="E89" s="7" t="str">
        <x:v>WD-19</x:v>
      </x:c>
      <x:c r="F89" s="7" t="str">
        <x:v>safety and control</x:v>
      </x:c>
      <x:c r="G89" s="7" t="str">
        <x:v>state</x:v>
      </x:c>
      <x:c r="H89" s="10" t="str"/>
      <x:c r="I89" s="7" t="str"/>
      <x:c r="J89" s="7" t="str">
        <x:v>OPEN</x:v>
      </x:c>
    </x:row>
    <x:row r="90" ht="36" customHeight="1">
      <x:c r="B90" s="7" t="str">
        <x:v>RFP-B1-WD-20</x:v>
      </x:c>
      <x:c r="C90" s="7" t="str">
        <x:v>RFP-B1</x:v>
      </x:c>
      <x:c r="D90" s="7" t="str">
        <x:v>PTC-B</x:v>
      </x:c>
      <x:c r="E90" s="7" t="str">
        <x:v>WD-20</x:v>
      </x:c>
      <x:c r="F90" s="7" t="str">
        <x:v>safety and control</x:v>
      </x:c>
      <x:c r="G90" s="7" t="str">
        <x:v>authority</x:v>
      </x:c>
      <x:c r="H90" s="10" t="str"/>
      <x:c r="I90" s="7" t="str"/>
      <x:c r="J90" s="7" t="str">
        <x:v>OPEN</x:v>
      </x:c>
    </x:row>
    <x:row r="91" ht="36" customHeight="1">
      <x:c r="B91" s="7" t="str">
        <x:v>RFP-B1-WD-21</x:v>
      </x:c>
      <x:c r="C91" s="7" t="str">
        <x:v>RFP-B1</x:v>
      </x:c>
      <x:c r="D91" s="7" t="str">
        <x:v>PTC-B</x:v>
      </x:c>
      <x:c r="E91" s="7" t="str">
        <x:v>WD-21</x:v>
      </x:c>
      <x:c r="F91" s="7" t="str">
        <x:v>measurement and time</x:v>
      </x:c>
      <x:c r="G91" s="7" t="str">
        <x:v>identity</x:v>
      </x:c>
      <x:c r="H91" s="10" t="str"/>
      <x:c r="I91" s="7" t="str"/>
      <x:c r="J91" s="7" t="str">
        <x:v>OPEN</x:v>
      </x:c>
    </x:row>
    <x:row r="92" ht="36" customHeight="1">
      <x:c r="B92" s="7" t="str">
        <x:v>RFP-B1-WD-22</x:v>
      </x:c>
      <x:c r="C92" s="7" t="str">
        <x:v>RFP-B1</x:v>
      </x:c>
      <x:c r="D92" s="7" t="str">
        <x:v>PTC-B</x:v>
      </x:c>
      <x:c r="E92" s="7" t="str">
        <x:v>WD-22</x:v>
      </x:c>
      <x:c r="F92" s="7" t="str">
        <x:v>measurement and time</x:v>
      </x:c>
      <x:c r="G92" s="7" t="str">
        <x:v>capacity</x:v>
      </x:c>
      <x:c r="H92" s="10" t="str"/>
      <x:c r="I92" s="7" t="str"/>
      <x:c r="J92" s="7" t="str">
        <x:v>OPEN</x:v>
      </x:c>
    </x:row>
    <x:row r="93" ht="36" customHeight="1">
      <x:c r="B93" s="7" t="str">
        <x:v>RFP-B1-WD-23</x:v>
      </x:c>
      <x:c r="C93" s="7" t="str">
        <x:v>RFP-B1</x:v>
      </x:c>
      <x:c r="D93" s="7" t="str">
        <x:v>PTC-B</x:v>
      </x:c>
      <x:c r="E93" s="7" t="str">
        <x:v>WD-23</x:v>
      </x:c>
      <x:c r="F93" s="7" t="str">
        <x:v>measurement and time</x:v>
      </x:c>
      <x:c r="G93" s="7" t="str">
        <x:v>state</x:v>
      </x:c>
      <x:c r="H93" s="10" t="str"/>
      <x:c r="I93" s="7" t="str"/>
      <x:c r="J93" s="7" t="str">
        <x:v>OPEN</x:v>
      </x:c>
    </x:row>
    <x:row r="94" ht="36" customHeight="1">
      <x:c r="B94" s="7" t="str">
        <x:v>RFP-B1-WD-24</x:v>
      </x:c>
      <x:c r="C94" s="7" t="str">
        <x:v>RFP-B1</x:v>
      </x:c>
      <x:c r="D94" s="7" t="str">
        <x:v>PTC-B</x:v>
      </x:c>
      <x:c r="E94" s="7" t="str">
        <x:v>WD-24</x:v>
      </x:c>
      <x:c r="F94" s="7" t="str">
        <x:v>measurement and time</x:v>
      </x:c>
      <x:c r="G94" s="7" t="str">
        <x:v>authority</x:v>
      </x:c>
      <x:c r="H94" s="10" t="str"/>
      <x:c r="I94" s="7" t="str"/>
      <x:c r="J94" s="7" t="str">
        <x:v>OPEN</x:v>
      </x:c>
    </x:row>
    <x:row r="95" ht="36" customHeight="1">
      <x:c r="B95" s="7" t="str">
        <x:v>RFP-B1-WD-25</x:v>
      </x:c>
      <x:c r="C95" s="7" t="str">
        <x:v>RFP-B1</x:v>
      </x:c>
      <x:c r="D95" s="7" t="str">
        <x:v>PTC-B</x:v>
      </x:c>
      <x:c r="E95" s="7" t="str">
        <x:v>WD-25</x:v>
      </x:c>
      <x:c r="F95" s="7" t="str">
        <x:v>environment and recovery</x:v>
      </x:c>
      <x:c r="G95" s="7" t="str">
        <x:v>identity</x:v>
      </x:c>
      <x:c r="H95" s="10" t="str"/>
      <x:c r="I95" s="7" t="str"/>
      <x:c r="J95" s="7" t="str">
        <x:v>OPEN</x:v>
      </x:c>
    </x:row>
    <x:row r="96" ht="36" customHeight="1">
      <x:c r="B96" s="7" t="str">
        <x:v>RFP-B1-WD-26</x:v>
      </x:c>
      <x:c r="C96" s="7" t="str">
        <x:v>RFP-B1</x:v>
      </x:c>
      <x:c r="D96" s="7" t="str">
        <x:v>PTC-B</x:v>
      </x:c>
      <x:c r="E96" s="7" t="str">
        <x:v>WD-26</x:v>
      </x:c>
      <x:c r="F96" s="7" t="str">
        <x:v>environment and recovery</x:v>
      </x:c>
      <x:c r="G96" s="7" t="str">
        <x:v>capacity</x:v>
      </x:c>
      <x:c r="H96" s="10" t="str"/>
      <x:c r="I96" s="7" t="str"/>
      <x:c r="J96" s="7" t="str">
        <x:v>OPEN</x:v>
      </x:c>
    </x:row>
    <x:row r="97" ht="36" customHeight="1">
      <x:c r="B97" s="7" t="str">
        <x:v>RFP-B1-WD-27</x:v>
      </x:c>
      <x:c r="C97" s="7" t="str">
        <x:v>RFP-B1</x:v>
      </x:c>
      <x:c r="D97" s="7" t="str">
        <x:v>PTC-B</x:v>
      </x:c>
      <x:c r="E97" s="7" t="str">
        <x:v>WD-27</x:v>
      </x:c>
      <x:c r="F97" s="7" t="str">
        <x:v>environment and recovery</x:v>
      </x:c>
      <x:c r="G97" s="7" t="str">
        <x:v>state</x:v>
      </x:c>
      <x:c r="H97" s="10" t="str"/>
      <x:c r="I97" s="7" t="str"/>
      <x:c r="J97" s="7" t="str">
        <x:v>OPEN</x:v>
      </x:c>
    </x:row>
    <x:row r="98" ht="36" customHeight="1">
      <x:c r="B98" s="7" t="str">
        <x:v>RFP-B1-WD-28</x:v>
      </x:c>
      <x:c r="C98" s="7" t="str">
        <x:v>RFP-B1</x:v>
      </x:c>
      <x:c r="D98" s="7" t="str">
        <x:v>PTC-B</x:v>
      </x:c>
      <x:c r="E98" s="7" t="str">
        <x:v>WD-28</x:v>
      </x:c>
      <x:c r="F98" s="7" t="str">
        <x:v>environment and recovery</x:v>
      </x:c>
      <x:c r="G98" s="7" t="str">
        <x:v>authority</x:v>
      </x:c>
      <x:c r="H98" s="10" t="str"/>
      <x:c r="I98" s="7" t="str"/>
      <x:c r="J98" s="7" t="str">
        <x:v>OPEN</x:v>
      </x:c>
    </x:row>
    <x:row r="99" ht="36" customHeight="1">
      <x:c r="B99" s="7" t="str">
        <x:v>RFP-B1-WD-29</x:v>
      </x:c>
      <x:c r="C99" s="7" t="str">
        <x:v>RFP-B1</x:v>
      </x:c>
      <x:c r="D99" s="7" t="str">
        <x:v>PTC-B</x:v>
      </x:c>
      <x:c r="E99" s="7" t="str">
        <x:v>WD-29</x:v>
      </x:c>
      <x:c r="F99" s="7" t="str">
        <x:v>rescue and authority</x:v>
      </x:c>
      <x:c r="G99" s="7" t="str">
        <x:v>identity</x:v>
      </x:c>
      <x:c r="H99" s="10" t="str"/>
      <x:c r="I99" s="7" t="str"/>
      <x:c r="J99" s="7" t="str">
        <x:v>OPEN</x:v>
      </x:c>
    </x:row>
    <x:row r="100" ht="36" customHeight="1">
      <x:c r="B100" s="7" t="str">
        <x:v>RFP-B1-WD-30</x:v>
      </x:c>
      <x:c r="C100" s="7" t="str">
        <x:v>RFP-B1</x:v>
      </x:c>
      <x:c r="D100" s="7" t="str">
        <x:v>PTC-B</x:v>
      </x:c>
      <x:c r="E100" s="7" t="str">
        <x:v>WD-30</x:v>
      </x:c>
      <x:c r="F100" s="7" t="str">
        <x:v>rescue and authority</x:v>
      </x:c>
      <x:c r="G100" s="7" t="str">
        <x:v>capacity</x:v>
      </x:c>
      <x:c r="H100" s="10" t="str"/>
      <x:c r="I100" s="7" t="str"/>
      <x:c r="J100" s="7" t="str">
        <x:v>OPEN</x:v>
      </x:c>
    </x:row>
    <x:row r="101" ht="36" customHeight="1">
      <x:c r="B101" s="7" t="str">
        <x:v>RFP-B1-WD-31</x:v>
      </x:c>
      <x:c r="C101" s="7" t="str">
        <x:v>RFP-B1</x:v>
      </x:c>
      <x:c r="D101" s="7" t="str">
        <x:v>PTC-B</x:v>
      </x:c>
      <x:c r="E101" s="7" t="str">
        <x:v>WD-31</x:v>
      </x:c>
      <x:c r="F101" s="7" t="str">
        <x:v>rescue and authority</x:v>
      </x:c>
      <x:c r="G101" s="7" t="str">
        <x:v>state</x:v>
      </x:c>
      <x:c r="H101" s="10" t="str"/>
      <x:c r="I101" s="7" t="str"/>
      <x:c r="J101" s="7" t="str">
        <x:v>OPEN</x:v>
      </x:c>
    </x:row>
    <x:row r="102" ht="36" customHeight="1">
      <x:c r="B102" s="7" t="str">
        <x:v>RFP-B1-WD-32</x:v>
      </x:c>
      <x:c r="C102" s="7" t="str">
        <x:v>RFP-B1</x:v>
      </x:c>
      <x:c r="D102" s="7" t="str">
        <x:v>PTC-B</x:v>
      </x:c>
      <x:c r="E102" s="7" t="str">
        <x:v>WD-32</x:v>
      </x:c>
      <x:c r="F102" s="7" t="str">
        <x:v>rescue and authority</x:v>
      </x:c>
      <x:c r="G102" s="7" t="str">
        <x:v>authority</x:v>
      </x:c>
      <x:c r="H102" s="10" t="str"/>
      <x:c r="I102" s="7" t="str"/>
      <x:c r="J102" s="7" t="str">
        <x:v>OPEN</x:v>
      </x:c>
    </x:row>
    <x:row r="103" ht="36" customHeight="1">
      <x:c r="B103" s="7" t="str">
        <x:v>RFP-B2-WD-01</x:v>
      </x:c>
      <x:c r="C103" s="7" t="str">
        <x:v>RFP-B2</x:v>
      </x:c>
      <x:c r="D103" s="7" t="str">
        <x:v>PTC-B</x:v>
      </x:c>
      <x:c r="E103" s="7" t="str">
        <x:v>WD-01</x:v>
      </x:c>
      <x:c r="F103" s="7" t="str">
        <x:v>configuration</x:v>
      </x:c>
      <x:c r="G103" s="7" t="str">
        <x:v>identity</x:v>
      </x:c>
      <x:c r="H103" s="10" t="str"/>
      <x:c r="I103" s="7" t="str"/>
      <x:c r="J103" s="7" t="str">
        <x:v>OPEN</x:v>
      </x:c>
    </x:row>
    <x:row r="104" ht="36" customHeight="1">
      <x:c r="B104" s="7" t="str">
        <x:v>RFP-B2-WD-02</x:v>
      </x:c>
      <x:c r="C104" s="7" t="str">
        <x:v>RFP-B2</x:v>
      </x:c>
      <x:c r="D104" s="7" t="str">
        <x:v>PTC-B</x:v>
      </x:c>
      <x:c r="E104" s="7" t="str">
        <x:v>WD-02</x:v>
      </x:c>
      <x:c r="F104" s="7" t="str">
        <x:v>configuration</x:v>
      </x:c>
      <x:c r="G104" s="7" t="str">
        <x:v>capacity</x:v>
      </x:c>
      <x:c r="H104" s="10" t="str"/>
      <x:c r="I104" s="7" t="str"/>
      <x:c r="J104" s="7" t="str">
        <x:v>OPEN</x:v>
      </x:c>
    </x:row>
    <x:row r="105" ht="36" customHeight="1">
      <x:c r="B105" s="7" t="str">
        <x:v>RFP-B2-WD-03</x:v>
      </x:c>
      <x:c r="C105" s="7" t="str">
        <x:v>RFP-B2</x:v>
      </x:c>
      <x:c r="D105" s="7" t="str">
        <x:v>PTC-B</x:v>
      </x:c>
      <x:c r="E105" s="7" t="str">
        <x:v>WD-03</x:v>
      </x:c>
      <x:c r="F105" s="7" t="str">
        <x:v>configuration</x:v>
      </x:c>
      <x:c r="G105" s="7" t="str">
        <x:v>state</x:v>
      </x:c>
      <x:c r="H105" s="10" t="str"/>
      <x:c r="I105" s="7" t="str"/>
      <x:c r="J105" s="7" t="str">
        <x:v>OPEN</x:v>
      </x:c>
    </x:row>
    <x:row r="106" ht="36" customHeight="1">
      <x:c r="B106" s="7" t="str">
        <x:v>RFP-B2-WD-04</x:v>
      </x:c>
      <x:c r="C106" s="7" t="str">
        <x:v>RFP-B2</x:v>
      </x:c>
      <x:c r="D106" s="7" t="str">
        <x:v>PTC-B</x:v>
      </x:c>
      <x:c r="E106" s="7" t="str">
        <x:v>WD-04</x:v>
      </x:c>
      <x:c r="F106" s="7" t="str">
        <x:v>configuration</x:v>
      </x:c>
      <x:c r="G106" s="7" t="str">
        <x:v>authority</x:v>
      </x:c>
      <x:c r="H106" s="10" t="str"/>
      <x:c r="I106" s="7" t="str"/>
      <x:c r="J106" s="7" t="str">
        <x:v>OPEN</x:v>
      </x:c>
    </x:row>
    <x:row r="107" ht="36" customHeight="1">
      <x:c r="B107" s="7" t="str">
        <x:v>RFP-B2-WD-05</x:v>
      </x:c>
      <x:c r="C107" s="7" t="str">
        <x:v>RFP-B2</x:v>
      </x:c>
      <x:c r="D107" s="7" t="str">
        <x:v>PTC-B</x:v>
      </x:c>
      <x:c r="E107" s="7" t="str">
        <x:v>WD-05</x:v>
      </x:c>
      <x:c r="F107" s="7" t="str">
        <x:v>source</x:v>
      </x:c>
      <x:c r="G107" s="7" t="str">
        <x:v>identity</x:v>
      </x:c>
      <x:c r="H107" s="10" t="str"/>
      <x:c r="I107" s="7" t="str"/>
      <x:c r="J107" s="7" t="str">
        <x:v>OPEN</x:v>
      </x:c>
    </x:row>
    <x:row r="108" ht="36" customHeight="1">
      <x:c r="B108" s="7" t="str">
        <x:v>RFP-B2-WD-06</x:v>
      </x:c>
      <x:c r="C108" s="7" t="str">
        <x:v>RFP-B2</x:v>
      </x:c>
      <x:c r="D108" s="7" t="str">
        <x:v>PTC-B</x:v>
      </x:c>
      <x:c r="E108" s="7" t="str">
        <x:v>WD-06</x:v>
      </x:c>
      <x:c r="F108" s="7" t="str">
        <x:v>source</x:v>
      </x:c>
      <x:c r="G108" s="7" t="str">
        <x:v>capacity</x:v>
      </x:c>
      <x:c r="H108" s="10" t="str"/>
      <x:c r="I108" s="7" t="str"/>
      <x:c r="J108" s="7" t="str">
        <x:v>OPEN</x:v>
      </x:c>
    </x:row>
    <x:row r="109" ht="36" customHeight="1">
      <x:c r="B109" s="7" t="str">
        <x:v>RFP-B2-WD-07</x:v>
      </x:c>
      <x:c r="C109" s="7" t="str">
        <x:v>RFP-B2</x:v>
      </x:c>
      <x:c r="D109" s="7" t="str">
        <x:v>PTC-B</x:v>
      </x:c>
      <x:c r="E109" s="7" t="str">
        <x:v>WD-07</x:v>
      </x:c>
      <x:c r="F109" s="7" t="str">
        <x:v>source</x:v>
      </x:c>
      <x:c r="G109" s="7" t="str">
        <x:v>state</x:v>
      </x:c>
      <x:c r="H109" s="10" t="str"/>
      <x:c r="I109" s="7" t="str"/>
      <x:c r="J109" s="7" t="str">
        <x:v>OPEN</x:v>
      </x:c>
    </x:row>
    <x:row r="110" ht="36" customHeight="1">
      <x:c r="B110" s="7" t="str">
        <x:v>RFP-B2-WD-08</x:v>
      </x:c>
      <x:c r="C110" s="7" t="str">
        <x:v>RFP-B2</x:v>
      </x:c>
      <x:c r="D110" s="7" t="str">
        <x:v>PTC-B</x:v>
      </x:c>
      <x:c r="E110" s="7" t="str">
        <x:v>WD-08</x:v>
      </x:c>
      <x:c r="F110" s="7" t="str">
        <x:v>source</x:v>
      </x:c>
      <x:c r="G110" s="7" t="str">
        <x:v>authority</x:v>
      </x:c>
      <x:c r="H110" s="10" t="str"/>
      <x:c r="I110" s="7" t="str"/>
      <x:c r="J110" s="7" t="str">
        <x:v>OPEN</x:v>
      </x:c>
    </x:row>
    <x:row r="111" ht="36" customHeight="1">
      <x:c r="B111" s="7" t="str">
        <x:v>RFP-B2-WD-09</x:v>
      </x:c>
      <x:c r="C111" s="7" t="str">
        <x:v>RFP-B2</x:v>
      </x:c>
      <x:c r="D111" s="7" t="str">
        <x:v>PTC-B</x:v>
      </x:c>
      <x:c r="E111" s="7" t="str">
        <x:v>WD-09</x:v>
      </x:c>
      <x:c r="F111" s="7" t="str">
        <x:v>containment and terrain</x:v>
      </x:c>
      <x:c r="G111" s="7" t="str">
        <x:v>identity</x:v>
      </x:c>
      <x:c r="H111" s="10" t="str"/>
      <x:c r="I111" s="7" t="str"/>
      <x:c r="J111" s="7" t="str">
        <x:v>OPEN</x:v>
      </x:c>
    </x:row>
    <x:row r="112" ht="36" customHeight="1">
      <x:c r="B112" s="7" t="str">
        <x:v>RFP-B2-WD-10</x:v>
      </x:c>
      <x:c r="C112" s="7" t="str">
        <x:v>RFP-B2</x:v>
      </x:c>
      <x:c r="D112" s="7" t="str">
        <x:v>PTC-B</x:v>
      </x:c>
      <x:c r="E112" s="7" t="str">
        <x:v>WD-10</x:v>
      </x:c>
      <x:c r="F112" s="7" t="str">
        <x:v>containment and terrain</x:v>
      </x:c>
      <x:c r="G112" s="7" t="str">
        <x:v>capacity</x:v>
      </x:c>
      <x:c r="H112" s="10" t="str"/>
      <x:c r="I112" s="7" t="str"/>
      <x:c r="J112" s="7" t="str">
        <x:v>OPEN</x:v>
      </x:c>
    </x:row>
    <x:row r="113" ht="36" customHeight="1">
      <x:c r="B113" s="7" t="str">
        <x:v>RFP-B2-WD-11</x:v>
      </x:c>
      <x:c r="C113" s="7" t="str">
        <x:v>RFP-B2</x:v>
      </x:c>
      <x:c r="D113" s="7" t="str">
        <x:v>PTC-B</x:v>
      </x:c>
      <x:c r="E113" s="7" t="str">
        <x:v>WD-11</x:v>
      </x:c>
      <x:c r="F113" s="7" t="str">
        <x:v>containment and terrain</x:v>
      </x:c>
      <x:c r="G113" s="7" t="str">
        <x:v>state</x:v>
      </x:c>
      <x:c r="H113" s="10" t="str"/>
      <x:c r="I113" s="7" t="str"/>
      <x:c r="J113" s="7" t="str">
        <x:v>OPEN</x:v>
      </x:c>
    </x:row>
    <x:row r="114" ht="36" customHeight="1">
      <x:c r="B114" s="7" t="str">
        <x:v>RFP-B2-WD-12</x:v>
      </x:c>
      <x:c r="C114" s="7" t="str">
        <x:v>RFP-B2</x:v>
      </x:c>
      <x:c r="D114" s="7" t="str">
        <x:v>PTC-B</x:v>
      </x:c>
      <x:c r="E114" s="7" t="str">
        <x:v>WD-12</x:v>
      </x:c>
      <x:c r="F114" s="7" t="str">
        <x:v>containment and terrain</x:v>
      </x:c>
      <x:c r="G114" s="7" t="str">
        <x:v>authority</x:v>
      </x:c>
      <x:c r="H114" s="10" t="str"/>
      <x:c r="I114" s="7" t="str"/>
      <x:c r="J114" s="7" t="str">
        <x:v>OPEN</x:v>
      </x:c>
    </x:row>
    <x:row r="115" ht="36" customHeight="1">
      <x:c r="B115" s="7" t="str">
        <x:v>RFP-B2-WD-13</x:v>
      </x:c>
      <x:c r="C115" s="7" t="str">
        <x:v>RFP-B2</x:v>
      </x:c>
      <x:c r="D115" s="7" t="str">
        <x:v>PTC-B</x:v>
      </x:c>
      <x:c r="E115" s="7" t="str">
        <x:v>WD-13</x:v>
      </x:c>
      <x:c r="F115" s="7" t="str">
        <x:v>water and receivers</x:v>
      </x:c>
      <x:c r="G115" s="7" t="str">
        <x:v>identity</x:v>
      </x:c>
      <x:c r="H115" s="10" t="str"/>
      <x:c r="I115" s="7" t="str"/>
      <x:c r="J115" s="7" t="str">
        <x:v>OPEN</x:v>
      </x:c>
    </x:row>
    <x:row r="116" ht="36" customHeight="1">
      <x:c r="B116" s="7" t="str">
        <x:v>RFP-B2-WD-14</x:v>
      </x:c>
      <x:c r="C116" s="7" t="str">
        <x:v>RFP-B2</x:v>
      </x:c>
      <x:c r="D116" s="7" t="str">
        <x:v>PTC-B</x:v>
      </x:c>
      <x:c r="E116" s="7" t="str">
        <x:v>WD-14</x:v>
      </x:c>
      <x:c r="F116" s="7" t="str">
        <x:v>water and receivers</x:v>
      </x:c>
      <x:c r="G116" s="7" t="str">
        <x:v>capacity</x:v>
      </x:c>
      <x:c r="H116" s="10" t="str"/>
      <x:c r="I116" s="7" t="str"/>
      <x:c r="J116" s="7" t="str">
        <x:v>OPEN</x:v>
      </x:c>
    </x:row>
    <x:row r="117" ht="36" customHeight="1">
      <x:c r="B117" s="7" t="str">
        <x:v>RFP-B2-WD-15</x:v>
      </x:c>
      <x:c r="C117" s="7" t="str">
        <x:v>RFP-B2</x:v>
      </x:c>
      <x:c r="D117" s="7" t="str">
        <x:v>PTC-B</x:v>
      </x:c>
      <x:c r="E117" s="7" t="str">
        <x:v>WD-15</x:v>
      </x:c>
      <x:c r="F117" s="7" t="str">
        <x:v>water and receivers</x:v>
      </x:c>
      <x:c r="G117" s="7" t="str">
        <x:v>state</x:v>
      </x:c>
      <x:c r="H117" s="10" t="str"/>
      <x:c r="I117" s="7" t="str"/>
      <x:c r="J117" s="7" t="str">
        <x:v>OPEN</x:v>
      </x:c>
    </x:row>
    <x:row r="118" ht="36" customHeight="1">
      <x:c r="B118" s="7" t="str">
        <x:v>RFP-B2-WD-16</x:v>
      </x:c>
      <x:c r="C118" s="7" t="str">
        <x:v>RFP-B2</x:v>
      </x:c>
      <x:c r="D118" s="7" t="str">
        <x:v>PTC-B</x:v>
      </x:c>
      <x:c r="E118" s="7" t="str">
        <x:v>WD-16</x:v>
      </x:c>
      <x:c r="F118" s="7" t="str">
        <x:v>water and receivers</x:v>
      </x:c>
      <x:c r="G118" s="7" t="str">
        <x:v>authority</x:v>
      </x:c>
      <x:c r="H118" s="10" t="str"/>
      <x:c r="I118" s="7" t="str"/>
      <x:c r="J118" s="7" t="str">
        <x:v>OPEN</x:v>
      </x:c>
    </x:row>
    <x:row r="119" ht="36" customHeight="1">
      <x:c r="B119" s="7" t="str">
        <x:v>RFP-B2-WD-17</x:v>
      </x:c>
      <x:c r="C119" s="7" t="str">
        <x:v>RFP-B2</x:v>
      </x:c>
      <x:c r="D119" s="7" t="str">
        <x:v>PTC-B</x:v>
      </x:c>
      <x:c r="E119" s="7" t="str">
        <x:v>WD-17</x:v>
      </x:c>
      <x:c r="F119" s="7" t="str">
        <x:v>safety and control</x:v>
      </x:c>
      <x:c r="G119" s="7" t="str">
        <x:v>identity</x:v>
      </x:c>
      <x:c r="H119" s="10" t="str"/>
      <x:c r="I119" s="7" t="str"/>
      <x:c r="J119" s="7" t="str">
        <x:v>OPEN</x:v>
      </x:c>
    </x:row>
    <x:row r="120" ht="36" customHeight="1">
      <x:c r="B120" s="7" t="str">
        <x:v>RFP-B2-WD-18</x:v>
      </x:c>
      <x:c r="C120" s="7" t="str">
        <x:v>RFP-B2</x:v>
      </x:c>
      <x:c r="D120" s="7" t="str">
        <x:v>PTC-B</x:v>
      </x:c>
      <x:c r="E120" s="7" t="str">
        <x:v>WD-18</x:v>
      </x:c>
      <x:c r="F120" s="7" t="str">
        <x:v>safety and control</x:v>
      </x:c>
      <x:c r="G120" s="7" t="str">
        <x:v>capacity</x:v>
      </x:c>
      <x:c r="H120" s="10" t="str"/>
      <x:c r="I120" s="7" t="str"/>
      <x:c r="J120" s="7" t="str">
        <x:v>OPEN</x:v>
      </x:c>
    </x:row>
    <x:row r="121" ht="36" customHeight="1">
      <x:c r="B121" s="7" t="str">
        <x:v>RFP-B2-WD-19</x:v>
      </x:c>
      <x:c r="C121" s="7" t="str">
        <x:v>RFP-B2</x:v>
      </x:c>
      <x:c r="D121" s="7" t="str">
        <x:v>PTC-B</x:v>
      </x:c>
      <x:c r="E121" s="7" t="str">
        <x:v>WD-19</x:v>
      </x:c>
      <x:c r="F121" s="7" t="str">
        <x:v>safety and control</x:v>
      </x:c>
      <x:c r="G121" s="7" t="str">
        <x:v>state</x:v>
      </x:c>
      <x:c r="H121" s="10" t="str"/>
      <x:c r="I121" s="7" t="str"/>
      <x:c r="J121" s="7" t="str">
        <x:v>OPEN</x:v>
      </x:c>
    </x:row>
    <x:row r="122" ht="36" customHeight="1">
      <x:c r="B122" s="7" t="str">
        <x:v>RFP-B2-WD-20</x:v>
      </x:c>
      <x:c r="C122" s="7" t="str">
        <x:v>RFP-B2</x:v>
      </x:c>
      <x:c r="D122" s="7" t="str">
        <x:v>PTC-B</x:v>
      </x:c>
      <x:c r="E122" s="7" t="str">
        <x:v>WD-20</x:v>
      </x:c>
      <x:c r="F122" s="7" t="str">
        <x:v>safety and control</x:v>
      </x:c>
      <x:c r="G122" s="7" t="str">
        <x:v>authority</x:v>
      </x:c>
      <x:c r="H122" s="10" t="str"/>
      <x:c r="I122" s="7" t="str"/>
      <x:c r="J122" s="7" t="str">
        <x:v>OPEN</x:v>
      </x:c>
    </x:row>
    <x:row r="123" ht="36" customHeight="1">
      <x:c r="B123" s="7" t="str">
        <x:v>RFP-B2-WD-21</x:v>
      </x:c>
      <x:c r="C123" s="7" t="str">
        <x:v>RFP-B2</x:v>
      </x:c>
      <x:c r="D123" s="7" t="str">
        <x:v>PTC-B</x:v>
      </x:c>
      <x:c r="E123" s="7" t="str">
        <x:v>WD-21</x:v>
      </x:c>
      <x:c r="F123" s="7" t="str">
        <x:v>measurement and time</x:v>
      </x:c>
      <x:c r="G123" s="7" t="str">
        <x:v>identity</x:v>
      </x:c>
      <x:c r="H123" s="10" t="str"/>
      <x:c r="I123" s="7" t="str"/>
      <x:c r="J123" s="7" t="str">
        <x:v>OPEN</x:v>
      </x:c>
    </x:row>
    <x:row r="124" ht="36" customHeight="1">
      <x:c r="B124" s="7" t="str">
        <x:v>RFP-B2-WD-22</x:v>
      </x:c>
      <x:c r="C124" s="7" t="str">
        <x:v>RFP-B2</x:v>
      </x:c>
      <x:c r="D124" s="7" t="str">
        <x:v>PTC-B</x:v>
      </x:c>
      <x:c r="E124" s="7" t="str">
        <x:v>WD-22</x:v>
      </x:c>
      <x:c r="F124" s="7" t="str">
        <x:v>measurement and time</x:v>
      </x:c>
      <x:c r="G124" s="7" t="str">
        <x:v>capacity</x:v>
      </x:c>
      <x:c r="H124" s="10" t="str"/>
      <x:c r="I124" s="7" t="str"/>
      <x:c r="J124" s="7" t="str">
        <x:v>OPEN</x:v>
      </x:c>
    </x:row>
    <x:row r="125" ht="36" customHeight="1">
      <x:c r="B125" s="7" t="str">
        <x:v>RFP-B2-WD-23</x:v>
      </x:c>
      <x:c r="C125" s="7" t="str">
        <x:v>RFP-B2</x:v>
      </x:c>
      <x:c r="D125" s="7" t="str">
        <x:v>PTC-B</x:v>
      </x:c>
      <x:c r="E125" s="7" t="str">
        <x:v>WD-23</x:v>
      </x:c>
      <x:c r="F125" s="7" t="str">
        <x:v>measurement and time</x:v>
      </x:c>
      <x:c r="G125" s="7" t="str">
        <x:v>state</x:v>
      </x:c>
      <x:c r="H125" s="10" t="str"/>
      <x:c r="I125" s="7" t="str"/>
      <x:c r="J125" s="7" t="str">
        <x:v>OPEN</x:v>
      </x:c>
    </x:row>
    <x:row r="126" ht="36" customHeight="1">
      <x:c r="B126" s="7" t="str">
        <x:v>RFP-B2-WD-24</x:v>
      </x:c>
      <x:c r="C126" s="7" t="str">
        <x:v>RFP-B2</x:v>
      </x:c>
      <x:c r="D126" s="7" t="str">
        <x:v>PTC-B</x:v>
      </x:c>
      <x:c r="E126" s="7" t="str">
        <x:v>WD-24</x:v>
      </x:c>
      <x:c r="F126" s="7" t="str">
        <x:v>measurement and time</x:v>
      </x:c>
      <x:c r="G126" s="7" t="str">
        <x:v>authority</x:v>
      </x:c>
      <x:c r="H126" s="10" t="str"/>
      <x:c r="I126" s="7" t="str"/>
      <x:c r="J126" s="7" t="str">
        <x:v>OPEN</x:v>
      </x:c>
    </x:row>
    <x:row r="127" ht="36" customHeight="1">
      <x:c r="B127" s="7" t="str">
        <x:v>RFP-B2-WD-25</x:v>
      </x:c>
      <x:c r="C127" s="7" t="str">
        <x:v>RFP-B2</x:v>
      </x:c>
      <x:c r="D127" s="7" t="str">
        <x:v>PTC-B</x:v>
      </x:c>
      <x:c r="E127" s="7" t="str">
        <x:v>WD-25</x:v>
      </x:c>
      <x:c r="F127" s="7" t="str">
        <x:v>environment and recovery</x:v>
      </x:c>
      <x:c r="G127" s="7" t="str">
        <x:v>identity</x:v>
      </x:c>
      <x:c r="H127" s="10" t="str"/>
      <x:c r="I127" s="7" t="str"/>
      <x:c r="J127" s="7" t="str">
        <x:v>OPEN</x:v>
      </x:c>
    </x:row>
    <x:row r="128" ht="36" customHeight="1">
      <x:c r="B128" s="7" t="str">
        <x:v>RFP-B2-WD-26</x:v>
      </x:c>
      <x:c r="C128" s="7" t="str">
        <x:v>RFP-B2</x:v>
      </x:c>
      <x:c r="D128" s="7" t="str">
        <x:v>PTC-B</x:v>
      </x:c>
      <x:c r="E128" s="7" t="str">
        <x:v>WD-26</x:v>
      </x:c>
      <x:c r="F128" s="7" t="str">
        <x:v>environment and recovery</x:v>
      </x:c>
      <x:c r="G128" s="7" t="str">
        <x:v>capacity</x:v>
      </x:c>
      <x:c r="H128" s="10" t="str"/>
      <x:c r="I128" s="7" t="str"/>
      <x:c r="J128" s="7" t="str">
        <x:v>OPEN</x:v>
      </x:c>
    </x:row>
    <x:row r="129" ht="36" customHeight="1">
      <x:c r="B129" s="7" t="str">
        <x:v>RFP-B2-WD-27</x:v>
      </x:c>
      <x:c r="C129" s="7" t="str">
        <x:v>RFP-B2</x:v>
      </x:c>
      <x:c r="D129" s="7" t="str">
        <x:v>PTC-B</x:v>
      </x:c>
      <x:c r="E129" s="7" t="str">
        <x:v>WD-27</x:v>
      </x:c>
      <x:c r="F129" s="7" t="str">
        <x:v>environment and recovery</x:v>
      </x:c>
      <x:c r="G129" s="7" t="str">
        <x:v>state</x:v>
      </x:c>
      <x:c r="H129" s="10" t="str"/>
      <x:c r="I129" s="7" t="str"/>
      <x:c r="J129" s="7" t="str">
        <x:v>OPEN</x:v>
      </x:c>
    </x:row>
    <x:row r="130" ht="36" customHeight="1">
      <x:c r="B130" s="7" t="str">
        <x:v>RFP-B2-WD-28</x:v>
      </x:c>
      <x:c r="C130" s="7" t="str">
        <x:v>RFP-B2</x:v>
      </x:c>
      <x:c r="D130" s="7" t="str">
        <x:v>PTC-B</x:v>
      </x:c>
      <x:c r="E130" s="7" t="str">
        <x:v>WD-28</x:v>
      </x:c>
      <x:c r="F130" s="7" t="str">
        <x:v>environment and recovery</x:v>
      </x:c>
      <x:c r="G130" s="7" t="str">
        <x:v>authority</x:v>
      </x:c>
      <x:c r="H130" s="10" t="str"/>
      <x:c r="I130" s="7" t="str"/>
      <x:c r="J130" s="7" t="str">
        <x:v>OPEN</x:v>
      </x:c>
    </x:row>
    <x:row r="131" ht="36" customHeight="1">
      <x:c r="B131" s="7" t="str">
        <x:v>RFP-B2-WD-29</x:v>
      </x:c>
      <x:c r="C131" s="7" t="str">
        <x:v>RFP-B2</x:v>
      </x:c>
      <x:c r="D131" s="7" t="str">
        <x:v>PTC-B</x:v>
      </x:c>
      <x:c r="E131" s="7" t="str">
        <x:v>WD-29</x:v>
      </x:c>
      <x:c r="F131" s="7" t="str">
        <x:v>rescue and authority</x:v>
      </x:c>
      <x:c r="G131" s="7" t="str">
        <x:v>identity</x:v>
      </x:c>
      <x:c r="H131" s="10" t="str"/>
      <x:c r="I131" s="7" t="str"/>
      <x:c r="J131" s="7" t="str">
        <x:v>OPEN</x:v>
      </x:c>
    </x:row>
    <x:row r="132" ht="36" customHeight="1">
      <x:c r="B132" s="7" t="str">
        <x:v>RFP-B2-WD-30</x:v>
      </x:c>
      <x:c r="C132" s="7" t="str">
        <x:v>RFP-B2</x:v>
      </x:c>
      <x:c r="D132" s="7" t="str">
        <x:v>PTC-B</x:v>
      </x:c>
      <x:c r="E132" s="7" t="str">
        <x:v>WD-30</x:v>
      </x:c>
      <x:c r="F132" s="7" t="str">
        <x:v>rescue and authority</x:v>
      </x:c>
      <x:c r="G132" s="7" t="str">
        <x:v>capacity</x:v>
      </x:c>
      <x:c r="H132" s="10" t="str"/>
      <x:c r="I132" s="7" t="str"/>
      <x:c r="J132" s="7" t="str">
        <x:v>OPEN</x:v>
      </x:c>
    </x:row>
    <x:row r="133" ht="36" customHeight="1">
      <x:c r="B133" s="7" t="str">
        <x:v>RFP-B2-WD-31</x:v>
      </x:c>
      <x:c r="C133" s="7" t="str">
        <x:v>RFP-B2</x:v>
      </x:c>
      <x:c r="D133" s="7" t="str">
        <x:v>PTC-B</x:v>
      </x:c>
      <x:c r="E133" s="7" t="str">
        <x:v>WD-31</x:v>
      </x:c>
      <x:c r="F133" s="7" t="str">
        <x:v>rescue and authority</x:v>
      </x:c>
      <x:c r="G133" s="7" t="str">
        <x:v>state</x:v>
      </x:c>
      <x:c r="H133" s="10" t="str"/>
      <x:c r="I133" s="7" t="str"/>
      <x:c r="J133" s="7" t="str">
        <x:v>OPEN</x:v>
      </x:c>
    </x:row>
    <x:row r="134" ht="36" customHeight="1">
      <x:c r="B134" s="7" t="str">
        <x:v>RFP-B2-WD-32</x:v>
      </x:c>
      <x:c r="C134" s="7" t="str">
        <x:v>RFP-B2</x:v>
      </x:c>
      <x:c r="D134" s="7" t="str">
        <x:v>PTC-B</x:v>
      </x:c>
      <x:c r="E134" s="7" t="str">
        <x:v>WD-32</x:v>
      </x:c>
      <x:c r="F134" s="7" t="str">
        <x:v>rescue and authority</x:v>
      </x:c>
      <x:c r="G134" s="7" t="str">
        <x:v>authority</x:v>
      </x:c>
      <x:c r="H134" s="10" t="str"/>
      <x:c r="I134" s="7" t="str"/>
      <x:c r="J134" s="7" t="str">
        <x:v>OPEN</x:v>
      </x:c>
    </x:row>
    <x:row r="135" ht="36" customHeight="1">
      <x:c r="B135" s="7" t="str">
        <x:v>RFP-C1-WD-01</x:v>
      </x:c>
      <x:c r="C135" s="7" t="str">
        <x:v>RFP-C1</x:v>
      </x:c>
      <x:c r="D135" s="7" t="str">
        <x:v>PTC-C</x:v>
      </x:c>
      <x:c r="E135" s="7" t="str">
        <x:v>WD-01</x:v>
      </x:c>
      <x:c r="F135" s="7" t="str">
        <x:v>configuration</x:v>
      </x:c>
      <x:c r="G135" s="7" t="str">
        <x:v>identity</x:v>
      </x:c>
      <x:c r="H135" s="10" t="str"/>
      <x:c r="I135" s="7" t="str"/>
      <x:c r="J135" s="7" t="str">
        <x:v>OPEN</x:v>
      </x:c>
    </x:row>
    <x:row r="136" ht="36" customHeight="1">
      <x:c r="B136" s="7" t="str">
        <x:v>RFP-C1-WD-02</x:v>
      </x:c>
      <x:c r="C136" s="7" t="str">
        <x:v>RFP-C1</x:v>
      </x:c>
      <x:c r="D136" s="7" t="str">
        <x:v>PTC-C</x:v>
      </x:c>
      <x:c r="E136" s="7" t="str">
        <x:v>WD-02</x:v>
      </x:c>
      <x:c r="F136" s="7" t="str">
        <x:v>configuration</x:v>
      </x:c>
      <x:c r="G136" s="7" t="str">
        <x:v>capacity</x:v>
      </x:c>
      <x:c r="H136" s="10" t="str"/>
      <x:c r="I136" s="7" t="str"/>
      <x:c r="J136" s="7" t="str">
        <x:v>OPEN</x:v>
      </x:c>
    </x:row>
    <x:row r="137" ht="36" customHeight="1">
      <x:c r="B137" s="7" t="str">
        <x:v>RFP-C1-WD-03</x:v>
      </x:c>
      <x:c r="C137" s="7" t="str">
        <x:v>RFP-C1</x:v>
      </x:c>
      <x:c r="D137" s="7" t="str">
        <x:v>PTC-C</x:v>
      </x:c>
      <x:c r="E137" s="7" t="str">
        <x:v>WD-03</x:v>
      </x:c>
      <x:c r="F137" s="7" t="str">
        <x:v>configuration</x:v>
      </x:c>
      <x:c r="G137" s="7" t="str">
        <x:v>state</x:v>
      </x:c>
      <x:c r="H137" s="10" t="str"/>
      <x:c r="I137" s="7" t="str"/>
      <x:c r="J137" s="7" t="str">
        <x:v>OPEN</x:v>
      </x:c>
    </x:row>
    <x:row r="138" ht="36" customHeight="1">
      <x:c r="B138" s="7" t="str">
        <x:v>RFP-C1-WD-04</x:v>
      </x:c>
      <x:c r="C138" s="7" t="str">
        <x:v>RFP-C1</x:v>
      </x:c>
      <x:c r="D138" s="7" t="str">
        <x:v>PTC-C</x:v>
      </x:c>
      <x:c r="E138" s="7" t="str">
        <x:v>WD-04</x:v>
      </x:c>
      <x:c r="F138" s="7" t="str">
        <x:v>configuration</x:v>
      </x:c>
      <x:c r="G138" s="7" t="str">
        <x:v>authority</x:v>
      </x:c>
      <x:c r="H138" s="10" t="str"/>
      <x:c r="I138" s="7" t="str"/>
      <x:c r="J138" s="7" t="str">
        <x:v>OPEN</x:v>
      </x:c>
    </x:row>
    <x:row r="139" ht="36" customHeight="1">
      <x:c r="B139" s="7" t="str">
        <x:v>RFP-C1-WD-05</x:v>
      </x:c>
      <x:c r="C139" s="7" t="str">
        <x:v>RFP-C1</x:v>
      </x:c>
      <x:c r="D139" s="7" t="str">
        <x:v>PTC-C</x:v>
      </x:c>
      <x:c r="E139" s="7" t="str">
        <x:v>WD-05</x:v>
      </x:c>
      <x:c r="F139" s="7" t="str">
        <x:v>source</x:v>
      </x:c>
      <x:c r="G139" s="7" t="str">
        <x:v>identity</x:v>
      </x:c>
      <x:c r="H139" s="10" t="str"/>
      <x:c r="I139" s="7" t="str"/>
      <x:c r="J139" s="7" t="str">
        <x:v>OPEN</x:v>
      </x:c>
    </x:row>
    <x:row r="140" ht="36" customHeight="1">
      <x:c r="B140" s="7" t="str">
        <x:v>RFP-C1-WD-06</x:v>
      </x:c>
      <x:c r="C140" s="7" t="str">
        <x:v>RFP-C1</x:v>
      </x:c>
      <x:c r="D140" s="7" t="str">
        <x:v>PTC-C</x:v>
      </x:c>
      <x:c r="E140" s="7" t="str">
        <x:v>WD-06</x:v>
      </x:c>
      <x:c r="F140" s="7" t="str">
        <x:v>source</x:v>
      </x:c>
      <x:c r="G140" s="7" t="str">
        <x:v>capacity</x:v>
      </x:c>
      <x:c r="H140" s="10" t="str"/>
      <x:c r="I140" s="7" t="str"/>
      <x:c r="J140" s="7" t="str">
        <x:v>OPEN</x:v>
      </x:c>
    </x:row>
    <x:row r="141" ht="36" customHeight="1">
      <x:c r="B141" s="7" t="str">
        <x:v>RFP-C1-WD-07</x:v>
      </x:c>
      <x:c r="C141" s="7" t="str">
        <x:v>RFP-C1</x:v>
      </x:c>
      <x:c r="D141" s="7" t="str">
        <x:v>PTC-C</x:v>
      </x:c>
      <x:c r="E141" s="7" t="str">
        <x:v>WD-07</x:v>
      </x:c>
      <x:c r="F141" s="7" t="str">
        <x:v>source</x:v>
      </x:c>
      <x:c r="G141" s="7" t="str">
        <x:v>state</x:v>
      </x:c>
      <x:c r="H141" s="10" t="str"/>
      <x:c r="I141" s="7" t="str"/>
      <x:c r="J141" s="7" t="str">
        <x:v>OPEN</x:v>
      </x:c>
    </x:row>
    <x:row r="142" ht="36" customHeight="1">
      <x:c r="B142" s="7" t="str">
        <x:v>RFP-C1-WD-08</x:v>
      </x:c>
      <x:c r="C142" s="7" t="str">
        <x:v>RFP-C1</x:v>
      </x:c>
      <x:c r="D142" s="7" t="str">
        <x:v>PTC-C</x:v>
      </x:c>
      <x:c r="E142" s="7" t="str">
        <x:v>WD-08</x:v>
      </x:c>
      <x:c r="F142" s="7" t="str">
        <x:v>source</x:v>
      </x:c>
      <x:c r="G142" s="7" t="str">
        <x:v>authority</x:v>
      </x:c>
      <x:c r="H142" s="10" t="str"/>
      <x:c r="I142" s="7" t="str"/>
      <x:c r="J142" s="7" t="str">
        <x:v>OPEN</x:v>
      </x:c>
    </x:row>
    <x:row r="143" ht="36" customHeight="1">
      <x:c r="B143" s="7" t="str">
        <x:v>RFP-C1-WD-09</x:v>
      </x:c>
      <x:c r="C143" s="7" t="str">
        <x:v>RFP-C1</x:v>
      </x:c>
      <x:c r="D143" s="7" t="str">
        <x:v>PTC-C</x:v>
      </x:c>
      <x:c r="E143" s="7" t="str">
        <x:v>WD-09</x:v>
      </x:c>
      <x:c r="F143" s="7" t="str">
        <x:v>containment and terrain</x:v>
      </x:c>
      <x:c r="G143" s="7" t="str">
        <x:v>identity</x:v>
      </x:c>
      <x:c r="H143" s="10" t="str"/>
      <x:c r="I143" s="7" t="str"/>
      <x:c r="J143" s="7" t="str">
        <x:v>OPEN</x:v>
      </x:c>
    </x:row>
    <x:row r="144" ht="36" customHeight="1">
      <x:c r="B144" s="7" t="str">
        <x:v>RFP-C1-WD-10</x:v>
      </x:c>
      <x:c r="C144" s="7" t="str">
        <x:v>RFP-C1</x:v>
      </x:c>
      <x:c r="D144" s="7" t="str">
        <x:v>PTC-C</x:v>
      </x:c>
      <x:c r="E144" s="7" t="str">
        <x:v>WD-10</x:v>
      </x:c>
      <x:c r="F144" s="7" t="str">
        <x:v>containment and terrain</x:v>
      </x:c>
      <x:c r="G144" s="7" t="str">
        <x:v>capacity</x:v>
      </x:c>
      <x:c r="H144" s="10" t="str"/>
      <x:c r="I144" s="7" t="str"/>
      <x:c r="J144" s="7" t="str">
        <x:v>OPEN</x:v>
      </x:c>
    </x:row>
    <x:row r="145" ht="36" customHeight="1">
      <x:c r="B145" s="7" t="str">
        <x:v>RFP-C1-WD-11</x:v>
      </x:c>
      <x:c r="C145" s="7" t="str">
        <x:v>RFP-C1</x:v>
      </x:c>
      <x:c r="D145" s="7" t="str">
        <x:v>PTC-C</x:v>
      </x:c>
      <x:c r="E145" s="7" t="str">
        <x:v>WD-11</x:v>
      </x:c>
      <x:c r="F145" s="7" t="str">
        <x:v>containment and terrain</x:v>
      </x:c>
      <x:c r="G145" s="7" t="str">
        <x:v>state</x:v>
      </x:c>
      <x:c r="H145" s="10" t="str"/>
      <x:c r="I145" s="7" t="str"/>
      <x:c r="J145" s="7" t="str">
        <x:v>OPEN</x:v>
      </x:c>
    </x:row>
    <x:row r="146" ht="36" customHeight="1">
      <x:c r="B146" s="7" t="str">
        <x:v>RFP-C1-WD-12</x:v>
      </x:c>
      <x:c r="C146" s="7" t="str">
        <x:v>RFP-C1</x:v>
      </x:c>
      <x:c r="D146" s="7" t="str">
        <x:v>PTC-C</x:v>
      </x:c>
      <x:c r="E146" s="7" t="str">
        <x:v>WD-12</x:v>
      </x:c>
      <x:c r="F146" s="7" t="str">
        <x:v>containment and terrain</x:v>
      </x:c>
      <x:c r="G146" s="7" t="str">
        <x:v>authority</x:v>
      </x:c>
      <x:c r="H146" s="10" t="str"/>
      <x:c r="I146" s="7" t="str"/>
      <x:c r="J146" s="7" t="str">
        <x:v>OPEN</x:v>
      </x:c>
    </x:row>
    <x:row r="147" ht="36" customHeight="1">
      <x:c r="B147" s="7" t="str">
        <x:v>RFP-C1-WD-13</x:v>
      </x:c>
      <x:c r="C147" s="7" t="str">
        <x:v>RFP-C1</x:v>
      </x:c>
      <x:c r="D147" s="7" t="str">
        <x:v>PTC-C</x:v>
      </x:c>
      <x:c r="E147" s="7" t="str">
        <x:v>WD-13</x:v>
      </x:c>
      <x:c r="F147" s="7" t="str">
        <x:v>water and receivers</x:v>
      </x:c>
      <x:c r="G147" s="7" t="str">
        <x:v>identity</x:v>
      </x:c>
      <x:c r="H147" s="10" t="str"/>
      <x:c r="I147" s="7" t="str"/>
      <x:c r="J147" s="7" t="str">
        <x:v>OPEN</x:v>
      </x:c>
    </x:row>
    <x:row r="148" ht="36" customHeight="1">
      <x:c r="B148" s="7" t="str">
        <x:v>RFP-C1-WD-14</x:v>
      </x:c>
      <x:c r="C148" s="7" t="str">
        <x:v>RFP-C1</x:v>
      </x:c>
      <x:c r="D148" s="7" t="str">
        <x:v>PTC-C</x:v>
      </x:c>
      <x:c r="E148" s="7" t="str">
        <x:v>WD-14</x:v>
      </x:c>
      <x:c r="F148" s="7" t="str">
        <x:v>water and receivers</x:v>
      </x:c>
      <x:c r="G148" s="7" t="str">
        <x:v>capacity</x:v>
      </x:c>
      <x:c r="H148" s="10" t="str"/>
      <x:c r="I148" s="7" t="str"/>
      <x:c r="J148" s="7" t="str">
        <x:v>OPEN</x:v>
      </x:c>
    </x:row>
    <x:row r="149" ht="36" customHeight="1">
      <x:c r="B149" s="7" t="str">
        <x:v>RFP-C1-WD-15</x:v>
      </x:c>
      <x:c r="C149" s="7" t="str">
        <x:v>RFP-C1</x:v>
      </x:c>
      <x:c r="D149" s="7" t="str">
        <x:v>PTC-C</x:v>
      </x:c>
      <x:c r="E149" s="7" t="str">
        <x:v>WD-15</x:v>
      </x:c>
      <x:c r="F149" s="7" t="str">
        <x:v>water and receivers</x:v>
      </x:c>
      <x:c r="G149" s="7" t="str">
        <x:v>state</x:v>
      </x:c>
      <x:c r="H149" s="10" t="str"/>
      <x:c r="I149" s="7" t="str"/>
      <x:c r="J149" s="7" t="str">
        <x:v>OPEN</x:v>
      </x:c>
    </x:row>
    <x:row r="150" ht="36" customHeight="1">
      <x:c r="B150" s="7" t="str">
        <x:v>RFP-C1-WD-16</x:v>
      </x:c>
      <x:c r="C150" s="7" t="str">
        <x:v>RFP-C1</x:v>
      </x:c>
      <x:c r="D150" s="7" t="str">
        <x:v>PTC-C</x:v>
      </x:c>
      <x:c r="E150" s="7" t="str">
        <x:v>WD-16</x:v>
      </x:c>
      <x:c r="F150" s="7" t="str">
        <x:v>water and receivers</x:v>
      </x:c>
      <x:c r="G150" s="7" t="str">
        <x:v>authority</x:v>
      </x:c>
      <x:c r="H150" s="10" t="str"/>
      <x:c r="I150" s="7" t="str"/>
      <x:c r="J150" s="7" t="str">
        <x:v>OPEN</x:v>
      </x:c>
    </x:row>
    <x:row r="151" ht="36" customHeight="1">
      <x:c r="B151" s="7" t="str">
        <x:v>RFP-C1-WD-17</x:v>
      </x:c>
      <x:c r="C151" s="7" t="str">
        <x:v>RFP-C1</x:v>
      </x:c>
      <x:c r="D151" s="7" t="str">
        <x:v>PTC-C</x:v>
      </x:c>
      <x:c r="E151" s="7" t="str">
        <x:v>WD-17</x:v>
      </x:c>
      <x:c r="F151" s="7" t="str">
        <x:v>safety and control</x:v>
      </x:c>
      <x:c r="G151" s="7" t="str">
        <x:v>identity</x:v>
      </x:c>
      <x:c r="H151" s="10" t="str"/>
      <x:c r="I151" s="7" t="str"/>
      <x:c r="J151" s="7" t="str">
        <x:v>OPEN</x:v>
      </x:c>
    </x:row>
    <x:row r="152" ht="36" customHeight="1">
      <x:c r="B152" s="7" t="str">
        <x:v>RFP-C1-WD-18</x:v>
      </x:c>
      <x:c r="C152" s="7" t="str">
        <x:v>RFP-C1</x:v>
      </x:c>
      <x:c r="D152" s="7" t="str">
        <x:v>PTC-C</x:v>
      </x:c>
      <x:c r="E152" s="7" t="str">
        <x:v>WD-18</x:v>
      </x:c>
      <x:c r="F152" s="7" t="str">
        <x:v>safety and control</x:v>
      </x:c>
      <x:c r="G152" s="7" t="str">
        <x:v>capacity</x:v>
      </x:c>
      <x:c r="H152" s="10" t="str"/>
      <x:c r="I152" s="7" t="str"/>
      <x:c r="J152" s="7" t="str">
        <x:v>OPEN</x:v>
      </x:c>
    </x:row>
    <x:row r="153" ht="36" customHeight="1">
      <x:c r="B153" s="7" t="str">
        <x:v>RFP-C1-WD-19</x:v>
      </x:c>
      <x:c r="C153" s="7" t="str">
        <x:v>RFP-C1</x:v>
      </x:c>
      <x:c r="D153" s="7" t="str">
        <x:v>PTC-C</x:v>
      </x:c>
      <x:c r="E153" s="7" t="str">
        <x:v>WD-19</x:v>
      </x:c>
      <x:c r="F153" s="7" t="str">
        <x:v>safety and control</x:v>
      </x:c>
      <x:c r="G153" s="7" t="str">
        <x:v>state</x:v>
      </x:c>
      <x:c r="H153" s="10" t="str"/>
      <x:c r="I153" s="7" t="str"/>
      <x:c r="J153" s="7" t="str">
        <x:v>OPEN</x:v>
      </x:c>
    </x:row>
    <x:row r="154" ht="36" customHeight="1">
      <x:c r="B154" s="7" t="str">
        <x:v>RFP-C1-WD-20</x:v>
      </x:c>
      <x:c r="C154" s="7" t="str">
        <x:v>RFP-C1</x:v>
      </x:c>
      <x:c r="D154" s="7" t="str">
        <x:v>PTC-C</x:v>
      </x:c>
      <x:c r="E154" s="7" t="str">
        <x:v>WD-20</x:v>
      </x:c>
      <x:c r="F154" s="7" t="str">
        <x:v>safety and control</x:v>
      </x:c>
      <x:c r="G154" s="7" t="str">
        <x:v>authority</x:v>
      </x:c>
      <x:c r="H154" s="10" t="str"/>
      <x:c r="I154" s="7" t="str"/>
      <x:c r="J154" s="7" t="str">
        <x:v>OPEN</x:v>
      </x:c>
    </x:row>
    <x:row r="155" ht="36" customHeight="1">
      <x:c r="B155" s="7" t="str">
        <x:v>RFP-C1-WD-21</x:v>
      </x:c>
      <x:c r="C155" s="7" t="str">
        <x:v>RFP-C1</x:v>
      </x:c>
      <x:c r="D155" s="7" t="str">
        <x:v>PTC-C</x:v>
      </x:c>
      <x:c r="E155" s="7" t="str">
        <x:v>WD-21</x:v>
      </x:c>
      <x:c r="F155" s="7" t="str">
        <x:v>measurement and time</x:v>
      </x:c>
      <x:c r="G155" s="7" t="str">
        <x:v>identity</x:v>
      </x:c>
      <x:c r="H155" s="10" t="str"/>
      <x:c r="I155" s="7" t="str"/>
      <x:c r="J155" s="7" t="str">
        <x:v>OPEN</x:v>
      </x:c>
    </x:row>
    <x:row r="156" ht="36" customHeight="1">
      <x:c r="B156" s="7" t="str">
        <x:v>RFP-C1-WD-22</x:v>
      </x:c>
      <x:c r="C156" s="7" t="str">
        <x:v>RFP-C1</x:v>
      </x:c>
      <x:c r="D156" s="7" t="str">
        <x:v>PTC-C</x:v>
      </x:c>
      <x:c r="E156" s="7" t="str">
        <x:v>WD-22</x:v>
      </x:c>
      <x:c r="F156" s="7" t="str">
        <x:v>measurement and time</x:v>
      </x:c>
      <x:c r="G156" s="7" t="str">
        <x:v>capacity</x:v>
      </x:c>
      <x:c r="H156" s="10" t="str"/>
      <x:c r="I156" s="7" t="str"/>
      <x:c r="J156" s="7" t="str">
        <x:v>OPEN</x:v>
      </x:c>
    </x:row>
    <x:row r="157" ht="36" customHeight="1">
      <x:c r="B157" s="7" t="str">
        <x:v>RFP-C1-WD-23</x:v>
      </x:c>
      <x:c r="C157" s="7" t="str">
        <x:v>RFP-C1</x:v>
      </x:c>
      <x:c r="D157" s="7" t="str">
        <x:v>PTC-C</x:v>
      </x:c>
      <x:c r="E157" s="7" t="str">
        <x:v>WD-23</x:v>
      </x:c>
      <x:c r="F157" s="7" t="str">
        <x:v>measurement and time</x:v>
      </x:c>
      <x:c r="G157" s="7" t="str">
        <x:v>state</x:v>
      </x:c>
      <x:c r="H157" s="10" t="str"/>
      <x:c r="I157" s="7" t="str"/>
      <x:c r="J157" s="7" t="str">
        <x:v>OPEN</x:v>
      </x:c>
    </x:row>
    <x:row r="158" ht="36" customHeight="1">
      <x:c r="B158" s="7" t="str">
        <x:v>RFP-C1-WD-24</x:v>
      </x:c>
      <x:c r="C158" s="7" t="str">
        <x:v>RFP-C1</x:v>
      </x:c>
      <x:c r="D158" s="7" t="str">
        <x:v>PTC-C</x:v>
      </x:c>
      <x:c r="E158" s="7" t="str">
        <x:v>WD-24</x:v>
      </x:c>
      <x:c r="F158" s="7" t="str">
        <x:v>measurement and time</x:v>
      </x:c>
      <x:c r="G158" s="7" t="str">
        <x:v>authority</x:v>
      </x:c>
      <x:c r="H158" s="10" t="str"/>
      <x:c r="I158" s="7" t="str"/>
      <x:c r="J158" s="7" t="str">
        <x:v>OPEN</x:v>
      </x:c>
    </x:row>
    <x:row r="159" ht="36" customHeight="1">
      <x:c r="B159" s="7" t="str">
        <x:v>RFP-C1-WD-25</x:v>
      </x:c>
      <x:c r="C159" s="7" t="str">
        <x:v>RFP-C1</x:v>
      </x:c>
      <x:c r="D159" s="7" t="str">
        <x:v>PTC-C</x:v>
      </x:c>
      <x:c r="E159" s="7" t="str">
        <x:v>WD-25</x:v>
      </x:c>
      <x:c r="F159" s="7" t="str">
        <x:v>environment and recovery</x:v>
      </x:c>
      <x:c r="G159" s="7" t="str">
        <x:v>identity</x:v>
      </x:c>
      <x:c r="H159" s="10" t="str"/>
      <x:c r="I159" s="7" t="str"/>
      <x:c r="J159" s="7" t="str">
        <x:v>OPEN</x:v>
      </x:c>
    </x:row>
    <x:row r="160" ht="36" customHeight="1">
      <x:c r="B160" s="7" t="str">
        <x:v>RFP-C1-WD-26</x:v>
      </x:c>
      <x:c r="C160" s="7" t="str">
        <x:v>RFP-C1</x:v>
      </x:c>
      <x:c r="D160" s="7" t="str">
        <x:v>PTC-C</x:v>
      </x:c>
      <x:c r="E160" s="7" t="str">
        <x:v>WD-26</x:v>
      </x:c>
      <x:c r="F160" s="7" t="str">
        <x:v>environment and recovery</x:v>
      </x:c>
      <x:c r="G160" s="7" t="str">
        <x:v>capacity</x:v>
      </x:c>
      <x:c r="H160" s="10" t="str"/>
      <x:c r="I160" s="7" t="str"/>
      <x:c r="J160" s="7" t="str">
        <x:v>OPEN</x:v>
      </x:c>
    </x:row>
    <x:row r="161" ht="36" customHeight="1">
      <x:c r="B161" s="7" t="str">
        <x:v>RFP-C1-WD-27</x:v>
      </x:c>
      <x:c r="C161" s="7" t="str">
        <x:v>RFP-C1</x:v>
      </x:c>
      <x:c r="D161" s="7" t="str">
        <x:v>PTC-C</x:v>
      </x:c>
      <x:c r="E161" s="7" t="str">
        <x:v>WD-27</x:v>
      </x:c>
      <x:c r="F161" s="7" t="str">
        <x:v>environment and recovery</x:v>
      </x:c>
      <x:c r="G161" s="7" t="str">
        <x:v>state</x:v>
      </x:c>
      <x:c r="H161" s="10" t="str"/>
      <x:c r="I161" s="7" t="str"/>
      <x:c r="J161" s="7" t="str">
        <x:v>OPEN</x:v>
      </x:c>
    </x:row>
    <x:row r="162" ht="36" customHeight="1">
      <x:c r="B162" s="7" t="str">
        <x:v>RFP-C1-WD-28</x:v>
      </x:c>
      <x:c r="C162" s="7" t="str">
        <x:v>RFP-C1</x:v>
      </x:c>
      <x:c r="D162" s="7" t="str">
        <x:v>PTC-C</x:v>
      </x:c>
      <x:c r="E162" s="7" t="str">
        <x:v>WD-28</x:v>
      </x:c>
      <x:c r="F162" s="7" t="str">
        <x:v>environment and recovery</x:v>
      </x:c>
      <x:c r="G162" s="7" t="str">
        <x:v>authority</x:v>
      </x:c>
      <x:c r="H162" s="10" t="str"/>
      <x:c r="I162" s="7" t="str"/>
      <x:c r="J162" s="7" t="str">
        <x:v>OPEN</x:v>
      </x:c>
    </x:row>
    <x:row r="163" ht="36" customHeight="1">
      <x:c r="B163" s="7" t="str">
        <x:v>RFP-C1-WD-29</x:v>
      </x:c>
      <x:c r="C163" s="7" t="str">
        <x:v>RFP-C1</x:v>
      </x:c>
      <x:c r="D163" s="7" t="str">
        <x:v>PTC-C</x:v>
      </x:c>
      <x:c r="E163" s="7" t="str">
        <x:v>WD-29</x:v>
      </x:c>
      <x:c r="F163" s="7" t="str">
        <x:v>rescue and authority</x:v>
      </x:c>
      <x:c r="G163" s="7" t="str">
        <x:v>identity</x:v>
      </x:c>
      <x:c r="H163" s="10" t="str"/>
      <x:c r="I163" s="7" t="str"/>
      <x:c r="J163" s="7" t="str">
        <x:v>OPEN</x:v>
      </x:c>
    </x:row>
    <x:row r="164" ht="36" customHeight="1">
      <x:c r="B164" s="7" t="str">
        <x:v>RFP-C1-WD-30</x:v>
      </x:c>
      <x:c r="C164" s="7" t="str">
        <x:v>RFP-C1</x:v>
      </x:c>
      <x:c r="D164" s="7" t="str">
        <x:v>PTC-C</x:v>
      </x:c>
      <x:c r="E164" s="7" t="str">
        <x:v>WD-30</x:v>
      </x:c>
      <x:c r="F164" s="7" t="str">
        <x:v>rescue and authority</x:v>
      </x:c>
      <x:c r="G164" s="7" t="str">
        <x:v>capacity</x:v>
      </x:c>
      <x:c r="H164" s="10" t="str"/>
      <x:c r="I164" s="7" t="str"/>
      <x:c r="J164" s="7" t="str">
        <x:v>OPEN</x:v>
      </x:c>
    </x:row>
    <x:row r="165" ht="36" customHeight="1">
      <x:c r="B165" s="7" t="str">
        <x:v>RFP-C1-WD-31</x:v>
      </x:c>
      <x:c r="C165" s="7" t="str">
        <x:v>RFP-C1</x:v>
      </x:c>
      <x:c r="D165" s="7" t="str">
        <x:v>PTC-C</x:v>
      </x:c>
      <x:c r="E165" s="7" t="str">
        <x:v>WD-31</x:v>
      </x:c>
      <x:c r="F165" s="7" t="str">
        <x:v>rescue and authority</x:v>
      </x:c>
      <x:c r="G165" s="7" t="str">
        <x:v>state</x:v>
      </x:c>
      <x:c r="H165" s="10" t="str"/>
      <x:c r="I165" s="7" t="str"/>
      <x:c r="J165" s="7" t="str">
        <x:v>OPEN</x:v>
      </x:c>
    </x:row>
    <x:row r="166" ht="36" customHeight="1">
      <x:c r="B166" s="7" t="str">
        <x:v>RFP-C1-WD-32</x:v>
      </x:c>
      <x:c r="C166" s="7" t="str">
        <x:v>RFP-C1</x:v>
      </x:c>
      <x:c r="D166" s="7" t="str">
        <x:v>PTC-C</x:v>
      </x:c>
      <x:c r="E166" s="7" t="str">
        <x:v>WD-32</x:v>
      </x:c>
      <x:c r="F166" s="7" t="str">
        <x:v>rescue and authority</x:v>
      </x:c>
      <x:c r="G166" s="7" t="str">
        <x:v>authority</x:v>
      </x:c>
      <x:c r="H166" s="10" t="str"/>
      <x:c r="I166" s="7" t="str"/>
      <x:c r="J166" s="7" t="str">
        <x:v>OPEN</x:v>
      </x:c>
    </x:row>
    <x:row r="167" ht="36" customHeight="1">
      <x:c r="B167" s="7" t="str">
        <x:v>RFP-C2-WD-01</x:v>
      </x:c>
      <x:c r="C167" s="7" t="str">
        <x:v>RFP-C2</x:v>
      </x:c>
      <x:c r="D167" s="7" t="str">
        <x:v>PTC-C</x:v>
      </x:c>
      <x:c r="E167" s="7" t="str">
        <x:v>WD-01</x:v>
      </x:c>
      <x:c r="F167" s="7" t="str">
        <x:v>configuration</x:v>
      </x:c>
      <x:c r="G167" s="7" t="str">
        <x:v>identity</x:v>
      </x:c>
      <x:c r="H167" s="10" t="str"/>
      <x:c r="I167" s="7" t="str"/>
      <x:c r="J167" s="7" t="str">
        <x:v>OPEN</x:v>
      </x:c>
    </x:row>
    <x:row r="168" ht="36" customHeight="1">
      <x:c r="B168" s="7" t="str">
        <x:v>RFP-C2-WD-02</x:v>
      </x:c>
      <x:c r="C168" s="7" t="str">
        <x:v>RFP-C2</x:v>
      </x:c>
      <x:c r="D168" s="7" t="str">
        <x:v>PTC-C</x:v>
      </x:c>
      <x:c r="E168" s="7" t="str">
        <x:v>WD-02</x:v>
      </x:c>
      <x:c r="F168" s="7" t="str">
        <x:v>configuration</x:v>
      </x:c>
      <x:c r="G168" s="7" t="str">
        <x:v>capacity</x:v>
      </x:c>
      <x:c r="H168" s="10" t="str"/>
      <x:c r="I168" s="7" t="str"/>
      <x:c r="J168" s="7" t="str">
        <x:v>OPEN</x:v>
      </x:c>
    </x:row>
    <x:row r="169" ht="36" customHeight="1">
      <x:c r="B169" s="7" t="str">
        <x:v>RFP-C2-WD-03</x:v>
      </x:c>
      <x:c r="C169" s="7" t="str">
        <x:v>RFP-C2</x:v>
      </x:c>
      <x:c r="D169" s="7" t="str">
        <x:v>PTC-C</x:v>
      </x:c>
      <x:c r="E169" s="7" t="str">
        <x:v>WD-03</x:v>
      </x:c>
      <x:c r="F169" s="7" t="str">
        <x:v>configuration</x:v>
      </x:c>
      <x:c r="G169" s="7" t="str">
        <x:v>state</x:v>
      </x:c>
      <x:c r="H169" s="10" t="str"/>
      <x:c r="I169" s="7" t="str"/>
      <x:c r="J169" s="7" t="str">
        <x:v>OPEN</x:v>
      </x:c>
    </x:row>
    <x:row r="170" ht="36" customHeight="1">
      <x:c r="B170" s="7" t="str">
        <x:v>RFP-C2-WD-04</x:v>
      </x:c>
      <x:c r="C170" s="7" t="str">
        <x:v>RFP-C2</x:v>
      </x:c>
      <x:c r="D170" s="7" t="str">
        <x:v>PTC-C</x:v>
      </x:c>
      <x:c r="E170" s="7" t="str">
        <x:v>WD-04</x:v>
      </x:c>
      <x:c r="F170" s="7" t="str">
        <x:v>configuration</x:v>
      </x:c>
      <x:c r="G170" s="7" t="str">
        <x:v>authority</x:v>
      </x:c>
      <x:c r="H170" s="10" t="str"/>
      <x:c r="I170" s="7" t="str"/>
      <x:c r="J170" s="7" t="str">
        <x:v>OPEN</x:v>
      </x:c>
    </x:row>
    <x:row r="171" ht="36" customHeight="1">
      <x:c r="B171" s="7" t="str">
        <x:v>RFP-C2-WD-05</x:v>
      </x:c>
      <x:c r="C171" s="7" t="str">
        <x:v>RFP-C2</x:v>
      </x:c>
      <x:c r="D171" s="7" t="str">
        <x:v>PTC-C</x:v>
      </x:c>
      <x:c r="E171" s="7" t="str">
        <x:v>WD-05</x:v>
      </x:c>
      <x:c r="F171" s="7" t="str">
        <x:v>source</x:v>
      </x:c>
      <x:c r="G171" s="7" t="str">
        <x:v>identity</x:v>
      </x:c>
      <x:c r="H171" s="10" t="str"/>
      <x:c r="I171" s="7" t="str"/>
      <x:c r="J171" s="7" t="str">
        <x:v>OPEN</x:v>
      </x:c>
    </x:row>
    <x:row r="172" ht="36" customHeight="1">
      <x:c r="B172" s="7" t="str">
        <x:v>RFP-C2-WD-06</x:v>
      </x:c>
      <x:c r="C172" s="7" t="str">
        <x:v>RFP-C2</x:v>
      </x:c>
      <x:c r="D172" s="7" t="str">
        <x:v>PTC-C</x:v>
      </x:c>
      <x:c r="E172" s="7" t="str">
        <x:v>WD-06</x:v>
      </x:c>
      <x:c r="F172" s="7" t="str">
        <x:v>source</x:v>
      </x:c>
      <x:c r="G172" s="7" t="str">
        <x:v>capacity</x:v>
      </x:c>
      <x:c r="H172" s="10" t="str"/>
      <x:c r="I172" s="7" t="str"/>
      <x:c r="J172" s="7" t="str">
        <x:v>OPEN</x:v>
      </x:c>
    </x:row>
    <x:row r="173" ht="36" customHeight="1">
      <x:c r="B173" s="7" t="str">
        <x:v>RFP-C2-WD-07</x:v>
      </x:c>
      <x:c r="C173" s="7" t="str">
        <x:v>RFP-C2</x:v>
      </x:c>
      <x:c r="D173" s="7" t="str">
        <x:v>PTC-C</x:v>
      </x:c>
      <x:c r="E173" s="7" t="str">
        <x:v>WD-07</x:v>
      </x:c>
      <x:c r="F173" s="7" t="str">
        <x:v>source</x:v>
      </x:c>
      <x:c r="G173" s="7" t="str">
        <x:v>state</x:v>
      </x:c>
      <x:c r="H173" s="10" t="str"/>
      <x:c r="I173" s="7" t="str"/>
      <x:c r="J173" s="7" t="str">
        <x:v>OPEN</x:v>
      </x:c>
    </x:row>
    <x:row r="174" ht="36" customHeight="1">
      <x:c r="B174" s="7" t="str">
        <x:v>RFP-C2-WD-08</x:v>
      </x:c>
      <x:c r="C174" s="7" t="str">
        <x:v>RFP-C2</x:v>
      </x:c>
      <x:c r="D174" s="7" t="str">
        <x:v>PTC-C</x:v>
      </x:c>
      <x:c r="E174" s="7" t="str">
        <x:v>WD-08</x:v>
      </x:c>
      <x:c r="F174" s="7" t="str">
        <x:v>source</x:v>
      </x:c>
      <x:c r="G174" s="7" t="str">
        <x:v>authority</x:v>
      </x:c>
      <x:c r="H174" s="10" t="str"/>
      <x:c r="I174" s="7" t="str"/>
      <x:c r="J174" s="7" t="str">
        <x:v>OPEN</x:v>
      </x:c>
    </x:row>
    <x:row r="175" ht="36" customHeight="1">
      <x:c r="B175" s="7" t="str">
        <x:v>RFP-C2-WD-09</x:v>
      </x:c>
      <x:c r="C175" s="7" t="str">
        <x:v>RFP-C2</x:v>
      </x:c>
      <x:c r="D175" s="7" t="str">
        <x:v>PTC-C</x:v>
      </x:c>
      <x:c r="E175" s="7" t="str">
        <x:v>WD-09</x:v>
      </x:c>
      <x:c r="F175" s="7" t="str">
        <x:v>containment and terrain</x:v>
      </x:c>
      <x:c r="G175" s="7" t="str">
        <x:v>identity</x:v>
      </x:c>
      <x:c r="H175" s="10" t="str"/>
      <x:c r="I175" s="7" t="str"/>
      <x:c r="J175" s="7" t="str">
        <x:v>OPEN</x:v>
      </x:c>
    </x:row>
    <x:row r="176" ht="36" customHeight="1">
      <x:c r="B176" s="7" t="str">
        <x:v>RFP-C2-WD-10</x:v>
      </x:c>
      <x:c r="C176" s="7" t="str">
        <x:v>RFP-C2</x:v>
      </x:c>
      <x:c r="D176" s="7" t="str">
        <x:v>PTC-C</x:v>
      </x:c>
      <x:c r="E176" s="7" t="str">
        <x:v>WD-10</x:v>
      </x:c>
      <x:c r="F176" s="7" t="str">
        <x:v>containment and terrain</x:v>
      </x:c>
      <x:c r="G176" s="7" t="str">
        <x:v>capacity</x:v>
      </x:c>
      <x:c r="H176" s="10" t="str"/>
      <x:c r="I176" s="7" t="str"/>
      <x:c r="J176" s="7" t="str">
        <x:v>OPEN</x:v>
      </x:c>
    </x:row>
    <x:row r="177" ht="36" customHeight="1">
      <x:c r="B177" s="7" t="str">
        <x:v>RFP-C2-WD-11</x:v>
      </x:c>
      <x:c r="C177" s="7" t="str">
        <x:v>RFP-C2</x:v>
      </x:c>
      <x:c r="D177" s="7" t="str">
        <x:v>PTC-C</x:v>
      </x:c>
      <x:c r="E177" s="7" t="str">
        <x:v>WD-11</x:v>
      </x:c>
      <x:c r="F177" s="7" t="str">
        <x:v>containment and terrain</x:v>
      </x:c>
      <x:c r="G177" s="7" t="str">
        <x:v>state</x:v>
      </x:c>
      <x:c r="H177" s="10" t="str"/>
      <x:c r="I177" s="7" t="str"/>
      <x:c r="J177" s="7" t="str">
        <x:v>OPEN</x:v>
      </x:c>
    </x:row>
    <x:row r="178" ht="36" customHeight="1">
      <x:c r="B178" s="7" t="str">
        <x:v>RFP-C2-WD-12</x:v>
      </x:c>
      <x:c r="C178" s="7" t="str">
        <x:v>RFP-C2</x:v>
      </x:c>
      <x:c r="D178" s="7" t="str">
        <x:v>PTC-C</x:v>
      </x:c>
      <x:c r="E178" s="7" t="str">
        <x:v>WD-12</x:v>
      </x:c>
      <x:c r="F178" s="7" t="str">
        <x:v>containment and terrain</x:v>
      </x:c>
      <x:c r="G178" s="7" t="str">
        <x:v>authority</x:v>
      </x:c>
      <x:c r="H178" s="10" t="str"/>
      <x:c r="I178" s="7" t="str"/>
      <x:c r="J178" s="7" t="str">
        <x:v>OPEN</x:v>
      </x:c>
    </x:row>
    <x:row r="179" ht="36" customHeight="1">
      <x:c r="B179" s="7" t="str">
        <x:v>RFP-C2-WD-13</x:v>
      </x:c>
      <x:c r="C179" s="7" t="str">
        <x:v>RFP-C2</x:v>
      </x:c>
      <x:c r="D179" s="7" t="str">
        <x:v>PTC-C</x:v>
      </x:c>
      <x:c r="E179" s="7" t="str">
        <x:v>WD-13</x:v>
      </x:c>
      <x:c r="F179" s="7" t="str">
        <x:v>water and receivers</x:v>
      </x:c>
      <x:c r="G179" s="7" t="str">
        <x:v>identity</x:v>
      </x:c>
      <x:c r="H179" s="10" t="str"/>
      <x:c r="I179" s="7" t="str"/>
      <x:c r="J179" s="7" t="str">
        <x:v>OPEN</x:v>
      </x:c>
    </x:row>
    <x:row r="180" ht="36" customHeight="1">
      <x:c r="B180" s="7" t="str">
        <x:v>RFP-C2-WD-14</x:v>
      </x:c>
      <x:c r="C180" s="7" t="str">
        <x:v>RFP-C2</x:v>
      </x:c>
      <x:c r="D180" s="7" t="str">
        <x:v>PTC-C</x:v>
      </x:c>
      <x:c r="E180" s="7" t="str">
        <x:v>WD-14</x:v>
      </x:c>
      <x:c r="F180" s="7" t="str">
        <x:v>water and receivers</x:v>
      </x:c>
      <x:c r="G180" s="7" t="str">
        <x:v>capacity</x:v>
      </x:c>
      <x:c r="H180" s="10" t="str"/>
      <x:c r="I180" s="7" t="str"/>
      <x:c r="J180" s="7" t="str">
        <x:v>OPEN</x:v>
      </x:c>
    </x:row>
    <x:row r="181" ht="36" customHeight="1">
      <x:c r="B181" s="7" t="str">
        <x:v>RFP-C2-WD-15</x:v>
      </x:c>
      <x:c r="C181" s="7" t="str">
        <x:v>RFP-C2</x:v>
      </x:c>
      <x:c r="D181" s="7" t="str">
        <x:v>PTC-C</x:v>
      </x:c>
      <x:c r="E181" s="7" t="str">
        <x:v>WD-15</x:v>
      </x:c>
      <x:c r="F181" s="7" t="str">
        <x:v>water and receivers</x:v>
      </x:c>
      <x:c r="G181" s="7" t="str">
        <x:v>state</x:v>
      </x:c>
      <x:c r="H181" s="10" t="str"/>
      <x:c r="I181" s="7" t="str"/>
      <x:c r="J181" s="7" t="str">
        <x:v>OPEN</x:v>
      </x:c>
    </x:row>
    <x:row r="182" ht="36" customHeight="1">
      <x:c r="B182" s="7" t="str">
        <x:v>RFP-C2-WD-16</x:v>
      </x:c>
      <x:c r="C182" s="7" t="str">
        <x:v>RFP-C2</x:v>
      </x:c>
      <x:c r="D182" s="7" t="str">
        <x:v>PTC-C</x:v>
      </x:c>
      <x:c r="E182" s="7" t="str">
        <x:v>WD-16</x:v>
      </x:c>
      <x:c r="F182" s="7" t="str">
        <x:v>water and receivers</x:v>
      </x:c>
      <x:c r="G182" s="7" t="str">
        <x:v>authority</x:v>
      </x:c>
      <x:c r="H182" s="10" t="str"/>
      <x:c r="I182" s="7" t="str"/>
      <x:c r="J182" s="7" t="str">
        <x:v>OPEN</x:v>
      </x:c>
    </x:row>
    <x:row r="183" ht="36" customHeight="1">
      <x:c r="B183" s="7" t="str">
        <x:v>RFP-C2-WD-17</x:v>
      </x:c>
      <x:c r="C183" s="7" t="str">
        <x:v>RFP-C2</x:v>
      </x:c>
      <x:c r="D183" s="7" t="str">
        <x:v>PTC-C</x:v>
      </x:c>
      <x:c r="E183" s="7" t="str">
        <x:v>WD-17</x:v>
      </x:c>
      <x:c r="F183" s="7" t="str">
        <x:v>safety and control</x:v>
      </x:c>
      <x:c r="G183" s="7" t="str">
        <x:v>identity</x:v>
      </x:c>
      <x:c r="H183" s="10" t="str"/>
      <x:c r="I183" s="7" t="str"/>
      <x:c r="J183" s="7" t="str">
        <x:v>OPEN</x:v>
      </x:c>
    </x:row>
    <x:row r="184" ht="36" customHeight="1">
      <x:c r="B184" s="7" t="str">
        <x:v>RFP-C2-WD-18</x:v>
      </x:c>
      <x:c r="C184" s="7" t="str">
        <x:v>RFP-C2</x:v>
      </x:c>
      <x:c r="D184" s="7" t="str">
        <x:v>PTC-C</x:v>
      </x:c>
      <x:c r="E184" s="7" t="str">
        <x:v>WD-18</x:v>
      </x:c>
      <x:c r="F184" s="7" t="str">
        <x:v>safety and control</x:v>
      </x:c>
      <x:c r="G184" s="7" t="str">
        <x:v>capacity</x:v>
      </x:c>
      <x:c r="H184" s="10" t="str"/>
      <x:c r="I184" s="7" t="str"/>
      <x:c r="J184" s="7" t="str">
        <x:v>OPEN</x:v>
      </x:c>
    </x:row>
    <x:row r="185" ht="36" customHeight="1">
      <x:c r="B185" s="7" t="str">
        <x:v>RFP-C2-WD-19</x:v>
      </x:c>
      <x:c r="C185" s="7" t="str">
        <x:v>RFP-C2</x:v>
      </x:c>
      <x:c r="D185" s="7" t="str">
        <x:v>PTC-C</x:v>
      </x:c>
      <x:c r="E185" s="7" t="str">
        <x:v>WD-19</x:v>
      </x:c>
      <x:c r="F185" s="7" t="str">
        <x:v>safety and control</x:v>
      </x:c>
      <x:c r="G185" s="7" t="str">
        <x:v>state</x:v>
      </x:c>
      <x:c r="H185" s="10" t="str"/>
      <x:c r="I185" s="7" t="str"/>
      <x:c r="J185" s="7" t="str">
        <x:v>OPEN</x:v>
      </x:c>
    </x:row>
    <x:row r="186" ht="36" customHeight="1">
      <x:c r="B186" s="7" t="str">
        <x:v>RFP-C2-WD-20</x:v>
      </x:c>
      <x:c r="C186" s="7" t="str">
        <x:v>RFP-C2</x:v>
      </x:c>
      <x:c r="D186" s="7" t="str">
        <x:v>PTC-C</x:v>
      </x:c>
      <x:c r="E186" s="7" t="str">
        <x:v>WD-20</x:v>
      </x:c>
      <x:c r="F186" s="7" t="str">
        <x:v>safety and control</x:v>
      </x:c>
      <x:c r="G186" s="7" t="str">
        <x:v>authority</x:v>
      </x:c>
      <x:c r="H186" s="10" t="str"/>
      <x:c r="I186" s="7" t="str"/>
      <x:c r="J186" s="7" t="str">
        <x:v>OPEN</x:v>
      </x:c>
    </x:row>
    <x:row r="187" ht="36" customHeight="1">
      <x:c r="B187" s="7" t="str">
        <x:v>RFP-C2-WD-21</x:v>
      </x:c>
      <x:c r="C187" s="7" t="str">
        <x:v>RFP-C2</x:v>
      </x:c>
      <x:c r="D187" s="7" t="str">
        <x:v>PTC-C</x:v>
      </x:c>
      <x:c r="E187" s="7" t="str">
        <x:v>WD-21</x:v>
      </x:c>
      <x:c r="F187" s="7" t="str">
        <x:v>measurement and time</x:v>
      </x:c>
      <x:c r="G187" s="7" t="str">
        <x:v>identity</x:v>
      </x:c>
      <x:c r="H187" s="10" t="str"/>
      <x:c r="I187" s="7" t="str"/>
      <x:c r="J187" s="7" t="str">
        <x:v>OPEN</x:v>
      </x:c>
    </x:row>
    <x:row r="188" ht="36" customHeight="1">
      <x:c r="B188" s="7" t="str">
        <x:v>RFP-C2-WD-22</x:v>
      </x:c>
      <x:c r="C188" s="7" t="str">
        <x:v>RFP-C2</x:v>
      </x:c>
      <x:c r="D188" s="7" t="str">
        <x:v>PTC-C</x:v>
      </x:c>
      <x:c r="E188" s="7" t="str">
        <x:v>WD-22</x:v>
      </x:c>
      <x:c r="F188" s="7" t="str">
        <x:v>measurement and time</x:v>
      </x:c>
      <x:c r="G188" s="7" t="str">
        <x:v>capacity</x:v>
      </x:c>
      <x:c r="H188" s="10" t="str"/>
      <x:c r="I188" s="7" t="str"/>
      <x:c r="J188" s="7" t="str">
        <x:v>OPEN</x:v>
      </x:c>
    </x:row>
    <x:row r="189" ht="36" customHeight="1">
      <x:c r="B189" s="7" t="str">
        <x:v>RFP-C2-WD-23</x:v>
      </x:c>
      <x:c r="C189" s="7" t="str">
        <x:v>RFP-C2</x:v>
      </x:c>
      <x:c r="D189" s="7" t="str">
        <x:v>PTC-C</x:v>
      </x:c>
      <x:c r="E189" s="7" t="str">
        <x:v>WD-23</x:v>
      </x:c>
      <x:c r="F189" s="7" t="str">
        <x:v>measurement and time</x:v>
      </x:c>
      <x:c r="G189" s="7" t="str">
        <x:v>state</x:v>
      </x:c>
      <x:c r="H189" s="10" t="str"/>
      <x:c r="I189" s="7" t="str"/>
      <x:c r="J189" s="7" t="str">
        <x:v>OPEN</x:v>
      </x:c>
    </x:row>
    <x:row r="190" ht="36" customHeight="1">
      <x:c r="B190" s="7" t="str">
        <x:v>RFP-C2-WD-24</x:v>
      </x:c>
      <x:c r="C190" s="7" t="str">
        <x:v>RFP-C2</x:v>
      </x:c>
      <x:c r="D190" s="7" t="str">
        <x:v>PTC-C</x:v>
      </x:c>
      <x:c r="E190" s="7" t="str">
        <x:v>WD-24</x:v>
      </x:c>
      <x:c r="F190" s="7" t="str">
        <x:v>measurement and time</x:v>
      </x:c>
      <x:c r="G190" s="7" t="str">
        <x:v>authority</x:v>
      </x:c>
      <x:c r="H190" s="10" t="str"/>
      <x:c r="I190" s="7" t="str"/>
      <x:c r="J190" s="7" t="str">
        <x:v>OPEN</x:v>
      </x:c>
    </x:row>
    <x:row r="191" ht="36" customHeight="1">
      <x:c r="B191" s="7" t="str">
        <x:v>RFP-C2-WD-25</x:v>
      </x:c>
      <x:c r="C191" s="7" t="str">
        <x:v>RFP-C2</x:v>
      </x:c>
      <x:c r="D191" s="7" t="str">
        <x:v>PTC-C</x:v>
      </x:c>
      <x:c r="E191" s="7" t="str">
        <x:v>WD-25</x:v>
      </x:c>
      <x:c r="F191" s="7" t="str">
        <x:v>environment and recovery</x:v>
      </x:c>
      <x:c r="G191" s="7" t="str">
        <x:v>identity</x:v>
      </x:c>
      <x:c r="H191" s="10" t="str"/>
      <x:c r="I191" s="7" t="str"/>
      <x:c r="J191" s="7" t="str">
        <x:v>OPEN</x:v>
      </x:c>
    </x:row>
    <x:row r="192" ht="36" customHeight="1">
      <x:c r="B192" s="7" t="str">
        <x:v>RFP-C2-WD-26</x:v>
      </x:c>
      <x:c r="C192" s="7" t="str">
        <x:v>RFP-C2</x:v>
      </x:c>
      <x:c r="D192" s="7" t="str">
        <x:v>PTC-C</x:v>
      </x:c>
      <x:c r="E192" s="7" t="str">
        <x:v>WD-26</x:v>
      </x:c>
      <x:c r="F192" s="7" t="str">
        <x:v>environment and recovery</x:v>
      </x:c>
      <x:c r="G192" s="7" t="str">
        <x:v>capacity</x:v>
      </x:c>
      <x:c r="H192" s="10" t="str"/>
      <x:c r="I192" s="7" t="str"/>
      <x:c r="J192" s="7" t="str">
        <x:v>OPEN</x:v>
      </x:c>
    </x:row>
    <x:row r="193" ht="36" customHeight="1">
      <x:c r="B193" s="7" t="str">
        <x:v>RFP-C2-WD-27</x:v>
      </x:c>
      <x:c r="C193" s="7" t="str">
        <x:v>RFP-C2</x:v>
      </x:c>
      <x:c r="D193" s="7" t="str">
        <x:v>PTC-C</x:v>
      </x:c>
      <x:c r="E193" s="7" t="str">
        <x:v>WD-27</x:v>
      </x:c>
      <x:c r="F193" s="7" t="str">
        <x:v>environment and recovery</x:v>
      </x:c>
      <x:c r="G193" s="7" t="str">
        <x:v>state</x:v>
      </x:c>
      <x:c r="H193" s="10" t="str"/>
      <x:c r="I193" s="7" t="str"/>
      <x:c r="J193" s="7" t="str">
        <x:v>OPEN</x:v>
      </x:c>
    </x:row>
    <x:row r="194" ht="36" customHeight="1">
      <x:c r="B194" s="7" t="str">
        <x:v>RFP-C2-WD-28</x:v>
      </x:c>
      <x:c r="C194" s="7" t="str">
        <x:v>RFP-C2</x:v>
      </x:c>
      <x:c r="D194" s="7" t="str">
        <x:v>PTC-C</x:v>
      </x:c>
      <x:c r="E194" s="7" t="str">
        <x:v>WD-28</x:v>
      </x:c>
      <x:c r="F194" s="7" t="str">
        <x:v>environment and recovery</x:v>
      </x:c>
      <x:c r="G194" s="7" t="str">
        <x:v>authority</x:v>
      </x:c>
      <x:c r="H194" s="10" t="str"/>
      <x:c r="I194" s="7" t="str"/>
      <x:c r="J194" s="7" t="str">
        <x:v>OPEN</x:v>
      </x:c>
    </x:row>
    <x:row r="195" ht="36" customHeight="1">
      <x:c r="B195" s="7" t="str">
        <x:v>RFP-C2-WD-29</x:v>
      </x:c>
      <x:c r="C195" s="7" t="str">
        <x:v>RFP-C2</x:v>
      </x:c>
      <x:c r="D195" s="7" t="str">
        <x:v>PTC-C</x:v>
      </x:c>
      <x:c r="E195" s="7" t="str">
        <x:v>WD-29</x:v>
      </x:c>
      <x:c r="F195" s="7" t="str">
        <x:v>rescue and authority</x:v>
      </x:c>
      <x:c r="G195" s="7" t="str">
        <x:v>identity</x:v>
      </x:c>
      <x:c r="H195" s="10" t="str"/>
      <x:c r="I195" s="7" t="str"/>
      <x:c r="J195" s="7" t="str">
        <x:v>OPEN</x:v>
      </x:c>
    </x:row>
    <x:row r="196" ht="36" customHeight="1">
      <x:c r="B196" s="7" t="str">
        <x:v>RFP-C2-WD-30</x:v>
      </x:c>
      <x:c r="C196" s="7" t="str">
        <x:v>RFP-C2</x:v>
      </x:c>
      <x:c r="D196" s="7" t="str">
        <x:v>PTC-C</x:v>
      </x:c>
      <x:c r="E196" s="7" t="str">
        <x:v>WD-30</x:v>
      </x:c>
      <x:c r="F196" s="7" t="str">
        <x:v>rescue and authority</x:v>
      </x:c>
      <x:c r="G196" s="7" t="str">
        <x:v>capacity</x:v>
      </x:c>
      <x:c r="H196" s="10" t="str"/>
      <x:c r="I196" s="7" t="str"/>
      <x:c r="J196" s="7" t="str">
        <x:v>OPEN</x:v>
      </x:c>
    </x:row>
    <x:row r="197" ht="36" customHeight="1">
      <x:c r="B197" s="7" t="str">
        <x:v>RFP-C2-WD-31</x:v>
      </x:c>
      <x:c r="C197" s="7" t="str">
        <x:v>RFP-C2</x:v>
      </x:c>
      <x:c r="D197" s="7" t="str">
        <x:v>PTC-C</x:v>
      </x:c>
      <x:c r="E197" s="7" t="str">
        <x:v>WD-31</x:v>
      </x:c>
      <x:c r="F197" s="7" t="str">
        <x:v>rescue and authority</x:v>
      </x:c>
      <x:c r="G197" s="7" t="str">
        <x:v>state</x:v>
      </x:c>
      <x:c r="H197" s="10" t="str"/>
      <x:c r="I197" s="7" t="str"/>
      <x:c r="J197" s="7" t="str">
        <x:v>OPEN</x:v>
      </x:c>
    </x:row>
    <x:row r="198" ht="36" customHeight="1">
      <x:c r="B198" s="7" t="str">
        <x:v>RFP-C2-WD-32</x:v>
      </x:c>
      <x:c r="C198" s="7" t="str">
        <x:v>RFP-C2</x:v>
      </x:c>
      <x:c r="D198" s="7" t="str">
        <x:v>PTC-C</x:v>
      </x:c>
      <x:c r="E198" s="7" t="str">
        <x:v>WD-32</x:v>
      </x:c>
      <x:c r="F198" s="7" t="str">
        <x:v>rescue and authority</x:v>
      </x:c>
      <x:c r="G198" s="7" t="str">
        <x:v>authority</x:v>
      </x:c>
      <x:c r="H198" s="10" t="str"/>
      <x:c r="I198" s="7" t="str"/>
      <x:c r="J198" s="7" t="str">
        <x:v>OPEN</x:v>
      </x:c>
    </x:row>
  </x:sheetData>
  <x:conditionalFormatting sqref="J7:J198">
    <x:cfRule type="containsText" dxfId="99" priority="1" operator="containsText" text="FAIL"/>
    <x:cfRule type="containsText" dxfId="100" priority="2" operator="containsText" text="INVALID"/>
    <x:cfRule type="containsText" dxfId="101" priority="3" operator="containsText" text="BLOCKED"/>
    <x:cfRule type="containsText" dxfId="102" priority="4" operator="containsText" text="OPEN"/>
    <x:cfRule type="containsText" dxfId="103" priority="5" operator="containsText" text="HELD"/>
    <x:cfRule type="containsText" dxfId="104" priority="6" operator="containsText" text="DORMANT"/>
    <x:cfRule type="containsText" dxfId="105" priority="7" operator="containsText" text="PASS"/>
    <x:cfRule type="containsText" dxfId="106" priority="8" operator="containsText" text="VALID"/>
    <x:cfRule type="containsText" dxfId="107" priority="9" operator="containsText" text="ISSUED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4" hidden="0" customWidth="1"/>
    <x:col min="3" max="3" width="16" hidden="0" customWidth="1"/>
    <x:col min="4" max="4" width="14" hidden="0" customWidth="1"/>
    <x:col min="5" max="5" width="13" hidden="0" customWidth="1"/>
    <x:col min="6" max="6" width="12" hidden="0" customWidth="1"/>
    <x:col min="7" max="7" width="12" hidden="0" customWidth="1"/>
    <x:col min="8" max="8" width="24" hidden="0" customWidth="1"/>
    <x:col min="9" max="9" width="50" hidden="0" customWidth="1"/>
    <x:col min="10" max="10" width="21" hidden="0" customWidth="1"/>
    <x:col min="11" max="11" width="14" hidden="0" customWidth="1"/>
  </x:cols>
  <x:sheetData>
    <x:row r="2">
      <x:c r="B2" s="1" t="str">
        <x:v>One hundred forty-four neighbor-state proofs</x:v>
      </x:c>
    </x:row>
    <x:row r="3">
      <x:c r="B3" s="2" t="str">
        <x:v>The proof records the state of the two adjacent test cells and the common utility neighbor before each event.</x:v>
      </x:c>
    </x:row>
    <x:row r="6" ht="24" customHeight="1">
      <x:c r="B6" s="6" t="str">
        <x:v>Proof</x:v>
      </x:c>
      <x:c r="C6" s="6" t="str">
        <x:v>Event</x:v>
      </x:c>
      <x:c r="D6" s="6" t="str">
        <x:v>Rig</x:v>
      </x:c>
      <x:c r="E6" s="6" t="str">
        <x:v>Method</x:v>
      </x:c>
      <x:c r="F6" s="6" t="str">
        <x:v>Root</x:v>
      </x:c>
      <x:c r="G6" s="6" t="str">
        <x:v>Class</x:v>
      </x:c>
      <x:c r="H6" s="6" t="str">
        <x:v>Neighbor position</x:v>
      </x:c>
      <x:c r="I6" s="6" t="str">
        <x:v>Required state</x:v>
      </x:c>
      <x:c r="J6" s="6" t="str">
        <x:v>Accepted UTC</x:v>
      </x:c>
      <x:c r="K6" s="6" t="str">
        <x:v>State</x:v>
      </x:c>
    </x:row>
    <x:row r="7" ht="36" customHeight="1">
      <x:c r="B7" s="7" t="str">
        <x:v>RAE-E-01-LN</x:v>
      </x:c>
      <x:c r="C7" s="7" t="str">
        <x:v>RAE-E-01</x:v>
      </x:c>
      <x:c r="D7" s="7" t="str">
        <x:v>RFP-A1</x:v>
      </x:c>
      <x:c r="E7" s="7" t="str">
        <x:v>AM-05</x:v>
      </x:c>
      <x:c r="F7" s="7" t="str">
        <x:v>TR-A</x:v>
      </x:c>
      <x:c r="G7" s="7" t="str">
        <x:v>QE-01</x:v>
      </x:c>
      <x:c r="H7" s="7" t="str">
        <x:v>left neighbor</x:v>
      </x:c>
      <x:c r="I7" s="10" t="str">
        <x:v>inert, isolated and independently observed</x:v>
      </x:c>
      <x:c r="J7" s="7" t="str"/>
      <x:c r="K7" s="7" t="str">
        <x:v>OPEN</x:v>
      </x:c>
    </x:row>
    <x:row r="8" ht="36" customHeight="1">
      <x:c r="B8" s="7" t="str">
        <x:v>RAE-E-01-RN</x:v>
      </x:c>
      <x:c r="C8" s="7" t="str">
        <x:v>RAE-E-01</x:v>
      </x:c>
      <x:c r="D8" s="7" t="str">
        <x:v>RFP-A1</x:v>
      </x:c>
      <x:c r="E8" s="7" t="str">
        <x:v>AM-05</x:v>
      </x:c>
      <x:c r="F8" s="7" t="str">
        <x:v>TR-A</x:v>
      </x:c>
      <x:c r="G8" s="7" t="str">
        <x:v>QE-01</x:v>
      </x:c>
      <x:c r="H8" s="7" t="str">
        <x:v>right neighbor</x:v>
      </x:c>
      <x:c r="I8" s="10" t="str">
        <x:v>inert, isolated and independently observed</x:v>
      </x:c>
      <x:c r="J8" s="7" t="str"/>
      <x:c r="K8" s="7" t="str">
        <x:v>OPEN</x:v>
      </x:c>
    </x:row>
    <x:row r="9" ht="36" customHeight="1">
      <x:c r="B9" s="7" t="str">
        <x:v>RAE-E-01-CUN</x:v>
      </x:c>
      <x:c r="C9" s="7" t="str">
        <x:v>RAE-E-01</x:v>
      </x:c>
      <x:c r="D9" s="7" t="str">
        <x:v>RFP-A1</x:v>
      </x:c>
      <x:c r="E9" s="7" t="str">
        <x:v>AM-05</x:v>
      </x:c>
      <x:c r="F9" s="7" t="str">
        <x:v>TR-A</x:v>
      </x:c>
      <x:c r="G9" s="7" t="str">
        <x:v>QE-01</x:v>
      </x:c>
      <x:c r="H9" s="7" t="str">
        <x:v>common utility neighbor</x:v>
      </x:c>
      <x:c r="I9" s="10" t="str">
        <x:v>inert, isolated and independently observed</x:v>
      </x:c>
      <x:c r="J9" s="7" t="str"/>
      <x:c r="K9" s="7" t="str">
        <x:v>OPEN</x:v>
      </x:c>
    </x:row>
    <x:row r="10" ht="36" customHeight="1">
      <x:c r="B10" s="7" t="str">
        <x:v>RAE-E-02-LN</x:v>
      </x:c>
      <x:c r="C10" s="7" t="str">
        <x:v>RAE-E-02</x:v>
      </x:c>
      <x:c r="D10" s="7" t="str">
        <x:v>RFP-A1</x:v>
      </x:c>
      <x:c r="E10" s="7" t="str">
        <x:v>AM-05</x:v>
      </x:c>
      <x:c r="F10" s="7" t="str">
        <x:v>TR-A</x:v>
      </x:c>
      <x:c r="G10" s="7" t="str">
        <x:v>QE-02</x:v>
      </x:c>
      <x:c r="H10" s="7" t="str">
        <x:v>left neighbor</x:v>
      </x:c>
      <x:c r="I10" s="10" t="str">
        <x:v>inert, isolated and independently observed</x:v>
      </x:c>
      <x:c r="J10" s="7" t="str"/>
      <x:c r="K10" s="7" t="str">
        <x:v>OPEN</x:v>
      </x:c>
    </x:row>
    <x:row r="11" ht="36" customHeight="1">
      <x:c r="B11" s="7" t="str">
        <x:v>RAE-E-02-RN</x:v>
      </x:c>
      <x:c r="C11" s="7" t="str">
        <x:v>RAE-E-02</x:v>
      </x:c>
      <x:c r="D11" s="7" t="str">
        <x:v>RFP-A1</x:v>
      </x:c>
      <x:c r="E11" s="7" t="str">
        <x:v>AM-05</x:v>
      </x:c>
      <x:c r="F11" s="7" t="str">
        <x:v>TR-A</x:v>
      </x:c>
      <x:c r="G11" s="7" t="str">
        <x:v>QE-02</x:v>
      </x:c>
      <x:c r="H11" s="7" t="str">
        <x:v>right neighbor</x:v>
      </x:c>
      <x:c r="I11" s="10" t="str">
        <x:v>inert, isolated and independently observed</x:v>
      </x:c>
      <x:c r="J11" s="7" t="str"/>
      <x:c r="K11" s="7" t="str">
        <x:v>OPEN</x:v>
      </x:c>
    </x:row>
    <x:row r="12" ht="36" customHeight="1">
      <x:c r="B12" s="7" t="str">
        <x:v>RAE-E-02-CUN</x:v>
      </x:c>
      <x:c r="C12" s="7" t="str">
        <x:v>RAE-E-02</x:v>
      </x:c>
      <x:c r="D12" s="7" t="str">
        <x:v>RFP-A1</x:v>
      </x:c>
      <x:c r="E12" s="7" t="str">
        <x:v>AM-05</x:v>
      </x:c>
      <x:c r="F12" s="7" t="str">
        <x:v>TR-A</x:v>
      </x:c>
      <x:c r="G12" s="7" t="str">
        <x:v>QE-02</x:v>
      </x:c>
      <x:c r="H12" s="7" t="str">
        <x:v>common utility neighbor</x:v>
      </x:c>
      <x:c r="I12" s="10" t="str">
        <x:v>inert, isolated and independently observed</x:v>
      </x:c>
      <x:c r="J12" s="7" t="str"/>
      <x:c r="K12" s="7" t="str">
        <x:v>OPEN</x:v>
      </x:c>
    </x:row>
    <x:row r="13" ht="36" customHeight="1">
      <x:c r="B13" s="7" t="str">
        <x:v>RAE-E-03-LN</x:v>
      </x:c>
      <x:c r="C13" s="7" t="str">
        <x:v>RAE-E-03</x:v>
      </x:c>
      <x:c r="D13" s="7" t="str">
        <x:v>RFP-A1</x:v>
      </x:c>
      <x:c r="E13" s="7" t="str">
        <x:v>AM-05</x:v>
      </x:c>
      <x:c r="F13" s="7" t="str">
        <x:v>TR-B</x:v>
      </x:c>
      <x:c r="G13" s="7" t="str">
        <x:v>QE-01</x:v>
      </x:c>
      <x:c r="H13" s="7" t="str">
        <x:v>left neighbor</x:v>
      </x:c>
      <x:c r="I13" s="10" t="str">
        <x:v>inert, isolated and independently observed</x:v>
      </x:c>
      <x:c r="J13" s="7" t="str"/>
      <x:c r="K13" s="7" t="str">
        <x:v>OPEN</x:v>
      </x:c>
    </x:row>
    <x:row r="14" ht="36" customHeight="1">
      <x:c r="B14" s="7" t="str">
        <x:v>RAE-E-03-RN</x:v>
      </x:c>
      <x:c r="C14" s="7" t="str">
        <x:v>RAE-E-03</x:v>
      </x:c>
      <x:c r="D14" s="7" t="str">
        <x:v>RFP-A1</x:v>
      </x:c>
      <x:c r="E14" s="7" t="str">
        <x:v>AM-05</x:v>
      </x:c>
      <x:c r="F14" s="7" t="str">
        <x:v>TR-B</x:v>
      </x:c>
      <x:c r="G14" s="7" t="str">
        <x:v>QE-01</x:v>
      </x:c>
      <x:c r="H14" s="7" t="str">
        <x:v>right neighbor</x:v>
      </x:c>
      <x:c r="I14" s="10" t="str">
        <x:v>inert, isolated and independently observed</x:v>
      </x:c>
      <x:c r="J14" s="7" t="str"/>
      <x:c r="K14" s="7" t="str">
        <x:v>OPEN</x:v>
      </x:c>
    </x:row>
    <x:row r="15" ht="36" customHeight="1">
      <x:c r="B15" s="7" t="str">
        <x:v>RAE-E-03-CUN</x:v>
      </x:c>
      <x:c r="C15" s="7" t="str">
        <x:v>RAE-E-03</x:v>
      </x:c>
      <x:c r="D15" s="7" t="str">
        <x:v>RFP-A1</x:v>
      </x:c>
      <x:c r="E15" s="7" t="str">
        <x:v>AM-05</x:v>
      </x:c>
      <x:c r="F15" s="7" t="str">
        <x:v>TR-B</x:v>
      </x:c>
      <x:c r="G15" s="7" t="str">
        <x:v>QE-01</x:v>
      </x:c>
      <x:c r="H15" s="7" t="str">
        <x:v>common utility neighbor</x:v>
      </x:c>
      <x:c r="I15" s="10" t="str">
        <x:v>inert, isolated and independently observed</x:v>
      </x:c>
      <x:c r="J15" s="7" t="str"/>
      <x:c r="K15" s="7" t="str">
        <x:v>OPEN</x:v>
      </x:c>
    </x:row>
    <x:row r="16" ht="36" customHeight="1">
      <x:c r="B16" s="7" t="str">
        <x:v>RAE-E-04-LN</x:v>
      </x:c>
      <x:c r="C16" s="7" t="str">
        <x:v>RAE-E-04</x:v>
      </x:c>
      <x:c r="D16" s="7" t="str">
        <x:v>RFP-A1</x:v>
      </x:c>
      <x:c r="E16" s="7" t="str">
        <x:v>AM-05</x:v>
      </x:c>
      <x:c r="F16" s="7" t="str">
        <x:v>TR-B</x:v>
      </x:c>
      <x:c r="G16" s="7" t="str">
        <x:v>QE-02</x:v>
      </x:c>
      <x:c r="H16" s="7" t="str">
        <x:v>left neighbor</x:v>
      </x:c>
      <x:c r="I16" s="10" t="str">
        <x:v>inert, isolated and independently observed</x:v>
      </x:c>
      <x:c r="J16" s="7" t="str"/>
      <x:c r="K16" s="7" t="str">
        <x:v>OPEN</x:v>
      </x:c>
    </x:row>
    <x:row r="17" ht="36" customHeight="1">
      <x:c r="B17" s="7" t="str">
        <x:v>RAE-E-04-RN</x:v>
      </x:c>
      <x:c r="C17" s="7" t="str">
        <x:v>RAE-E-04</x:v>
      </x:c>
      <x:c r="D17" s="7" t="str">
        <x:v>RFP-A1</x:v>
      </x:c>
      <x:c r="E17" s="7" t="str">
        <x:v>AM-05</x:v>
      </x:c>
      <x:c r="F17" s="7" t="str">
        <x:v>TR-B</x:v>
      </x:c>
      <x:c r="G17" s="7" t="str">
        <x:v>QE-02</x:v>
      </x:c>
      <x:c r="H17" s="7" t="str">
        <x:v>right neighbor</x:v>
      </x:c>
      <x:c r="I17" s="10" t="str">
        <x:v>inert, isolated and independently observed</x:v>
      </x:c>
      <x:c r="J17" s="7" t="str"/>
      <x:c r="K17" s="7" t="str">
        <x:v>OPEN</x:v>
      </x:c>
    </x:row>
    <x:row r="18" ht="36" customHeight="1">
      <x:c r="B18" s="7" t="str">
        <x:v>RAE-E-04-CUN</x:v>
      </x:c>
      <x:c r="C18" s="7" t="str">
        <x:v>RAE-E-04</x:v>
      </x:c>
      <x:c r="D18" s="7" t="str">
        <x:v>RFP-A1</x:v>
      </x:c>
      <x:c r="E18" s="7" t="str">
        <x:v>AM-05</x:v>
      </x:c>
      <x:c r="F18" s="7" t="str">
        <x:v>TR-B</x:v>
      </x:c>
      <x:c r="G18" s="7" t="str">
        <x:v>QE-02</x:v>
      </x:c>
      <x:c r="H18" s="7" t="str">
        <x:v>common utility neighbor</x:v>
      </x:c>
      <x:c r="I18" s="10" t="str">
        <x:v>inert, isolated and independently observed</x:v>
      </x:c>
      <x:c r="J18" s="7" t="str"/>
      <x:c r="K18" s="7" t="str">
        <x:v>OPEN</x:v>
      </x:c>
    </x:row>
    <x:row r="19" ht="36" customHeight="1">
      <x:c r="B19" s="7" t="str">
        <x:v>RAE-E-05-LN</x:v>
      </x:c>
      <x:c r="C19" s="7" t="str">
        <x:v>RAE-E-05</x:v>
      </x:c>
      <x:c r="D19" s="7" t="str">
        <x:v>RFP-A1</x:v>
      </x:c>
      <x:c r="E19" s="7" t="str">
        <x:v>AM-06</x:v>
      </x:c>
      <x:c r="F19" s="7" t="str">
        <x:v>TR-A</x:v>
      </x:c>
      <x:c r="G19" s="7" t="str">
        <x:v>QE-01</x:v>
      </x:c>
      <x:c r="H19" s="7" t="str">
        <x:v>left neighbor</x:v>
      </x:c>
      <x:c r="I19" s="10" t="str">
        <x:v>inert, isolated and independently observed</x:v>
      </x:c>
      <x:c r="J19" s="7" t="str"/>
      <x:c r="K19" s="7" t="str">
        <x:v>OPEN</x:v>
      </x:c>
    </x:row>
    <x:row r="20" ht="36" customHeight="1">
      <x:c r="B20" s="7" t="str">
        <x:v>RAE-E-05-RN</x:v>
      </x:c>
      <x:c r="C20" s="7" t="str">
        <x:v>RAE-E-05</x:v>
      </x:c>
      <x:c r="D20" s="7" t="str">
        <x:v>RFP-A1</x:v>
      </x:c>
      <x:c r="E20" s="7" t="str">
        <x:v>AM-06</x:v>
      </x:c>
      <x:c r="F20" s="7" t="str">
        <x:v>TR-A</x:v>
      </x:c>
      <x:c r="G20" s="7" t="str">
        <x:v>QE-01</x:v>
      </x:c>
      <x:c r="H20" s="7" t="str">
        <x:v>right neighbor</x:v>
      </x:c>
      <x:c r="I20" s="10" t="str">
        <x:v>inert, isolated and independently observed</x:v>
      </x:c>
      <x:c r="J20" s="7" t="str"/>
      <x:c r="K20" s="7" t="str">
        <x:v>OPEN</x:v>
      </x:c>
    </x:row>
    <x:row r="21" ht="36" customHeight="1">
      <x:c r="B21" s="7" t="str">
        <x:v>RAE-E-05-CUN</x:v>
      </x:c>
      <x:c r="C21" s="7" t="str">
        <x:v>RAE-E-05</x:v>
      </x:c>
      <x:c r="D21" s="7" t="str">
        <x:v>RFP-A1</x:v>
      </x:c>
      <x:c r="E21" s="7" t="str">
        <x:v>AM-06</x:v>
      </x:c>
      <x:c r="F21" s="7" t="str">
        <x:v>TR-A</x:v>
      </x:c>
      <x:c r="G21" s="7" t="str">
        <x:v>QE-01</x:v>
      </x:c>
      <x:c r="H21" s="7" t="str">
        <x:v>common utility neighbor</x:v>
      </x:c>
      <x:c r="I21" s="10" t="str">
        <x:v>inert, isolated and independently observed</x:v>
      </x:c>
      <x:c r="J21" s="7" t="str"/>
      <x:c r="K21" s="7" t="str">
        <x:v>OPEN</x:v>
      </x:c>
    </x:row>
    <x:row r="22" ht="36" customHeight="1">
      <x:c r="B22" s="7" t="str">
        <x:v>RAE-E-06-LN</x:v>
      </x:c>
      <x:c r="C22" s="7" t="str">
        <x:v>RAE-E-06</x:v>
      </x:c>
      <x:c r="D22" s="7" t="str">
        <x:v>RFP-A1</x:v>
      </x:c>
      <x:c r="E22" s="7" t="str">
        <x:v>AM-06</x:v>
      </x:c>
      <x:c r="F22" s="7" t="str">
        <x:v>TR-A</x:v>
      </x:c>
      <x:c r="G22" s="7" t="str">
        <x:v>QE-02</x:v>
      </x:c>
      <x:c r="H22" s="7" t="str">
        <x:v>left neighbor</x:v>
      </x:c>
      <x:c r="I22" s="10" t="str">
        <x:v>inert, isolated and independently observed</x:v>
      </x:c>
      <x:c r="J22" s="7" t="str"/>
      <x:c r="K22" s="7" t="str">
        <x:v>OPEN</x:v>
      </x:c>
    </x:row>
    <x:row r="23" ht="36" customHeight="1">
      <x:c r="B23" s="7" t="str">
        <x:v>RAE-E-06-RN</x:v>
      </x:c>
      <x:c r="C23" s="7" t="str">
        <x:v>RAE-E-06</x:v>
      </x:c>
      <x:c r="D23" s="7" t="str">
        <x:v>RFP-A1</x:v>
      </x:c>
      <x:c r="E23" s="7" t="str">
        <x:v>AM-06</x:v>
      </x:c>
      <x:c r="F23" s="7" t="str">
        <x:v>TR-A</x:v>
      </x:c>
      <x:c r="G23" s="7" t="str">
        <x:v>QE-02</x:v>
      </x:c>
      <x:c r="H23" s="7" t="str">
        <x:v>right neighbor</x:v>
      </x:c>
      <x:c r="I23" s="10" t="str">
        <x:v>inert, isolated and independently observed</x:v>
      </x:c>
      <x:c r="J23" s="7" t="str"/>
      <x:c r="K23" s="7" t="str">
        <x:v>OPEN</x:v>
      </x:c>
    </x:row>
    <x:row r="24" ht="36" customHeight="1">
      <x:c r="B24" s="7" t="str">
        <x:v>RAE-E-06-CUN</x:v>
      </x:c>
      <x:c r="C24" s="7" t="str">
        <x:v>RAE-E-06</x:v>
      </x:c>
      <x:c r="D24" s="7" t="str">
        <x:v>RFP-A1</x:v>
      </x:c>
      <x:c r="E24" s="7" t="str">
        <x:v>AM-06</x:v>
      </x:c>
      <x:c r="F24" s="7" t="str">
        <x:v>TR-A</x:v>
      </x:c>
      <x:c r="G24" s="7" t="str">
        <x:v>QE-02</x:v>
      </x:c>
      <x:c r="H24" s="7" t="str">
        <x:v>common utility neighbor</x:v>
      </x:c>
      <x:c r="I24" s="10" t="str">
        <x:v>inert, isolated and independently observed</x:v>
      </x:c>
      <x:c r="J24" s="7" t="str"/>
      <x:c r="K24" s="7" t="str">
        <x:v>OPEN</x:v>
      </x:c>
    </x:row>
    <x:row r="25" ht="36" customHeight="1">
      <x:c r="B25" s="7" t="str">
        <x:v>RAE-E-07-LN</x:v>
      </x:c>
      <x:c r="C25" s="7" t="str">
        <x:v>RAE-E-07</x:v>
      </x:c>
      <x:c r="D25" s="7" t="str">
        <x:v>RFP-A1</x:v>
      </x:c>
      <x:c r="E25" s="7" t="str">
        <x:v>AM-06</x:v>
      </x:c>
      <x:c r="F25" s="7" t="str">
        <x:v>TR-B</x:v>
      </x:c>
      <x:c r="G25" s="7" t="str">
        <x:v>QE-01</x:v>
      </x:c>
      <x:c r="H25" s="7" t="str">
        <x:v>left neighbor</x:v>
      </x:c>
      <x:c r="I25" s="10" t="str">
        <x:v>inert, isolated and independently observed</x:v>
      </x:c>
      <x:c r="J25" s="7" t="str"/>
      <x:c r="K25" s="7" t="str">
        <x:v>OPEN</x:v>
      </x:c>
    </x:row>
    <x:row r="26" ht="36" customHeight="1">
      <x:c r="B26" s="7" t="str">
        <x:v>RAE-E-07-RN</x:v>
      </x:c>
      <x:c r="C26" s="7" t="str">
        <x:v>RAE-E-07</x:v>
      </x:c>
      <x:c r="D26" s="7" t="str">
        <x:v>RFP-A1</x:v>
      </x:c>
      <x:c r="E26" s="7" t="str">
        <x:v>AM-06</x:v>
      </x:c>
      <x:c r="F26" s="7" t="str">
        <x:v>TR-B</x:v>
      </x:c>
      <x:c r="G26" s="7" t="str">
        <x:v>QE-01</x:v>
      </x:c>
      <x:c r="H26" s="7" t="str">
        <x:v>right neighbor</x:v>
      </x:c>
      <x:c r="I26" s="10" t="str">
        <x:v>inert, isolated and independently observed</x:v>
      </x:c>
      <x:c r="J26" s="7" t="str"/>
      <x:c r="K26" s="7" t="str">
        <x:v>OPEN</x:v>
      </x:c>
    </x:row>
    <x:row r="27" ht="36" customHeight="1">
      <x:c r="B27" s="7" t="str">
        <x:v>RAE-E-07-CUN</x:v>
      </x:c>
      <x:c r="C27" s="7" t="str">
        <x:v>RAE-E-07</x:v>
      </x:c>
      <x:c r="D27" s="7" t="str">
        <x:v>RFP-A1</x:v>
      </x:c>
      <x:c r="E27" s="7" t="str">
        <x:v>AM-06</x:v>
      </x:c>
      <x:c r="F27" s="7" t="str">
        <x:v>TR-B</x:v>
      </x:c>
      <x:c r="G27" s="7" t="str">
        <x:v>QE-01</x:v>
      </x:c>
      <x:c r="H27" s="7" t="str">
        <x:v>common utility neighbor</x:v>
      </x:c>
      <x:c r="I27" s="10" t="str">
        <x:v>inert, isolated and independently observed</x:v>
      </x:c>
      <x:c r="J27" s="7" t="str"/>
      <x:c r="K27" s="7" t="str">
        <x:v>OPEN</x:v>
      </x:c>
    </x:row>
    <x:row r="28" ht="36" customHeight="1">
      <x:c r="B28" s="7" t="str">
        <x:v>RAE-E-08-LN</x:v>
      </x:c>
      <x:c r="C28" s="7" t="str">
        <x:v>RAE-E-08</x:v>
      </x:c>
      <x:c r="D28" s="7" t="str">
        <x:v>RFP-A1</x:v>
      </x:c>
      <x:c r="E28" s="7" t="str">
        <x:v>AM-06</x:v>
      </x:c>
      <x:c r="F28" s="7" t="str">
        <x:v>TR-B</x:v>
      </x:c>
      <x:c r="G28" s="7" t="str">
        <x:v>QE-02</x:v>
      </x:c>
      <x:c r="H28" s="7" t="str">
        <x:v>left neighbor</x:v>
      </x:c>
      <x:c r="I28" s="10" t="str">
        <x:v>inert, isolated and independently observed</x:v>
      </x:c>
      <x:c r="J28" s="7" t="str"/>
      <x:c r="K28" s="7" t="str">
        <x:v>OPEN</x:v>
      </x:c>
    </x:row>
    <x:row r="29" ht="36" customHeight="1">
      <x:c r="B29" s="7" t="str">
        <x:v>RAE-E-08-RN</x:v>
      </x:c>
      <x:c r="C29" s="7" t="str">
        <x:v>RAE-E-08</x:v>
      </x:c>
      <x:c r="D29" s="7" t="str">
        <x:v>RFP-A1</x:v>
      </x:c>
      <x:c r="E29" s="7" t="str">
        <x:v>AM-06</x:v>
      </x:c>
      <x:c r="F29" s="7" t="str">
        <x:v>TR-B</x:v>
      </x:c>
      <x:c r="G29" s="7" t="str">
        <x:v>QE-02</x:v>
      </x:c>
      <x:c r="H29" s="7" t="str">
        <x:v>right neighbor</x:v>
      </x:c>
      <x:c r="I29" s="10" t="str">
        <x:v>inert, isolated and independently observed</x:v>
      </x:c>
      <x:c r="J29" s="7" t="str"/>
      <x:c r="K29" s="7" t="str">
        <x:v>OPEN</x:v>
      </x:c>
    </x:row>
    <x:row r="30" ht="36" customHeight="1">
      <x:c r="B30" s="7" t="str">
        <x:v>RAE-E-08-CUN</x:v>
      </x:c>
      <x:c r="C30" s="7" t="str">
        <x:v>RAE-E-08</x:v>
      </x:c>
      <x:c r="D30" s="7" t="str">
        <x:v>RFP-A1</x:v>
      </x:c>
      <x:c r="E30" s="7" t="str">
        <x:v>AM-06</x:v>
      </x:c>
      <x:c r="F30" s="7" t="str">
        <x:v>TR-B</x:v>
      </x:c>
      <x:c r="G30" s="7" t="str">
        <x:v>QE-02</x:v>
      </x:c>
      <x:c r="H30" s="7" t="str">
        <x:v>common utility neighbor</x:v>
      </x:c>
      <x:c r="I30" s="10" t="str">
        <x:v>inert, isolated and independently observed</x:v>
      </x:c>
      <x:c r="J30" s="7" t="str"/>
      <x:c r="K30" s="7" t="str">
        <x:v>OPEN</x:v>
      </x:c>
    </x:row>
    <x:row r="31" ht="36" customHeight="1">
      <x:c r="B31" s="7" t="str">
        <x:v>RAE-E-09-LN</x:v>
      </x:c>
      <x:c r="C31" s="7" t="str">
        <x:v>RAE-E-09</x:v>
      </x:c>
      <x:c r="D31" s="7" t="str">
        <x:v>RFP-A2</x:v>
      </x:c>
      <x:c r="E31" s="7" t="str">
        <x:v>AM-05</x:v>
      </x:c>
      <x:c r="F31" s="7" t="str">
        <x:v>TR-A</x:v>
      </x:c>
      <x:c r="G31" s="7" t="str">
        <x:v>QE-01</x:v>
      </x:c>
      <x:c r="H31" s="7" t="str">
        <x:v>left neighbor</x:v>
      </x:c>
      <x:c r="I31" s="10" t="str">
        <x:v>inert, isolated and independently observed</x:v>
      </x:c>
      <x:c r="J31" s="7" t="str"/>
      <x:c r="K31" s="7" t="str">
        <x:v>OPEN</x:v>
      </x:c>
    </x:row>
    <x:row r="32" ht="36" customHeight="1">
      <x:c r="B32" s="7" t="str">
        <x:v>RAE-E-09-RN</x:v>
      </x:c>
      <x:c r="C32" s="7" t="str">
        <x:v>RAE-E-09</x:v>
      </x:c>
      <x:c r="D32" s="7" t="str">
        <x:v>RFP-A2</x:v>
      </x:c>
      <x:c r="E32" s="7" t="str">
        <x:v>AM-05</x:v>
      </x:c>
      <x:c r="F32" s="7" t="str">
        <x:v>TR-A</x:v>
      </x:c>
      <x:c r="G32" s="7" t="str">
        <x:v>QE-01</x:v>
      </x:c>
      <x:c r="H32" s="7" t="str">
        <x:v>right neighbor</x:v>
      </x:c>
      <x:c r="I32" s="10" t="str">
        <x:v>inert, isolated and independently observed</x:v>
      </x:c>
      <x:c r="J32" s="7" t="str"/>
      <x:c r="K32" s="7" t="str">
        <x:v>OPEN</x:v>
      </x:c>
    </x:row>
    <x:row r="33" ht="36" customHeight="1">
      <x:c r="B33" s="7" t="str">
        <x:v>RAE-E-09-CUN</x:v>
      </x:c>
      <x:c r="C33" s="7" t="str">
        <x:v>RAE-E-09</x:v>
      </x:c>
      <x:c r="D33" s="7" t="str">
        <x:v>RFP-A2</x:v>
      </x:c>
      <x:c r="E33" s="7" t="str">
        <x:v>AM-05</x:v>
      </x:c>
      <x:c r="F33" s="7" t="str">
        <x:v>TR-A</x:v>
      </x:c>
      <x:c r="G33" s="7" t="str">
        <x:v>QE-01</x:v>
      </x:c>
      <x:c r="H33" s="7" t="str">
        <x:v>common utility neighbor</x:v>
      </x:c>
      <x:c r="I33" s="10" t="str">
        <x:v>inert, isolated and independently observed</x:v>
      </x:c>
      <x:c r="J33" s="7" t="str"/>
      <x:c r="K33" s="7" t="str">
        <x:v>OPEN</x:v>
      </x:c>
    </x:row>
    <x:row r="34" ht="36" customHeight="1">
      <x:c r="B34" s="7" t="str">
        <x:v>RAE-E-10-LN</x:v>
      </x:c>
      <x:c r="C34" s="7" t="str">
        <x:v>RAE-E-10</x:v>
      </x:c>
      <x:c r="D34" s="7" t="str">
        <x:v>RFP-A2</x:v>
      </x:c>
      <x:c r="E34" s="7" t="str">
        <x:v>AM-05</x:v>
      </x:c>
      <x:c r="F34" s="7" t="str">
        <x:v>TR-A</x:v>
      </x:c>
      <x:c r="G34" s="7" t="str">
        <x:v>QE-02</x:v>
      </x:c>
      <x:c r="H34" s="7" t="str">
        <x:v>left neighbor</x:v>
      </x:c>
      <x:c r="I34" s="10" t="str">
        <x:v>inert, isolated and independently observed</x:v>
      </x:c>
      <x:c r="J34" s="7" t="str"/>
      <x:c r="K34" s="7" t="str">
        <x:v>OPEN</x:v>
      </x:c>
    </x:row>
    <x:row r="35" ht="36" customHeight="1">
      <x:c r="B35" s="7" t="str">
        <x:v>RAE-E-10-RN</x:v>
      </x:c>
      <x:c r="C35" s="7" t="str">
        <x:v>RAE-E-10</x:v>
      </x:c>
      <x:c r="D35" s="7" t="str">
        <x:v>RFP-A2</x:v>
      </x:c>
      <x:c r="E35" s="7" t="str">
        <x:v>AM-05</x:v>
      </x:c>
      <x:c r="F35" s="7" t="str">
        <x:v>TR-A</x:v>
      </x:c>
      <x:c r="G35" s="7" t="str">
        <x:v>QE-02</x:v>
      </x:c>
      <x:c r="H35" s="7" t="str">
        <x:v>right neighbor</x:v>
      </x:c>
      <x:c r="I35" s="10" t="str">
        <x:v>inert, isolated and independently observed</x:v>
      </x:c>
      <x:c r="J35" s="7" t="str"/>
      <x:c r="K35" s="7" t="str">
        <x:v>OPEN</x:v>
      </x:c>
    </x:row>
    <x:row r="36" ht="36" customHeight="1">
      <x:c r="B36" s="7" t="str">
        <x:v>RAE-E-10-CUN</x:v>
      </x:c>
      <x:c r="C36" s="7" t="str">
        <x:v>RAE-E-10</x:v>
      </x:c>
      <x:c r="D36" s="7" t="str">
        <x:v>RFP-A2</x:v>
      </x:c>
      <x:c r="E36" s="7" t="str">
        <x:v>AM-05</x:v>
      </x:c>
      <x:c r="F36" s="7" t="str">
        <x:v>TR-A</x:v>
      </x:c>
      <x:c r="G36" s="7" t="str">
        <x:v>QE-02</x:v>
      </x:c>
      <x:c r="H36" s="7" t="str">
        <x:v>common utility neighbor</x:v>
      </x:c>
      <x:c r="I36" s="10" t="str">
        <x:v>inert, isolated and independently observed</x:v>
      </x:c>
      <x:c r="J36" s="7" t="str"/>
      <x:c r="K36" s="7" t="str">
        <x:v>OPEN</x:v>
      </x:c>
    </x:row>
    <x:row r="37" ht="36" customHeight="1">
      <x:c r="B37" s="7" t="str">
        <x:v>RAE-E-11-LN</x:v>
      </x:c>
      <x:c r="C37" s="7" t="str">
        <x:v>RAE-E-11</x:v>
      </x:c>
      <x:c r="D37" s="7" t="str">
        <x:v>RFP-A2</x:v>
      </x:c>
      <x:c r="E37" s="7" t="str">
        <x:v>AM-05</x:v>
      </x:c>
      <x:c r="F37" s="7" t="str">
        <x:v>TR-B</x:v>
      </x:c>
      <x:c r="G37" s="7" t="str">
        <x:v>QE-01</x:v>
      </x:c>
      <x:c r="H37" s="7" t="str">
        <x:v>left neighbor</x:v>
      </x:c>
      <x:c r="I37" s="10" t="str">
        <x:v>inert, isolated and independently observed</x:v>
      </x:c>
      <x:c r="J37" s="7" t="str"/>
      <x:c r="K37" s="7" t="str">
        <x:v>OPEN</x:v>
      </x:c>
    </x:row>
    <x:row r="38" ht="36" customHeight="1">
      <x:c r="B38" s="7" t="str">
        <x:v>RAE-E-11-RN</x:v>
      </x:c>
      <x:c r="C38" s="7" t="str">
        <x:v>RAE-E-11</x:v>
      </x:c>
      <x:c r="D38" s="7" t="str">
        <x:v>RFP-A2</x:v>
      </x:c>
      <x:c r="E38" s="7" t="str">
        <x:v>AM-05</x:v>
      </x:c>
      <x:c r="F38" s="7" t="str">
        <x:v>TR-B</x:v>
      </x:c>
      <x:c r="G38" s="7" t="str">
        <x:v>QE-01</x:v>
      </x:c>
      <x:c r="H38" s="7" t="str">
        <x:v>right neighbor</x:v>
      </x:c>
      <x:c r="I38" s="10" t="str">
        <x:v>inert, isolated and independently observed</x:v>
      </x:c>
      <x:c r="J38" s="7" t="str"/>
      <x:c r="K38" s="7" t="str">
        <x:v>OPEN</x:v>
      </x:c>
    </x:row>
    <x:row r="39" ht="36" customHeight="1">
      <x:c r="B39" s="7" t="str">
        <x:v>RAE-E-11-CUN</x:v>
      </x:c>
      <x:c r="C39" s="7" t="str">
        <x:v>RAE-E-11</x:v>
      </x:c>
      <x:c r="D39" s="7" t="str">
        <x:v>RFP-A2</x:v>
      </x:c>
      <x:c r="E39" s="7" t="str">
        <x:v>AM-05</x:v>
      </x:c>
      <x:c r="F39" s="7" t="str">
        <x:v>TR-B</x:v>
      </x:c>
      <x:c r="G39" s="7" t="str">
        <x:v>QE-01</x:v>
      </x:c>
      <x:c r="H39" s="7" t="str">
        <x:v>common utility neighbor</x:v>
      </x:c>
      <x:c r="I39" s="10" t="str">
        <x:v>inert, isolated and independently observed</x:v>
      </x:c>
      <x:c r="J39" s="7" t="str"/>
      <x:c r="K39" s="7" t="str">
        <x:v>OPEN</x:v>
      </x:c>
    </x:row>
    <x:row r="40" ht="36" customHeight="1">
      <x:c r="B40" s="7" t="str">
        <x:v>RAE-E-12-LN</x:v>
      </x:c>
      <x:c r="C40" s="7" t="str">
        <x:v>RAE-E-12</x:v>
      </x:c>
      <x:c r="D40" s="7" t="str">
        <x:v>RFP-A2</x:v>
      </x:c>
      <x:c r="E40" s="7" t="str">
        <x:v>AM-05</x:v>
      </x:c>
      <x:c r="F40" s="7" t="str">
        <x:v>TR-B</x:v>
      </x:c>
      <x:c r="G40" s="7" t="str">
        <x:v>QE-02</x:v>
      </x:c>
      <x:c r="H40" s="7" t="str">
        <x:v>left neighbor</x:v>
      </x:c>
      <x:c r="I40" s="10" t="str">
        <x:v>inert, isolated and independently observed</x:v>
      </x:c>
      <x:c r="J40" s="7" t="str"/>
      <x:c r="K40" s="7" t="str">
        <x:v>OPEN</x:v>
      </x:c>
    </x:row>
    <x:row r="41" ht="36" customHeight="1">
      <x:c r="B41" s="7" t="str">
        <x:v>RAE-E-12-RN</x:v>
      </x:c>
      <x:c r="C41" s="7" t="str">
        <x:v>RAE-E-12</x:v>
      </x:c>
      <x:c r="D41" s="7" t="str">
        <x:v>RFP-A2</x:v>
      </x:c>
      <x:c r="E41" s="7" t="str">
        <x:v>AM-05</x:v>
      </x:c>
      <x:c r="F41" s="7" t="str">
        <x:v>TR-B</x:v>
      </x:c>
      <x:c r="G41" s="7" t="str">
        <x:v>QE-02</x:v>
      </x:c>
      <x:c r="H41" s="7" t="str">
        <x:v>right neighbor</x:v>
      </x:c>
      <x:c r="I41" s="10" t="str">
        <x:v>inert, isolated and independently observed</x:v>
      </x:c>
      <x:c r="J41" s="7" t="str"/>
      <x:c r="K41" s="7" t="str">
        <x:v>OPEN</x:v>
      </x:c>
    </x:row>
    <x:row r="42" ht="36" customHeight="1">
      <x:c r="B42" s="7" t="str">
        <x:v>RAE-E-12-CUN</x:v>
      </x:c>
      <x:c r="C42" s="7" t="str">
        <x:v>RAE-E-12</x:v>
      </x:c>
      <x:c r="D42" s="7" t="str">
        <x:v>RFP-A2</x:v>
      </x:c>
      <x:c r="E42" s="7" t="str">
        <x:v>AM-05</x:v>
      </x:c>
      <x:c r="F42" s="7" t="str">
        <x:v>TR-B</x:v>
      </x:c>
      <x:c r="G42" s="7" t="str">
        <x:v>QE-02</x:v>
      </x:c>
      <x:c r="H42" s="7" t="str">
        <x:v>common utility neighbor</x:v>
      </x:c>
      <x:c r="I42" s="10" t="str">
        <x:v>inert, isolated and independently observed</x:v>
      </x:c>
      <x:c r="J42" s="7" t="str"/>
      <x:c r="K42" s="7" t="str">
        <x:v>OPEN</x:v>
      </x:c>
    </x:row>
    <x:row r="43" ht="36" customHeight="1">
      <x:c r="B43" s="7" t="str">
        <x:v>RAE-E-13-LN</x:v>
      </x:c>
      <x:c r="C43" s="7" t="str">
        <x:v>RAE-E-13</x:v>
      </x:c>
      <x:c r="D43" s="7" t="str">
        <x:v>RFP-A2</x:v>
      </x:c>
      <x:c r="E43" s="7" t="str">
        <x:v>AM-06</x:v>
      </x:c>
      <x:c r="F43" s="7" t="str">
        <x:v>TR-A</x:v>
      </x:c>
      <x:c r="G43" s="7" t="str">
        <x:v>QE-01</x:v>
      </x:c>
      <x:c r="H43" s="7" t="str">
        <x:v>left neighbor</x:v>
      </x:c>
      <x:c r="I43" s="10" t="str">
        <x:v>inert, isolated and independently observed</x:v>
      </x:c>
      <x:c r="J43" s="7" t="str"/>
      <x:c r="K43" s="7" t="str">
        <x:v>OPEN</x:v>
      </x:c>
    </x:row>
    <x:row r="44" ht="36" customHeight="1">
      <x:c r="B44" s="7" t="str">
        <x:v>RAE-E-13-RN</x:v>
      </x:c>
      <x:c r="C44" s="7" t="str">
        <x:v>RAE-E-13</x:v>
      </x:c>
      <x:c r="D44" s="7" t="str">
        <x:v>RFP-A2</x:v>
      </x:c>
      <x:c r="E44" s="7" t="str">
        <x:v>AM-06</x:v>
      </x:c>
      <x:c r="F44" s="7" t="str">
        <x:v>TR-A</x:v>
      </x:c>
      <x:c r="G44" s="7" t="str">
        <x:v>QE-01</x:v>
      </x:c>
      <x:c r="H44" s="7" t="str">
        <x:v>right neighbor</x:v>
      </x:c>
      <x:c r="I44" s="10" t="str">
        <x:v>inert, isolated and independently observed</x:v>
      </x:c>
      <x:c r="J44" s="7" t="str"/>
      <x:c r="K44" s="7" t="str">
        <x:v>OPEN</x:v>
      </x:c>
    </x:row>
    <x:row r="45" ht="36" customHeight="1">
      <x:c r="B45" s="7" t="str">
        <x:v>RAE-E-13-CUN</x:v>
      </x:c>
      <x:c r="C45" s="7" t="str">
        <x:v>RAE-E-13</x:v>
      </x:c>
      <x:c r="D45" s="7" t="str">
        <x:v>RFP-A2</x:v>
      </x:c>
      <x:c r="E45" s="7" t="str">
        <x:v>AM-06</x:v>
      </x:c>
      <x:c r="F45" s="7" t="str">
        <x:v>TR-A</x:v>
      </x:c>
      <x:c r="G45" s="7" t="str">
        <x:v>QE-01</x:v>
      </x:c>
      <x:c r="H45" s="7" t="str">
        <x:v>common utility neighbor</x:v>
      </x:c>
      <x:c r="I45" s="10" t="str">
        <x:v>inert, isolated and independently observed</x:v>
      </x:c>
      <x:c r="J45" s="7" t="str"/>
      <x:c r="K45" s="7" t="str">
        <x:v>OPEN</x:v>
      </x:c>
    </x:row>
    <x:row r="46" ht="36" customHeight="1">
      <x:c r="B46" s="7" t="str">
        <x:v>RAE-E-14-LN</x:v>
      </x:c>
      <x:c r="C46" s="7" t="str">
        <x:v>RAE-E-14</x:v>
      </x:c>
      <x:c r="D46" s="7" t="str">
        <x:v>RFP-A2</x:v>
      </x:c>
      <x:c r="E46" s="7" t="str">
        <x:v>AM-06</x:v>
      </x:c>
      <x:c r="F46" s="7" t="str">
        <x:v>TR-A</x:v>
      </x:c>
      <x:c r="G46" s="7" t="str">
        <x:v>QE-02</x:v>
      </x:c>
      <x:c r="H46" s="7" t="str">
        <x:v>left neighbor</x:v>
      </x:c>
      <x:c r="I46" s="10" t="str">
        <x:v>inert, isolated and independently observed</x:v>
      </x:c>
      <x:c r="J46" s="7" t="str"/>
      <x:c r="K46" s="7" t="str">
        <x:v>OPEN</x:v>
      </x:c>
    </x:row>
    <x:row r="47" ht="36" customHeight="1">
      <x:c r="B47" s="7" t="str">
        <x:v>RAE-E-14-RN</x:v>
      </x:c>
      <x:c r="C47" s="7" t="str">
        <x:v>RAE-E-14</x:v>
      </x:c>
      <x:c r="D47" s="7" t="str">
        <x:v>RFP-A2</x:v>
      </x:c>
      <x:c r="E47" s="7" t="str">
        <x:v>AM-06</x:v>
      </x:c>
      <x:c r="F47" s="7" t="str">
        <x:v>TR-A</x:v>
      </x:c>
      <x:c r="G47" s="7" t="str">
        <x:v>QE-02</x:v>
      </x:c>
      <x:c r="H47" s="7" t="str">
        <x:v>right neighbor</x:v>
      </x:c>
      <x:c r="I47" s="10" t="str">
        <x:v>inert, isolated and independently observed</x:v>
      </x:c>
      <x:c r="J47" s="7" t="str"/>
      <x:c r="K47" s="7" t="str">
        <x:v>OPEN</x:v>
      </x:c>
    </x:row>
    <x:row r="48" ht="36" customHeight="1">
      <x:c r="B48" s="7" t="str">
        <x:v>RAE-E-14-CUN</x:v>
      </x:c>
      <x:c r="C48" s="7" t="str">
        <x:v>RAE-E-14</x:v>
      </x:c>
      <x:c r="D48" s="7" t="str">
        <x:v>RFP-A2</x:v>
      </x:c>
      <x:c r="E48" s="7" t="str">
        <x:v>AM-06</x:v>
      </x:c>
      <x:c r="F48" s="7" t="str">
        <x:v>TR-A</x:v>
      </x:c>
      <x:c r="G48" s="7" t="str">
        <x:v>QE-02</x:v>
      </x:c>
      <x:c r="H48" s="7" t="str">
        <x:v>common utility neighbor</x:v>
      </x:c>
      <x:c r="I48" s="10" t="str">
        <x:v>inert, isolated and independently observed</x:v>
      </x:c>
      <x:c r="J48" s="7" t="str"/>
      <x:c r="K48" s="7" t="str">
        <x:v>OPEN</x:v>
      </x:c>
    </x:row>
    <x:row r="49" ht="36" customHeight="1">
      <x:c r="B49" s="7" t="str">
        <x:v>RAE-E-15-LN</x:v>
      </x:c>
      <x:c r="C49" s="7" t="str">
        <x:v>RAE-E-15</x:v>
      </x:c>
      <x:c r="D49" s="7" t="str">
        <x:v>RFP-A2</x:v>
      </x:c>
      <x:c r="E49" s="7" t="str">
        <x:v>AM-06</x:v>
      </x:c>
      <x:c r="F49" s="7" t="str">
        <x:v>TR-B</x:v>
      </x:c>
      <x:c r="G49" s="7" t="str">
        <x:v>QE-01</x:v>
      </x:c>
      <x:c r="H49" s="7" t="str">
        <x:v>left neighbor</x:v>
      </x:c>
      <x:c r="I49" s="10" t="str">
        <x:v>inert, isolated and independently observed</x:v>
      </x:c>
      <x:c r="J49" s="7" t="str"/>
      <x:c r="K49" s="7" t="str">
        <x:v>OPEN</x:v>
      </x:c>
    </x:row>
    <x:row r="50" ht="36" customHeight="1">
      <x:c r="B50" s="7" t="str">
        <x:v>RAE-E-15-RN</x:v>
      </x:c>
      <x:c r="C50" s="7" t="str">
        <x:v>RAE-E-15</x:v>
      </x:c>
      <x:c r="D50" s="7" t="str">
        <x:v>RFP-A2</x:v>
      </x:c>
      <x:c r="E50" s="7" t="str">
        <x:v>AM-06</x:v>
      </x:c>
      <x:c r="F50" s="7" t="str">
        <x:v>TR-B</x:v>
      </x:c>
      <x:c r="G50" s="7" t="str">
        <x:v>QE-01</x:v>
      </x:c>
      <x:c r="H50" s="7" t="str">
        <x:v>right neighbor</x:v>
      </x:c>
      <x:c r="I50" s="10" t="str">
        <x:v>inert, isolated and independently observed</x:v>
      </x:c>
      <x:c r="J50" s="7" t="str"/>
      <x:c r="K50" s="7" t="str">
        <x:v>OPEN</x:v>
      </x:c>
    </x:row>
    <x:row r="51" ht="36" customHeight="1">
      <x:c r="B51" s="7" t="str">
        <x:v>RAE-E-15-CUN</x:v>
      </x:c>
      <x:c r="C51" s="7" t="str">
        <x:v>RAE-E-15</x:v>
      </x:c>
      <x:c r="D51" s="7" t="str">
        <x:v>RFP-A2</x:v>
      </x:c>
      <x:c r="E51" s="7" t="str">
        <x:v>AM-06</x:v>
      </x:c>
      <x:c r="F51" s="7" t="str">
        <x:v>TR-B</x:v>
      </x:c>
      <x:c r="G51" s="7" t="str">
        <x:v>QE-01</x:v>
      </x:c>
      <x:c r="H51" s="7" t="str">
        <x:v>common utility neighbor</x:v>
      </x:c>
      <x:c r="I51" s="10" t="str">
        <x:v>inert, isolated and independently observed</x:v>
      </x:c>
      <x:c r="J51" s="7" t="str"/>
      <x:c r="K51" s="7" t="str">
        <x:v>OPEN</x:v>
      </x:c>
    </x:row>
    <x:row r="52" ht="36" customHeight="1">
      <x:c r="B52" s="7" t="str">
        <x:v>RAE-E-16-LN</x:v>
      </x:c>
      <x:c r="C52" s="7" t="str">
        <x:v>RAE-E-16</x:v>
      </x:c>
      <x:c r="D52" s="7" t="str">
        <x:v>RFP-A2</x:v>
      </x:c>
      <x:c r="E52" s="7" t="str">
        <x:v>AM-06</x:v>
      </x:c>
      <x:c r="F52" s="7" t="str">
        <x:v>TR-B</x:v>
      </x:c>
      <x:c r="G52" s="7" t="str">
        <x:v>QE-02</x:v>
      </x:c>
      <x:c r="H52" s="7" t="str">
        <x:v>left neighbor</x:v>
      </x:c>
      <x:c r="I52" s="10" t="str">
        <x:v>inert, isolated and independently observed</x:v>
      </x:c>
      <x:c r="J52" s="7" t="str"/>
      <x:c r="K52" s="7" t="str">
        <x:v>OPEN</x:v>
      </x:c>
    </x:row>
    <x:row r="53" ht="36" customHeight="1">
      <x:c r="B53" s="7" t="str">
        <x:v>RAE-E-16-RN</x:v>
      </x:c>
      <x:c r="C53" s="7" t="str">
        <x:v>RAE-E-16</x:v>
      </x:c>
      <x:c r="D53" s="7" t="str">
        <x:v>RFP-A2</x:v>
      </x:c>
      <x:c r="E53" s="7" t="str">
        <x:v>AM-06</x:v>
      </x:c>
      <x:c r="F53" s="7" t="str">
        <x:v>TR-B</x:v>
      </x:c>
      <x:c r="G53" s="7" t="str">
        <x:v>QE-02</x:v>
      </x:c>
      <x:c r="H53" s="7" t="str">
        <x:v>right neighbor</x:v>
      </x:c>
      <x:c r="I53" s="10" t="str">
        <x:v>inert, isolated and independently observed</x:v>
      </x:c>
      <x:c r="J53" s="7" t="str"/>
      <x:c r="K53" s="7" t="str">
        <x:v>OPEN</x:v>
      </x:c>
    </x:row>
    <x:row r="54" ht="36" customHeight="1">
      <x:c r="B54" s="7" t="str">
        <x:v>RAE-E-16-CUN</x:v>
      </x:c>
      <x:c r="C54" s="7" t="str">
        <x:v>RAE-E-16</x:v>
      </x:c>
      <x:c r="D54" s="7" t="str">
        <x:v>RFP-A2</x:v>
      </x:c>
      <x:c r="E54" s="7" t="str">
        <x:v>AM-06</x:v>
      </x:c>
      <x:c r="F54" s="7" t="str">
        <x:v>TR-B</x:v>
      </x:c>
      <x:c r="G54" s="7" t="str">
        <x:v>QE-02</x:v>
      </x:c>
      <x:c r="H54" s="7" t="str">
        <x:v>common utility neighbor</x:v>
      </x:c>
      <x:c r="I54" s="10" t="str">
        <x:v>inert, isolated and independently observed</x:v>
      </x:c>
      <x:c r="J54" s="7" t="str"/>
      <x:c r="K54" s="7" t="str">
        <x:v>OPEN</x:v>
      </x:c>
    </x:row>
    <x:row r="55" ht="36" customHeight="1">
      <x:c r="B55" s="7" t="str">
        <x:v>RAE-E-17-LN</x:v>
      </x:c>
      <x:c r="C55" s="7" t="str">
        <x:v>RAE-E-17</x:v>
      </x:c>
      <x:c r="D55" s="7" t="str">
        <x:v>RFP-B1</x:v>
      </x:c>
      <x:c r="E55" s="7" t="str">
        <x:v>AM-05</x:v>
      </x:c>
      <x:c r="F55" s="7" t="str">
        <x:v>TR-A</x:v>
      </x:c>
      <x:c r="G55" s="7" t="str">
        <x:v>QE-01</x:v>
      </x:c>
      <x:c r="H55" s="7" t="str">
        <x:v>left neighbor</x:v>
      </x:c>
      <x:c r="I55" s="10" t="str">
        <x:v>inert, isolated and independently observed</x:v>
      </x:c>
      <x:c r="J55" s="7" t="str"/>
      <x:c r="K55" s="7" t="str">
        <x:v>OPEN</x:v>
      </x:c>
    </x:row>
    <x:row r="56" ht="36" customHeight="1">
      <x:c r="B56" s="7" t="str">
        <x:v>RAE-E-17-RN</x:v>
      </x:c>
      <x:c r="C56" s="7" t="str">
        <x:v>RAE-E-17</x:v>
      </x:c>
      <x:c r="D56" s="7" t="str">
        <x:v>RFP-B1</x:v>
      </x:c>
      <x:c r="E56" s="7" t="str">
        <x:v>AM-05</x:v>
      </x:c>
      <x:c r="F56" s="7" t="str">
        <x:v>TR-A</x:v>
      </x:c>
      <x:c r="G56" s="7" t="str">
        <x:v>QE-01</x:v>
      </x:c>
      <x:c r="H56" s="7" t="str">
        <x:v>right neighbor</x:v>
      </x:c>
      <x:c r="I56" s="10" t="str">
        <x:v>inert, isolated and independently observed</x:v>
      </x:c>
      <x:c r="J56" s="7" t="str"/>
      <x:c r="K56" s="7" t="str">
        <x:v>OPEN</x:v>
      </x:c>
    </x:row>
    <x:row r="57" ht="36" customHeight="1">
      <x:c r="B57" s="7" t="str">
        <x:v>RAE-E-17-CUN</x:v>
      </x:c>
      <x:c r="C57" s="7" t="str">
        <x:v>RAE-E-17</x:v>
      </x:c>
      <x:c r="D57" s="7" t="str">
        <x:v>RFP-B1</x:v>
      </x:c>
      <x:c r="E57" s="7" t="str">
        <x:v>AM-05</x:v>
      </x:c>
      <x:c r="F57" s="7" t="str">
        <x:v>TR-A</x:v>
      </x:c>
      <x:c r="G57" s="7" t="str">
        <x:v>QE-01</x:v>
      </x:c>
      <x:c r="H57" s="7" t="str">
        <x:v>common utility neighbor</x:v>
      </x:c>
      <x:c r="I57" s="10" t="str">
        <x:v>inert, isolated and independently observed</x:v>
      </x:c>
      <x:c r="J57" s="7" t="str"/>
      <x:c r="K57" s="7" t="str">
        <x:v>OPEN</x:v>
      </x:c>
    </x:row>
    <x:row r="58" ht="36" customHeight="1">
      <x:c r="B58" s="7" t="str">
        <x:v>RAE-E-18-LN</x:v>
      </x:c>
      <x:c r="C58" s="7" t="str">
        <x:v>RAE-E-18</x:v>
      </x:c>
      <x:c r="D58" s="7" t="str">
        <x:v>RFP-B1</x:v>
      </x:c>
      <x:c r="E58" s="7" t="str">
        <x:v>AM-05</x:v>
      </x:c>
      <x:c r="F58" s="7" t="str">
        <x:v>TR-A</x:v>
      </x:c>
      <x:c r="G58" s="7" t="str">
        <x:v>QE-02</x:v>
      </x:c>
      <x:c r="H58" s="7" t="str">
        <x:v>left neighbor</x:v>
      </x:c>
      <x:c r="I58" s="10" t="str">
        <x:v>inert, isolated and independently observed</x:v>
      </x:c>
      <x:c r="J58" s="7" t="str"/>
      <x:c r="K58" s="7" t="str">
        <x:v>OPEN</x:v>
      </x:c>
    </x:row>
    <x:row r="59" ht="36" customHeight="1">
      <x:c r="B59" s="7" t="str">
        <x:v>RAE-E-18-RN</x:v>
      </x:c>
      <x:c r="C59" s="7" t="str">
        <x:v>RAE-E-18</x:v>
      </x:c>
      <x:c r="D59" s="7" t="str">
        <x:v>RFP-B1</x:v>
      </x:c>
      <x:c r="E59" s="7" t="str">
        <x:v>AM-05</x:v>
      </x:c>
      <x:c r="F59" s="7" t="str">
        <x:v>TR-A</x:v>
      </x:c>
      <x:c r="G59" s="7" t="str">
        <x:v>QE-02</x:v>
      </x:c>
      <x:c r="H59" s="7" t="str">
        <x:v>right neighbor</x:v>
      </x:c>
      <x:c r="I59" s="10" t="str">
        <x:v>inert, isolated and independently observed</x:v>
      </x:c>
      <x:c r="J59" s="7" t="str"/>
      <x:c r="K59" s="7" t="str">
        <x:v>OPEN</x:v>
      </x:c>
    </x:row>
    <x:row r="60" ht="36" customHeight="1">
      <x:c r="B60" s="7" t="str">
        <x:v>RAE-E-18-CUN</x:v>
      </x:c>
      <x:c r="C60" s="7" t="str">
        <x:v>RAE-E-18</x:v>
      </x:c>
      <x:c r="D60" s="7" t="str">
        <x:v>RFP-B1</x:v>
      </x:c>
      <x:c r="E60" s="7" t="str">
        <x:v>AM-05</x:v>
      </x:c>
      <x:c r="F60" s="7" t="str">
        <x:v>TR-A</x:v>
      </x:c>
      <x:c r="G60" s="7" t="str">
        <x:v>QE-02</x:v>
      </x:c>
      <x:c r="H60" s="7" t="str">
        <x:v>common utility neighbor</x:v>
      </x:c>
      <x:c r="I60" s="10" t="str">
        <x:v>inert, isolated and independently observed</x:v>
      </x:c>
      <x:c r="J60" s="7" t="str"/>
      <x:c r="K60" s="7" t="str">
        <x:v>OPEN</x:v>
      </x:c>
    </x:row>
    <x:row r="61" ht="36" customHeight="1">
      <x:c r="B61" s="7" t="str">
        <x:v>RAE-E-19-LN</x:v>
      </x:c>
      <x:c r="C61" s="7" t="str">
        <x:v>RAE-E-19</x:v>
      </x:c>
      <x:c r="D61" s="7" t="str">
        <x:v>RFP-B1</x:v>
      </x:c>
      <x:c r="E61" s="7" t="str">
        <x:v>AM-05</x:v>
      </x:c>
      <x:c r="F61" s="7" t="str">
        <x:v>TR-B</x:v>
      </x:c>
      <x:c r="G61" s="7" t="str">
        <x:v>QE-01</x:v>
      </x:c>
      <x:c r="H61" s="7" t="str">
        <x:v>left neighbor</x:v>
      </x:c>
      <x:c r="I61" s="10" t="str">
        <x:v>inert, isolated and independently observed</x:v>
      </x:c>
      <x:c r="J61" s="7" t="str"/>
      <x:c r="K61" s="7" t="str">
        <x:v>OPEN</x:v>
      </x:c>
    </x:row>
    <x:row r="62" ht="36" customHeight="1">
      <x:c r="B62" s="7" t="str">
        <x:v>RAE-E-19-RN</x:v>
      </x:c>
      <x:c r="C62" s="7" t="str">
        <x:v>RAE-E-19</x:v>
      </x:c>
      <x:c r="D62" s="7" t="str">
        <x:v>RFP-B1</x:v>
      </x:c>
      <x:c r="E62" s="7" t="str">
        <x:v>AM-05</x:v>
      </x:c>
      <x:c r="F62" s="7" t="str">
        <x:v>TR-B</x:v>
      </x:c>
      <x:c r="G62" s="7" t="str">
        <x:v>QE-01</x:v>
      </x:c>
      <x:c r="H62" s="7" t="str">
        <x:v>right neighbor</x:v>
      </x:c>
      <x:c r="I62" s="10" t="str">
        <x:v>inert, isolated and independently observed</x:v>
      </x:c>
      <x:c r="J62" s="7" t="str"/>
      <x:c r="K62" s="7" t="str">
        <x:v>OPEN</x:v>
      </x:c>
    </x:row>
    <x:row r="63" ht="36" customHeight="1">
      <x:c r="B63" s="7" t="str">
        <x:v>RAE-E-19-CUN</x:v>
      </x:c>
      <x:c r="C63" s="7" t="str">
        <x:v>RAE-E-19</x:v>
      </x:c>
      <x:c r="D63" s="7" t="str">
        <x:v>RFP-B1</x:v>
      </x:c>
      <x:c r="E63" s="7" t="str">
        <x:v>AM-05</x:v>
      </x:c>
      <x:c r="F63" s="7" t="str">
        <x:v>TR-B</x:v>
      </x:c>
      <x:c r="G63" s="7" t="str">
        <x:v>QE-01</x:v>
      </x:c>
      <x:c r="H63" s="7" t="str">
        <x:v>common utility neighbor</x:v>
      </x:c>
      <x:c r="I63" s="10" t="str">
        <x:v>inert, isolated and independently observed</x:v>
      </x:c>
      <x:c r="J63" s="7" t="str"/>
      <x:c r="K63" s="7" t="str">
        <x:v>OPEN</x:v>
      </x:c>
    </x:row>
    <x:row r="64" ht="36" customHeight="1">
      <x:c r="B64" s="7" t="str">
        <x:v>RAE-E-20-LN</x:v>
      </x:c>
      <x:c r="C64" s="7" t="str">
        <x:v>RAE-E-20</x:v>
      </x:c>
      <x:c r="D64" s="7" t="str">
        <x:v>RFP-B1</x:v>
      </x:c>
      <x:c r="E64" s="7" t="str">
        <x:v>AM-05</x:v>
      </x:c>
      <x:c r="F64" s="7" t="str">
        <x:v>TR-B</x:v>
      </x:c>
      <x:c r="G64" s="7" t="str">
        <x:v>QE-02</x:v>
      </x:c>
      <x:c r="H64" s="7" t="str">
        <x:v>left neighbor</x:v>
      </x:c>
      <x:c r="I64" s="10" t="str">
        <x:v>inert, isolated and independently observed</x:v>
      </x:c>
      <x:c r="J64" s="7" t="str"/>
      <x:c r="K64" s="7" t="str">
        <x:v>OPEN</x:v>
      </x:c>
    </x:row>
    <x:row r="65" ht="36" customHeight="1">
      <x:c r="B65" s="7" t="str">
        <x:v>RAE-E-20-RN</x:v>
      </x:c>
      <x:c r="C65" s="7" t="str">
        <x:v>RAE-E-20</x:v>
      </x:c>
      <x:c r="D65" s="7" t="str">
        <x:v>RFP-B1</x:v>
      </x:c>
      <x:c r="E65" s="7" t="str">
        <x:v>AM-05</x:v>
      </x:c>
      <x:c r="F65" s="7" t="str">
        <x:v>TR-B</x:v>
      </x:c>
      <x:c r="G65" s="7" t="str">
        <x:v>QE-02</x:v>
      </x:c>
      <x:c r="H65" s="7" t="str">
        <x:v>right neighbor</x:v>
      </x:c>
      <x:c r="I65" s="10" t="str">
        <x:v>inert, isolated and independently observed</x:v>
      </x:c>
      <x:c r="J65" s="7" t="str"/>
      <x:c r="K65" s="7" t="str">
        <x:v>OPEN</x:v>
      </x:c>
    </x:row>
    <x:row r="66" ht="36" customHeight="1">
      <x:c r="B66" s="7" t="str">
        <x:v>RAE-E-20-CUN</x:v>
      </x:c>
      <x:c r="C66" s="7" t="str">
        <x:v>RAE-E-20</x:v>
      </x:c>
      <x:c r="D66" s="7" t="str">
        <x:v>RFP-B1</x:v>
      </x:c>
      <x:c r="E66" s="7" t="str">
        <x:v>AM-05</x:v>
      </x:c>
      <x:c r="F66" s="7" t="str">
        <x:v>TR-B</x:v>
      </x:c>
      <x:c r="G66" s="7" t="str">
        <x:v>QE-02</x:v>
      </x:c>
      <x:c r="H66" s="7" t="str">
        <x:v>common utility neighbor</x:v>
      </x:c>
      <x:c r="I66" s="10" t="str">
        <x:v>inert, isolated and independently observed</x:v>
      </x:c>
      <x:c r="J66" s="7" t="str"/>
      <x:c r="K66" s="7" t="str">
        <x:v>OPEN</x:v>
      </x:c>
    </x:row>
    <x:row r="67" ht="36" customHeight="1">
      <x:c r="B67" s="7" t="str">
        <x:v>RAE-E-21-LN</x:v>
      </x:c>
      <x:c r="C67" s="7" t="str">
        <x:v>RAE-E-21</x:v>
      </x:c>
      <x:c r="D67" s="7" t="str">
        <x:v>RFP-B1</x:v>
      </x:c>
      <x:c r="E67" s="7" t="str">
        <x:v>AM-06</x:v>
      </x:c>
      <x:c r="F67" s="7" t="str">
        <x:v>TR-A</x:v>
      </x:c>
      <x:c r="G67" s="7" t="str">
        <x:v>QE-01</x:v>
      </x:c>
      <x:c r="H67" s="7" t="str">
        <x:v>left neighbor</x:v>
      </x:c>
      <x:c r="I67" s="10" t="str">
        <x:v>inert, isolated and independently observed</x:v>
      </x:c>
      <x:c r="J67" s="7" t="str"/>
      <x:c r="K67" s="7" t="str">
        <x:v>OPEN</x:v>
      </x:c>
    </x:row>
    <x:row r="68" ht="36" customHeight="1">
      <x:c r="B68" s="7" t="str">
        <x:v>RAE-E-21-RN</x:v>
      </x:c>
      <x:c r="C68" s="7" t="str">
        <x:v>RAE-E-21</x:v>
      </x:c>
      <x:c r="D68" s="7" t="str">
        <x:v>RFP-B1</x:v>
      </x:c>
      <x:c r="E68" s="7" t="str">
        <x:v>AM-06</x:v>
      </x:c>
      <x:c r="F68" s="7" t="str">
        <x:v>TR-A</x:v>
      </x:c>
      <x:c r="G68" s="7" t="str">
        <x:v>QE-01</x:v>
      </x:c>
      <x:c r="H68" s="7" t="str">
        <x:v>right neighbor</x:v>
      </x:c>
      <x:c r="I68" s="10" t="str">
        <x:v>inert, isolated and independently observed</x:v>
      </x:c>
      <x:c r="J68" s="7" t="str"/>
      <x:c r="K68" s="7" t="str">
        <x:v>OPEN</x:v>
      </x:c>
    </x:row>
    <x:row r="69" ht="36" customHeight="1">
      <x:c r="B69" s="7" t="str">
        <x:v>RAE-E-21-CUN</x:v>
      </x:c>
      <x:c r="C69" s="7" t="str">
        <x:v>RAE-E-21</x:v>
      </x:c>
      <x:c r="D69" s="7" t="str">
        <x:v>RFP-B1</x:v>
      </x:c>
      <x:c r="E69" s="7" t="str">
        <x:v>AM-06</x:v>
      </x:c>
      <x:c r="F69" s="7" t="str">
        <x:v>TR-A</x:v>
      </x:c>
      <x:c r="G69" s="7" t="str">
        <x:v>QE-01</x:v>
      </x:c>
      <x:c r="H69" s="7" t="str">
        <x:v>common utility neighbor</x:v>
      </x:c>
      <x:c r="I69" s="10" t="str">
        <x:v>inert, isolated and independently observed</x:v>
      </x:c>
      <x:c r="J69" s="7" t="str"/>
      <x:c r="K69" s="7" t="str">
        <x:v>OPEN</x:v>
      </x:c>
    </x:row>
    <x:row r="70" ht="36" customHeight="1">
      <x:c r="B70" s="7" t="str">
        <x:v>RAE-E-22-LN</x:v>
      </x:c>
      <x:c r="C70" s="7" t="str">
        <x:v>RAE-E-22</x:v>
      </x:c>
      <x:c r="D70" s="7" t="str">
        <x:v>RFP-B1</x:v>
      </x:c>
      <x:c r="E70" s="7" t="str">
        <x:v>AM-06</x:v>
      </x:c>
      <x:c r="F70" s="7" t="str">
        <x:v>TR-A</x:v>
      </x:c>
      <x:c r="G70" s="7" t="str">
        <x:v>QE-02</x:v>
      </x:c>
      <x:c r="H70" s="7" t="str">
        <x:v>left neighbor</x:v>
      </x:c>
      <x:c r="I70" s="10" t="str">
        <x:v>inert, isolated and independently observed</x:v>
      </x:c>
      <x:c r="J70" s="7" t="str"/>
      <x:c r="K70" s="7" t="str">
        <x:v>OPEN</x:v>
      </x:c>
    </x:row>
    <x:row r="71" ht="36" customHeight="1">
      <x:c r="B71" s="7" t="str">
        <x:v>RAE-E-22-RN</x:v>
      </x:c>
      <x:c r="C71" s="7" t="str">
        <x:v>RAE-E-22</x:v>
      </x:c>
      <x:c r="D71" s="7" t="str">
        <x:v>RFP-B1</x:v>
      </x:c>
      <x:c r="E71" s="7" t="str">
        <x:v>AM-06</x:v>
      </x:c>
      <x:c r="F71" s="7" t="str">
        <x:v>TR-A</x:v>
      </x:c>
      <x:c r="G71" s="7" t="str">
        <x:v>QE-02</x:v>
      </x:c>
      <x:c r="H71" s="7" t="str">
        <x:v>right neighbor</x:v>
      </x:c>
      <x:c r="I71" s="10" t="str">
        <x:v>inert, isolated and independently observed</x:v>
      </x:c>
      <x:c r="J71" s="7" t="str"/>
      <x:c r="K71" s="7" t="str">
        <x:v>OPEN</x:v>
      </x:c>
    </x:row>
    <x:row r="72" ht="36" customHeight="1">
      <x:c r="B72" s="7" t="str">
        <x:v>RAE-E-22-CUN</x:v>
      </x:c>
      <x:c r="C72" s="7" t="str">
        <x:v>RAE-E-22</x:v>
      </x:c>
      <x:c r="D72" s="7" t="str">
        <x:v>RFP-B1</x:v>
      </x:c>
      <x:c r="E72" s="7" t="str">
        <x:v>AM-06</x:v>
      </x:c>
      <x:c r="F72" s="7" t="str">
        <x:v>TR-A</x:v>
      </x:c>
      <x:c r="G72" s="7" t="str">
        <x:v>QE-02</x:v>
      </x:c>
      <x:c r="H72" s="7" t="str">
        <x:v>common utility neighbor</x:v>
      </x:c>
      <x:c r="I72" s="10" t="str">
        <x:v>inert, isolated and independently observed</x:v>
      </x:c>
      <x:c r="J72" s="7" t="str"/>
      <x:c r="K72" s="7" t="str">
        <x:v>OPEN</x:v>
      </x:c>
    </x:row>
    <x:row r="73" ht="36" customHeight="1">
      <x:c r="B73" s="7" t="str">
        <x:v>RAE-E-23-LN</x:v>
      </x:c>
      <x:c r="C73" s="7" t="str">
        <x:v>RAE-E-23</x:v>
      </x:c>
      <x:c r="D73" s="7" t="str">
        <x:v>RFP-B1</x:v>
      </x:c>
      <x:c r="E73" s="7" t="str">
        <x:v>AM-06</x:v>
      </x:c>
      <x:c r="F73" s="7" t="str">
        <x:v>TR-B</x:v>
      </x:c>
      <x:c r="G73" s="7" t="str">
        <x:v>QE-01</x:v>
      </x:c>
      <x:c r="H73" s="7" t="str">
        <x:v>left neighbor</x:v>
      </x:c>
      <x:c r="I73" s="10" t="str">
        <x:v>inert, isolated and independently observed</x:v>
      </x:c>
      <x:c r="J73" s="7" t="str"/>
      <x:c r="K73" s="7" t="str">
        <x:v>OPEN</x:v>
      </x:c>
    </x:row>
    <x:row r="74" ht="36" customHeight="1">
      <x:c r="B74" s="7" t="str">
        <x:v>RAE-E-23-RN</x:v>
      </x:c>
      <x:c r="C74" s="7" t="str">
        <x:v>RAE-E-23</x:v>
      </x:c>
      <x:c r="D74" s="7" t="str">
        <x:v>RFP-B1</x:v>
      </x:c>
      <x:c r="E74" s="7" t="str">
        <x:v>AM-06</x:v>
      </x:c>
      <x:c r="F74" s="7" t="str">
        <x:v>TR-B</x:v>
      </x:c>
      <x:c r="G74" s="7" t="str">
        <x:v>QE-01</x:v>
      </x:c>
      <x:c r="H74" s="7" t="str">
        <x:v>right neighbor</x:v>
      </x:c>
      <x:c r="I74" s="10" t="str">
        <x:v>inert, isolated and independently observed</x:v>
      </x:c>
      <x:c r="J74" s="7" t="str"/>
      <x:c r="K74" s="7" t="str">
        <x:v>OPEN</x:v>
      </x:c>
    </x:row>
    <x:row r="75" ht="36" customHeight="1">
      <x:c r="B75" s="7" t="str">
        <x:v>RAE-E-23-CUN</x:v>
      </x:c>
      <x:c r="C75" s="7" t="str">
        <x:v>RAE-E-23</x:v>
      </x:c>
      <x:c r="D75" s="7" t="str">
        <x:v>RFP-B1</x:v>
      </x:c>
      <x:c r="E75" s="7" t="str">
        <x:v>AM-06</x:v>
      </x:c>
      <x:c r="F75" s="7" t="str">
        <x:v>TR-B</x:v>
      </x:c>
      <x:c r="G75" s="7" t="str">
        <x:v>QE-01</x:v>
      </x:c>
      <x:c r="H75" s="7" t="str">
        <x:v>common utility neighbor</x:v>
      </x:c>
      <x:c r="I75" s="10" t="str">
        <x:v>inert, isolated and independently observed</x:v>
      </x:c>
      <x:c r="J75" s="7" t="str"/>
      <x:c r="K75" s="7" t="str">
        <x:v>OPEN</x:v>
      </x:c>
    </x:row>
    <x:row r="76" ht="36" customHeight="1">
      <x:c r="B76" s="7" t="str">
        <x:v>RAE-E-24-LN</x:v>
      </x:c>
      <x:c r="C76" s="7" t="str">
        <x:v>RAE-E-24</x:v>
      </x:c>
      <x:c r="D76" s="7" t="str">
        <x:v>RFP-B1</x:v>
      </x:c>
      <x:c r="E76" s="7" t="str">
        <x:v>AM-06</x:v>
      </x:c>
      <x:c r="F76" s="7" t="str">
        <x:v>TR-B</x:v>
      </x:c>
      <x:c r="G76" s="7" t="str">
        <x:v>QE-02</x:v>
      </x:c>
      <x:c r="H76" s="7" t="str">
        <x:v>left neighbor</x:v>
      </x:c>
      <x:c r="I76" s="10" t="str">
        <x:v>inert, isolated and independently observed</x:v>
      </x:c>
      <x:c r="J76" s="7" t="str"/>
      <x:c r="K76" s="7" t="str">
        <x:v>OPEN</x:v>
      </x:c>
    </x:row>
    <x:row r="77" ht="36" customHeight="1">
      <x:c r="B77" s="7" t="str">
        <x:v>RAE-E-24-RN</x:v>
      </x:c>
      <x:c r="C77" s="7" t="str">
        <x:v>RAE-E-24</x:v>
      </x:c>
      <x:c r="D77" s="7" t="str">
        <x:v>RFP-B1</x:v>
      </x:c>
      <x:c r="E77" s="7" t="str">
        <x:v>AM-06</x:v>
      </x:c>
      <x:c r="F77" s="7" t="str">
        <x:v>TR-B</x:v>
      </x:c>
      <x:c r="G77" s="7" t="str">
        <x:v>QE-02</x:v>
      </x:c>
      <x:c r="H77" s="7" t="str">
        <x:v>right neighbor</x:v>
      </x:c>
      <x:c r="I77" s="10" t="str">
        <x:v>inert, isolated and independently observed</x:v>
      </x:c>
      <x:c r="J77" s="7" t="str"/>
      <x:c r="K77" s="7" t="str">
        <x:v>OPEN</x:v>
      </x:c>
    </x:row>
    <x:row r="78" ht="36" customHeight="1">
      <x:c r="B78" s="7" t="str">
        <x:v>RAE-E-24-CUN</x:v>
      </x:c>
      <x:c r="C78" s="7" t="str">
        <x:v>RAE-E-24</x:v>
      </x:c>
      <x:c r="D78" s="7" t="str">
        <x:v>RFP-B1</x:v>
      </x:c>
      <x:c r="E78" s="7" t="str">
        <x:v>AM-06</x:v>
      </x:c>
      <x:c r="F78" s="7" t="str">
        <x:v>TR-B</x:v>
      </x:c>
      <x:c r="G78" s="7" t="str">
        <x:v>QE-02</x:v>
      </x:c>
      <x:c r="H78" s="7" t="str">
        <x:v>common utility neighbor</x:v>
      </x:c>
      <x:c r="I78" s="10" t="str">
        <x:v>inert, isolated and independently observed</x:v>
      </x:c>
      <x:c r="J78" s="7" t="str"/>
      <x:c r="K78" s="7" t="str">
        <x:v>OPEN</x:v>
      </x:c>
    </x:row>
    <x:row r="79" ht="36" customHeight="1">
      <x:c r="B79" s="7" t="str">
        <x:v>RAE-E-25-LN</x:v>
      </x:c>
      <x:c r="C79" s="7" t="str">
        <x:v>RAE-E-25</x:v>
      </x:c>
      <x:c r="D79" s="7" t="str">
        <x:v>RFP-B2</x:v>
      </x:c>
      <x:c r="E79" s="7" t="str">
        <x:v>AM-05</x:v>
      </x:c>
      <x:c r="F79" s="7" t="str">
        <x:v>TR-A</x:v>
      </x:c>
      <x:c r="G79" s="7" t="str">
        <x:v>QE-01</x:v>
      </x:c>
      <x:c r="H79" s="7" t="str">
        <x:v>left neighbor</x:v>
      </x:c>
      <x:c r="I79" s="10" t="str">
        <x:v>inert, isolated and independently observed</x:v>
      </x:c>
      <x:c r="J79" s="7" t="str"/>
      <x:c r="K79" s="7" t="str">
        <x:v>OPEN</x:v>
      </x:c>
    </x:row>
    <x:row r="80" ht="36" customHeight="1">
      <x:c r="B80" s="7" t="str">
        <x:v>RAE-E-25-RN</x:v>
      </x:c>
      <x:c r="C80" s="7" t="str">
        <x:v>RAE-E-25</x:v>
      </x:c>
      <x:c r="D80" s="7" t="str">
        <x:v>RFP-B2</x:v>
      </x:c>
      <x:c r="E80" s="7" t="str">
        <x:v>AM-05</x:v>
      </x:c>
      <x:c r="F80" s="7" t="str">
        <x:v>TR-A</x:v>
      </x:c>
      <x:c r="G80" s="7" t="str">
        <x:v>QE-01</x:v>
      </x:c>
      <x:c r="H80" s="7" t="str">
        <x:v>right neighbor</x:v>
      </x:c>
      <x:c r="I80" s="10" t="str">
        <x:v>inert, isolated and independently observed</x:v>
      </x:c>
      <x:c r="J80" s="7" t="str"/>
      <x:c r="K80" s="7" t="str">
        <x:v>OPEN</x:v>
      </x:c>
    </x:row>
    <x:row r="81" ht="36" customHeight="1">
      <x:c r="B81" s="7" t="str">
        <x:v>RAE-E-25-CUN</x:v>
      </x:c>
      <x:c r="C81" s="7" t="str">
        <x:v>RAE-E-25</x:v>
      </x:c>
      <x:c r="D81" s="7" t="str">
        <x:v>RFP-B2</x:v>
      </x:c>
      <x:c r="E81" s="7" t="str">
        <x:v>AM-05</x:v>
      </x:c>
      <x:c r="F81" s="7" t="str">
        <x:v>TR-A</x:v>
      </x:c>
      <x:c r="G81" s="7" t="str">
        <x:v>QE-01</x:v>
      </x:c>
      <x:c r="H81" s="7" t="str">
        <x:v>common utility neighbor</x:v>
      </x:c>
      <x:c r="I81" s="10" t="str">
        <x:v>inert, isolated and independently observed</x:v>
      </x:c>
      <x:c r="J81" s="7" t="str"/>
      <x:c r="K81" s="7" t="str">
        <x:v>OPEN</x:v>
      </x:c>
    </x:row>
    <x:row r="82" ht="36" customHeight="1">
      <x:c r="B82" s="7" t="str">
        <x:v>RAE-E-26-LN</x:v>
      </x:c>
      <x:c r="C82" s="7" t="str">
        <x:v>RAE-E-26</x:v>
      </x:c>
      <x:c r="D82" s="7" t="str">
        <x:v>RFP-B2</x:v>
      </x:c>
      <x:c r="E82" s="7" t="str">
        <x:v>AM-05</x:v>
      </x:c>
      <x:c r="F82" s="7" t="str">
        <x:v>TR-A</x:v>
      </x:c>
      <x:c r="G82" s="7" t="str">
        <x:v>QE-02</x:v>
      </x:c>
      <x:c r="H82" s="7" t="str">
        <x:v>left neighbor</x:v>
      </x:c>
      <x:c r="I82" s="10" t="str">
        <x:v>inert, isolated and independently observed</x:v>
      </x:c>
      <x:c r="J82" s="7" t="str"/>
      <x:c r="K82" s="7" t="str">
        <x:v>OPEN</x:v>
      </x:c>
    </x:row>
    <x:row r="83" ht="36" customHeight="1">
      <x:c r="B83" s="7" t="str">
        <x:v>RAE-E-26-RN</x:v>
      </x:c>
      <x:c r="C83" s="7" t="str">
        <x:v>RAE-E-26</x:v>
      </x:c>
      <x:c r="D83" s="7" t="str">
        <x:v>RFP-B2</x:v>
      </x:c>
      <x:c r="E83" s="7" t="str">
        <x:v>AM-05</x:v>
      </x:c>
      <x:c r="F83" s="7" t="str">
        <x:v>TR-A</x:v>
      </x:c>
      <x:c r="G83" s="7" t="str">
        <x:v>QE-02</x:v>
      </x:c>
      <x:c r="H83" s="7" t="str">
        <x:v>right neighbor</x:v>
      </x:c>
      <x:c r="I83" s="10" t="str">
        <x:v>inert, isolated and independently observed</x:v>
      </x:c>
      <x:c r="J83" s="7" t="str"/>
      <x:c r="K83" s="7" t="str">
        <x:v>OPEN</x:v>
      </x:c>
    </x:row>
    <x:row r="84" ht="36" customHeight="1">
      <x:c r="B84" s="7" t="str">
        <x:v>RAE-E-26-CUN</x:v>
      </x:c>
      <x:c r="C84" s="7" t="str">
        <x:v>RAE-E-26</x:v>
      </x:c>
      <x:c r="D84" s="7" t="str">
        <x:v>RFP-B2</x:v>
      </x:c>
      <x:c r="E84" s="7" t="str">
        <x:v>AM-05</x:v>
      </x:c>
      <x:c r="F84" s="7" t="str">
        <x:v>TR-A</x:v>
      </x:c>
      <x:c r="G84" s="7" t="str">
        <x:v>QE-02</x:v>
      </x:c>
      <x:c r="H84" s="7" t="str">
        <x:v>common utility neighbor</x:v>
      </x:c>
      <x:c r="I84" s="10" t="str">
        <x:v>inert, isolated and independently observed</x:v>
      </x:c>
      <x:c r="J84" s="7" t="str"/>
      <x:c r="K84" s="7" t="str">
        <x:v>OPEN</x:v>
      </x:c>
    </x:row>
    <x:row r="85" ht="36" customHeight="1">
      <x:c r="B85" s="7" t="str">
        <x:v>RAE-E-27-LN</x:v>
      </x:c>
      <x:c r="C85" s="7" t="str">
        <x:v>RAE-E-27</x:v>
      </x:c>
      <x:c r="D85" s="7" t="str">
        <x:v>RFP-B2</x:v>
      </x:c>
      <x:c r="E85" s="7" t="str">
        <x:v>AM-05</x:v>
      </x:c>
      <x:c r="F85" s="7" t="str">
        <x:v>TR-B</x:v>
      </x:c>
      <x:c r="G85" s="7" t="str">
        <x:v>QE-01</x:v>
      </x:c>
      <x:c r="H85" s="7" t="str">
        <x:v>left neighbor</x:v>
      </x:c>
      <x:c r="I85" s="10" t="str">
        <x:v>inert, isolated and independently observed</x:v>
      </x:c>
      <x:c r="J85" s="7" t="str"/>
      <x:c r="K85" s="7" t="str">
        <x:v>OPEN</x:v>
      </x:c>
    </x:row>
    <x:row r="86" ht="36" customHeight="1">
      <x:c r="B86" s="7" t="str">
        <x:v>RAE-E-27-RN</x:v>
      </x:c>
      <x:c r="C86" s="7" t="str">
        <x:v>RAE-E-27</x:v>
      </x:c>
      <x:c r="D86" s="7" t="str">
        <x:v>RFP-B2</x:v>
      </x:c>
      <x:c r="E86" s="7" t="str">
        <x:v>AM-05</x:v>
      </x:c>
      <x:c r="F86" s="7" t="str">
        <x:v>TR-B</x:v>
      </x:c>
      <x:c r="G86" s="7" t="str">
        <x:v>QE-01</x:v>
      </x:c>
      <x:c r="H86" s="7" t="str">
        <x:v>right neighbor</x:v>
      </x:c>
      <x:c r="I86" s="10" t="str">
        <x:v>inert, isolated and independently observed</x:v>
      </x:c>
      <x:c r="J86" s="7" t="str"/>
      <x:c r="K86" s="7" t="str">
        <x:v>OPEN</x:v>
      </x:c>
    </x:row>
    <x:row r="87" ht="36" customHeight="1">
      <x:c r="B87" s="7" t="str">
        <x:v>RAE-E-27-CUN</x:v>
      </x:c>
      <x:c r="C87" s="7" t="str">
        <x:v>RAE-E-27</x:v>
      </x:c>
      <x:c r="D87" s="7" t="str">
        <x:v>RFP-B2</x:v>
      </x:c>
      <x:c r="E87" s="7" t="str">
        <x:v>AM-05</x:v>
      </x:c>
      <x:c r="F87" s="7" t="str">
        <x:v>TR-B</x:v>
      </x:c>
      <x:c r="G87" s="7" t="str">
        <x:v>QE-01</x:v>
      </x:c>
      <x:c r="H87" s="7" t="str">
        <x:v>common utility neighbor</x:v>
      </x:c>
      <x:c r="I87" s="10" t="str">
        <x:v>inert, isolated and independently observed</x:v>
      </x:c>
      <x:c r="J87" s="7" t="str"/>
      <x:c r="K87" s="7" t="str">
        <x:v>OPEN</x:v>
      </x:c>
    </x:row>
    <x:row r="88" ht="36" customHeight="1">
      <x:c r="B88" s="7" t="str">
        <x:v>RAE-E-28-LN</x:v>
      </x:c>
      <x:c r="C88" s="7" t="str">
        <x:v>RAE-E-28</x:v>
      </x:c>
      <x:c r="D88" s="7" t="str">
        <x:v>RFP-B2</x:v>
      </x:c>
      <x:c r="E88" s="7" t="str">
        <x:v>AM-05</x:v>
      </x:c>
      <x:c r="F88" s="7" t="str">
        <x:v>TR-B</x:v>
      </x:c>
      <x:c r="G88" s="7" t="str">
        <x:v>QE-02</x:v>
      </x:c>
      <x:c r="H88" s="7" t="str">
        <x:v>left neighbor</x:v>
      </x:c>
      <x:c r="I88" s="10" t="str">
        <x:v>inert, isolated and independently observed</x:v>
      </x:c>
      <x:c r="J88" s="7" t="str"/>
      <x:c r="K88" s="7" t="str">
        <x:v>OPEN</x:v>
      </x:c>
    </x:row>
    <x:row r="89" ht="36" customHeight="1">
      <x:c r="B89" s="7" t="str">
        <x:v>RAE-E-28-RN</x:v>
      </x:c>
      <x:c r="C89" s="7" t="str">
        <x:v>RAE-E-28</x:v>
      </x:c>
      <x:c r="D89" s="7" t="str">
        <x:v>RFP-B2</x:v>
      </x:c>
      <x:c r="E89" s="7" t="str">
        <x:v>AM-05</x:v>
      </x:c>
      <x:c r="F89" s="7" t="str">
        <x:v>TR-B</x:v>
      </x:c>
      <x:c r="G89" s="7" t="str">
        <x:v>QE-02</x:v>
      </x:c>
      <x:c r="H89" s="7" t="str">
        <x:v>right neighbor</x:v>
      </x:c>
      <x:c r="I89" s="10" t="str">
        <x:v>inert, isolated and independently observed</x:v>
      </x:c>
      <x:c r="J89" s="7" t="str"/>
      <x:c r="K89" s="7" t="str">
        <x:v>OPEN</x:v>
      </x:c>
    </x:row>
    <x:row r="90" ht="36" customHeight="1">
      <x:c r="B90" s="7" t="str">
        <x:v>RAE-E-28-CUN</x:v>
      </x:c>
      <x:c r="C90" s="7" t="str">
        <x:v>RAE-E-28</x:v>
      </x:c>
      <x:c r="D90" s="7" t="str">
        <x:v>RFP-B2</x:v>
      </x:c>
      <x:c r="E90" s="7" t="str">
        <x:v>AM-05</x:v>
      </x:c>
      <x:c r="F90" s="7" t="str">
        <x:v>TR-B</x:v>
      </x:c>
      <x:c r="G90" s="7" t="str">
        <x:v>QE-02</x:v>
      </x:c>
      <x:c r="H90" s="7" t="str">
        <x:v>common utility neighbor</x:v>
      </x:c>
      <x:c r="I90" s="10" t="str">
        <x:v>inert, isolated and independently observed</x:v>
      </x:c>
      <x:c r="J90" s="7" t="str"/>
      <x:c r="K90" s="7" t="str">
        <x:v>OPEN</x:v>
      </x:c>
    </x:row>
    <x:row r="91" ht="36" customHeight="1">
      <x:c r="B91" s="7" t="str">
        <x:v>RAE-E-29-LN</x:v>
      </x:c>
      <x:c r="C91" s="7" t="str">
        <x:v>RAE-E-29</x:v>
      </x:c>
      <x:c r="D91" s="7" t="str">
        <x:v>RFP-B2</x:v>
      </x:c>
      <x:c r="E91" s="7" t="str">
        <x:v>AM-06</x:v>
      </x:c>
      <x:c r="F91" s="7" t="str">
        <x:v>TR-A</x:v>
      </x:c>
      <x:c r="G91" s="7" t="str">
        <x:v>QE-01</x:v>
      </x:c>
      <x:c r="H91" s="7" t="str">
        <x:v>left neighbor</x:v>
      </x:c>
      <x:c r="I91" s="10" t="str">
        <x:v>inert, isolated and independently observed</x:v>
      </x:c>
      <x:c r="J91" s="7" t="str"/>
      <x:c r="K91" s="7" t="str">
        <x:v>OPEN</x:v>
      </x:c>
    </x:row>
    <x:row r="92" ht="36" customHeight="1">
      <x:c r="B92" s="7" t="str">
        <x:v>RAE-E-29-RN</x:v>
      </x:c>
      <x:c r="C92" s="7" t="str">
        <x:v>RAE-E-29</x:v>
      </x:c>
      <x:c r="D92" s="7" t="str">
        <x:v>RFP-B2</x:v>
      </x:c>
      <x:c r="E92" s="7" t="str">
        <x:v>AM-06</x:v>
      </x:c>
      <x:c r="F92" s="7" t="str">
        <x:v>TR-A</x:v>
      </x:c>
      <x:c r="G92" s="7" t="str">
        <x:v>QE-01</x:v>
      </x:c>
      <x:c r="H92" s="7" t="str">
        <x:v>right neighbor</x:v>
      </x:c>
      <x:c r="I92" s="10" t="str">
        <x:v>inert, isolated and independently observed</x:v>
      </x:c>
      <x:c r="J92" s="7" t="str"/>
      <x:c r="K92" s="7" t="str">
        <x:v>OPEN</x:v>
      </x:c>
    </x:row>
    <x:row r="93" ht="36" customHeight="1">
      <x:c r="B93" s="7" t="str">
        <x:v>RAE-E-29-CUN</x:v>
      </x:c>
      <x:c r="C93" s="7" t="str">
        <x:v>RAE-E-29</x:v>
      </x:c>
      <x:c r="D93" s="7" t="str">
        <x:v>RFP-B2</x:v>
      </x:c>
      <x:c r="E93" s="7" t="str">
        <x:v>AM-06</x:v>
      </x:c>
      <x:c r="F93" s="7" t="str">
        <x:v>TR-A</x:v>
      </x:c>
      <x:c r="G93" s="7" t="str">
        <x:v>QE-01</x:v>
      </x:c>
      <x:c r="H93" s="7" t="str">
        <x:v>common utility neighbor</x:v>
      </x:c>
      <x:c r="I93" s="10" t="str">
        <x:v>inert, isolated and independently observed</x:v>
      </x:c>
      <x:c r="J93" s="7" t="str"/>
      <x:c r="K93" s="7" t="str">
        <x:v>OPEN</x:v>
      </x:c>
    </x:row>
    <x:row r="94" ht="36" customHeight="1">
      <x:c r="B94" s="7" t="str">
        <x:v>RAE-E-30-LN</x:v>
      </x:c>
      <x:c r="C94" s="7" t="str">
        <x:v>RAE-E-30</x:v>
      </x:c>
      <x:c r="D94" s="7" t="str">
        <x:v>RFP-B2</x:v>
      </x:c>
      <x:c r="E94" s="7" t="str">
        <x:v>AM-06</x:v>
      </x:c>
      <x:c r="F94" s="7" t="str">
        <x:v>TR-A</x:v>
      </x:c>
      <x:c r="G94" s="7" t="str">
        <x:v>QE-02</x:v>
      </x:c>
      <x:c r="H94" s="7" t="str">
        <x:v>left neighbor</x:v>
      </x:c>
      <x:c r="I94" s="10" t="str">
        <x:v>inert, isolated and independently observed</x:v>
      </x:c>
      <x:c r="J94" s="7" t="str"/>
      <x:c r="K94" s="7" t="str">
        <x:v>OPEN</x:v>
      </x:c>
    </x:row>
    <x:row r="95" ht="36" customHeight="1">
      <x:c r="B95" s="7" t="str">
        <x:v>RAE-E-30-RN</x:v>
      </x:c>
      <x:c r="C95" s="7" t="str">
        <x:v>RAE-E-30</x:v>
      </x:c>
      <x:c r="D95" s="7" t="str">
        <x:v>RFP-B2</x:v>
      </x:c>
      <x:c r="E95" s="7" t="str">
        <x:v>AM-06</x:v>
      </x:c>
      <x:c r="F95" s="7" t="str">
        <x:v>TR-A</x:v>
      </x:c>
      <x:c r="G95" s="7" t="str">
        <x:v>QE-02</x:v>
      </x:c>
      <x:c r="H95" s="7" t="str">
        <x:v>right neighbor</x:v>
      </x:c>
      <x:c r="I95" s="10" t="str">
        <x:v>inert, isolated and independently observed</x:v>
      </x:c>
      <x:c r="J95" s="7" t="str"/>
      <x:c r="K95" s="7" t="str">
        <x:v>OPEN</x:v>
      </x:c>
    </x:row>
    <x:row r="96" ht="36" customHeight="1">
      <x:c r="B96" s="7" t="str">
        <x:v>RAE-E-30-CUN</x:v>
      </x:c>
      <x:c r="C96" s="7" t="str">
        <x:v>RAE-E-30</x:v>
      </x:c>
      <x:c r="D96" s="7" t="str">
        <x:v>RFP-B2</x:v>
      </x:c>
      <x:c r="E96" s="7" t="str">
        <x:v>AM-06</x:v>
      </x:c>
      <x:c r="F96" s="7" t="str">
        <x:v>TR-A</x:v>
      </x:c>
      <x:c r="G96" s="7" t="str">
        <x:v>QE-02</x:v>
      </x:c>
      <x:c r="H96" s="7" t="str">
        <x:v>common utility neighbor</x:v>
      </x:c>
      <x:c r="I96" s="10" t="str">
        <x:v>inert, isolated and independently observed</x:v>
      </x:c>
      <x:c r="J96" s="7" t="str"/>
      <x:c r="K96" s="7" t="str">
        <x:v>OPEN</x:v>
      </x:c>
    </x:row>
    <x:row r="97" ht="36" customHeight="1">
      <x:c r="B97" s="7" t="str">
        <x:v>RAE-E-31-LN</x:v>
      </x:c>
      <x:c r="C97" s="7" t="str">
        <x:v>RAE-E-31</x:v>
      </x:c>
      <x:c r="D97" s="7" t="str">
        <x:v>RFP-B2</x:v>
      </x:c>
      <x:c r="E97" s="7" t="str">
        <x:v>AM-06</x:v>
      </x:c>
      <x:c r="F97" s="7" t="str">
        <x:v>TR-B</x:v>
      </x:c>
      <x:c r="G97" s="7" t="str">
        <x:v>QE-01</x:v>
      </x:c>
      <x:c r="H97" s="7" t="str">
        <x:v>left neighbor</x:v>
      </x:c>
      <x:c r="I97" s="10" t="str">
        <x:v>inert, isolated and independently observed</x:v>
      </x:c>
      <x:c r="J97" s="7" t="str"/>
      <x:c r="K97" s="7" t="str">
        <x:v>OPEN</x:v>
      </x:c>
    </x:row>
    <x:row r="98" ht="36" customHeight="1">
      <x:c r="B98" s="7" t="str">
        <x:v>RAE-E-31-RN</x:v>
      </x:c>
      <x:c r="C98" s="7" t="str">
        <x:v>RAE-E-31</x:v>
      </x:c>
      <x:c r="D98" s="7" t="str">
        <x:v>RFP-B2</x:v>
      </x:c>
      <x:c r="E98" s="7" t="str">
        <x:v>AM-06</x:v>
      </x:c>
      <x:c r="F98" s="7" t="str">
        <x:v>TR-B</x:v>
      </x:c>
      <x:c r="G98" s="7" t="str">
        <x:v>QE-01</x:v>
      </x:c>
      <x:c r="H98" s="7" t="str">
        <x:v>right neighbor</x:v>
      </x:c>
      <x:c r="I98" s="10" t="str">
        <x:v>inert, isolated and independently observed</x:v>
      </x:c>
      <x:c r="J98" s="7" t="str"/>
      <x:c r="K98" s="7" t="str">
        <x:v>OPEN</x:v>
      </x:c>
    </x:row>
    <x:row r="99" ht="36" customHeight="1">
      <x:c r="B99" s="7" t="str">
        <x:v>RAE-E-31-CUN</x:v>
      </x:c>
      <x:c r="C99" s="7" t="str">
        <x:v>RAE-E-31</x:v>
      </x:c>
      <x:c r="D99" s="7" t="str">
        <x:v>RFP-B2</x:v>
      </x:c>
      <x:c r="E99" s="7" t="str">
        <x:v>AM-06</x:v>
      </x:c>
      <x:c r="F99" s="7" t="str">
        <x:v>TR-B</x:v>
      </x:c>
      <x:c r="G99" s="7" t="str">
        <x:v>QE-01</x:v>
      </x:c>
      <x:c r="H99" s="7" t="str">
        <x:v>common utility neighbor</x:v>
      </x:c>
      <x:c r="I99" s="10" t="str">
        <x:v>inert, isolated and independently observed</x:v>
      </x:c>
      <x:c r="J99" s="7" t="str"/>
      <x:c r="K99" s="7" t="str">
        <x:v>OPEN</x:v>
      </x:c>
    </x:row>
    <x:row r="100" ht="36" customHeight="1">
      <x:c r="B100" s="7" t="str">
        <x:v>RAE-E-32-LN</x:v>
      </x:c>
      <x:c r="C100" s="7" t="str">
        <x:v>RAE-E-32</x:v>
      </x:c>
      <x:c r="D100" s="7" t="str">
        <x:v>RFP-B2</x:v>
      </x:c>
      <x:c r="E100" s="7" t="str">
        <x:v>AM-06</x:v>
      </x:c>
      <x:c r="F100" s="7" t="str">
        <x:v>TR-B</x:v>
      </x:c>
      <x:c r="G100" s="7" t="str">
        <x:v>QE-02</x:v>
      </x:c>
      <x:c r="H100" s="7" t="str">
        <x:v>left neighbor</x:v>
      </x:c>
      <x:c r="I100" s="10" t="str">
        <x:v>inert, isolated and independently observed</x:v>
      </x:c>
      <x:c r="J100" s="7" t="str"/>
      <x:c r="K100" s="7" t="str">
        <x:v>OPEN</x:v>
      </x:c>
    </x:row>
    <x:row r="101" ht="36" customHeight="1">
      <x:c r="B101" s="7" t="str">
        <x:v>RAE-E-32-RN</x:v>
      </x:c>
      <x:c r="C101" s="7" t="str">
        <x:v>RAE-E-32</x:v>
      </x:c>
      <x:c r="D101" s="7" t="str">
        <x:v>RFP-B2</x:v>
      </x:c>
      <x:c r="E101" s="7" t="str">
        <x:v>AM-06</x:v>
      </x:c>
      <x:c r="F101" s="7" t="str">
        <x:v>TR-B</x:v>
      </x:c>
      <x:c r="G101" s="7" t="str">
        <x:v>QE-02</x:v>
      </x:c>
      <x:c r="H101" s="7" t="str">
        <x:v>right neighbor</x:v>
      </x:c>
      <x:c r="I101" s="10" t="str">
        <x:v>inert, isolated and independently observed</x:v>
      </x:c>
      <x:c r="J101" s="7" t="str"/>
      <x:c r="K101" s="7" t="str">
        <x:v>OPEN</x:v>
      </x:c>
    </x:row>
    <x:row r="102" ht="36" customHeight="1">
      <x:c r="B102" s="7" t="str">
        <x:v>RAE-E-32-CUN</x:v>
      </x:c>
      <x:c r="C102" s="7" t="str">
        <x:v>RAE-E-32</x:v>
      </x:c>
      <x:c r="D102" s="7" t="str">
        <x:v>RFP-B2</x:v>
      </x:c>
      <x:c r="E102" s="7" t="str">
        <x:v>AM-06</x:v>
      </x:c>
      <x:c r="F102" s="7" t="str">
        <x:v>TR-B</x:v>
      </x:c>
      <x:c r="G102" s="7" t="str">
        <x:v>QE-02</x:v>
      </x:c>
      <x:c r="H102" s="7" t="str">
        <x:v>common utility neighbor</x:v>
      </x:c>
      <x:c r="I102" s="10" t="str">
        <x:v>inert, isolated and independently observed</x:v>
      </x:c>
      <x:c r="J102" s="7" t="str"/>
      <x:c r="K102" s="7" t="str">
        <x:v>OPEN</x:v>
      </x:c>
    </x:row>
    <x:row r="103" ht="36" customHeight="1">
      <x:c r="B103" s="7" t="str">
        <x:v>RAE-E-33-LN</x:v>
      </x:c>
      <x:c r="C103" s="7" t="str">
        <x:v>RAE-E-33</x:v>
      </x:c>
      <x:c r="D103" s="7" t="str">
        <x:v>RFP-C1</x:v>
      </x:c>
      <x:c r="E103" s="7" t="str">
        <x:v>AM-05</x:v>
      </x:c>
      <x:c r="F103" s="7" t="str">
        <x:v>TR-A</x:v>
      </x:c>
      <x:c r="G103" s="7" t="str">
        <x:v>QE-01</x:v>
      </x:c>
      <x:c r="H103" s="7" t="str">
        <x:v>left neighbor</x:v>
      </x:c>
      <x:c r="I103" s="10" t="str">
        <x:v>inert, isolated and independently observed</x:v>
      </x:c>
      <x:c r="J103" s="7" t="str"/>
      <x:c r="K103" s="7" t="str">
        <x:v>OPEN</x:v>
      </x:c>
    </x:row>
    <x:row r="104" ht="36" customHeight="1">
      <x:c r="B104" s="7" t="str">
        <x:v>RAE-E-33-RN</x:v>
      </x:c>
      <x:c r="C104" s="7" t="str">
        <x:v>RAE-E-33</x:v>
      </x:c>
      <x:c r="D104" s="7" t="str">
        <x:v>RFP-C1</x:v>
      </x:c>
      <x:c r="E104" s="7" t="str">
        <x:v>AM-05</x:v>
      </x:c>
      <x:c r="F104" s="7" t="str">
        <x:v>TR-A</x:v>
      </x:c>
      <x:c r="G104" s="7" t="str">
        <x:v>QE-01</x:v>
      </x:c>
      <x:c r="H104" s="7" t="str">
        <x:v>right neighbor</x:v>
      </x:c>
      <x:c r="I104" s="10" t="str">
        <x:v>inert, isolated and independently observed</x:v>
      </x:c>
      <x:c r="J104" s="7" t="str"/>
      <x:c r="K104" s="7" t="str">
        <x:v>OPEN</x:v>
      </x:c>
    </x:row>
    <x:row r="105" ht="36" customHeight="1">
      <x:c r="B105" s="7" t="str">
        <x:v>RAE-E-33-CUN</x:v>
      </x:c>
      <x:c r="C105" s="7" t="str">
        <x:v>RAE-E-33</x:v>
      </x:c>
      <x:c r="D105" s="7" t="str">
        <x:v>RFP-C1</x:v>
      </x:c>
      <x:c r="E105" s="7" t="str">
        <x:v>AM-05</x:v>
      </x:c>
      <x:c r="F105" s="7" t="str">
        <x:v>TR-A</x:v>
      </x:c>
      <x:c r="G105" s="7" t="str">
        <x:v>QE-01</x:v>
      </x:c>
      <x:c r="H105" s="7" t="str">
        <x:v>common utility neighbor</x:v>
      </x:c>
      <x:c r="I105" s="10" t="str">
        <x:v>inert, isolated and independently observed</x:v>
      </x:c>
      <x:c r="J105" s="7" t="str"/>
      <x:c r="K105" s="7" t="str">
        <x:v>OPEN</x:v>
      </x:c>
    </x:row>
    <x:row r="106" ht="36" customHeight="1">
      <x:c r="B106" s="7" t="str">
        <x:v>RAE-E-34-LN</x:v>
      </x:c>
      <x:c r="C106" s="7" t="str">
        <x:v>RAE-E-34</x:v>
      </x:c>
      <x:c r="D106" s="7" t="str">
        <x:v>RFP-C1</x:v>
      </x:c>
      <x:c r="E106" s="7" t="str">
        <x:v>AM-05</x:v>
      </x:c>
      <x:c r="F106" s="7" t="str">
        <x:v>TR-A</x:v>
      </x:c>
      <x:c r="G106" s="7" t="str">
        <x:v>QE-02</x:v>
      </x:c>
      <x:c r="H106" s="7" t="str">
        <x:v>left neighbor</x:v>
      </x:c>
      <x:c r="I106" s="10" t="str">
        <x:v>inert, isolated and independently observed</x:v>
      </x:c>
      <x:c r="J106" s="7" t="str"/>
      <x:c r="K106" s="7" t="str">
        <x:v>OPEN</x:v>
      </x:c>
    </x:row>
    <x:row r="107" ht="36" customHeight="1">
      <x:c r="B107" s="7" t="str">
        <x:v>RAE-E-34-RN</x:v>
      </x:c>
      <x:c r="C107" s="7" t="str">
        <x:v>RAE-E-34</x:v>
      </x:c>
      <x:c r="D107" s="7" t="str">
        <x:v>RFP-C1</x:v>
      </x:c>
      <x:c r="E107" s="7" t="str">
        <x:v>AM-05</x:v>
      </x:c>
      <x:c r="F107" s="7" t="str">
        <x:v>TR-A</x:v>
      </x:c>
      <x:c r="G107" s="7" t="str">
        <x:v>QE-02</x:v>
      </x:c>
      <x:c r="H107" s="7" t="str">
        <x:v>right neighbor</x:v>
      </x:c>
      <x:c r="I107" s="10" t="str">
        <x:v>inert, isolated and independently observed</x:v>
      </x:c>
      <x:c r="J107" s="7" t="str"/>
      <x:c r="K107" s="7" t="str">
        <x:v>OPEN</x:v>
      </x:c>
    </x:row>
    <x:row r="108" ht="36" customHeight="1">
      <x:c r="B108" s="7" t="str">
        <x:v>RAE-E-34-CUN</x:v>
      </x:c>
      <x:c r="C108" s="7" t="str">
        <x:v>RAE-E-34</x:v>
      </x:c>
      <x:c r="D108" s="7" t="str">
        <x:v>RFP-C1</x:v>
      </x:c>
      <x:c r="E108" s="7" t="str">
        <x:v>AM-05</x:v>
      </x:c>
      <x:c r="F108" s="7" t="str">
        <x:v>TR-A</x:v>
      </x:c>
      <x:c r="G108" s="7" t="str">
        <x:v>QE-02</x:v>
      </x:c>
      <x:c r="H108" s="7" t="str">
        <x:v>common utility neighbor</x:v>
      </x:c>
      <x:c r="I108" s="10" t="str">
        <x:v>inert, isolated and independently observed</x:v>
      </x:c>
      <x:c r="J108" s="7" t="str"/>
      <x:c r="K108" s="7" t="str">
        <x:v>OPEN</x:v>
      </x:c>
    </x:row>
    <x:row r="109" ht="36" customHeight="1">
      <x:c r="B109" s="7" t="str">
        <x:v>RAE-E-35-LN</x:v>
      </x:c>
      <x:c r="C109" s="7" t="str">
        <x:v>RAE-E-35</x:v>
      </x:c>
      <x:c r="D109" s="7" t="str">
        <x:v>RFP-C1</x:v>
      </x:c>
      <x:c r="E109" s="7" t="str">
        <x:v>AM-05</x:v>
      </x:c>
      <x:c r="F109" s="7" t="str">
        <x:v>TR-B</x:v>
      </x:c>
      <x:c r="G109" s="7" t="str">
        <x:v>QE-01</x:v>
      </x:c>
      <x:c r="H109" s="7" t="str">
        <x:v>left neighbor</x:v>
      </x:c>
      <x:c r="I109" s="10" t="str">
        <x:v>inert, isolated and independently observed</x:v>
      </x:c>
      <x:c r="J109" s="7" t="str"/>
      <x:c r="K109" s="7" t="str">
        <x:v>OPEN</x:v>
      </x:c>
    </x:row>
    <x:row r="110" ht="36" customHeight="1">
      <x:c r="B110" s="7" t="str">
        <x:v>RAE-E-35-RN</x:v>
      </x:c>
      <x:c r="C110" s="7" t="str">
        <x:v>RAE-E-35</x:v>
      </x:c>
      <x:c r="D110" s="7" t="str">
        <x:v>RFP-C1</x:v>
      </x:c>
      <x:c r="E110" s="7" t="str">
        <x:v>AM-05</x:v>
      </x:c>
      <x:c r="F110" s="7" t="str">
        <x:v>TR-B</x:v>
      </x:c>
      <x:c r="G110" s="7" t="str">
        <x:v>QE-01</x:v>
      </x:c>
      <x:c r="H110" s="7" t="str">
        <x:v>right neighbor</x:v>
      </x:c>
      <x:c r="I110" s="10" t="str">
        <x:v>inert, isolated and independently observed</x:v>
      </x:c>
      <x:c r="J110" s="7" t="str"/>
      <x:c r="K110" s="7" t="str">
        <x:v>OPEN</x:v>
      </x:c>
    </x:row>
    <x:row r="111" ht="36" customHeight="1">
      <x:c r="B111" s="7" t="str">
        <x:v>RAE-E-35-CUN</x:v>
      </x:c>
      <x:c r="C111" s="7" t="str">
        <x:v>RAE-E-35</x:v>
      </x:c>
      <x:c r="D111" s="7" t="str">
        <x:v>RFP-C1</x:v>
      </x:c>
      <x:c r="E111" s="7" t="str">
        <x:v>AM-05</x:v>
      </x:c>
      <x:c r="F111" s="7" t="str">
        <x:v>TR-B</x:v>
      </x:c>
      <x:c r="G111" s="7" t="str">
        <x:v>QE-01</x:v>
      </x:c>
      <x:c r="H111" s="7" t="str">
        <x:v>common utility neighbor</x:v>
      </x:c>
      <x:c r="I111" s="10" t="str">
        <x:v>inert, isolated and independently observed</x:v>
      </x:c>
      <x:c r="J111" s="7" t="str"/>
      <x:c r="K111" s="7" t="str">
        <x:v>OPEN</x:v>
      </x:c>
    </x:row>
    <x:row r="112" ht="36" customHeight="1">
      <x:c r="B112" s="7" t="str">
        <x:v>RAE-E-36-LN</x:v>
      </x:c>
      <x:c r="C112" s="7" t="str">
        <x:v>RAE-E-36</x:v>
      </x:c>
      <x:c r="D112" s="7" t="str">
        <x:v>RFP-C1</x:v>
      </x:c>
      <x:c r="E112" s="7" t="str">
        <x:v>AM-05</x:v>
      </x:c>
      <x:c r="F112" s="7" t="str">
        <x:v>TR-B</x:v>
      </x:c>
      <x:c r="G112" s="7" t="str">
        <x:v>QE-02</x:v>
      </x:c>
      <x:c r="H112" s="7" t="str">
        <x:v>left neighbor</x:v>
      </x:c>
      <x:c r="I112" s="10" t="str">
        <x:v>inert, isolated and independently observed</x:v>
      </x:c>
      <x:c r="J112" s="7" t="str"/>
      <x:c r="K112" s="7" t="str">
        <x:v>OPEN</x:v>
      </x:c>
    </x:row>
    <x:row r="113" ht="36" customHeight="1">
      <x:c r="B113" s="7" t="str">
        <x:v>RAE-E-36-RN</x:v>
      </x:c>
      <x:c r="C113" s="7" t="str">
        <x:v>RAE-E-36</x:v>
      </x:c>
      <x:c r="D113" s="7" t="str">
        <x:v>RFP-C1</x:v>
      </x:c>
      <x:c r="E113" s="7" t="str">
        <x:v>AM-05</x:v>
      </x:c>
      <x:c r="F113" s="7" t="str">
        <x:v>TR-B</x:v>
      </x:c>
      <x:c r="G113" s="7" t="str">
        <x:v>QE-02</x:v>
      </x:c>
      <x:c r="H113" s="7" t="str">
        <x:v>right neighbor</x:v>
      </x:c>
      <x:c r="I113" s="10" t="str">
        <x:v>inert, isolated and independently observed</x:v>
      </x:c>
      <x:c r="J113" s="7" t="str"/>
      <x:c r="K113" s="7" t="str">
        <x:v>OPEN</x:v>
      </x:c>
    </x:row>
    <x:row r="114" ht="36" customHeight="1">
      <x:c r="B114" s="7" t="str">
        <x:v>RAE-E-36-CUN</x:v>
      </x:c>
      <x:c r="C114" s="7" t="str">
        <x:v>RAE-E-36</x:v>
      </x:c>
      <x:c r="D114" s="7" t="str">
        <x:v>RFP-C1</x:v>
      </x:c>
      <x:c r="E114" s="7" t="str">
        <x:v>AM-05</x:v>
      </x:c>
      <x:c r="F114" s="7" t="str">
        <x:v>TR-B</x:v>
      </x:c>
      <x:c r="G114" s="7" t="str">
        <x:v>QE-02</x:v>
      </x:c>
      <x:c r="H114" s="7" t="str">
        <x:v>common utility neighbor</x:v>
      </x:c>
      <x:c r="I114" s="10" t="str">
        <x:v>inert, isolated and independently observed</x:v>
      </x:c>
      <x:c r="J114" s="7" t="str"/>
      <x:c r="K114" s="7" t="str">
        <x:v>OPEN</x:v>
      </x:c>
    </x:row>
    <x:row r="115" ht="36" customHeight="1">
      <x:c r="B115" s="7" t="str">
        <x:v>RAE-E-37-LN</x:v>
      </x:c>
      <x:c r="C115" s="7" t="str">
        <x:v>RAE-E-37</x:v>
      </x:c>
      <x:c r="D115" s="7" t="str">
        <x:v>RFP-C1</x:v>
      </x:c>
      <x:c r="E115" s="7" t="str">
        <x:v>AM-06</x:v>
      </x:c>
      <x:c r="F115" s="7" t="str">
        <x:v>TR-A</x:v>
      </x:c>
      <x:c r="G115" s="7" t="str">
        <x:v>QE-01</x:v>
      </x:c>
      <x:c r="H115" s="7" t="str">
        <x:v>left neighbor</x:v>
      </x:c>
      <x:c r="I115" s="10" t="str">
        <x:v>inert, isolated and independently observed</x:v>
      </x:c>
      <x:c r="J115" s="7" t="str"/>
      <x:c r="K115" s="7" t="str">
        <x:v>OPEN</x:v>
      </x:c>
    </x:row>
    <x:row r="116" ht="36" customHeight="1">
      <x:c r="B116" s="7" t="str">
        <x:v>RAE-E-37-RN</x:v>
      </x:c>
      <x:c r="C116" s="7" t="str">
        <x:v>RAE-E-37</x:v>
      </x:c>
      <x:c r="D116" s="7" t="str">
        <x:v>RFP-C1</x:v>
      </x:c>
      <x:c r="E116" s="7" t="str">
        <x:v>AM-06</x:v>
      </x:c>
      <x:c r="F116" s="7" t="str">
        <x:v>TR-A</x:v>
      </x:c>
      <x:c r="G116" s="7" t="str">
        <x:v>QE-01</x:v>
      </x:c>
      <x:c r="H116" s="7" t="str">
        <x:v>right neighbor</x:v>
      </x:c>
      <x:c r="I116" s="10" t="str">
        <x:v>inert, isolated and independently observed</x:v>
      </x:c>
      <x:c r="J116" s="7" t="str"/>
      <x:c r="K116" s="7" t="str">
        <x:v>OPEN</x:v>
      </x:c>
    </x:row>
    <x:row r="117" ht="36" customHeight="1">
      <x:c r="B117" s="7" t="str">
        <x:v>RAE-E-37-CUN</x:v>
      </x:c>
      <x:c r="C117" s="7" t="str">
        <x:v>RAE-E-37</x:v>
      </x:c>
      <x:c r="D117" s="7" t="str">
        <x:v>RFP-C1</x:v>
      </x:c>
      <x:c r="E117" s="7" t="str">
        <x:v>AM-06</x:v>
      </x:c>
      <x:c r="F117" s="7" t="str">
        <x:v>TR-A</x:v>
      </x:c>
      <x:c r="G117" s="7" t="str">
        <x:v>QE-01</x:v>
      </x:c>
      <x:c r="H117" s="7" t="str">
        <x:v>common utility neighbor</x:v>
      </x:c>
      <x:c r="I117" s="10" t="str">
        <x:v>inert, isolated and independently observed</x:v>
      </x:c>
      <x:c r="J117" s="7" t="str"/>
      <x:c r="K117" s="7" t="str">
        <x:v>OPEN</x:v>
      </x:c>
    </x:row>
    <x:row r="118" ht="36" customHeight="1">
      <x:c r="B118" s="7" t="str">
        <x:v>RAE-E-38-LN</x:v>
      </x:c>
      <x:c r="C118" s="7" t="str">
        <x:v>RAE-E-38</x:v>
      </x:c>
      <x:c r="D118" s="7" t="str">
        <x:v>RFP-C1</x:v>
      </x:c>
      <x:c r="E118" s="7" t="str">
        <x:v>AM-06</x:v>
      </x:c>
      <x:c r="F118" s="7" t="str">
        <x:v>TR-A</x:v>
      </x:c>
      <x:c r="G118" s="7" t="str">
        <x:v>QE-02</x:v>
      </x:c>
      <x:c r="H118" s="7" t="str">
        <x:v>left neighbor</x:v>
      </x:c>
      <x:c r="I118" s="10" t="str">
        <x:v>inert, isolated and independently observed</x:v>
      </x:c>
      <x:c r="J118" s="7" t="str"/>
      <x:c r="K118" s="7" t="str">
        <x:v>OPEN</x:v>
      </x:c>
    </x:row>
    <x:row r="119" ht="36" customHeight="1">
      <x:c r="B119" s="7" t="str">
        <x:v>RAE-E-38-RN</x:v>
      </x:c>
      <x:c r="C119" s="7" t="str">
        <x:v>RAE-E-38</x:v>
      </x:c>
      <x:c r="D119" s="7" t="str">
        <x:v>RFP-C1</x:v>
      </x:c>
      <x:c r="E119" s="7" t="str">
        <x:v>AM-06</x:v>
      </x:c>
      <x:c r="F119" s="7" t="str">
        <x:v>TR-A</x:v>
      </x:c>
      <x:c r="G119" s="7" t="str">
        <x:v>QE-02</x:v>
      </x:c>
      <x:c r="H119" s="7" t="str">
        <x:v>right neighbor</x:v>
      </x:c>
      <x:c r="I119" s="10" t="str">
        <x:v>inert, isolated and independently observed</x:v>
      </x:c>
      <x:c r="J119" s="7" t="str"/>
      <x:c r="K119" s="7" t="str">
        <x:v>OPEN</x:v>
      </x:c>
    </x:row>
    <x:row r="120" ht="36" customHeight="1">
      <x:c r="B120" s="7" t="str">
        <x:v>RAE-E-38-CUN</x:v>
      </x:c>
      <x:c r="C120" s="7" t="str">
        <x:v>RAE-E-38</x:v>
      </x:c>
      <x:c r="D120" s="7" t="str">
        <x:v>RFP-C1</x:v>
      </x:c>
      <x:c r="E120" s="7" t="str">
        <x:v>AM-06</x:v>
      </x:c>
      <x:c r="F120" s="7" t="str">
        <x:v>TR-A</x:v>
      </x:c>
      <x:c r="G120" s="7" t="str">
        <x:v>QE-02</x:v>
      </x:c>
      <x:c r="H120" s="7" t="str">
        <x:v>common utility neighbor</x:v>
      </x:c>
      <x:c r="I120" s="10" t="str">
        <x:v>inert, isolated and independently observed</x:v>
      </x:c>
      <x:c r="J120" s="7" t="str"/>
      <x:c r="K120" s="7" t="str">
        <x:v>OPEN</x:v>
      </x:c>
    </x:row>
    <x:row r="121" ht="36" customHeight="1">
      <x:c r="B121" s="7" t="str">
        <x:v>RAE-E-39-LN</x:v>
      </x:c>
      <x:c r="C121" s="7" t="str">
        <x:v>RAE-E-39</x:v>
      </x:c>
      <x:c r="D121" s="7" t="str">
        <x:v>RFP-C1</x:v>
      </x:c>
      <x:c r="E121" s="7" t="str">
        <x:v>AM-06</x:v>
      </x:c>
      <x:c r="F121" s="7" t="str">
        <x:v>TR-B</x:v>
      </x:c>
      <x:c r="G121" s="7" t="str">
        <x:v>QE-01</x:v>
      </x:c>
      <x:c r="H121" s="7" t="str">
        <x:v>left neighbor</x:v>
      </x:c>
      <x:c r="I121" s="10" t="str">
        <x:v>inert, isolated and independently observed</x:v>
      </x:c>
      <x:c r="J121" s="7" t="str"/>
      <x:c r="K121" s="7" t="str">
        <x:v>OPEN</x:v>
      </x:c>
    </x:row>
    <x:row r="122" ht="36" customHeight="1">
      <x:c r="B122" s="7" t="str">
        <x:v>RAE-E-39-RN</x:v>
      </x:c>
      <x:c r="C122" s="7" t="str">
        <x:v>RAE-E-39</x:v>
      </x:c>
      <x:c r="D122" s="7" t="str">
        <x:v>RFP-C1</x:v>
      </x:c>
      <x:c r="E122" s="7" t="str">
        <x:v>AM-06</x:v>
      </x:c>
      <x:c r="F122" s="7" t="str">
        <x:v>TR-B</x:v>
      </x:c>
      <x:c r="G122" s="7" t="str">
        <x:v>QE-01</x:v>
      </x:c>
      <x:c r="H122" s="7" t="str">
        <x:v>right neighbor</x:v>
      </x:c>
      <x:c r="I122" s="10" t="str">
        <x:v>inert, isolated and independently observed</x:v>
      </x:c>
      <x:c r="J122" s="7" t="str"/>
      <x:c r="K122" s="7" t="str">
        <x:v>OPEN</x:v>
      </x:c>
    </x:row>
    <x:row r="123" ht="36" customHeight="1">
      <x:c r="B123" s="7" t="str">
        <x:v>RAE-E-39-CUN</x:v>
      </x:c>
      <x:c r="C123" s="7" t="str">
        <x:v>RAE-E-39</x:v>
      </x:c>
      <x:c r="D123" s="7" t="str">
        <x:v>RFP-C1</x:v>
      </x:c>
      <x:c r="E123" s="7" t="str">
        <x:v>AM-06</x:v>
      </x:c>
      <x:c r="F123" s="7" t="str">
        <x:v>TR-B</x:v>
      </x:c>
      <x:c r="G123" s="7" t="str">
        <x:v>QE-01</x:v>
      </x:c>
      <x:c r="H123" s="7" t="str">
        <x:v>common utility neighbor</x:v>
      </x:c>
      <x:c r="I123" s="10" t="str">
        <x:v>inert, isolated and independently observed</x:v>
      </x:c>
      <x:c r="J123" s="7" t="str"/>
      <x:c r="K123" s="7" t="str">
        <x:v>OPEN</x:v>
      </x:c>
    </x:row>
    <x:row r="124" ht="36" customHeight="1">
      <x:c r="B124" s="7" t="str">
        <x:v>RAE-E-40-LN</x:v>
      </x:c>
      <x:c r="C124" s="7" t="str">
        <x:v>RAE-E-40</x:v>
      </x:c>
      <x:c r="D124" s="7" t="str">
        <x:v>RFP-C1</x:v>
      </x:c>
      <x:c r="E124" s="7" t="str">
        <x:v>AM-06</x:v>
      </x:c>
      <x:c r="F124" s="7" t="str">
        <x:v>TR-B</x:v>
      </x:c>
      <x:c r="G124" s="7" t="str">
        <x:v>QE-02</x:v>
      </x:c>
      <x:c r="H124" s="7" t="str">
        <x:v>left neighbor</x:v>
      </x:c>
      <x:c r="I124" s="10" t="str">
        <x:v>inert, isolated and independently observed</x:v>
      </x:c>
      <x:c r="J124" s="7" t="str"/>
      <x:c r="K124" s="7" t="str">
        <x:v>OPEN</x:v>
      </x:c>
    </x:row>
    <x:row r="125" ht="36" customHeight="1">
      <x:c r="B125" s="7" t="str">
        <x:v>RAE-E-40-RN</x:v>
      </x:c>
      <x:c r="C125" s="7" t="str">
        <x:v>RAE-E-40</x:v>
      </x:c>
      <x:c r="D125" s="7" t="str">
        <x:v>RFP-C1</x:v>
      </x:c>
      <x:c r="E125" s="7" t="str">
        <x:v>AM-06</x:v>
      </x:c>
      <x:c r="F125" s="7" t="str">
        <x:v>TR-B</x:v>
      </x:c>
      <x:c r="G125" s="7" t="str">
        <x:v>QE-02</x:v>
      </x:c>
      <x:c r="H125" s="7" t="str">
        <x:v>right neighbor</x:v>
      </x:c>
      <x:c r="I125" s="10" t="str">
        <x:v>inert, isolated and independently observed</x:v>
      </x:c>
      <x:c r="J125" s="7" t="str"/>
      <x:c r="K125" s="7" t="str">
        <x:v>OPEN</x:v>
      </x:c>
    </x:row>
    <x:row r="126" ht="36" customHeight="1">
      <x:c r="B126" s="7" t="str">
        <x:v>RAE-E-40-CUN</x:v>
      </x:c>
      <x:c r="C126" s="7" t="str">
        <x:v>RAE-E-40</x:v>
      </x:c>
      <x:c r="D126" s="7" t="str">
        <x:v>RFP-C1</x:v>
      </x:c>
      <x:c r="E126" s="7" t="str">
        <x:v>AM-06</x:v>
      </x:c>
      <x:c r="F126" s="7" t="str">
        <x:v>TR-B</x:v>
      </x:c>
      <x:c r="G126" s="7" t="str">
        <x:v>QE-02</x:v>
      </x:c>
      <x:c r="H126" s="7" t="str">
        <x:v>common utility neighbor</x:v>
      </x:c>
      <x:c r="I126" s="10" t="str">
        <x:v>inert, isolated and independently observed</x:v>
      </x:c>
      <x:c r="J126" s="7" t="str"/>
      <x:c r="K126" s="7" t="str">
        <x:v>OPEN</x:v>
      </x:c>
    </x:row>
    <x:row r="127" ht="36" customHeight="1">
      <x:c r="B127" s="7" t="str">
        <x:v>RAE-E-41-LN</x:v>
      </x:c>
      <x:c r="C127" s="7" t="str">
        <x:v>RAE-E-41</x:v>
      </x:c>
      <x:c r="D127" s="7" t="str">
        <x:v>RFP-C2</x:v>
      </x:c>
      <x:c r="E127" s="7" t="str">
        <x:v>AM-05</x:v>
      </x:c>
      <x:c r="F127" s="7" t="str">
        <x:v>TR-A</x:v>
      </x:c>
      <x:c r="G127" s="7" t="str">
        <x:v>QE-01</x:v>
      </x:c>
      <x:c r="H127" s="7" t="str">
        <x:v>left neighbor</x:v>
      </x:c>
      <x:c r="I127" s="10" t="str">
        <x:v>inert, isolated and independently observed</x:v>
      </x:c>
      <x:c r="J127" s="7" t="str"/>
      <x:c r="K127" s="7" t="str">
        <x:v>OPEN</x:v>
      </x:c>
    </x:row>
    <x:row r="128" ht="36" customHeight="1">
      <x:c r="B128" s="7" t="str">
        <x:v>RAE-E-41-RN</x:v>
      </x:c>
      <x:c r="C128" s="7" t="str">
        <x:v>RAE-E-41</x:v>
      </x:c>
      <x:c r="D128" s="7" t="str">
        <x:v>RFP-C2</x:v>
      </x:c>
      <x:c r="E128" s="7" t="str">
        <x:v>AM-05</x:v>
      </x:c>
      <x:c r="F128" s="7" t="str">
        <x:v>TR-A</x:v>
      </x:c>
      <x:c r="G128" s="7" t="str">
        <x:v>QE-01</x:v>
      </x:c>
      <x:c r="H128" s="7" t="str">
        <x:v>right neighbor</x:v>
      </x:c>
      <x:c r="I128" s="10" t="str">
        <x:v>inert, isolated and independently observed</x:v>
      </x:c>
      <x:c r="J128" s="7" t="str"/>
      <x:c r="K128" s="7" t="str">
        <x:v>OPEN</x:v>
      </x:c>
    </x:row>
    <x:row r="129" ht="36" customHeight="1">
      <x:c r="B129" s="7" t="str">
        <x:v>RAE-E-41-CUN</x:v>
      </x:c>
      <x:c r="C129" s="7" t="str">
        <x:v>RAE-E-41</x:v>
      </x:c>
      <x:c r="D129" s="7" t="str">
        <x:v>RFP-C2</x:v>
      </x:c>
      <x:c r="E129" s="7" t="str">
        <x:v>AM-05</x:v>
      </x:c>
      <x:c r="F129" s="7" t="str">
        <x:v>TR-A</x:v>
      </x:c>
      <x:c r="G129" s="7" t="str">
        <x:v>QE-01</x:v>
      </x:c>
      <x:c r="H129" s="7" t="str">
        <x:v>common utility neighbor</x:v>
      </x:c>
      <x:c r="I129" s="10" t="str">
        <x:v>inert, isolated and independently observed</x:v>
      </x:c>
      <x:c r="J129" s="7" t="str"/>
      <x:c r="K129" s="7" t="str">
        <x:v>OPEN</x:v>
      </x:c>
    </x:row>
    <x:row r="130" ht="36" customHeight="1">
      <x:c r="B130" s="7" t="str">
        <x:v>RAE-E-42-LN</x:v>
      </x:c>
      <x:c r="C130" s="7" t="str">
        <x:v>RAE-E-42</x:v>
      </x:c>
      <x:c r="D130" s="7" t="str">
        <x:v>RFP-C2</x:v>
      </x:c>
      <x:c r="E130" s="7" t="str">
        <x:v>AM-05</x:v>
      </x:c>
      <x:c r="F130" s="7" t="str">
        <x:v>TR-A</x:v>
      </x:c>
      <x:c r="G130" s="7" t="str">
        <x:v>QE-02</x:v>
      </x:c>
      <x:c r="H130" s="7" t="str">
        <x:v>left neighbor</x:v>
      </x:c>
      <x:c r="I130" s="10" t="str">
        <x:v>inert, isolated and independently observed</x:v>
      </x:c>
      <x:c r="J130" s="7" t="str"/>
      <x:c r="K130" s="7" t="str">
        <x:v>OPEN</x:v>
      </x:c>
    </x:row>
    <x:row r="131" ht="36" customHeight="1">
      <x:c r="B131" s="7" t="str">
        <x:v>RAE-E-42-RN</x:v>
      </x:c>
      <x:c r="C131" s="7" t="str">
        <x:v>RAE-E-42</x:v>
      </x:c>
      <x:c r="D131" s="7" t="str">
        <x:v>RFP-C2</x:v>
      </x:c>
      <x:c r="E131" s="7" t="str">
        <x:v>AM-05</x:v>
      </x:c>
      <x:c r="F131" s="7" t="str">
        <x:v>TR-A</x:v>
      </x:c>
      <x:c r="G131" s="7" t="str">
        <x:v>QE-02</x:v>
      </x:c>
      <x:c r="H131" s="7" t="str">
        <x:v>right neighbor</x:v>
      </x:c>
      <x:c r="I131" s="10" t="str">
        <x:v>inert, isolated and independently observed</x:v>
      </x:c>
      <x:c r="J131" s="7" t="str"/>
      <x:c r="K131" s="7" t="str">
        <x:v>OPEN</x:v>
      </x:c>
    </x:row>
    <x:row r="132" ht="36" customHeight="1">
      <x:c r="B132" s="7" t="str">
        <x:v>RAE-E-42-CUN</x:v>
      </x:c>
      <x:c r="C132" s="7" t="str">
        <x:v>RAE-E-42</x:v>
      </x:c>
      <x:c r="D132" s="7" t="str">
        <x:v>RFP-C2</x:v>
      </x:c>
      <x:c r="E132" s="7" t="str">
        <x:v>AM-05</x:v>
      </x:c>
      <x:c r="F132" s="7" t="str">
        <x:v>TR-A</x:v>
      </x:c>
      <x:c r="G132" s="7" t="str">
        <x:v>QE-02</x:v>
      </x:c>
      <x:c r="H132" s="7" t="str">
        <x:v>common utility neighbor</x:v>
      </x:c>
      <x:c r="I132" s="10" t="str">
        <x:v>inert, isolated and independently observed</x:v>
      </x:c>
      <x:c r="J132" s="7" t="str"/>
      <x:c r="K132" s="7" t="str">
        <x:v>OPEN</x:v>
      </x:c>
    </x:row>
    <x:row r="133" ht="36" customHeight="1">
      <x:c r="B133" s="7" t="str">
        <x:v>RAE-E-43-LN</x:v>
      </x:c>
      <x:c r="C133" s="7" t="str">
        <x:v>RAE-E-43</x:v>
      </x:c>
      <x:c r="D133" s="7" t="str">
        <x:v>RFP-C2</x:v>
      </x:c>
      <x:c r="E133" s="7" t="str">
        <x:v>AM-05</x:v>
      </x:c>
      <x:c r="F133" s="7" t="str">
        <x:v>TR-B</x:v>
      </x:c>
      <x:c r="G133" s="7" t="str">
        <x:v>QE-01</x:v>
      </x:c>
      <x:c r="H133" s="7" t="str">
        <x:v>left neighbor</x:v>
      </x:c>
      <x:c r="I133" s="10" t="str">
        <x:v>inert, isolated and independently observed</x:v>
      </x:c>
      <x:c r="J133" s="7" t="str"/>
      <x:c r="K133" s="7" t="str">
        <x:v>OPEN</x:v>
      </x:c>
    </x:row>
    <x:row r="134" ht="36" customHeight="1">
      <x:c r="B134" s="7" t="str">
        <x:v>RAE-E-43-RN</x:v>
      </x:c>
      <x:c r="C134" s="7" t="str">
        <x:v>RAE-E-43</x:v>
      </x:c>
      <x:c r="D134" s="7" t="str">
        <x:v>RFP-C2</x:v>
      </x:c>
      <x:c r="E134" s="7" t="str">
        <x:v>AM-05</x:v>
      </x:c>
      <x:c r="F134" s="7" t="str">
        <x:v>TR-B</x:v>
      </x:c>
      <x:c r="G134" s="7" t="str">
        <x:v>QE-01</x:v>
      </x:c>
      <x:c r="H134" s="7" t="str">
        <x:v>right neighbor</x:v>
      </x:c>
      <x:c r="I134" s="10" t="str">
        <x:v>inert, isolated and independently observed</x:v>
      </x:c>
      <x:c r="J134" s="7" t="str"/>
      <x:c r="K134" s="7" t="str">
        <x:v>OPEN</x:v>
      </x:c>
    </x:row>
    <x:row r="135" ht="36" customHeight="1">
      <x:c r="B135" s="7" t="str">
        <x:v>RAE-E-43-CUN</x:v>
      </x:c>
      <x:c r="C135" s="7" t="str">
        <x:v>RAE-E-43</x:v>
      </x:c>
      <x:c r="D135" s="7" t="str">
        <x:v>RFP-C2</x:v>
      </x:c>
      <x:c r="E135" s="7" t="str">
        <x:v>AM-05</x:v>
      </x:c>
      <x:c r="F135" s="7" t="str">
        <x:v>TR-B</x:v>
      </x:c>
      <x:c r="G135" s="7" t="str">
        <x:v>QE-01</x:v>
      </x:c>
      <x:c r="H135" s="7" t="str">
        <x:v>common utility neighbor</x:v>
      </x:c>
      <x:c r="I135" s="10" t="str">
        <x:v>inert, isolated and independently observed</x:v>
      </x:c>
      <x:c r="J135" s="7" t="str"/>
      <x:c r="K135" s="7" t="str">
        <x:v>OPEN</x:v>
      </x:c>
    </x:row>
    <x:row r="136" ht="36" customHeight="1">
      <x:c r="B136" s="7" t="str">
        <x:v>RAE-E-44-LN</x:v>
      </x:c>
      <x:c r="C136" s="7" t="str">
        <x:v>RAE-E-44</x:v>
      </x:c>
      <x:c r="D136" s="7" t="str">
        <x:v>RFP-C2</x:v>
      </x:c>
      <x:c r="E136" s="7" t="str">
        <x:v>AM-05</x:v>
      </x:c>
      <x:c r="F136" s="7" t="str">
        <x:v>TR-B</x:v>
      </x:c>
      <x:c r="G136" s="7" t="str">
        <x:v>QE-02</x:v>
      </x:c>
      <x:c r="H136" s="7" t="str">
        <x:v>left neighbor</x:v>
      </x:c>
      <x:c r="I136" s="10" t="str">
        <x:v>inert, isolated and independently observed</x:v>
      </x:c>
      <x:c r="J136" s="7" t="str"/>
      <x:c r="K136" s="7" t="str">
        <x:v>OPEN</x:v>
      </x:c>
    </x:row>
    <x:row r="137" ht="36" customHeight="1">
      <x:c r="B137" s="7" t="str">
        <x:v>RAE-E-44-RN</x:v>
      </x:c>
      <x:c r="C137" s="7" t="str">
        <x:v>RAE-E-44</x:v>
      </x:c>
      <x:c r="D137" s="7" t="str">
        <x:v>RFP-C2</x:v>
      </x:c>
      <x:c r="E137" s="7" t="str">
        <x:v>AM-05</x:v>
      </x:c>
      <x:c r="F137" s="7" t="str">
        <x:v>TR-B</x:v>
      </x:c>
      <x:c r="G137" s="7" t="str">
        <x:v>QE-02</x:v>
      </x:c>
      <x:c r="H137" s="7" t="str">
        <x:v>right neighbor</x:v>
      </x:c>
      <x:c r="I137" s="10" t="str">
        <x:v>inert, isolated and independently observed</x:v>
      </x:c>
      <x:c r="J137" s="7" t="str"/>
      <x:c r="K137" s="7" t="str">
        <x:v>OPEN</x:v>
      </x:c>
    </x:row>
    <x:row r="138" ht="36" customHeight="1">
      <x:c r="B138" s="7" t="str">
        <x:v>RAE-E-44-CUN</x:v>
      </x:c>
      <x:c r="C138" s="7" t="str">
        <x:v>RAE-E-44</x:v>
      </x:c>
      <x:c r="D138" s="7" t="str">
        <x:v>RFP-C2</x:v>
      </x:c>
      <x:c r="E138" s="7" t="str">
        <x:v>AM-05</x:v>
      </x:c>
      <x:c r="F138" s="7" t="str">
        <x:v>TR-B</x:v>
      </x:c>
      <x:c r="G138" s="7" t="str">
        <x:v>QE-02</x:v>
      </x:c>
      <x:c r="H138" s="7" t="str">
        <x:v>common utility neighbor</x:v>
      </x:c>
      <x:c r="I138" s="10" t="str">
        <x:v>inert, isolated and independently observed</x:v>
      </x:c>
      <x:c r="J138" s="7" t="str"/>
      <x:c r="K138" s="7" t="str">
        <x:v>OPEN</x:v>
      </x:c>
    </x:row>
    <x:row r="139" ht="36" customHeight="1">
      <x:c r="B139" s="7" t="str">
        <x:v>RAE-E-45-LN</x:v>
      </x:c>
      <x:c r="C139" s="7" t="str">
        <x:v>RAE-E-45</x:v>
      </x:c>
      <x:c r="D139" s="7" t="str">
        <x:v>RFP-C2</x:v>
      </x:c>
      <x:c r="E139" s="7" t="str">
        <x:v>AM-06</x:v>
      </x:c>
      <x:c r="F139" s="7" t="str">
        <x:v>TR-A</x:v>
      </x:c>
      <x:c r="G139" s="7" t="str">
        <x:v>QE-01</x:v>
      </x:c>
      <x:c r="H139" s="7" t="str">
        <x:v>left neighbor</x:v>
      </x:c>
      <x:c r="I139" s="10" t="str">
        <x:v>inert, isolated and independently observed</x:v>
      </x:c>
      <x:c r="J139" s="7" t="str"/>
      <x:c r="K139" s="7" t="str">
        <x:v>OPEN</x:v>
      </x:c>
    </x:row>
    <x:row r="140" ht="36" customHeight="1">
      <x:c r="B140" s="7" t="str">
        <x:v>RAE-E-45-RN</x:v>
      </x:c>
      <x:c r="C140" s="7" t="str">
        <x:v>RAE-E-45</x:v>
      </x:c>
      <x:c r="D140" s="7" t="str">
        <x:v>RFP-C2</x:v>
      </x:c>
      <x:c r="E140" s="7" t="str">
        <x:v>AM-06</x:v>
      </x:c>
      <x:c r="F140" s="7" t="str">
        <x:v>TR-A</x:v>
      </x:c>
      <x:c r="G140" s="7" t="str">
        <x:v>QE-01</x:v>
      </x:c>
      <x:c r="H140" s="7" t="str">
        <x:v>right neighbor</x:v>
      </x:c>
      <x:c r="I140" s="10" t="str">
        <x:v>inert, isolated and independently observed</x:v>
      </x:c>
      <x:c r="J140" s="7" t="str"/>
      <x:c r="K140" s="7" t="str">
        <x:v>OPEN</x:v>
      </x:c>
    </x:row>
    <x:row r="141" ht="36" customHeight="1">
      <x:c r="B141" s="7" t="str">
        <x:v>RAE-E-45-CUN</x:v>
      </x:c>
      <x:c r="C141" s="7" t="str">
        <x:v>RAE-E-45</x:v>
      </x:c>
      <x:c r="D141" s="7" t="str">
        <x:v>RFP-C2</x:v>
      </x:c>
      <x:c r="E141" s="7" t="str">
        <x:v>AM-06</x:v>
      </x:c>
      <x:c r="F141" s="7" t="str">
        <x:v>TR-A</x:v>
      </x:c>
      <x:c r="G141" s="7" t="str">
        <x:v>QE-01</x:v>
      </x:c>
      <x:c r="H141" s="7" t="str">
        <x:v>common utility neighbor</x:v>
      </x:c>
      <x:c r="I141" s="10" t="str">
        <x:v>inert, isolated and independently observed</x:v>
      </x:c>
      <x:c r="J141" s="7" t="str"/>
      <x:c r="K141" s="7" t="str">
        <x:v>OPEN</x:v>
      </x:c>
    </x:row>
    <x:row r="142" ht="36" customHeight="1">
      <x:c r="B142" s="7" t="str">
        <x:v>RAE-E-46-LN</x:v>
      </x:c>
      <x:c r="C142" s="7" t="str">
        <x:v>RAE-E-46</x:v>
      </x:c>
      <x:c r="D142" s="7" t="str">
        <x:v>RFP-C2</x:v>
      </x:c>
      <x:c r="E142" s="7" t="str">
        <x:v>AM-06</x:v>
      </x:c>
      <x:c r="F142" s="7" t="str">
        <x:v>TR-A</x:v>
      </x:c>
      <x:c r="G142" s="7" t="str">
        <x:v>QE-02</x:v>
      </x:c>
      <x:c r="H142" s="7" t="str">
        <x:v>left neighbor</x:v>
      </x:c>
      <x:c r="I142" s="10" t="str">
        <x:v>inert, isolated and independently observed</x:v>
      </x:c>
      <x:c r="J142" s="7" t="str"/>
      <x:c r="K142" s="7" t="str">
        <x:v>OPEN</x:v>
      </x:c>
    </x:row>
    <x:row r="143" ht="36" customHeight="1">
      <x:c r="B143" s="7" t="str">
        <x:v>RAE-E-46-RN</x:v>
      </x:c>
      <x:c r="C143" s="7" t="str">
        <x:v>RAE-E-46</x:v>
      </x:c>
      <x:c r="D143" s="7" t="str">
        <x:v>RFP-C2</x:v>
      </x:c>
      <x:c r="E143" s="7" t="str">
        <x:v>AM-06</x:v>
      </x:c>
      <x:c r="F143" s="7" t="str">
        <x:v>TR-A</x:v>
      </x:c>
      <x:c r="G143" s="7" t="str">
        <x:v>QE-02</x:v>
      </x:c>
      <x:c r="H143" s="7" t="str">
        <x:v>right neighbor</x:v>
      </x:c>
      <x:c r="I143" s="10" t="str">
        <x:v>inert, isolated and independently observed</x:v>
      </x:c>
      <x:c r="J143" s="7" t="str"/>
      <x:c r="K143" s="7" t="str">
        <x:v>OPEN</x:v>
      </x:c>
    </x:row>
    <x:row r="144" ht="36" customHeight="1">
      <x:c r="B144" s="7" t="str">
        <x:v>RAE-E-46-CUN</x:v>
      </x:c>
      <x:c r="C144" s="7" t="str">
        <x:v>RAE-E-46</x:v>
      </x:c>
      <x:c r="D144" s="7" t="str">
        <x:v>RFP-C2</x:v>
      </x:c>
      <x:c r="E144" s="7" t="str">
        <x:v>AM-06</x:v>
      </x:c>
      <x:c r="F144" s="7" t="str">
        <x:v>TR-A</x:v>
      </x:c>
      <x:c r="G144" s="7" t="str">
        <x:v>QE-02</x:v>
      </x:c>
      <x:c r="H144" s="7" t="str">
        <x:v>common utility neighbor</x:v>
      </x:c>
      <x:c r="I144" s="10" t="str">
        <x:v>inert, isolated and independently observed</x:v>
      </x:c>
      <x:c r="J144" s="7" t="str"/>
      <x:c r="K144" s="7" t="str">
        <x:v>OPEN</x:v>
      </x:c>
    </x:row>
    <x:row r="145" ht="36" customHeight="1">
      <x:c r="B145" s="7" t="str">
        <x:v>RAE-E-47-LN</x:v>
      </x:c>
      <x:c r="C145" s="7" t="str">
        <x:v>RAE-E-47</x:v>
      </x:c>
      <x:c r="D145" s="7" t="str">
        <x:v>RFP-C2</x:v>
      </x:c>
      <x:c r="E145" s="7" t="str">
        <x:v>AM-06</x:v>
      </x:c>
      <x:c r="F145" s="7" t="str">
        <x:v>TR-B</x:v>
      </x:c>
      <x:c r="G145" s="7" t="str">
        <x:v>QE-01</x:v>
      </x:c>
      <x:c r="H145" s="7" t="str">
        <x:v>left neighbor</x:v>
      </x:c>
      <x:c r="I145" s="10" t="str">
        <x:v>inert, isolated and independently observed</x:v>
      </x:c>
      <x:c r="J145" s="7" t="str"/>
      <x:c r="K145" s="7" t="str">
        <x:v>OPEN</x:v>
      </x:c>
    </x:row>
    <x:row r="146" ht="36" customHeight="1">
      <x:c r="B146" s="7" t="str">
        <x:v>RAE-E-47-RN</x:v>
      </x:c>
      <x:c r="C146" s="7" t="str">
        <x:v>RAE-E-47</x:v>
      </x:c>
      <x:c r="D146" s="7" t="str">
        <x:v>RFP-C2</x:v>
      </x:c>
      <x:c r="E146" s="7" t="str">
        <x:v>AM-06</x:v>
      </x:c>
      <x:c r="F146" s="7" t="str">
        <x:v>TR-B</x:v>
      </x:c>
      <x:c r="G146" s="7" t="str">
        <x:v>QE-01</x:v>
      </x:c>
      <x:c r="H146" s="7" t="str">
        <x:v>right neighbor</x:v>
      </x:c>
      <x:c r="I146" s="10" t="str">
        <x:v>inert, isolated and independently observed</x:v>
      </x:c>
      <x:c r="J146" s="7" t="str"/>
      <x:c r="K146" s="7" t="str">
        <x:v>OPEN</x:v>
      </x:c>
    </x:row>
    <x:row r="147" ht="36" customHeight="1">
      <x:c r="B147" s="7" t="str">
        <x:v>RAE-E-47-CUN</x:v>
      </x:c>
      <x:c r="C147" s="7" t="str">
        <x:v>RAE-E-47</x:v>
      </x:c>
      <x:c r="D147" s="7" t="str">
        <x:v>RFP-C2</x:v>
      </x:c>
      <x:c r="E147" s="7" t="str">
        <x:v>AM-06</x:v>
      </x:c>
      <x:c r="F147" s="7" t="str">
        <x:v>TR-B</x:v>
      </x:c>
      <x:c r="G147" s="7" t="str">
        <x:v>QE-01</x:v>
      </x:c>
      <x:c r="H147" s="7" t="str">
        <x:v>common utility neighbor</x:v>
      </x:c>
      <x:c r="I147" s="10" t="str">
        <x:v>inert, isolated and independently observed</x:v>
      </x:c>
      <x:c r="J147" s="7" t="str"/>
      <x:c r="K147" s="7" t="str">
        <x:v>OPEN</x:v>
      </x:c>
    </x:row>
    <x:row r="148" ht="36" customHeight="1">
      <x:c r="B148" s="7" t="str">
        <x:v>RAE-E-48-LN</x:v>
      </x:c>
      <x:c r="C148" s="7" t="str">
        <x:v>RAE-E-48</x:v>
      </x:c>
      <x:c r="D148" s="7" t="str">
        <x:v>RFP-C2</x:v>
      </x:c>
      <x:c r="E148" s="7" t="str">
        <x:v>AM-06</x:v>
      </x:c>
      <x:c r="F148" s="7" t="str">
        <x:v>TR-B</x:v>
      </x:c>
      <x:c r="G148" s="7" t="str">
        <x:v>QE-02</x:v>
      </x:c>
      <x:c r="H148" s="7" t="str">
        <x:v>left neighbor</x:v>
      </x:c>
      <x:c r="I148" s="10" t="str">
        <x:v>inert, isolated and independently observed</x:v>
      </x:c>
      <x:c r="J148" s="7" t="str"/>
      <x:c r="K148" s="7" t="str">
        <x:v>OPEN</x:v>
      </x:c>
    </x:row>
    <x:row r="149" ht="36" customHeight="1">
      <x:c r="B149" s="7" t="str">
        <x:v>RAE-E-48-RN</x:v>
      </x:c>
      <x:c r="C149" s="7" t="str">
        <x:v>RAE-E-48</x:v>
      </x:c>
      <x:c r="D149" s="7" t="str">
        <x:v>RFP-C2</x:v>
      </x:c>
      <x:c r="E149" s="7" t="str">
        <x:v>AM-06</x:v>
      </x:c>
      <x:c r="F149" s="7" t="str">
        <x:v>TR-B</x:v>
      </x:c>
      <x:c r="G149" s="7" t="str">
        <x:v>QE-02</x:v>
      </x:c>
      <x:c r="H149" s="7" t="str">
        <x:v>right neighbor</x:v>
      </x:c>
      <x:c r="I149" s="10" t="str">
        <x:v>inert, isolated and independently observed</x:v>
      </x:c>
      <x:c r="J149" s="7" t="str"/>
      <x:c r="K149" s="7" t="str">
        <x:v>OPEN</x:v>
      </x:c>
    </x:row>
    <x:row r="150" ht="36" customHeight="1">
      <x:c r="B150" s="7" t="str">
        <x:v>RAE-E-48-CUN</x:v>
      </x:c>
      <x:c r="C150" s="7" t="str">
        <x:v>RAE-E-48</x:v>
      </x:c>
      <x:c r="D150" s="7" t="str">
        <x:v>RFP-C2</x:v>
      </x:c>
      <x:c r="E150" s="7" t="str">
        <x:v>AM-06</x:v>
      </x:c>
      <x:c r="F150" s="7" t="str">
        <x:v>TR-B</x:v>
      </x:c>
      <x:c r="G150" s="7" t="str">
        <x:v>QE-02</x:v>
      </x:c>
      <x:c r="H150" s="7" t="str">
        <x:v>common utility neighbor</x:v>
      </x:c>
      <x:c r="I150" s="10" t="str">
        <x:v>inert, isolated and independently observed</x:v>
      </x:c>
      <x:c r="J150" s="7" t="str"/>
      <x:c r="K150" s="7" t="str">
        <x:v>OPEN</x:v>
      </x:c>
    </x:row>
  </x:sheetData>
  <x:conditionalFormatting sqref="K7:K150">
    <x:cfRule type="containsText" dxfId="117" priority="1" operator="containsText" text="FAIL"/>
    <x:cfRule type="containsText" dxfId="118" priority="2" operator="containsText" text="INVALID"/>
    <x:cfRule type="containsText" dxfId="119" priority="3" operator="containsText" text="BLOCKED"/>
    <x:cfRule type="containsText" dxfId="120" priority="4" operator="containsText" text="OPEN"/>
    <x:cfRule type="containsText" dxfId="121" priority="5" operator="containsText" text="HELD"/>
    <x:cfRule type="containsText" dxfId="122" priority="6" operator="containsText" text="DORMANT"/>
    <x:cfRule type="containsText" dxfId="123" priority="7" operator="containsText" text="PASS"/>
    <x:cfRule type="containsText" dxfId="124" priority="8" operator="containsText" text="VALID"/>
    <x:cfRule type="containsText" dxfId="125" priority="9" operator="containsText" text="ISSUED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13" hidden="0" customWidth="1"/>
    <x:col min="5" max="5" width="13" hidden="0" customWidth="1"/>
    <x:col min="6" max="6" width="12" hidden="0" customWidth="1"/>
    <x:col min="7" max="7" width="12" hidden="0" customWidth="1"/>
    <x:col min="8" max="8" width="14" hidden="0" customWidth="1"/>
    <x:col min="9" max="9" width="15" hidden="0" customWidth="1"/>
    <x:col min="10" max="10" width="19" hidden="0" customWidth="1"/>
    <x:col min="11" max="11" width="28" hidden="0" customWidth="1"/>
    <x:col min="12" max="12" width="18" hidden="0" customWidth="1"/>
    <x:col min="13" max="13" width="19" hidden="0" customWidth="1"/>
    <x:col min="14" max="14" width="18" hidden="0" customWidth="1"/>
    <x:col min="15" max="15" width="14" hidden="0" customWidth="1"/>
    <x:col min="16" max="16" width="19" hidden="0" customWidth="1"/>
    <x:col min="17" max="17" width="14" hidden="0" customWidth="1"/>
  </x:cols>
  <x:sheetData>
    <x:row r="2">
      <x:c r="B2" s="1" t="str">
        <x:v>Forty-eight required valid entry events</x:v>
      </x:c>
    </x:row>
    <x:row r="3">
      <x:c r="B3" s="2" t="str">
        <x:v>QE-01 and QE-02 are distinct registered propositions. A valid adverse result is retained; only an invalid attempt may use reserve.</x:v>
      </x:c>
    </x:row>
    <x:row r="6" ht="24" customHeight="1">
      <x:c r="B6" s="6" t="str">
        <x:v>Event</x:v>
      </x:c>
      <x:c r="C6" s="6" t="str">
        <x:v>Rig</x:v>
      </x:c>
      <x:c r="D6" s="6" t="str">
        <x:v>Campus</x:v>
      </x:c>
      <x:c r="E6" s="6" t="str">
        <x:v>Method</x:v>
      </x:c>
      <x:c r="F6" s="6" t="str">
        <x:v>Root</x:v>
      </x:c>
      <x:c r="G6" s="6" t="str">
        <x:v>Class</x:v>
      </x:c>
      <x:c r="H6" s="6" t="str">
        <x:v>Source kg</x:v>
      </x:c>
      <x:c r="I6" s="6" t="str">
        <x:v>Source m3</x:v>
      </x:c>
      <x:c r="J6" s="6" t="str">
        <x:v>Occupied area m2</x:v>
      </x:c>
      <x:c r="K6" s="6" t="str">
        <x:v>Source adapter</x:v>
      </x:c>
      <x:c r="L6" s="6" t="str">
        <x:v>Ignition state</x:v>
      </x:c>
      <x:c r="M6" s="6" t="str">
        <x:v>Source package</x:v>
      </x:c>
      <x:c r="N6" s="6" t="str">
        <x:v>Water package</x:v>
      </x:c>
      <x:c r="O6" s="6" t="str">
        <x:v>Rig-days</x:v>
      </x:c>
      <x:c r="P6" s="6" t="str">
        <x:v>Reference article</x:v>
      </x:c>
      <x:c r="Q6" s="6" t="str">
        <x:v>Issue state</x:v>
      </x:c>
    </x:row>
    <x:row r="7" ht="36" customHeight="1">
      <x:c r="B7" s="7" t="str">
        <x:v>RAE-E-01</x:v>
      </x:c>
      <x:c r="C7" s="7" t="str">
        <x:v>RFP-A1</x:v>
      </x:c>
      <x:c r="D7" s="7" t="str">
        <x:v>PTC-A</x:v>
      </x:c>
      <x:c r="E7" s="7" t="str">
        <x:v>AM-05</x:v>
      </x:c>
      <x:c r="F7" s="7" t="str">
        <x:v>TR-A</x:v>
      </x:c>
      <x:c r="G7" s="7" t="str">
        <x:v>QE-01</x:v>
      </x:c>
      <x:c r="H7" s="13" t="n">
        <x:v>0</x:v>
      </x:c>
      <x:c r="I7" s="13" t="n">
        <x:f>H7/'Controls'!$D$13</x:f>
        <x:v>0</x:v>
      </x:c>
      <x:c r="J7" s="13" t="n">
        <x:v>0</x:v>
      </x:c>
      <x:c r="K7" s="10" t="str">
        <x:v>sealed blank</x:v>
      </x:c>
      <x:c r="L7" s="7" t="str">
        <x:v>PROHIBITED</x:v>
      </x:c>
      <x:c r="M7" s="7" t="str">
        <x:v>n.a.</x:v>
      </x:c>
      <x:c r="N7" s="7" t="str">
        <x:v>RAE-WP-01</x:v>
      </x:c>
      <x:c r="O7" s="7" t="n">
        <x:v>2</x:v>
      </x:c>
      <x:c r="P7" s="7" t="str">
        <x:v>REA-100-01</x:v>
      </x:c>
      <x:c r="Q7" s="7" t="str">
        <x:v>OPEN</x:v>
      </x:c>
    </x:row>
    <x:row r="8" ht="36" customHeight="1">
      <x:c r="B8" s="7" t="str">
        <x:v>RAE-E-02</x:v>
      </x:c>
      <x:c r="C8" s="7" t="str">
        <x:v>RFP-A1</x:v>
      </x:c>
      <x:c r="D8" s="7" t="str">
        <x:v>PTC-A</x:v>
      </x:c>
      <x:c r="E8" s="7" t="str">
        <x:v>AM-05</x:v>
      </x:c>
      <x:c r="F8" s="7" t="str">
        <x:v>TR-A</x:v>
      </x:c>
      <x:c r="G8" s="7" t="str">
        <x:v>QE-02</x:v>
      </x:c>
      <x:c r="H8" s="13" t="n">
        <x:v>100</x:v>
      </x:c>
      <x:c r="I8" s="13" t="n">
        <x:f>H8/'Controls'!$D$13</x:f>
        <x:v>0.125</x:v>
      </x:c>
      <x:c r="J8" s="13" t="n">
        <x:v>2.5</x:v>
      </x:c>
      <x:c r="K8" s="10" t="str">
        <x:v>40 mm low-volume insert</x:v>
      </x:c>
      <x:c r="L8" s="7" t="str">
        <x:v>PROHIBITED</x:v>
      </x:c>
      <x:c r="M8" s="7" t="str">
        <x:v>RAE-SP-01</x:v>
      </x:c>
      <x:c r="N8" s="7" t="str">
        <x:v>RAE-WP-01</x:v>
      </x:c>
      <x:c r="O8" s="7" t="n">
        <x:v>3</x:v>
      </x:c>
      <x:c r="P8" s="7" t="str">
        <x:v>REA-100-01</x:v>
      </x:c>
      <x:c r="Q8" s="7" t="str">
        <x:v>OPEN</x:v>
      </x:c>
    </x:row>
    <x:row r="9" ht="36" customHeight="1">
      <x:c r="B9" s="7" t="str">
        <x:v>RAE-E-03</x:v>
      </x:c>
      <x:c r="C9" s="7" t="str">
        <x:v>RFP-A1</x:v>
      </x:c>
      <x:c r="D9" s="7" t="str">
        <x:v>PTC-A</x:v>
      </x:c>
      <x:c r="E9" s="7" t="str">
        <x:v>AM-05</x:v>
      </x:c>
      <x:c r="F9" s="7" t="str">
        <x:v>TR-B</x:v>
      </x:c>
      <x:c r="G9" s="7" t="str">
        <x:v>QE-01</x:v>
      </x:c>
      <x:c r="H9" s="13" t="n">
        <x:v>0</x:v>
      </x:c>
      <x:c r="I9" s="13" t="n">
        <x:f>H9/'Controls'!$D$13</x:f>
        <x:v>0</x:v>
      </x:c>
      <x:c r="J9" s="13" t="n">
        <x:v>0</x:v>
      </x:c>
      <x:c r="K9" s="10" t="str">
        <x:v>sealed blank</x:v>
      </x:c>
      <x:c r="L9" s="7" t="str">
        <x:v>PROHIBITED</x:v>
      </x:c>
      <x:c r="M9" s="7" t="str">
        <x:v>n.a.</x:v>
      </x:c>
      <x:c r="N9" s="7" t="str">
        <x:v>RAE-WP-02</x:v>
      </x:c>
      <x:c r="O9" s="7" t="n">
        <x:v>2</x:v>
      </x:c>
      <x:c r="P9" s="7" t="str">
        <x:v>REA-100-01</x:v>
      </x:c>
      <x:c r="Q9" s="7" t="str">
        <x:v>OPEN</x:v>
      </x:c>
    </x:row>
    <x:row r="10" ht="36" customHeight="1">
      <x:c r="B10" s="7" t="str">
        <x:v>RAE-E-04</x:v>
      </x:c>
      <x:c r="C10" s="7" t="str">
        <x:v>RFP-A1</x:v>
      </x:c>
      <x:c r="D10" s="7" t="str">
        <x:v>PTC-A</x:v>
      </x:c>
      <x:c r="E10" s="7" t="str">
        <x:v>AM-05</x:v>
      </x:c>
      <x:c r="F10" s="7" t="str">
        <x:v>TR-B</x:v>
      </x:c>
      <x:c r="G10" s="7" t="str">
        <x:v>QE-02</x:v>
      </x:c>
      <x:c r="H10" s="13" t="n">
        <x:v>100</x:v>
      </x:c>
      <x:c r="I10" s="13" t="n">
        <x:f>H10/'Controls'!$D$13</x:f>
        <x:v>0.125</x:v>
      </x:c>
      <x:c r="J10" s="13" t="n">
        <x:v>2.5</x:v>
      </x:c>
      <x:c r="K10" s="10" t="str">
        <x:v>40 mm low-volume insert</x:v>
      </x:c>
      <x:c r="L10" s="7" t="str">
        <x:v>PROHIBITED</x:v>
      </x:c>
      <x:c r="M10" s="7" t="str">
        <x:v>RAE-SP-07</x:v>
      </x:c>
      <x:c r="N10" s="7" t="str">
        <x:v>RAE-WP-02</x:v>
      </x:c>
      <x:c r="O10" s="7" t="n">
        <x:v>3</x:v>
      </x:c>
      <x:c r="P10" s="7" t="str">
        <x:v>REA-100-01</x:v>
      </x:c>
      <x:c r="Q10" s="7" t="str">
        <x:v>OPEN</x:v>
      </x:c>
    </x:row>
    <x:row r="11" ht="36" customHeight="1">
      <x:c r="B11" s="7" t="str">
        <x:v>RAE-E-05</x:v>
      </x:c>
      <x:c r="C11" s="7" t="str">
        <x:v>RFP-A1</x:v>
      </x:c>
      <x:c r="D11" s="7" t="str">
        <x:v>PTC-A</x:v>
      </x:c>
      <x:c r="E11" s="7" t="str">
        <x:v>AM-06</x:v>
      </x:c>
      <x:c r="F11" s="7" t="str">
        <x:v>TR-A</x:v>
      </x:c>
      <x:c r="G11" s="7" t="str">
        <x:v>QE-01</x:v>
      </x:c>
      <x:c r="H11" s="13" t="n">
        <x:v>0</x:v>
      </x:c>
      <x:c r="I11" s="13" t="n">
        <x:f>H11/'Controls'!$D$13</x:f>
        <x:v>0</x:v>
      </x:c>
      <x:c r="J11" s="13" t="n">
        <x:v>0</x:v>
      </x:c>
      <x:c r="K11" s="10" t="str">
        <x:v>sealed blank</x:v>
      </x:c>
      <x:c r="L11" s="7" t="str">
        <x:v>PROHIBITED</x:v>
      </x:c>
      <x:c r="M11" s="7" t="str">
        <x:v>n.a.</x:v>
      </x:c>
      <x:c r="N11" s="7" t="str">
        <x:v>RAE-WP-01</x:v>
      </x:c>
      <x:c r="O11" s="7" t="n">
        <x:v>2</x:v>
      </x:c>
      <x:c r="P11" s="7" t="str">
        <x:v>REA-100-01</x:v>
      </x:c>
      <x:c r="Q11" s="7" t="str">
        <x:v>OPEN</x:v>
      </x:c>
    </x:row>
    <x:row r="12" ht="36" customHeight="1">
      <x:c r="B12" s="7" t="str">
        <x:v>RAE-E-06</x:v>
      </x:c>
      <x:c r="C12" s="7" t="str">
        <x:v>RFP-A1</x:v>
      </x:c>
      <x:c r="D12" s="7" t="str">
        <x:v>PTC-A</x:v>
      </x:c>
      <x:c r="E12" s="7" t="str">
        <x:v>AM-06</x:v>
      </x:c>
      <x:c r="F12" s="7" t="str">
        <x:v>TR-A</x:v>
      </x:c>
      <x:c r="G12" s="7" t="str">
        <x:v>QE-02</x:v>
      </x:c>
      <x:c r="H12" s="13" t="n">
        <x:v>100</x:v>
      </x:c>
      <x:c r="I12" s="13" t="n">
        <x:f>H12/'Controls'!$D$13</x:f>
        <x:v>0.125</x:v>
      </x:c>
      <x:c r="J12" s="13" t="n">
        <x:v>2.5</x:v>
      </x:c>
      <x:c r="K12" s="10" t="str">
        <x:v>40 mm low-volume insert</x:v>
      </x:c>
      <x:c r="L12" s="7" t="str">
        <x:v>OPPORTUNITY</x:v>
      </x:c>
      <x:c r="M12" s="7" t="str">
        <x:v>RAE-SP-13</x:v>
      </x:c>
      <x:c r="N12" s="7" t="str">
        <x:v>RAE-WP-01</x:v>
      </x:c>
      <x:c r="O12" s="7" t="n">
        <x:v>3</x:v>
      </x:c>
      <x:c r="P12" s="7" t="str">
        <x:v>REA-100-01</x:v>
      </x:c>
      <x:c r="Q12" s="7" t="str">
        <x:v>OPEN</x:v>
      </x:c>
    </x:row>
    <x:row r="13" ht="36" customHeight="1">
      <x:c r="B13" s="7" t="str">
        <x:v>RAE-E-07</x:v>
      </x:c>
      <x:c r="C13" s="7" t="str">
        <x:v>RFP-A1</x:v>
      </x:c>
      <x:c r="D13" s="7" t="str">
        <x:v>PTC-A</x:v>
      </x:c>
      <x:c r="E13" s="7" t="str">
        <x:v>AM-06</x:v>
      </x:c>
      <x:c r="F13" s="7" t="str">
        <x:v>TR-B</x:v>
      </x:c>
      <x:c r="G13" s="7" t="str">
        <x:v>QE-01</x:v>
      </x:c>
      <x:c r="H13" s="13" t="n">
        <x:v>0</x:v>
      </x:c>
      <x:c r="I13" s="13" t="n">
        <x:f>H13/'Controls'!$D$13</x:f>
        <x:v>0</x:v>
      </x:c>
      <x:c r="J13" s="13" t="n">
        <x:v>0</x:v>
      </x:c>
      <x:c r="K13" s="10" t="str">
        <x:v>sealed blank</x:v>
      </x:c>
      <x:c r="L13" s="7" t="str">
        <x:v>PROHIBITED</x:v>
      </x:c>
      <x:c r="M13" s="7" t="str">
        <x:v>n.a.</x:v>
      </x:c>
      <x:c r="N13" s="7" t="str">
        <x:v>RAE-WP-02</x:v>
      </x:c>
      <x:c r="O13" s="7" t="n">
        <x:v>2</x:v>
      </x:c>
      <x:c r="P13" s="7" t="str">
        <x:v>REA-100-01</x:v>
      </x:c>
      <x:c r="Q13" s="7" t="str">
        <x:v>OPEN</x:v>
      </x:c>
    </x:row>
    <x:row r="14" ht="36" customHeight="1">
      <x:c r="B14" s="7" t="str">
        <x:v>RAE-E-08</x:v>
      </x:c>
      <x:c r="C14" s="7" t="str">
        <x:v>RFP-A1</x:v>
      </x:c>
      <x:c r="D14" s="7" t="str">
        <x:v>PTC-A</x:v>
      </x:c>
      <x:c r="E14" s="7" t="str">
        <x:v>AM-06</x:v>
      </x:c>
      <x:c r="F14" s="7" t="str">
        <x:v>TR-B</x:v>
      </x:c>
      <x:c r="G14" s="7" t="str">
        <x:v>QE-02</x:v>
      </x:c>
      <x:c r="H14" s="13" t="n">
        <x:v>100</x:v>
      </x:c>
      <x:c r="I14" s="13" t="n">
        <x:f>H14/'Controls'!$D$13</x:f>
        <x:v>0.125</x:v>
      </x:c>
      <x:c r="J14" s="13" t="n">
        <x:v>2.5</x:v>
      </x:c>
      <x:c r="K14" s="10" t="str">
        <x:v>40 mm low-volume insert</x:v>
      </x:c>
      <x:c r="L14" s="7" t="str">
        <x:v>OPPORTUNITY</x:v>
      </x:c>
      <x:c r="M14" s="7" t="str">
        <x:v>RAE-SP-19</x:v>
      </x:c>
      <x:c r="N14" s="7" t="str">
        <x:v>RAE-WP-02</x:v>
      </x:c>
      <x:c r="O14" s="7" t="n">
        <x:v>3</x:v>
      </x:c>
      <x:c r="P14" s="7" t="str">
        <x:v>REA-100-01</x:v>
      </x:c>
      <x:c r="Q14" s="7" t="str">
        <x:v>OPEN</x:v>
      </x:c>
    </x:row>
    <x:row r="15" ht="36" customHeight="1">
      <x:c r="B15" s="7" t="str">
        <x:v>RAE-E-09</x:v>
      </x:c>
      <x:c r="C15" s="7" t="str">
        <x:v>RFP-A2</x:v>
      </x:c>
      <x:c r="D15" s="7" t="str">
        <x:v>PTC-A</x:v>
      </x:c>
      <x:c r="E15" s="7" t="str">
        <x:v>AM-05</x:v>
      </x:c>
      <x:c r="F15" s="7" t="str">
        <x:v>TR-A</x:v>
      </x:c>
      <x:c r="G15" s="7" t="str">
        <x:v>QE-01</x:v>
      </x:c>
      <x:c r="H15" s="13" t="n">
        <x:v>0</x:v>
      </x:c>
      <x:c r="I15" s="13" t="n">
        <x:f>H15/'Controls'!$D$13</x:f>
        <x:v>0</x:v>
      </x:c>
      <x:c r="J15" s="13" t="n">
        <x:v>0</x:v>
      </x:c>
      <x:c r="K15" s="10" t="str">
        <x:v>sealed blank</x:v>
      </x:c>
      <x:c r="L15" s="7" t="str">
        <x:v>PROHIBITED</x:v>
      </x:c>
      <x:c r="M15" s="7" t="str">
        <x:v>n.a.</x:v>
      </x:c>
      <x:c r="N15" s="7" t="str">
        <x:v>RAE-WP-03</x:v>
      </x:c>
      <x:c r="O15" s="7" t="n">
        <x:v>2</x:v>
      </x:c>
      <x:c r="P15" s="7" t="str">
        <x:v>REA-100-02</x:v>
      </x:c>
      <x:c r="Q15" s="7" t="str">
        <x:v>OPEN</x:v>
      </x:c>
    </x:row>
    <x:row r="16" ht="36" customHeight="1">
      <x:c r="B16" s="7" t="str">
        <x:v>RAE-E-10</x:v>
      </x:c>
      <x:c r="C16" s="7" t="str">
        <x:v>RFP-A2</x:v>
      </x:c>
      <x:c r="D16" s="7" t="str">
        <x:v>PTC-A</x:v>
      </x:c>
      <x:c r="E16" s="7" t="str">
        <x:v>AM-05</x:v>
      </x:c>
      <x:c r="F16" s="7" t="str">
        <x:v>TR-A</x:v>
      </x:c>
      <x:c r="G16" s="7" t="str">
        <x:v>QE-02</x:v>
      </x:c>
      <x:c r="H16" s="13" t="n">
        <x:v>100</x:v>
      </x:c>
      <x:c r="I16" s="13" t="n">
        <x:f>H16/'Controls'!$D$13</x:f>
        <x:v>0.125</x:v>
      </x:c>
      <x:c r="J16" s="13" t="n">
        <x:v>2.5</x:v>
      </x:c>
      <x:c r="K16" s="10" t="str">
        <x:v>40 mm low-volume insert</x:v>
      </x:c>
      <x:c r="L16" s="7" t="str">
        <x:v>PROHIBITED</x:v>
      </x:c>
      <x:c r="M16" s="7" t="str">
        <x:v>RAE-SP-02</x:v>
      </x:c>
      <x:c r="N16" s="7" t="str">
        <x:v>RAE-WP-03</x:v>
      </x:c>
      <x:c r="O16" s="7" t="n">
        <x:v>3</x:v>
      </x:c>
      <x:c r="P16" s="7" t="str">
        <x:v>REA-100-02</x:v>
      </x:c>
      <x:c r="Q16" s="7" t="str">
        <x:v>OPEN</x:v>
      </x:c>
    </x:row>
    <x:row r="17" ht="36" customHeight="1">
      <x:c r="B17" s="7" t="str">
        <x:v>RAE-E-11</x:v>
      </x:c>
      <x:c r="C17" s="7" t="str">
        <x:v>RFP-A2</x:v>
      </x:c>
      <x:c r="D17" s="7" t="str">
        <x:v>PTC-A</x:v>
      </x:c>
      <x:c r="E17" s="7" t="str">
        <x:v>AM-05</x:v>
      </x:c>
      <x:c r="F17" s="7" t="str">
        <x:v>TR-B</x:v>
      </x:c>
      <x:c r="G17" s="7" t="str">
        <x:v>QE-01</x:v>
      </x:c>
      <x:c r="H17" s="13" t="n">
        <x:v>0</x:v>
      </x:c>
      <x:c r="I17" s="13" t="n">
        <x:f>H17/'Controls'!$D$13</x:f>
        <x:v>0</x:v>
      </x:c>
      <x:c r="J17" s="13" t="n">
        <x:v>0</x:v>
      </x:c>
      <x:c r="K17" s="10" t="str">
        <x:v>sealed blank</x:v>
      </x:c>
      <x:c r="L17" s="7" t="str">
        <x:v>PROHIBITED</x:v>
      </x:c>
      <x:c r="M17" s="7" t="str">
        <x:v>n.a.</x:v>
      </x:c>
      <x:c r="N17" s="7" t="str">
        <x:v>RAE-WP-04</x:v>
      </x:c>
      <x:c r="O17" s="7" t="n">
        <x:v>2</x:v>
      </x:c>
      <x:c r="P17" s="7" t="str">
        <x:v>REA-100-02</x:v>
      </x:c>
      <x:c r="Q17" s="7" t="str">
        <x:v>OPEN</x:v>
      </x:c>
    </x:row>
    <x:row r="18" ht="36" customHeight="1">
      <x:c r="B18" s="7" t="str">
        <x:v>RAE-E-12</x:v>
      </x:c>
      <x:c r="C18" s="7" t="str">
        <x:v>RFP-A2</x:v>
      </x:c>
      <x:c r="D18" s="7" t="str">
        <x:v>PTC-A</x:v>
      </x:c>
      <x:c r="E18" s="7" t="str">
        <x:v>AM-05</x:v>
      </x:c>
      <x:c r="F18" s="7" t="str">
        <x:v>TR-B</x:v>
      </x:c>
      <x:c r="G18" s="7" t="str">
        <x:v>QE-02</x:v>
      </x:c>
      <x:c r="H18" s="13" t="n">
        <x:v>100</x:v>
      </x:c>
      <x:c r="I18" s="13" t="n">
        <x:f>H18/'Controls'!$D$13</x:f>
        <x:v>0.125</x:v>
      </x:c>
      <x:c r="J18" s="13" t="n">
        <x:v>2.5</x:v>
      </x:c>
      <x:c r="K18" s="10" t="str">
        <x:v>40 mm low-volume insert</x:v>
      </x:c>
      <x:c r="L18" s="7" t="str">
        <x:v>PROHIBITED</x:v>
      </x:c>
      <x:c r="M18" s="7" t="str">
        <x:v>RAE-SP-08</x:v>
      </x:c>
      <x:c r="N18" s="7" t="str">
        <x:v>RAE-WP-04</x:v>
      </x:c>
      <x:c r="O18" s="7" t="n">
        <x:v>3</x:v>
      </x:c>
      <x:c r="P18" s="7" t="str">
        <x:v>REA-100-02</x:v>
      </x:c>
      <x:c r="Q18" s="7" t="str">
        <x:v>OPEN</x:v>
      </x:c>
    </x:row>
    <x:row r="19" ht="36" customHeight="1">
      <x:c r="B19" s="7" t="str">
        <x:v>RAE-E-13</x:v>
      </x:c>
      <x:c r="C19" s="7" t="str">
        <x:v>RFP-A2</x:v>
      </x:c>
      <x:c r="D19" s="7" t="str">
        <x:v>PTC-A</x:v>
      </x:c>
      <x:c r="E19" s="7" t="str">
        <x:v>AM-06</x:v>
      </x:c>
      <x:c r="F19" s="7" t="str">
        <x:v>TR-A</x:v>
      </x:c>
      <x:c r="G19" s="7" t="str">
        <x:v>QE-01</x:v>
      </x:c>
      <x:c r="H19" s="13" t="n">
        <x:v>0</x:v>
      </x:c>
      <x:c r="I19" s="13" t="n">
        <x:f>H19/'Controls'!$D$13</x:f>
        <x:v>0</x:v>
      </x:c>
      <x:c r="J19" s="13" t="n">
        <x:v>0</x:v>
      </x:c>
      <x:c r="K19" s="10" t="str">
        <x:v>sealed blank</x:v>
      </x:c>
      <x:c r="L19" s="7" t="str">
        <x:v>PROHIBITED</x:v>
      </x:c>
      <x:c r="M19" s="7" t="str">
        <x:v>n.a.</x:v>
      </x:c>
      <x:c r="N19" s="7" t="str">
        <x:v>RAE-WP-03</x:v>
      </x:c>
      <x:c r="O19" s="7" t="n">
        <x:v>2</x:v>
      </x:c>
      <x:c r="P19" s="7" t="str">
        <x:v>REA-100-02</x:v>
      </x:c>
      <x:c r="Q19" s="7" t="str">
        <x:v>OPEN</x:v>
      </x:c>
    </x:row>
    <x:row r="20" ht="36" customHeight="1">
      <x:c r="B20" s="7" t="str">
        <x:v>RAE-E-14</x:v>
      </x:c>
      <x:c r="C20" s="7" t="str">
        <x:v>RFP-A2</x:v>
      </x:c>
      <x:c r="D20" s="7" t="str">
        <x:v>PTC-A</x:v>
      </x:c>
      <x:c r="E20" s="7" t="str">
        <x:v>AM-06</x:v>
      </x:c>
      <x:c r="F20" s="7" t="str">
        <x:v>TR-A</x:v>
      </x:c>
      <x:c r="G20" s="7" t="str">
        <x:v>QE-02</x:v>
      </x:c>
      <x:c r="H20" s="13" t="n">
        <x:v>100</x:v>
      </x:c>
      <x:c r="I20" s="13" t="n">
        <x:f>H20/'Controls'!$D$13</x:f>
        <x:v>0.125</x:v>
      </x:c>
      <x:c r="J20" s="13" t="n">
        <x:v>2.5</x:v>
      </x:c>
      <x:c r="K20" s="10" t="str">
        <x:v>40 mm low-volume insert</x:v>
      </x:c>
      <x:c r="L20" s="7" t="str">
        <x:v>OPPORTUNITY</x:v>
      </x:c>
      <x:c r="M20" s="7" t="str">
        <x:v>RAE-SP-14</x:v>
      </x:c>
      <x:c r="N20" s="7" t="str">
        <x:v>RAE-WP-03</x:v>
      </x:c>
      <x:c r="O20" s="7" t="n">
        <x:v>3</x:v>
      </x:c>
      <x:c r="P20" s="7" t="str">
        <x:v>REA-100-02</x:v>
      </x:c>
      <x:c r="Q20" s="7" t="str">
        <x:v>OPEN</x:v>
      </x:c>
    </x:row>
    <x:row r="21" ht="36" customHeight="1">
      <x:c r="B21" s="7" t="str">
        <x:v>RAE-E-15</x:v>
      </x:c>
      <x:c r="C21" s="7" t="str">
        <x:v>RFP-A2</x:v>
      </x:c>
      <x:c r="D21" s="7" t="str">
        <x:v>PTC-A</x:v>
      </x:c>
      <x:c r="E21" s="7" t="str">
        <x:v>AM-06</x:v>
      </x:c>
      <x:c r="F21" s="7" t="str">
        <x:v>TR-B</x:v>
      </x:c>
      <x:c r="G21" s="7" t="str">
        <x:v>QE-01</x:v>
      </x:c>
      <x:c r="H21" s="13" t="n">
        <x:v>0</x:v>
      </x:c>
      <x:c r="I21" s="13" t="n">
        <x:f>H21/'Controls'!$D$13</x:f>
        <x:v>0</x:v>
      </x:c>
      <x:c r="J21" s="13" t="n">
        <x:v>0</x:v>
      </x:c>
      <x:c r="K21" s="10" t="str">
        <x:v>sealed blank</x:v>
      </x:c>
      <x:c r="L21" s="7" t="str">
        <x:v>PROHIBITED</x:v>
      </x:c>
      <x:c r="M21" s="7" t="str">
        <x:v>n.a.</x:v>
      </x:c>
      <x:c r="N21" s="7" t="str">
        <x:v>RAE-WP-04</x:v>
      </x:c>
      <x:c r="O21" s="7" t="n">
        <x:v>2</x:v>
      </x:c>
      <x:c r="P21" s="7" t="str">
        <x:v>REA-100-02</x:v>
      </x:c>
      <x:c r="Q21" s="7" t="str">
        <x:v>OPEN</x:v>
      </x:c>
    </x:row>
    <x:row r="22" ht="36" customHeight="1">
      <x:c r="B22" s="7" t="str">
        <x:v>RAE-E-16</x:v>
      </x:c>
      <x:c r="C22" s="7" t="str">
        <x:v>RFP-A2</x:v>
      </x:c>
      <x:c r="D22" s="7" t="str">
        <x:v>PTC-A</x:v>
      </x:c>
      <x:c r="E22" s="7" t="str">
        <x:v>AM-06</x:v>
      </x:c>
      <x:c r="F22" s="7" t="str">
        <x:v>TR-B</x:v>
      </x:c>
      <x:c r="G22" s="7" t="str">
        <x:v>QE-02</x:v>
      </x:c>
      <x:c r="H22" s="13" t="n">
        <x:v>100</x:v>
      </x:c>
      <x:c r="I22" s="13" t="n">
        <x:f>H22/'Controls'!$D$13</x:f>
        <x:v>0.125</x:v>
      </x:c>
      <x:c r="J22" s="13" t="n">
        <x:v>2.5</x:v>
      </x:c>
      <x:c r="K22" s="10" t="str">
        <x:v>40 mm low-volume insert</x:v>
      </x:c>
      <x:c r="L22" s="7" t="str">
        <x:v>OPPORTUNITY</x:v>
      </x:c>
      <x:c r="M22" s="7" t="str">
        <x:v>RAE-SP-20</x:v>
      </x:c>
      <x:c r="N22" s="7" t="str">
        <x:v>RAE-WP-04</x:v>
      </x:c>
      <x:c r="O22" s="7" t="n">
        <x:v>3</x:v>
      </x:c>
      <x:c r="P22" s="7" t="str">
        <x:v>REA-100-02</x:v>
      </x:c>
      <x:c r="Q22" s="7" t="str">
        <x:v>OPEN</x:v>
      </x:c>
    </x:row>
    <x:row r="23" ht="36" customHeight="1">
      <x:c r="B23" s="7" t="str">
        <x:v>RAE-E-17</x:v>
      </x:c>
      <x:c r="C23" s="7" t="str">
        <x:v>RFP-B1</x:v>
      </x:c>
      <x:c r="D23" s="7" t="str">
        <x:v>PTC-B</x:v>
      </x:c>
      <x:c r="E23" s="7" t="str">
        <x:v>AM-05</x:v>
      </x:c>
      <x:c r="F23" s="7" t="str">
        <x:v>TR-A</x:v>
      </x:c>
      <x:c r="G23" s="7" t="str">
        <x:v>QE-01</x:v>
      </x:c>
      <x:c r="H23" s="13" t="n">
        <x:v>0</x:v>
      </x:c>
      <x:c r="I23" s="13" t="n">
        <x:f>H23/'Controls'!$D$13</x:f>
        <x:v>0</x:v>
      </x:c>
      <x:c r="J23" s="13" t="n">
        <x:v>0</x:v>
      </x:c>
      <x:c r="K23" s="10" t="str">
        <x:v>sealed blank</x:v>
      </x:c>
      <x:c r="L23" s="7" t="str">
        <x:v>PROHIBITED</x:v>
      </x:c>
      <x:c r="M23" s="7" t="str">
        <x:v>n.a.</x:v>
      </x:c>
      <x:c r="N23" s="7" t="str">
        <x:v>RAE-WP-05</x:v>
      </x:c>
      <x:c r="O23" s="7" t="n">
        <x:v>2</x:v>
      </x:c>
      <x:c r="P23" s="7" t="str">
        <x:v>REA-100-03</x:v>
      </x:c>
      <x:c r="Q23" s="7" t="str">
        <x:v>OPEN</x:v>
      </x:c>
    </x:row>
    <x:row r="24" ht="36" customHeight="1">
      <x:c r="B24" s="7" t="str">
        <x:v>RAE-E-18</x:v>
      </x:c>
      <x:c r="C24" s="7" t="str">
        <x:v>RFP-B1</x:v>
      </x:c>
      <x:c r="D24" s="7" t="str">
        <x:v>PTC-B</x:v>
      </x:c>
      <x:c r="E24" s="7" t="str">
        <x:v>AM-05</x:v>
      </x:c>
      <x:c r="F24" s="7" t="str">
        <x:v>TR-A</x:v>
      </x:c>
      <x:c r="G24" s="7" t="str">
        <x:v>QE-02</x:v>
      </x:c>
      <x:c r="H24" s="13" t="n">
        <x:v>100</x:v>
      </x:c>
      <x:c r="I24" s="13" t="n">
        <x:f>H24/'Controls'!$D$13</x:f>
        <x:v>0.125</x:v>
      </x:c>
      <x:c r="J24" s="13" t="n">
        <x:v>2.5</x:v>
      </x:c>
      <x:c r="K24" s="10" t="str">
        <x:v>40 mm low-volume insert</x:v>
      </x:c>
      <x:c r="L24" s="7" t="str">
        <x:v>PROHIBITED</x:v>
      </x:c>
      <x:c r="M24" s="7" t="str">
        <x:v>RAE-SP-03</x:v>
      </x:c>
      <x:c r="N24" s="7" t="str">
        <x:v>RAE-WP-05</x:v>
      </x:c>
      <x:c r="O24" s="7" t="n">
        <x:v>3</x:v>
      </x:c>
      <x:c r="P24" s="7" t="str">
        <x:v>REA-100-03</x:v>
      </x:c>
      <x:c r="Q24" s="7" t="str">
        <x:v>OPEN</x:v>
      </x:c>
    </x:row>
    <x:row r="25" ht="36" customHeight="1">
      <x:c r="B25" s="7" t="str">
        <x:v>RAE-E-19</x:v>
      </x:c>
      <x:c r="C25" s="7" t="str">
        <x:v>RFP-B1</x:v>
      </x:c>
      <x:c r="D25" s="7" t="str">
        <x:v>PTC-B</x:v>
      </x:c>
      <x:c r="E25" s="7" t="str">
        <x:v>AM-05</x:v>
      </x:c>
      <x:c r="F25" s="7" t="str">
        <x:v>TR-B</x:v>
      </x:c>
      <x:c r="G25" s="7" t="str">
        <x:v>QE-01</x:v>
      </x:c>
      <x:c r="H25" s="13" t="n">
        <x:v>0</x:v>
      </x:c>
      <x:c r="I25" s="13" t="n">
        <x:f>H25/'Controls'!$D$13</x:f>
        <x:v>0</x:v>
      </x:c>
      <x:c r="J25" s="13" t="n">
        <x:v>0</x:v>
      </x:c>
      <x:c r="K25" s="10" t="str">
        <x:v>sealed blank</x:v>
      </x:c>
      <x:c r="L25" s="7" t="str">
        <x:v>PROHIBITED</x:v>
      </x:c>
      <x:c r="M25" s="7" t="str">
        <x:v>n.a.</x:v>
      </x:c>
      <x:c r="N25" s="7" t="str">
        <x:v>RAE-WP-06</x:v>
      </x:c>
      <x:c r="O25" s="7" t="n">
        <x:v>2</x:v>
      </x:c>
      <x:c r="P25" s="7" t="str">
        <x:v>REA-100-03</x:v>
      </x:c>
      <x:c r="Q25" s="7" t="str">
        <x:v>OPEN</x:v>
      </x:c>
    </x:row>
    <x:row r="26" ht="36" customHeight="1">
      <x:c r="B26" s="7" t="str">
        <x:v>RAE-E-20</x:v>
      </x:c>
      <x:c r="C26" s="7" t="str">
        <x:v>RFP-B1</x:v>
      </x:c>
      <x:c r="D26" s="7" t="str">
        <x:v>PTC-B</x:v>
      </x:c>
      <x:c r="E26" s="7" t="str">
        <x:v>AM-05</x:v>
      </x:c>
      <x:c r="F26" s="7" t="str">
        <x:v>TR-B</x:v>
      </x:c>
      <x:c r="G26" s="7" t="str">
        <x:v>QE-02</x:v>
      </x:c>
      <x:c r="H26" s="13" t="n">
        <x:v>100</x:v>
      </x:c>
      <x:c r="I26" s="13" t="n">
        <x:f>H26/'Controls'!$D$13</x:f>
        <x:v>0.125</x:v>
      </x:c>
      <x:c r="J26" s="13" t="n">
        <x:v>2.5</x:v>
      </x:c>
      <x:c r="K26" s="10" t="str">
        <x:v>40 mm low-volume insert</x:v>
      </x:c>
      <x:c r="L26" s="7" t="str">
        <x:v>PROHIBITED</x:v>
      </x:c>
      <x:c r="M26" s="7" t="str">
        <x:v>RAE-SP-09</x:v>
      </x:c>
      <x:c r="N26" s="7" t="str">
        <x:v>RAE-WP-06</x:v>
      </x:c>
      <x:c r="O26" s="7" t="n">
        <x:v>3</x:v>
      </x:c>
      <x:c r="P26" s="7" t="str">
        <x:v>REA-100-03</x:v>
      </x:c>
      <x:c r="Q26" s="7" t="str">
        <x:v>OPEN</x:v>
      </x:c>
    </x:row>
    <x:row r="27" ht="36" customHeight="1">
      <x:c r="B27" s="7" t="str">
        <x:v>RAE-E-21</x:v>
      </x:c>
      <x:c r="C27" s="7" t="str">
        <x:v>RFP-B1</x:v>
      </x:c>
      <x:c r="D27" s="7" t="str">
        <x:v>PTC-B</x:v>
      </x:c>
      <x:c r="E27" s="7" t="str">
        <x:v>AM-06</x:v>
      </x:c>
      <x:c r="F27" s="7" t="str">
        <x:v>TR-A</x:v>
      </x:c>
      <x:c r="G27" s="7" t="str">
        <x:v>QE-01</x:v>
      </x:c>
      <x:c r="H27" s="13" t="n">
        <x:v>0</x:v>
      </x:c>
      <x:c r="I27" s="13" t="n">
        <x:f>H27/'Controls'!$D$13</x:f>
        <x:v>0</x:v>
      </x:c>
      <x:c r="J27" s="13" t="n">
        <x:v>0</x:v>
      </x:c>
      <x:c r="K27" s="10" t="str">
        <x:v>sealed blank</x:v>
      </x:c>
      <x:c r="L27" s="7" t="str">
        <x:v>PROHIBITED</x:v>
      </x:c>
      <x:c r="M27" s="7" t="str">
        <x:v>n.a.</x:v>
      </x:c>
      <x:c r="N27" s="7" t="str">
        <x:v>RAE-WP-05</x:v>
      </x:c>
      <x:c r="O27" s="7" t="n">
        <x:v>2</x:v>
      </x:c>
      <x:c r="P27" s="7" t="str">
        <x:v>REA-100-03</x:v>
      </x:c>
      <x:c r="Q27" s="7" t="str">
        <x:v>OPEN</x:v>
      </x:c>
    </x:row>
    <x:row r="28" ht="36" customHeight="1">
      <x:c r="B28" s="7" t="str">
        <x:v>RAE-E-22</x:v>
      </x:c>
      <x:c r="C28" s="7" t="str">
        <x:v>RFP-B1</x:v>
      </x:c>
      <x:c r="D28" s="7" t="str">
        <x:v>PTC-B</x:v>
      </x:c>
      <x:c r="E28" s="7" t="str">
        <x:v>AM-06</x:v>
      </x:c>
      <x:c r="F28" s="7" t="str">
        <x:v>TR-A</x:v>
      </x:c>
      <x:c r="G28" s="7" t="str">
        <x:v>QE-02</x:v>
      </x:c>
      <x:c r="H28" s="13" t="n">
        <x:v>100</x:v>
      </x:c>
      <x:c r="I28" s="13" t="n">
        <x:f>H28/'Controls'!$D$13</x:f>
        <x:v>0.125</x:v>
      </x:c>
      <x:c r="J28" s="13" t="n">
        <x:v>2.5</x:v>
      </x:c>
      <x:c r="K28" s="10" t="str">
        <x:v>40 mm low-volume insert</x:v>
      </x:c>
      <x:c r="L28" s="7" t="str">
        <x:v>OPPORTUNITY</x:v>
      </x:c>
      <x:c r="M28" s="7" t="str">
        <x:v>RAE-SP-15</x:v>
      </x:c>
      <x:c r="N28" s="7" t="str">
        <x:v>RAE-WP-05</x:v>
      </x:c>
      <x:c r="O28" s="7" t="n">
        <x:v>3</x:v>
      </x:c>
      <x:c r="P28" s="7" t="str">
        <x:v>REA-100-03</x:v>
      </x:c>
      <x:c r="Q28" s="7" t="str">
        <x:v>OPEN</x:v>
      </x:c>
    </x:row>
    <x:row r="29" ht="36" customHeight="1">
      <x:c r="B29" s="7" t="str">
        <x:v>RAE-E-23</x:v>
      </x:c>
      <x:c r="C29" s="7" t="str">
        <x:v>RFP-B1</x:v>
      </x:c>
      <x:c r="D29" s="7" t="str">
        <x:v>PTC-B</x:v>
      </x:c>
      <x:c r="E29" s="7" t="str">
        <x:v>AM-06</x:v>
      </x:c>
      <x:c r="F29" s="7" t="str">
        <x:v>TR-B</x:v>
      </x:c>
      <x:c r="G29" s="7" t="str">
        <x:v>QE-01</x:v>
      </x:c>
      <x:c r="H29" s="13" t="n">
        <x:v>0</x:v>
      </x:c>
      <x:c r="I29" s="13" t="n">
        <x:f>H29/'Controls'!$D$13</x:f>
        <x:v>0</x:v>
      </x:c>
      <x:c r="J29" s="13" t="n">
        <x:v>0</x:v>
      </x:c>
      <x:c r="K29" s="10" t="str">
        <x:v>sealed blank</x:v>
      </x:c>
      <x:c r="L29" s="7" t="str">
        <x:v>PROHIBITED</x:v>
      </x:c>
      <x:c r="M29" s="7" t="str">
        <x:v>n.a.</x:v>
      </x:c>
      <x:c r="N29" s="7" t="str">
        <x:v>RAE-WP-06</x:v>
      </x:c>
      <x:c r="O29" s="7" t="n">
        <x:v>2</x:v>
      </x:c>
      <x:c r="P29" s="7" t="str">
        <x:v>REA-100-03</x:v>
      </x:c>
      <x:c r="Q29" s="7" t="str">
        <x:v>OPEN</x:v>
      </x:c>
    </x:row>
    <x:row r="30" ht="36" customHeight="1">
      <x:c r="B30" s="7" t="str">
        <x:v>RAE-E-24</x:v>
      </x:c>
      <x:c r="C30" s="7" t="str">
        <x:v>RFP-B1</x:v>
      </x:c>
      <x:c r="D30" s="7" t="str">
        <x:v>PTC-B</x:v>
      </x:c>
      <x:c r="E30" s="7" t="str">
        <x:v>AM-06</x:v>
      </x:c>
      <x:c r="F30" s="7" t="str">
        <x:v>TR-B</x:v>
      </x:c>
      <x:c r="G30" s="7" t="str">
        <x:v>QE-02</x:v>
      </x:c>
      <x:c r="H30" s="13" t="n">
        <x:v>100</x:v>
      </x:c>
      <x:c r="I30" s="13" t="n">
        <x:f>H30/'Controls'!$D$13</x:f>
        <x:v>0.125</x:v>
      </x:c>
      <x:c r="J30" s="13" t="n">
        <x:v>2.5</x:v>
      </x:c>
      <x:c r="K30" s="10" t="str">
        <x:v>40 mm low-volume insert</x:v>
      </x:c>
      <x:c r="L30" s="7" t="str">
        <x:v>OPPORTUNITY</x:v>
      </x:c>
      <x:c r="M30" s="7" t="str">
        <x:v>RAE-SP-21</x:v>
      </x:c>
      <x:c r="N30" s="7" t="str">
        <x:v>RAE-WP-06</x:v>
      </x:c>
      <x:c r="O30" s="7" t="n">
        <x:v>3</x:v>
      </x:c>
      <x:c r="P30" s="7" t="str">
        <x:v>REA-100-03</x:v>
      </x:c>
      <x:c r="Q30" s="7" t="str">
        <x:v>OPEN</x:v>
      </x:c>
    </x:row>
    <x:row r="31" ht="36" customHeight="1">
      <x:c r="B31" s="7" t="str">
        <x:v>RAE-E-25</x:v>
      </x:c>
      <x:c r="C31" s="7" t="str">
        <x:v>RFP-B2</x:v>
      </x:c>
      <x:c r="D31" s="7" t="str">
        <x:v>PTC-B</x:v>
      </x:c>
      <x:c r="E31" s="7" t="str">
        <x:v>AM-05</x:v>
      </x:c>
      <x:c r="F31" s="7" t="str">
        <x:v>TR-A</x:v>
      </x:c>
      <x:c r="G31" s="7" t="str">
        <x:v>QE-01</x:v>
      </x:c>
      <x:c r="H31" s="13" t="n">
        <x:v>0</x:v>
      </x:c>
      <x:c r="I31" s="13" t="n">
        <x:f>H31/'Controls'!$D$13</x:f>
        <x:v>0</x:v>
      </x:c>
      <x:c r="J31" s="13" t="n">
        <x:v>0</x:v>
      </x:c>
      <x:c r="K31" s="10" t="str">
        <x:v>sealed blank</x:v>
      </x:c>
      <x:c r="L31" s="7" t="str">
        <x:v>PROHIBITED</x:v>
      </x:c>
      <x:c r="M31" s="7" t="str">
        <x:v>n.a.</x:v>
      </x:c>
      <x:c r="N31" s="7" t="str">
        <x:v>RAE-WP-07</x:v>
      </x:c>
      <x:c r="O31" s="7" t="n">
        <x:v>2</x:v>
      </x:c>
      <x:c r="P31" s="7" t="str">
        <x:v>REA-100-04</x:v>
      </x:c>
      <x:c r="Q31" s="7" t="str">
        <x:v>OPEN</x:v>
      </x:c>
    </x:row>
    <x:row r="32" ht="36" customHeight="1">
      <x:c r="B32" s="7" t="str">
        <x:v>RAE-E-26</x:v>
      </x:c>
      <x:c r="C32" s="7" t="str">
        <x:v>RFP-B2</x:v>
      </x:c>
      <x:c r="D32" s="7" t="str">
        <x:v>PTC-B</x:v>
      </x:c>
      <x:c r="E32" s="7" t="str">
        <x:v>AM-05</x:v>
      </x:c>
      <x:c r="F32" s="7" t="str">
        <x:v>TR-A</x:v>
      </x:c>
      <x:c r="G32" s="7" t="str">
        <x:v>QE-02</x:v>
      </x:c>
      <x:c r="H32" s="13" t="n">
        <x:v>100</x:v>
      </x:c>
      <x:c r="I32" s="13" t="n">
        <x:f>H32/'Controls'!$D$13</x:f>
        <x:v>0.125</x:v>
      </x:c>
      <x:c r="J32" s="13" t="n">
        <x:v>2.5</x:v>
      </x:c>
      <x:c r="K32" s="10" t="str">
        <x:v>40 mm low-volume insert</x:v>
      </x:c>
      <x:c r="L32" s="7" t="str">
        <x:v>PROHIBITED</x:v>
      </x:c>
      <x:c r="M32" s="7" t="str">
        <x:v>RAE-SP-04</x:v>
      </x:c>
      <x:c r="N32" s="7" t="str">
        <x:v>RAE-WP-07</x:v>
      </x:c>
      <x:c r="O32" s="7" t="n">
        <x:v>3</x:v>
      </x:c>
      <x:c r="P32" s="7" t="str">
        <x:v>REA-100-04</x:v>
      </x:c>
      <x:c r="Q32" s="7" t="str">
        <x:v>OPEN</x:v>
      </x:c>
    </x:row>
    <x:row r="33" ht="36" customHeight="1">
      <x:c r="B33" s="7" t="str">
        <x:v>RAE-E-27</x:v>
      </x:c>
      <x:c r="C33" s="7" t="str">
        <x:v>RFP-B2</x:v>
      </x:c>
      <x:c r="D33" s="7" t="str">
        <x:v>PTC-B</x:v>
      </x:c>
      <x:c r="E33" s="7" t="str">
        <x:v>AM-05</x:v>
      </x:c>
      <x:c r="F33" s="7" t="str">
        <x:v>TR-B</x:v>
      </x:c>
      <x:c r="G33" s="7" t="str">
        <x:v>QE-01</x:v>
      </x:c>
      <x:c r="H33" s="13" t="n">
        <x:v>0</x:v>
      </x:c>
      <x:c r="I33" s="13" t="n">
        <x:f>H33/'Controls'!$D$13</x:f>
        <x:v>0</x:v>
      </x:c>
      <x:c r="J33" s="13" t="n">
        <x:v>0</x:v>
      </x:c>
      <x:c r="K33" s="10" t="str">
        <x:v>sealed blank</x:v>
      </x:c>
      <x:c r="L33" s="7" t="str">
        <x:v>PROHIBITED</x:v>
      </x:c>
      <x:c r="M33" s="7" t="str">
        <x:v>n.a.</x:v>
      </x:c>
      <x:c r="N33" s="7" t="str">
        <x:v>RAE-WP-08</x:v>
      </x:c>
      <x:c r="O33" s="7" t="n">
        <x:v>2</x:v>
      </x:c>
      <x:c r="P33" s="7" t="str">
        <x:v>REA-100-04</x:v>
      </x:c>
      <x:c r="Q33" s="7" t="str">
        <x:v>OPEN</x:v>
      </x:c>
    </x:row>
    <x:row r="34" ht="36" customHeight="1">
      <x:c r="B34" s="7" t="str">
        <x:v>RAE-E-28</x:v>
      </x:c>
      <x:c r="C34" s="7" t="str">
        <x:v>RFP-B2</x:v>
      </x:c>
      <x:c r="D34" s="7" t="str">
        <x:v>PTC-B</x:v>
      </x:c>
      <x:c r="E34" s="7" t="str">
        <x:v>AM-05</x:v>
      </x:c>
      <x:c r="F34" s="7" t="str">
        <x:v>TR-B</x:v>
      </x:c>
      <x:c r="G34" s="7" t="str">
        <x:v>QE-02</x:v>
      </x:c>
      <x:c r="H34" s="13" t="n">
        <x:v>100</x:v>
      </x:c>
      <x:c r="I34" s="13" t="n">
        <x:f>H34/'Controls'!$D$13</x:f>
        <x:v>0.125</x:v>
      </x:c>
      <x:c r="J34" s="13" t="n">
        <x:v>2.5</x:v>
      </x:c>
      <x:c r="K34" s="10" t="str">
        <x:v>40 mm low-volume insert</x:v>
      </x:c>
      <x:c r="L34" s="7" t="str">
        <x:v>PROHIBITED</x:v>
      </x:c>
      <x:c r="M34" s="7" t="str">
        <x:v>RAE-SP-10</x:v>
      </x:c>
      <x:c r="N34" s="7" t="str">
        <x:v>RAE-WP-08</x:v>
      </x:c>
      <x:c r="O34" s="7" t="n">
        <x:v>3</x:v>
      </x:c>
      <x:c r="P34" s="7" t="str">
        <x:v>REA-100-04</x:v>
      </x:c>
      <x:c r="Q34" s="7" t="str">
        <x:v>OPEN</x:v>
      </x:c>
    </x:row>
    <x:row r="35" ht="36" customHeight="1">
      <x:c r="B35" s="7" t="str">
        <x:v>RAE-E-29</x:v>
      </x:c>
      <x:c r="C35" s="7" t="str">
        <x:v>RFP-B2</x:v>
      </x:c>
      <x:c r="D35" s="7" t="str">
        <x:v>PTC-B</x:v>
      </x:c>
      <x:c r="E35" s="7" t="str">
        <x:v>AM-06</x:v>
      </x:c>
      <x:c r="F35" s="7" t="str">
        <x:v>TR-A</x:v>
      </x:c>
      <x:c r="G35" s="7" t="str">
        <x:v>QE-01</x:v>
      </x:c>
      <x:c r="H35" s="13" t="n">
        <x:v>0</x:v>
      </x:c>
      <x:c r="I35" s="13" t="n">
        <x:f>H35/'Controls'!$D$13</x:f>
        <x:v>0</x:v>
      </x:c>
      <x:c r="J35" s="13" t="n">
        <x:v>0</x:v>
      </x:c>
      <x:c r="K35" s="10" t="str">
        <x:v>sealed blank</x:v>
      </x:c>
      <x:c r="L35" s="7" t="str">
        <x:v>PROHIBITED</x:v>
      </x:c>
      <x:c r="M35" s="7" t="str">
        <x:v>n.a.</x:v>
      </x:c>
      <x:c r="N35" s="7" t="str">
        <x:v>RAE-WP-07</x:v>
      </x:c>
      <x:c r="O35" s="7" t="n">
        <x:v>2</x:v>
      </x:c>
      <x:c r="P35" s="7" t="str">
        <x:v>REA-100-04</x:v>
      </x:c>
      <x:c r="Q35" s="7" t="str">
        <x:v>OPEN</x:v>
      </x:c>
    </x:row>
    <x:row r="36" ht="36" customHeight="1">
      <x:c r="B36" s="7" t="str">
        <x:v>RAE-E-30</x:v>
      </x:c>
      <x:c r="C36" s="7" t="str">
        <x:v>RFP-B2</x:v>
      </x:c>
      <x:c r="D36" s="7" t="str">
        <x:v>PTC-B</x:v>
      </x:c>
      <x:c r="E36" s="7" t="str">
        <x:v>AM-06</x:v>
      </x:c>
      <x:c r="F36" s="7" t="str">
        <x:v>TR-A</x:v>
      </x:c>
      <x:c r="G36" s="7" t="str">
        <x:v>QE-02</x:v>
      </x:c>
      <x:c r="H36" s="13" t="n">
        <x:v>100</x:v>
      </x:c>
      <x:c r="I36" s="13" t="n">
        <x:f>H36/'Controls'!$D$13</x:f>
        <x:v>0.125</x:v>
      </x:c>
      <x:c r="J36" s="13" t="n">
        <x:v>2.5</x:v>
      </x:c>
      <x:c r="K36" s="10" t="str">
        <x:v>40 mm low-volume insert</x:v>
      </x:c>
      <x:c r="L36" s="7" t="str">
        <x:v>OPPORTUNITY</x:v>
      </x:c>
      <x:c r="M36" s="7" t="str">
        <x:v>RAE-SP-16</x:v>
      </x:c>
      <x:c r="N36" s="7" t="str">
        <x:v>RAE-WP-07</x:v>
      </x:c>
      <x:c r="O36" s="7" t="n">
        <x:v>3</x:v>
      </x:c>
      <x:c r="P36" s="7" t="str">
        <x:v>REA-100-04</x:v>
      </x:c>
      <x:c r="Q36" s="7" t="str">
        <x:v>OPEN</x:v>
      </x:c>
    </x:row>
    <x:row r="37" ht="36" customHeight="1">
      <x:c r="B37" s="7" t="str">
        <x:v>RAE-E-31</x:v>
      </x:c>
      <x:c r="C37" s="7" t="str">
        <x:v>RFP-B2</x:v>
      </x:c>
      <x:c r="D37" s="7" t="str">
        <x:v>PTC-B</x:v>
      </x:c>
      <x:c r="E37" s="7" t="str">
        <x:v>AM-06</x:v>
      </x:c>
      <x:c r="F37" s="7" t="str">
        <x:v>TR-B</x:v>
      </x:c>
      <x:c r="G37" s="7" t="str">
        <x:v>QE-01</x:v>
      </x:c>
      <x:c r="H37" s="13" t="n">
        <x:v>0</x:v>
      </x:c>
      <x:c r="I37" s="13" t="n">
        <x:f>H37/'Controls'!$D$13</x:f>
        <x:v>0</x:v>
      </x:c>
      <x:c r="J37" s="13" t="n">
        <x:v>0</x:v>
      </x:c>
      <x:c r="K37" s="10" t="str">
        <x:v>sealed blank</x:v>
      </x:c>
      <x:c r="L37" s="7" t="str">
        <x:v>PROHIBITED</x:v>
      </x:c>
      <x:c r="M37" s="7" t="str">
        <x:v>n.a.</x:v>
      </x:c>
      <x:c r="N37" s="7" t="str">
        <x:v>RAE-WP-08</x:v>
      </x:c>
      <x:c r="O37" s="7" t="n">
        <x:v>2</x:v>
      </x:c>
      <x:c r="P37" s="7" t="str">
        <x:v>REA-100-04</x:v>
      </x:c>
      <x:c r="Q37" s="7" t="str">
        <x:v>OPEN</x:v>
      </x:c>
    </x:row>
    <x:row r="38" ht="36" customHeight="1">
      <x:c r="B38" s="7" t="str">
        <x:v>RAE-E-32</x:v>
      </x:c>
      <x:c r="C38" s="7" t="str">
        <x:v>RFP-B2</x:v>
      </x:c>
      <x:c r="D38" s="7" t="str">
        <x:v>PTC-B</x:v>
      </x:c>
      <x:c r="E38" s="7" t="str">
        <x:v>AM-06</x:v>
      </x:c>
      <x:c r="F38" s="7" t="str">
        <x:v>TR-B</x:v>
      </x:c>
      <x:c r="G38" s="7" t="str">
        <x:v>QE-02</x:v>
      </x:c>
      <x:c r="H38" s="13" t="n">
        <x:v>100</x:v>
      </x:c>
      <x:c r="I38" s="13" t="n">
        <x:f>H38/'Controls'!$D$13</x:f>
        <x:v>0.125</x:v>
      </x:c>
      <x:c r="J38" s="13" t="n">
        <x:v>2.5</x:v>
      </x:c>
      <x:c r="K38" s="10" t="str">
        <x:v>40 mm low-volume insert</x:v>
      </x:c>
      <x:c r="L38" s="7" t="str">
        <x:v>OPPORTUNITY</x:v>
      </x:c>
      <x:c r="M38" s="7" t="str">
        <x:v>RAE-SP-22</x:v>
      </x:c>
      <x:c r="N38" s="7" t="str">
        <x:v>RAE-WP-08</x:v>
      </x:c>
      <x:c r="O38" s="7" t="n">
        <x:v>3</x:v>
      </x:c>
      <x:c r="P38" s="7" t="str">
        <x:v>REA-100-04</x:v>
      </x:c>
      <x:c r="Q38" s="7" t="str">
        <x:v>OPEN</x:v>
      </x:c>
    </x:row>
    <x:row r="39" ht="36" customHeight="1">
      <x:c r="B39" s="7" t="str">
        <x:v>RAE-E-33</x:v>
      </x:c>
      <x:c r="C39" s="7" t="str">
        <x:v>RFP-C1</x:v>
      </x:c>
      <x:c r="D39" s="7" t="str">
        <x:v>PTC-C</x:v>
      </x:c>
      <x:c r="E39" s="7" t="str">
        <x:v>AM-05</x:v>
      </x:c>
      <x:c r="F39" s="7" t="str">
        <x:v>TR-A</x:v>
      </x:c>
      <x:c r="G39" s="7" t="str">
        <x:v>QE-01</x:v>
      </x:c>
      <x:c r="H39" s="13" t="n">
        <x:v>0</x:v>
      </x:c>
      <x:c r="I39" s="13" t="n">
        <x:f>H39/'Controls'!$D$13</x:f>
        <x:v>0</x:v>
      </x:c>
      <x:c r="J39" s="13" t="n">
        <x:v>0</x:v>
      </x:c>
      <x:c r="K39" s="10" t="str">
        <x:v>sealed blank</x:v>
      </x:c>
      <x:c r="L39" s="7" t="str">
        <x:v>PROHIBITED</x:v>
      </x:c>
      <x:c r="M39" s="7" t="str">
        <x:v>n.a.</x:v>
      </x:c>
      <x:c r="N39" s="7" t="str">
        <x:v>RAE-WP-09</x:v>
      </x:c>
      <x:c r="O39" s="7" t="n">
        <x:v>2</x:v>
      </x:c>
      <x:c r="P39" s="7" t="str">
        <x:v>REA-100-05</x:v>
      </x:c>
      <x:c r="Q39" s="7" t="str">
        <x:v>OPEN</x:v>
      </x:c>
    </x:row>
    <x:row r="40" ht="36" customHeight="1">
      <x:c r="B40" s="7" t="str">
        <x:v>RAE-E-34</x:v>
      </x:c>
      <x:c r="C40" s="7" t="str">
        <x:v>RFP-C1</x:v>
      </x:c>
      <x:c r="D40" s="7" t="str">
        <x:v>PTC-C</x:v>
      </x:c>
      <x:c r="E40" s="7" t="str">
        <x:v>AM-05</x:v>
      </x:c>
      <x:c r="F40" s="7" t="str">
        <x:v>TR-A</x:v>
      </x:c>
      <x:c r="G40" s="7" t="str">
        <x:v>QE-02</x:v>
      </x:c>
      <x:c r="H40" s="13" t="n">
        <x:v>100</x:v>
      </x:c>
      <x:c r="I40" s="13" t="n">
        <x:f>H40/'Controls'!$D$13</x:f>
        <x:v>0.125</x:v>
      </x:c>
      <x:c r="J40" s="13" t="n">
        <x:v>2.5</x:v>
      </x:c>
      <x:c r="K40" s="10" t="str">
        <x:v>40 mm low-volume insert</x:v>
      </x:c>
      <x:c r="L40" s="7" t="str">
        <x:v>PROHIBITED</x:v>
      </x:c>
      <x:c r="M40" s="7" t="str">
        <x:v>RAE-SP-05</x:v>
      </x:c>
      <x:c r="N40" s="7" t="str">
        <x:v>RAE-WP-09</x:v>
      </x:c>
      <x:c r="O40" s="7" t="n">
        <x:v>3</x:v>
      </x:c>
      <x:c r="P40" s="7" t="str">
        <x:v>REA-100-05</x:v>
      </x:c>
      <x:c r="Q40" s="7" t="str">
        <x:v>OPEN</x:v>
      </x:c>
    </x:row>
    <x:row r="41" ht="36" customHeight="1">
      <x:c r="B41" s="7" t="str">
        <x:v>RAE-E-35</x:v>
      </x:c>
      <x:c r="C41" s="7" t="str">
        <x:v>RFP-C1</x:v>
      </x:c>
      <x:c r="D41" s="7" t="str">
        <x:v>PTC-C</x:v>
      </x:c>
      <x:c r="E41" s="7" t="str">
        <x:v>AM-05</x:v>
      </x:c>
      <x:c r="F41" s="7" t="str">
        <x:v>TR-B</x:v>
      </x:c>
      <x:c r="G41" s="7" t="str">
        <x:v>QE-01</x:v>
      </x:c>
      <x:c r="H41" s="13" t="n">
        <x:v>0</x:v>
      </x:c>
      <x:c r="I41" s="13" t="n">
        <x:f>H41/'Controls'!$D$13</x:f>
        <x:v>0</x:v>
      </x:c>
      <x:c r="J41" s="13" t="n">
        <x:v>0</x:v>
      </x:c>
      <x:c r="K41" s="10" t="str">
        <x:v>sealed blank</x:v>
      </x:c>
      <x:c r="L41" s="7" t="str">
        <x:v>PROHIBITED</x:v>
      </x:c>
      <x:c r="M41" s="7" t="str">
        <x:v>n.a.</x:v>
      </x:c>
      <x:c r="N41" s="7" t="str">
        <x:v>RAE-WP-10</x:v>
      </x:c>
      <x:c r="O41" s="7" t="n">
        <x:v>2</x:v>
      </x:c>
      <x:c r="P41" s="7" t="str">
        <x:v>REA-100-05</x:v>
      </x:c>
      <x:c r="Q41" s="7" t="str">
        <x:v>OPEN</x:v>
      </x:c>
    </x:row>
    <x:row r="42" ht="36" customHeight="1">
      <x:c r="B42" s="7" t="str">
        <x:v>RAE-E-36</x:v>
      </x:c>
      <x:c r="C42" s="7" t="str">
        <x:v>RFP-C1</x:v>
      </x:c>
      <x:c r="D42" s="7" t="str">
        <x:v>PTC-C</x:v>
      </x:c>
      <x:c r="E42" s="7" t="str">
        <x:v>AM-05</x:v>
      </x:c>
      <x:c r="F42" s="7" t="str">
        <x:v>TR-B</x:v>
      </x:c>
      <x:c r="G42" s="7" t="str">
        <x:v>QE-02</x:v>
      </x:c>
      <x:c r="H42" s="13" t="n">
        <x:v>100</x:v>
      </x:c>
      <x:c r="I42" s="13" t="n">
        <x:f>H42/'Controls'!$D$13</x:f>
        <x:v>0.125</x:v>
      </x:c>
      <x:c r="J42" s="13" t="n">
        <x:v>2.5</x:v>
      </x:c>
      <x:c r="K42" s="10" t="str">
        <x:v>40 mm low-volume insert</x:v>
      </x:c>
      <x:c r="L42" s="7" t="str">
        <x:v>PROHIBITED</x:v>
      </x:c>
      <x:c r="M42" s="7" t="str">
        <x:v>RAE-SP-11</x:v>
      </x:c>
      <x:c r="N42" s="7" t="str">
        <x:v>RAE-WP-10</x:v>
      </x:c>
      <x:c r="O42" s="7" t="n">
        <x:v>3</x:v>
      </x:c>
      <x:c r="P42" s="7" t="str">
        <x:v>REA-100-05</x:v>
      </x:c>
      <x:c r="Q42" s="7" t="str">
        <x:v>OPEN</x:v>
      </x:c>
    </x:row>
    <x:row r="43" ht="36" customHeight="1">
      <x:c r="B43" s="7" t="str">
        <x:v>RAE-E-37</x:v>
      </x:c>
      <x:c r="C43" s="7" t="str">
        <x:v>RFP-C1</x:v>
      </x:c>
      <x:c r="D43" s="7" t="str">
        <x:v>PTC-C</x:v>
      </x:c>
      <x:c r="E43" s="7" t="str">
        <x:v>AM-06</x:v>
      </x:c>
      <x:c r="F43" s="7" t="str">
        <x:v>TR-A</x:v>
      </x:c>
      <x:c r="G43" s="7" t="str">
        <x:v>QE-01</x:v>
      </x:c>
      <x:c r="H43" s="13" t="n">
        <x:v>0</x:v>
      </x:c>
      <x:c r="I43" s="13" t="n">
        <x:f>H43/'Controls'!$D$13</x:f>
        <x:v>0</x:v>
      </x:c>
      <x:c r="J43" s="13" t="n">
        <x:v>0</x:v>
      </x:c>
      <x:c r="K43" s="10" t="str">
        <x:v>sealed blank</x:v>
      </x:c>
      <x:c r="L43" s="7" t="str">
        <x:v>PROHIBITED</x:v>
      </x:c>
      <x:c r="M43" s="7" t="str">
        <x:v>n.a.</x:v>
      </x:c>
      <x:c r="N43" s="7" t="str">
        <x:v>RAE-WP-09</x:v>
      </x:c>
      <x:c r="O43" s="7" t="n">
        <x:v>2</x:v>
      </x:c>
      <x:c r="P43" s="7" t="str">
        <x:v>REA-100-05</x:v>
      </x:c>
      <x:c r="Q43" s="7" t="str">
        <x:v>OPEN</x:v>
      </x:c>
    </x:row>
    <x:row r="44" ht="36" customHeight="1">
      <x:c r="B44" s="7" t="str">
        <x:v>RAE-E-38</x:v>
      </x:c>
      <x:c r="C44" s="7" t="str">
        <x:v>RFP-C1</x:v>
      </x:c>
      <x:c r="D44" s="7" t="str">
        <x:v>PTC-C</x:v>
      </x:c>
      <x:c r="E44" s="7" t="str">
        <x:v>AM-06</x:v>
      </x:c>
      <x:c r="F44" s="7" t="str">
        <x:v>TR-A</x:v>
      </x:c>
      <x:c r="G44" s="7" t="str">
        <x:v>QE-02</x:v>
      </x:c>
      <x:c r="H44" s="13" t="n">
        <x:v>100</x:v>
      </x:c>
      <x:c r="I44" s="13" t="n">
        <x:f>H44/'Controls'!$D$13</x:f>
        <x:v>0.125</x:v>
      </x:c>
      <x:c r="J44" s="13" t="n">
        <x:v>2.5</x:v>
      </x:c>
      <x:c r="K44" s="10" t="str">
        <x:v>40 mm low-volume insert</x:v>
      </x:c>
      <x:c r="L44" s="7" t="str">
        <x:v>OPPORTUNITY</x:v>
      </x:c>
      <x:c r="M44" s="7" t="str">
        <x:v>RAE-SP-17</x:v>
      </x:c>
      <x:c r="N44" s="7" t="str">
        <x:v>RAE-WP-09</x:v>
      </x:c>
      <x:c r="O44" s="7" t="n">
        <x:v>3</x:v>
      </x:c>
      <x:c r="P44" s="7" t="str">
        <x:v>REA-100-05</x:v>
      </x:c>
      <x:c r="Q44" s="7" t="str">
        <x:v>OPEN</x:v>
      </x:c>
    </x:row>
    <x:row r="45" ht="36" customHeight="1">
      <x:c r="B45" s="7" t="str">
        <x:v>RAE-E-39</x:v>
      </x:c>
      <x:c r="C45" s="7" t="str">
        <x:v>RFP-C1</x:v>
      </x:c>
      <x:c r="D45" s="7" t="str">
        <x:v>PTC-C</x:v>
      </x:c>
      <x:c r="E45" s="7" t="str">
        <x:v>AM-06</x:v>
      </x:c>
      <x:c r="F45" s="7" t="str">
        <x:v>TR-B</x:v>
      </x:c>
      <x:c r="G45" s="7" t="str">
        <x:v>QE-01</x:v>
      </x:c>
      <x:c r="H45" s="13" t="n">
        <x:v>0</x:v>
      </x:c>
      <x:c r="I45" s="13" t="n">
        <x:f>H45/'Controls'!$D$13</x:f>
        <x:v>0</x:v>
      </x:c>
      <x:c r="J45" s="13" t="n">
        <x:v>0</x:v>
      </x:c>
      <x:c r="K45" s="10" t="str">
        <x:v>sealed blank</x:v>
      </x:c>
      <x:c r="L45" s="7" t="str">
        <x:v>PROHIBITED</x:v>
      </x:c>
      <x:c r="M45" s="7" t="str">
        <x:v>n.a.</x:v>
      </x:c>
      <x:c r="N45" s="7" t="str">
        <x:v>RAE-WP-10</x:v>
      </x:c>
      <x:c r="O45" s="7" t="n">
        <x:v>2</x:v>
      </x:c>
      <x:c r="P45" s="7" t="str">
        <x:v>REA-100-05</x:v>
      </x:c>
      <x:c r="Q45" s="7" t="str">
        <x:v>OPEN</x:v>
      </x:c>
    </x:row>
    <x:row r="46" ht="36" customHeight="1">
      <x:c r="B46" s="7" t="str">
        <x:v>RAE-E-40</x:v>
      </x:c>
      <x:c r="C46" s="7" t="str">
        <x:v>RFP-C1</x:v>
      </x:c>
      <x:c r="D46" s="7" t="str">
        <x:v>PTC-C</x:v>
      </x:c>
      <x:c r="E46" s="7" t="str">
        <x:v>AM-06</x:v>
      </x:c>
      <x:c r="F46" s="7" t="str">
        <x:v>TR-B</x:v>
      </x:c>
      <x:c r="G46" s="7" t="str">
        <x:v>QE-02</x:v>
      </x:c>
      <x:c r="H46" s="13" t="n">
        <x:v>100</x:v>
      </x:c>
      <x:c r="I46" s="13" t="n">
        <x:f>H46/'Controls'!$D$13</x:f>
        <x:v>0.125</x:v>
      </x:c>
      <x:c r="J46" s="13" t="n">
        <x:v>2.5</x:v>
      </x:c>
      <x:c r="K46" s="10" t="str">
        <x:v>40 mm low-volume insert</x:v>
      </x:c>
      <x:c r="L46" s="7" t="str">
        <x:v>OPPORTUNITY</x:v>
      </x:c>
      <x:c r="M46" s="7" t="str">
        <x:v>RAE-SP-23</x:v>
      </x:c>
      <x:c r="N46" s="7" t="str">
        <x:v>RAE-WP-10</x:v>
      </x:c>
      <x:c r="O46" s="7" t="n">
        <x:v>3</x:v>
      </x:c>
      <x:c r="P46" s="7" t="str">
        <x:v>REA-100-05</x:v>
      </x:c>
      <x:c r="Q46" s="7" t="str">
        <x:v>OPEN</x:v>
      </x:c>
    </x:row>
    <x:row r="47" ht="36" customHeight="1">
      <x:c r="B47" s="7" t="str">
        <x:v>RAE-E-41</x:v>
      </x:c>
      <x:c r="C47" s="7" t="str">
        <x:v>RFP-C2</x:v>
      </x:c>
      <x:c r="D47" s="7" t="str">
        <x:v>PTC-C</x:v>
      </x:c>
      <x:c r="E47" s="7" t="str">
        <x:v>AM-05</x:v>
      </x:c>
      <x:c r="F47" s="7" t="str">
        <x:v>TR-A</x:v>
      </x:c>
      <x:c r="G47" s="7" t="str">
        <x:v>QE-01</x:v>
      </x:c>
      <x:c r="H47" s="13" t="n">
        <x:v>0</x:v>
      </x:c>
      <x:c r="I47" s="13" t="n">
        <x:f>H47/'Controls'!$D$13</x:f>
        <x:v>0</x:v>
      </x:c>
      <x:c r="J47" s="13" t="n">
        <x:v>0</x:v>
      </x:c>
      <x:c r="K47" s="10" t="str">
        <x:v>sealed blank</x:v>
      </x:c>
      <x:c r="L47" s="7" t="str">
        <x:v>PROHIBITED</x:v>
      </x:c>
      <x:c r="M47" s="7" t="str">
        <x:v>n.a.</x:v>
      </x:c>
      <x:c r="N47" s="7" t="str">
        <x:v>RAE-WP-11</x:v>
      </x:c>
      <x:c r="O47" s="7" t="n">
        <x:v>2</x:v>
      </x:c>
      <x:c r="P47" s="7" t="str">
        <x:v>REA-100-06</x:v>
      </x:c>
      <x:c r="Q47" s="7" t="str">
        <x:v>OPEN</x:v>
      </x:c>
    </x:row>
    <x:row r="48" ht="36" customHeight="1">
      <x:c r="B48" s="7" t="str">
        <x:v>RAE-E-42</x:v>
      </x:c>
      <x:c r="C48" s="7" t="str">
        <x:v>RFP-C2</x:v>
      </x:c>
      <x:c r="D48" s="7" t="str">
        <x:v>PTC-C</x:v>
      </x:c>
      <x:c r="E48" s="7" t="str">
        <x:v>AM-05</x:v>
      </x:c>
      <x:c r="F48" s="7" t="str">
        <x:v>TR-A</x:v>
      </x:c>
      <x:c r="G48" s="7" t="str">
        <x:v>QE-02</x:v>
      </x:c>
      <x:c r="H48" s="13" t="n">
        <x:v>100</x:v>
      </x:c>
      <x:c r="I48" s="13" t="n">
        <x:f>H48/'Controls'!$D$13</x:f>
        <x:v>0.125</x:v>
      </x:c>
      <x:c r="J48" s="13" t="n">
        <x:v>2.5</x:v>
      </x:c>
      <x:c r="K48" s="10" t="str">
        <x:v>40 mm low-volume insert</x:v>
      </x:c>
      <x:c r="L48" s="7" t="str">
        <x:v>PROHIBITED</x:v>
      </x:c>
      <x:c r="M48" s="7" t="str">
        <x:v>RAE-SP-06</x:v>
      </x:c>
      <x:c r="N48" s="7" t="str">
        <x:v>RAE-WP-11</x:v>
      </x:c>
      <x:c r="O48" s="7" t="n">
        <x:v>3</x:v>
      </x:c>
      <x:c r="P48" s="7" t="str">
        <x:v>REA-100-06</x:v>
      </x:c>
      <x:c r="Q48" s="7" t="str">
        <x:v>OPEN</x:v>
      </x:c>
    </x:row>
    <x:row r="49" ht="36" customHeight="1">
      <x:c r="B49" s="7" t="str">
        <x:v>RAE-E-43</x:v>
      </x:c>
      <x:c r="C49" s="7" t="str">
        <x:v>RFP-C2</x:v>
      </x:c>
      <x:c r="D49" s="7" t="str">
        <x:v>PTC-C</x:v>
      </x:c>
      <x:c r="E49" s="7" t="str">
        <x:v>AM-05</x:v>
      </x:c>
      <x:c r="F49" s="7" t="str">
        <x:v>TR-B</x:v>
      </x:c>
      <x:c r="G49" s="7" t="str">
        <x:v>QE-01</x:v>
      </x:c>
      <x:c r="H49" s="13" t="n">
        <x:v>0</x:v>
      </x:c>
      <x:c r="I49" s="13" t="n">
        <x:f>H49/'Controls'!$D$13</x:f>
        <x:v>0</x:v>
      </x:c>
      <x:c r="J49" s="13" t="n">
        <x:v>0</x:v>
      </x:c>
      <x:c r="K49" s="10" t="str">
        <x:v>sealed blank</x:v>
      </x:c>
      <x:c r="L49" s="7" t="str">
        <x:v>PROHIBITED</x:v>
      </x:c>
      <x:c r="M49" s="7" t="str">
        <x:v>n.a.</x:v>
      </x:c>
      <x:c r="N49" s="7" t="str">
        <x:v>RAE-WP-12</x:v>
      </x:c>
      <x:c r="O49" s="7" t="n">
        <x:v>2</x:v>
      </x:c>
      <x:c r="P49" s="7" t="str">
        <x:v>REA-100-06</x:v>
      </x:c>
      <x:c r="Q49" s="7" t="str">
        <x:v>OPEN</x:v>
      </x:c>
    </x:row>
    <x:row r="50" ht="36" customHeight="1">
      <x:c r="B50" s="7" t="str">
        <x:v>RAE-E-44</x:v>
      </x:c>
      <x:c r="C50" s="7" t="str">
        <x:v>RFP-C2</x:v>
      </x:c>
      <x:c r="D50" s="7" t="str">
        <x:v>PTC-C</x:v>
      </x:c>
      <x:c r="E50" s="7" t="str">
        <x:v>AM-05</x:v>
      </x:c>
      <x:c r="F50" s="7" t="str">
        <x:v>TR-B</x:v>
      </x:c>
      <x:c r="G50" s="7" t="str">
        <x:v>QE-02</x:v>
      </x:c>
      <x:c r="H50" s="13" t="n">
        <x:v>100</x:v>
      </x:c>
      <x:c r="I50" s="13" t="n">
        <x:f>H50/'Controls'!$D$13</x:f>
        <x:v>0.125</x:v>
      </x:c>
      <x:c r="J50" s="13" t="n">
        <x:v>2.5</x:v>
      </x:c>
      <x:c r="K50" s="10" t="str">
        <x:v>40 mm low-volume insert</x:v>
      </x:c>
      <x:c r="L50" s="7" t="str">
        <x:v>PROHIBITED</x:v>
      </x:c>
      <x:c r="M50" s="7" t="str">
        <x:v>RAE-SP-12</x:v>
      </x:c>
      <x:c r="N50" s="7" t="str">
        <x:v>RAE-WP-12</x:v>
      </x:c>
      <x:c r="O50" s="7" t="n">
        <x:v>3</x:v>
      </x:c>
      <x:c r="P50" s="7" t="str">
        <x:v>REA-100-06</x:v>
      </x:c>
      <x:c r="Q50" s="7" t="str">
        <x:v>OPEN</x:v>
      </x:c>
    </x:row>
    <x:row r="51" ht="36" customHeight="1">
      <x:c r="B51" s="7" t="str">
        <x:v>RAE-E-45</x:v>
      </x:c>
      <x:c r="C51" s="7" t="str">
        <x:v>RFP-C2</x:v>
      </x:c>
      <x:c r="D51" s="7" t="str">
        <x:v>PTC-C</x:v>
      </x:c>
      <x:c r="E51" s="7" t="str">
        <x:v>AM-06</x:v>
      </x:c>
      <x:c r="F51" s="7" t="str">
        <x:v>TR-A</x:v>
      </x:c>
      <x:c r="G51" s="7" t="str">
        <x:v>QE-01</x:v>
      </x:c>
      <x:c r="H51" s="13" t="n">
        <x:v>0</x:v>
      </x:c>
      <x:c r="I51" s="13" t="n">
        <x:f>H51/'Controls'!$D$13</x:f>
        <x:v>0</x:v>
      </x:c>
      <x:c r="J51" s="13" t="n">
        <x:v>0</x:v>
      </x:c>
      <x:c r="K51" s="10" t="str">
        <x:v>sealed blank</x:v>
      </x:c>
      <x:c r="L51" s="7" t="str">
        <x:v>PROHIBITED</x:v>
      </x:c>
      <x:c r="M51" s="7" t="str">
        <x:v>n.a.</x:v>
      </x:c>
      <x:c r="N51" s="7" t="str">
        <x:v>RAE-WP-11</x:v>
      </x:c>
      <x:c r="O51" s="7" t="n">
        <x:v>2</x:v>
      </x:c>
      <x:c r="P51" s="7" t="str">
        <x:v>REA-100-06</x:v>
      </x:c>
      <x:c r="Q51" s="7" t="str">
        <x:v>OPEN</x:v>
      </x:c>
    </x:row>
    <x:row r="52" ht="36" customHeight="1">
      <x:c r="B52" s="7" t="str">
        <x:v>RAE-E-46</x:v>
      </x:c>
      <x:c r="C52" s="7" t="str">
        <x:v>RFP-C2</x:v>
      </x:c>
      <x:c r="D52" s="7" t="str">
        <x:v>PTC-C</x:v>
      </x:c>
      <x:c r="E52" s="7" t="str">
        <x:v>AM-06</x:v>
      </x:c>
      <x:c r="F52" s="7" t="str">
        <x:v>TR-A</x:v>
      </x:c>
      <x:c r="G52" s="7" t="str">
        <x:v>QE-02</x:v>
      </x:c>
      <x:c r="H52" s="13" t="n">
        <x:v>100</x:v>
      </x:c>
      <x:c r="I52" s="13" t="n">
        <x:f>H52/'Controls'!$D$13</x:f>
        <x:v>0.125</x:v>
      </x:c>
      <x:c r="J52" s="13" t="n">
        <x:v>2.5</x:v>
      </x:c>
      <x:c r="K52" s="10" t="str">
        <x:v>40 mm low-volume insert</x:v>
      </x:c>
      <x:c r="L52" s="7" t="str">
        <x:v>OPPORTUNITY</x:v>
      </x:c>
      <x:c r="M52" s="7" t="str">
        <x:v>RAE-SP-18</x:v>
      </x:c>
      <x:c r="N52" s="7" t="str">
        <x:v>RAE-WP-11</x:v>
      </x:c>
      <x:c r="O52" s="7" t="n">
        <x:v>3</x:v>
      </x:c>
      <x:c r="P52" s="7" t="str">
        <x:v>REA-100-06</x:v>
      </x:c>
      <x:c r="Q52" s="7" t="str">
        <x:v>OPEN</x:v>
      </x:c>
    </x:row>
    <x:row r="53" ht="36" customHeight="1">
      <x:c r="B53" s="7" t="str">
        <x:v>RAE-E-47</x:v>
      </x:c>
      <x:c r="C53" s="7" t="str">
        <x:v>RFP-C2</x:v>
      </x:c>
      <x:c r="D53" s="7" t="str">
        <x:v>PTC-C</x:v>
      </x:c>
      <x:c r="E53" s="7" t="str">
        <x:v>AM-06</x:v>
      </x:c>
      <x:c r="F53" s="7" t="str">
        <x:v>TR-B</x:v>
      </x:c>
      <x:c r="G53" s="7" t="str">
        <x:v>QE-01</x:v>
      </x:c>
      <x:c r="H53" s="13" t="n">
        <x:v>0</x:v>
      </x:c>
      <x:c r="I53" s="13" t="n">
        <x:f>H53/'Controls'!$D$13</x:f>
        <x:v>0</x:v>
      </x:c>
      <x:c r="J53" s="13" t="n">
        <x:v>0</x:v>
      </x:c>
      <x:c r="K53" s="10" t="str">
        <x:v>sealed blank</x:v>
      </x:c>
      <x:c r="L53" s="7" t="str">
        <x:v>PROHIBITED</x:v>
      </x:c>
      <x:c r="M53" s="7" t="str">
        <x:v>n.a.</x:v>
      </x:c>
      <x:c r="N53" s="7" t="str">
        <x:v>RAE-WP-12</x:v>
      </x:c>
      <x:c r="O53" s="7" t="n">
        <x:v>2</x:v>
      </x:c>
      <x:c r="P53" s="7" t="str">
        <x:v>REA-100-06</x:v>
      </x:c>
      <x:c r="Q53" s="7" t="str">
        <x:v>OPEN</x:v>
      </x:c>
    </x:row>
    <x:row r="54" ht="36" customHeight="1">
      <x:c r="B54" s="7" t="str">
        <x:v>RAE-E-48</x:v>
      </x:c>
      <x:c r="C54" s="7" t="str">
        <x:v>RFP-C2</x:v>
      </x:c>
      <x:c r="D54" s="7" t="str">
        <x:v>PTC-C</x:v>
      </x:c>
      <x:c r="E54" s="7" t="str">
        <x:v>AM-06</x:v>
      </x:c>
      <x:c r="F54" s="7" t="str">
        <x:v>TR-B</x:v>
      </x:c>
      <x:c r="G54" s="7" t="str">
        <x:v>QE-02</x:v>
      </x:c>
      <x:c r="H54" s="13" t="n">
        <x:v>100</x:v>
      </x:c>
      <x:c r="I54" s="13" t="n">
        <x:f>H54/'Controls'!$D$13</x:f>
        <x:v>0.125</x:v>
      </x:c>
      <x:c r="J54" s="13" t="n">
        <x:v>2.5</x:v>
      </x:c>
      <x:c r="K54" s="10" t="str">
        <x:v>40 mm low-volume insert</x:v>
      </x:c>
      <x:c r="L54" s="7" t="str">
        <x:v>OPPORTUNITY</x:v>
      </x:c>
      <x:c r="M54" s="7" t="str">
        <x:v>RAE-SP-24</x:v>
      </x:c>
      <x:c r="N54" s="7" t="str">
        <x:v>RAE-WP-12</x:v>
      </x:c>
      <x:c r="O54" s="7" t="n">
        <x:v>3</x:v>
      </x:c>
      <x:c r="P54" s="7" t="str">
        <x:v>REA-100-06</x:v>
      </x:c>
      <x:c r="Q54" s="7" t="str">
        <x:v>OPEN</x:v>
      </x:c>
    </x:row>
  </x:sheetData>
  <x:conditionalFormatting sqref="Q7:Q54">
    <x:cfRule type="containsText" dxfId="108" priority="1" operator="containsText" text="FAIL"/>
    <x:cfRule type="containsText" dxfId="109" priority="2" operator="containsText" text="INVALID"/>
    <x:cfRule type="containsText" dxfId="110" priority="3" operator="containsText" text="BLOCKED"/>
    <x:cfRule type="containsText" dxfId="111" priority="4" operator="containsText" text="OPEN"/>
    <x:cfRule type="containsText" dxfId="112" priority="5" operator="containsText" text="HELD"/>
    <x:cfRule type="containsText" dxfId="113" priority="6" operator="containsText" text="DORMANT"/>
    <x:cfRule type="containsText" dxfId="114" priority="7" operator="containsText" text="PASS"/>
    <x:cfRule type="containsText" dxfId="115" priority="8" operator="containsText" text="VALID"/>
    <x:cfRule type="containsText" dxfId="116" priority="9" operator="containsText" text="ISSUED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3" hidden="0" customWidth="1"/>
    <x:col min="3" max="3" width="16" hidden="0" customWidth="1"/>
    <x:col min="4" max="4" width="14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6" hidden="0" customWidth="1"/>
    <x:col min="10" max="10" width="44" hidden="0" customWidth="1"/>
    <x:col min="11" max="11" width="21" hidden="0" customWidth="1"/>
    <x:col min="12" max="12" width="28" hidden="0" customWidth="1"/>
    <x:col min="13" max="13" width="14" hidden="0" customWidth="1"/>
  </x:cols>
  <x:sheetData>
    <x:row r="2">
      <x:c r="B2" s="1" t="str">
        <x:v>One thousand one hundred fifty-two event-phase records</x:v>
      </x:c>
    </x:row>
    <x:row r="3">
      <x:c r="B3" s="2" t="str">
        <x:v>The timeline preserves causal order from frozen baseline through validity board. Observed time and state remain physical evidence.</x:v>
      </x:c>
    </x:row>
    <x:row r="6" ht="24" customHeight="1">
      <x:c r="B6" s="6" t="str">
        <x:v>Record</x:v>
      </x:c>
      <x:c r="C6" s="6" t="str">
        <x:v>Event</x:v>
      </x:c>
      <x:c r="D6" s="6" t="str">
        <x:v>Rig</x:v>
      </x:c>
      <x:c r="E6" s="6" t="str">
        <x:v>Method</x:v>
      </x:c>
      <x:c r="F6" s="6" t="str">
        <x:v>Root</x:v>
      </x:c>
      <x:c r="G6" s="6" t="str">
        <x:v>Class</x:v>
      </x:c>
      <x:c r="H6" s="6" t="str">
        <x:v>Phase</x:v>
      </x:c>
      <x:c r="I6" s="6" t="str">
        <x:v>Relative time</x:v>
      </x:c>
      <x:c r="J6" s="6" t="str">
        <x:v>Required observation</x:v>
      </x:c>
      <x:c r="K6" s="6" t="str">
        <x:v>Observed UTC</x:v>
      </x:c>
      <x:c r="L6" s="6" t="str">
        <x:v>Observed state</x:v>
      </x:c>
      <x:c r="M6" s="6" t="str">
        <x:v>State</x:v>
      </x:c>
    </x:row>
    <x:row r="7" ht="36" customHeight="1">
      <x:c r="B7" s="7" t="str">
        <x:v>RAE-E-01-P01</x:v>
      </x:c>
      <x:c r="C7" s="7" t="str">
        <x:v>RAE-E-01</x:v>
      </x:c>
      <x:c r="D7" s="7" t="str">
        <x:v>RFP-A1</x:v>
      </x:c>
      <x:c r="E7" s="7" t="str">
        <x:v>AM-05</x:v>
      </x:c>
      <x:c r="F7" s="7" t="str">
        <x:v>TR-A</x:v>
      </x:c>
      <x:c r="G7" s="7" t="str">
        <x:v>QE-01</x:v>
      </x:c>
      <x:c r="H7" s="7" t="str">
        <x:v>P01</x:v>
      </x:c>
      <x:c r="I7" s="7" t="str">
        <x:v>T-96h</x:v>
      </x:c>
      <x:c r="J7" s="10" t="str">
        <x:v>baseline freeze</x:v>
      </x:c>
      <x:c r="K7" s="7" t="str"/>
      <x:c r="L7" s="10" t="str"/>
      <x:c r="M7" s="7" t="str">
        <x:v>OPEN</x:v>
      </x:c>
    </x:row>
    <x:row r="8" ht="36" customHeight="1">
      <x:c r="B8" s="7" t="str">
        <x:v>RAE-E-01-P02</x:v>
      </x:c>
      <x:c r="C8" s="7" t="str">
        <x:v>RAE-E-01</x:v>
      </x:c>
      <x:c r="D8" s="7" t="str">
        <x:v>RFP-A1</x:v>
      </x:c>
      <x:c r="E8" s="7" t="str">
        <x:v>AM-05</x:v>
      </x:c>
      <x:c r="F8" s="7" t="str">
        <x:v>TR-A</x:v>
      </x:c>
      <x:c r="G8" s="7" t="str">
        <x:v>QE-01</x:v>
      </x:c>
      <x:c r="H8" s="7" t="str">
        <x:v>P02</x:v>
      </x:c>
      <x:c r="I8" s="7" t="str">
        <x:v>T-72h</x:v>
      </x:c>
      <x:c r="J8" s="10" t="str">
        <x:v>source and water custody freeze</x:v>
      </x:c>
      <x:c r="K8" s="7" t="str"/>
      <x:c r="L8" s="10" t="str"/>
      <x:c r="M8" s="7" t="str">
        <x:v>OPEN</x:v>
      </x:c>
    </x:row>
    <x:row r="9" ht="36" customHeight="1">
      <x:c r="B9" s="7" t="str">
        <x:v>RAE-E-01-P03</x:v>
      </x:c>
      <x:c r="C9" s="7" t="str">
        <x:v>RAE-E-01</x:v>
      </x:c>
      <x:c r="D9" s="7" t="str">
        <x:v>RFP-A1</x:v>
      </x:c>
      <x:c r="E9" s="7" t="str">
        <x:v>AM-05</x:v>
      </x:c>
      <x:c r="F9" s="7" t="str">
        <x:v>TR-A</x:v>
      </x:c>
      <x:c r="G9" s="7" t="str">
        <x:v>QE-01</x:v>
      </x:c>
      <x:c r="H9" s="7" t="str">
        <x:v>P03</x:v>
      </x:c>
      <x:c r="I9" s="7" t="str">
        <x:v>T-48h</x:v>
      </x:c>
      <x:c r="J9" s="10" t="str">
        <x:v>article and configuration identity</x:v>
      </x:c>
      <x:c r="K9" s="7" t="str"/>
      <x:c r="L9" s="10" t="str"/>
      <x:c r="M9" s="7" t="str">
        <x:v>OPEN</x:v>
      </x:c>
    </x:row>
    <x:row r="10" ht="36" customHeight="1">
      <x:c r="B10" s="7" t="str">
        <x:v>RAE-E-01-P04</x:v>
      </x:c>
      <x:c r="C10" s="7" t="str">
        <x:v>RAE-E-01</x:v>
      </x:c>
      <x:c r="D10" s="7" t="str">
        <x:v>RFP-A1</x:v>
      </x:c>
      <x:c r="E10" s="7" t="str">
        <x:v>AM-05</x:v>
      </x:c>
      <x:c r="F10" s="7" t="str">
        <x:v>TR-A</x:v>
      </x:c>
      <x:c r="G10" s="7" t="str">
        <x:v>QE-01</x:v>
      </x:c>
      <x:c r="H10" s="7" t="str">
        <x:v>P04</x:v>
      </x:c>
      <x:c r="I10" s="7" t="str">
        <x:v>T-24h</x:v>
      </x:c>
      <x:c r="J10" s="10" t="str">
        <x:v>environment and recovery readiness</x:v>
      </x:c>
      <x:c r="K10" s="7" t="str"/>
      <x:c r="L10" s="10" t="str"/>
      <x:c r="M10" s="7" t="str">
        <x:v>OPEN</x:v>
      </x:c>
    </x:row>
    <x:row r="11" ht="36" customHeight="1">
      <x:c r="B11" s="7" t="str">
        <x:v>RAE-E-01-P05</x:v>
      </x:c>
      <x:c r="C11" s="7" t="str">
        <x:v>RAE-E-01</x:v>
      </x:c>
      <x:c r="D11" s="7" t="str">
        <x:v>RFP-A1</x:v>
      </x:c>
      <x:c r="E11" s="7" t="str">
        <x:v>AM-05</x:v>
      </x:c>
      <x:c r="F11" s="7" t="str">
        <x:v>TR-A</x:v>
      </x:c>
      <x:c r="G11" s="7" t="str">
        <x:v>QE-01</x:v>
      </x:c>
      <x:c r="H11" s="7" t="str">
        <x:v>P05</x:v>
      </x:c>
      <x:c r="I11" s="7" t="str">
        <x:v>T-12h</x:v>
      </x:c>
      <x:c r="J11" s="10" t="str">
        <x:v>rescue posture</x:v>
      </x:c>
      <x:c r="K11" s="7" t="str"/>
      <x:c r="L11" s="10" t="str"/>
      <x:c r="M11" s="7" t="str">
        <x:v>OPEN</x:v>
      </x:c>
    </x:row>
    <x:row r="12" ht="36" customHeight="1">
      <x:c r="B12" s="7" t="str">
        <x:v>RAE-E-01-P06</x:v>
      </x:c>
      <x:c r="C12" s="7" t="str">
        <x:v>RAE-E-01</x:v>
      </x:c>
      <x:c r="D12" s="7" t="str">
        <x:v>RFP-A1</x:v>
      </x:c>
      <x:c r="E12" s="7" t="str">
        <x:v>AM-05</x:v>
      </x:c>
      <x:c r="F12" s="7" t="str">
        <x:v>TR-A</x:v>
      </x:c>
      <x:c r="G12" s="7" t="str">
        <x:v>QE-01</x:v>
      </x:c>
      <x:c r="H12" s="7" t="str">
        <x:v>P06</x:v>
      </x:c>
      <x:c r="I12" s="7" t="str">
        <x:v>T-6h</x:v>
      </x:c>
      <x:c r="J12" s="10" t="str">
        <x:v>calibration before state</x:v>
      </x:c>
      <x:c r="K12" s="7" t="str"/>
      <x:c r="L12" s="10" t="str"/>
      <x:c r="M12" s="7" t="str">
        <x:v>OPEN</x:v>
      </x:c>
    </x:row>
    <x:row r="13" ht="36" customHeight="1">
      <x:c r="B13" s="7" t="str">
        <x:v>RAE-E-01-P07</x:v>
      </x:c>
      <x:c r="C13" s="7" t="str">
        <x:v>RAE-E-01</x:v>
      </x:c>
      <x:c r="D13" s="7" t="str">
        <x:v>RFP-A1</x:v>
      </x:c>
      <x:c r="E13" s="7" t="str">
        <x:v>AM-05</x:v>
      </x:c>
      <x:c r="F13" s="7" t="str">
        <x:v>TR-A</x:v>
      </x:c>
      <x:c r="G13" s="7" t="str">
        <x:v>QE-01</x:v>
      </x:c>
      <x:c r="H13" s="7" t="str">
        <x:v>P07</x:v>
      </x:c>
      <x:c r="I13" s="7" t="str">
        <x:v>T-2h</x:v>
      </x:c>
      <x:c r="J13" s="10" t="str">
        <x:v>receiver initial-volume proof</x:v>
      </x:c>
      <x:c r="K13" s="7" t="str"/>
      <x:c r="L13" s="10" t="str"/>
      <x:c r="M13" s="7" t="str">
        <x:v>OPEN</x:v>
      </x:c>
    </x:row>
    <x:row r="14" ht="36" customHeight="1">
      <x:c r="B14" s="7" t="str">
        <x:v>RAE-E-01-P08</x:v>
      </x:c>
      <x:c r="C14" s="7" t="str">
        <x:v>RAE-E-01</x:v>
      </x:c>
      <x:c r="D14" s="7" t="str">
        <x:v>RFP-A1</x:v>
      </x:c>
      <x:c r="E14" s="7" t="str">
        <x:v>AM-05</x:v>
      </x:c>
      <x:c r="F14" s="7" t="str">
        <x:v>TR-A</x:v>
      </x:c>
      <x:c r="G14" s="7" t="str">
        <x:v>QE-01</x:v>
      </x:c>
      <x:c r="H14" s="7" t="str">
        <x:v>P08</x:v>
      </x:c>
      <x:c r="I14" s="7" t="str">
        <x:v>T-60min</x:v>
      </x:c>
      <x:c r="J14" s="10" t="str">
        <x:v>neighbor inert-state proof</x:v>
      </x:c>
      <x:c r="K14" s="7" t="str"/>
      <x:c r="L14" s="10" t="str"/>
      <x:c r="M14" s="7" t="str">
        <x:v>OPEN</x:v>
      </x:c>
    </x:row>
    <x:row r="15" ht="36" customHeight="1">
      <x:c r="B15" s="7" t="str">
        <x:v>RAE-E-01-P09</x:v>
      </x:c>
      <x:c r="C15" s="7" t="str">
        <x:v>RAE-E-01</x:v>
      </x:c>
      <x:c r="D15" s="7" t="str">
        <x:v>RFP-A1</x:v>
      </x:c>
      <x:c r="E15" s="7" t="str">
        <x:v>AM-05</x:v>
      </x:c>
      <x:c r="F15" s="7" t="str">
        <x:v>TR-A</x:v>
      </x:c>
      <x:c r="G15" s="7" t="str">
        <x:v>QE-01</x:v>
      </x:c>
      <x:c r="H15" s="7" t="str">
        <x:v>P09</x:v>
      </x:c>
      <x:c r="I15" s="7" t="str">
        <x:v>T-30min</x:v>
      </x:c>
      <x:c r="J15" s="10" t="str">
        <x:v>native evidence armed</x:v>
      </x:c>
      <x:c r="K15" s="7" t="str"/>
      <x:c r="L15" s="10" t="str"/>
      <x:c r="M15" s="7" t="str">
        <x:v>OPEN</x:v>
      </x:c>
    </x:row>
    <x:row r="16" ht="36" customHeight="1">
      <x:c r="B16" s="7" t="str">
        <x:v>RAE-E-01-P10</x:v>
      </x:c>
      <x:c r="C16" s="7" t="str">
        <x:v>RAE-E-01</x:v>
      </x:c>
      <x:c r="D16" s="7" t="str">
        <x:v>RFP-A1</x:v>
      </x:c>
      <x:c r="E16" s="7" t="str">
        <x:v>AM-05</x:v>
      </x:c>
      <x:c r="F16" s="7" t="str">
        <x:v>TR-A</x:v>
      </x:c>
      <x:c r="G16" s="7" t="str">
        <x:v>QE-01</x:v>
      </x:c>
      <x:c r="H16" s="7" t="str">
        <x:v>P10</x:v>
      </x:c>
      <x:c r="I16" s="7" t="str">
        <x:v>T-10min</x:v>
      </x:c>
      <x:c r="J16" s="10" t="str">
        <x:v>final control poll</x:v>
      </x:c>
      <x:c r="K16" s="7" t="str"/>
      <x:c r="L16" s="10" t="str"/>
      <x:c r="M16" s="7" t="str">
        <x:v>OPEN</x:v>
      </x:c>
    </x:row>
    <x:row r="17" ht="36" customHeight="1">
      <x:c r="B17" s="7" t="str">
        <x:v>RAE-E-01-P11</x:v>
      </x:c>
      <x:c r="C17" s="7" t="str">
        <x:v>RAE-E-01</x:v>
      </x:c>
      <x:c r="D17" s="7" t="str">
        <x:v>RFP-A1</x:v>
      </x:c>
      <x:c r="E17" s="7" t="str">
        <x:v>AM-05</x:v>
      </x:c>
      <x:c r="F17" s="7" t="str">
        <x:v>TR-A</x:v>
      </x:c>
      <x:c r="G17" s="7" t="str">
        <x:v>QE-01</x:v>
      </x:c>
      <x:c r="H17" s="7" t="str">
        <x:v>P11</x:v>
      </x:c>
      <x:c r="I17" s="7" t="str">
        <x:v>T-60s</x:v>
      </x:c>
      <x:c r="J17" s="10" t="str">
        <x:v>full-rate capture</x:v>
      </x:c>
      <x:c r="K17" s="7" t="str"/>
      <x:c r="L17" s="10" t="str"/>
      <x:c r="M17" s="7" t="str">
        <x:v>OPEN</x:v>
      </x:c>
    </x:row>
    <x:row r="18" ht="36" customHeight="1">
      <x:c r="B18" s="7" t="str">
        <x:v>RAE-E-01-P12</x:v>
      </x:c>
      <x:c r="C18" s="7" t="str">
        <x:v>RAE-E-01</x:v>
      </x:c>
      <x:c r="D18" s="7" t="str">
        <x:v>RFP-A1</x:v>
      </x:c>
      <x:c r="E18" s="7" t="str">
        <x:v>AM-05</x:v>
      </x:c>
      <x:c r="F18" s="7" t="str">
        <x:v>TR-A</x:v>
      </x:c>
      <x:c r="G18" s="7" t="str">
        <x:v>QE-01</x:v>
      </x:c>
      <x:c r="H18" s="7" t="str">
        <x:v>P12</x:v>
      </x:c>
      <x:c r="I18" s="7" t="str">
        <x:v>T-10s</x:v>
      </x:c>
      <x:c r="J18" s="10" t="str">
        <x:v>registered challenge state</x:v>
      </x:c>
      <x:c r="K18" s="7" t="str"/>
      <x:c r="L18" s="10" t="str"/>
      <x:c r="M18" s="7" t="str">
        <x:v>OPEN</x:v>
      </x:c>
    </x:row>
    <x:row r="19" ht="36" customHeight="1">
      <x:c r="B19" s="7" t="str">
        <x:v>RAE-E-01-P13</x:v>
      </x:c>
      <x:c r="C19" s="7" t="str">
        <x:v>RAE-E-01</x:v>
      </x:c>
      <x:c r="D19" s="7" t="str">
        <x:v>RFP-A1</x:v>
      </x:c>
      <x:c r="E19" s="7" t="str">
        <x:v>AM-05</x:v>
      </x:c>
      <x:c r="F19" s="7" t="str">
        <x:v>TR-A</x:v>
      </x:c>
      <x:c r="G19" s="7" t="str">
        <x:v>QE-01</x:v>
      </x:c>
      <x:c r="H19" s="7" t="str">
        <x:v>P13</x:v>
      </x:c>
      <x:c r="I19" s="7" t="str">
        <x:v>T0</x:v>
      </x:c>
      <x:c r="J19" s="10" t="str">
        <x:v>source command or zero-source marker</x:v>
      </x:c>
      <x:c r="K19" s="7" t="str"/>
      <x:c r="L19" s="10" t="str"/>
      <x:c r="M19" s="7" t="str">
        <x:v>OPEN</x:v>
      </x:c>
    </x:row>
    <x:row r="20" ht="36" customHeight="1">
      <x:c r="B20" s="7" t="str">
        <x:v>RAE-E-01-P14</x:v>
      </x:c>
      <x:c r="C20" s="7" t="str">
        <x:v>RAE-E-01</x:v>
      </x:c>
      <x:c r="D20" s="7" t="str">
        <x:v>RFP-A1</x:v>
      </x:c>
      <x:c r="E20" s="7" t="str">
        <x:v>AM-05</x:v>
      </x:c>
      <x:c r="F20" s="7" t="str">
        <x:v>TR-A</x:v>
      </x:c>
      <x:c r="G20" s="7" t="str">
        <x:v>QE-01</x:v>
      </x:c>
      <x:c r="H20" s="7" t="str">
        <x:v>P14</x:v>
      </x:c>
      <x:c r="I20" s="7" t="str">
        <x:v>T+2s</x:v>
      </x:c>
      <x:c r="J20" s="10" t="str">
        <x:v>inlet and dispenser final state</x:v>
      </x:c>
      <x:c r="K20" s="7" t="str"/>
      <x:c r="L20" s="10" t="str"/>
      <x:c r="M20" s="7" t="str">
        <x:v>OPEN</x:v>
      </x:c>
    </x:row>
    <x:row r="21" ht="36" customHeight="1">
      <x:c r="B21" s="7" t="str">
        <x:v>RAE-E-01-P15</x:v>
      </x:c>
      <x:c r="C21" s="7" t="str">
        <x:v>RAE-E-01</x:v>
      </x:c>
      <x:c r="D21" s="7" t="str">
        <x:v>RFP-A1</x:v>
      </x:c>
      <x:c r="E21" s="7" t="str">
        <x:v>AM-05</x:v>
      </x:c>
      <x:c r="F21" s="7" t="str">
        <x:v>TR-A</x:v>
      </x:c>
      <x:c r="G21" s="7" t="str">
        <x:v>QE-01</x:v>
      </x:c>
      <x:c r="H21" s="7" t="str">
        <x:v>P15</x:v>
      </x:c>
      <x:c r="I21" s="7" t="str">
        <x:v>T+15s</x:v>
      </x:c>
      <x:c r="J21" s="10" t="str">
        <x:v>AM-06 QE-02 ignition opportunity</x:v>
      </x:c>
      <x:c r="K21" s="7" t="str"/>
      <x:c r="L21" s="10" t="str"/>
      <x:c r="M21" s="7" t="str">
        <x:v>OPEN</x:v>
      </x:c>
    </x:row>
    <x:row r="22" ht="36" customHeight="1">
      <x:c r="B22" s="7" t="str">
        <x:v>RAE-E-01-P16</x:v>
      </x:c>
      <x:c r="C22" s="7" t="str">
        <x:v>RAE-E-01</x:v>
      </x:c>
      <x:c r="D22" s="7" t="str">
        <x:v>RFP-A1</x:v>
      </x:c>
      <x:c r="E22" s="7" t="str">
        <x:v>AM-05</x:v>
      </x:c>
      <x:c r="F22" s="7" t="str">
        <x:v>TR-A</x:v>
      </x:c>
      <x:c r="G22" s="7" t="str">
        <x:v>QE-01</x:v>
      </x:c>
      <x:c r="H22" s="7" t="str">
        <x:v>P16</x:v>
      </x:c>
      <x:c r="I22" s="7" t="str">
        <x:v>T+30s</x:v>
      </x:c>
      <x:c r="J22" s="10" t="str">
        <x:v>terminal-source decision</x:v>
      </x:c>
      <x:c r="K22" s="7" t="str"/>
      <x:c r="L22" s="10" t="str"/>
      <x:c r="M22" s="7" t="str">
        <x:v>OPEN</x:v>
      </x:c>
    </x:row>
    <x:row r="23" ht="36" customHeight="1">
      <x:c r="B23" s="7" t="str">
        <x:v>RAE-E-01-P17</x:v>
      </x:c>
      <x:c r="C23" s="7" t="str">
        <x:v>RAE-E-01</x:v>
      </x:c>
      <x:c r="D23" s="7" t="str">
        <x:v>RFP-A1</x:v>
      </x:c>
      <x:c r="E23" s="7" t="str">
        <x:v>AM-05</x:v>
      </x:c>
      <x:c r="F23" s="7" t="str">
        <x:v>TR-A</x:v>
      </x:c>
      <x:c r="G23" s="7" t="str">
        <x:v>QE-01</x:v>
      </x:c>
      <x:c r="H23" s="7" t="str">
        <x:v>P17</x:v>
      </x:c>
      <x:c r="I23" s="7" t="str">
        <x:v>T+120s</x:v>
      </x:c>
      <x:c r="J23" s="10" t="str">
        <x:v>public schedule end</x:v>
      </x:c>
      <x:c r="K23" s="7" t="str"/>
      <x:c r="L23" s="10" t="str"/>
      <x:c r="M23" s="7" t="str">
        <x:v>OPEN</x:v>
      </x:c>
    </x:row>
    <x:row r="24" ht="36" customHeight="1">
      <x:c r="B24" s="7" t="str">
        <x:v>RAE-E-01-P18</x:v>
      </x:c>
      <x:c r="C24" s="7" t="str">
        <x:v>RAE-E-01</x:v>
      </x:c>
      <x:c r="D24" s="7" t="str">
        <x:v>RFP-A1</x:v>
      </x:c>
      <x:c r="E24" s="7" t="str">
        <x:v>AM-05</x:v>
      </x:c>
      <x:c r="F24" s="7" t="str">
        <x:v>TR-A</x:v>
      </x:c>
      <x:c r="G24" s="7" t="str">
        <x:v>QE-01</x:v>
      </x:c>
      <x:c r="H24" s="7" t="str">
        <x:v>P18</x:v>
      </x:c>
      <x:c r="I24" s="7" t="str">
        <x:v>T+15min</x:v>
      </x:c>
      <x:c r="J24" s="10" t="str">
        <x:v>thermal and water classification</x:v>
      </x:c>
      <x:c r="K24" s="7" t="str"/>
      <x:c r="L24" s="10" t="str"/>
      <x:c r="M24" s="7" t="str">
        <x:v>OPEN</x:v>
      </x:c>
    </x:row>
    <x:row r="25" ht="36" customHeight="1">
      <x:c r="B25" s="7" t="str">
        <x:v>RAE-E-01-P19</x:v>
      </x:c>
      <x:c r="C25" s="7" t="str">
        <x:v>RAE-E-01</x:v>
      </x:c>
      <x:c r="D25" s="7" t="str">
        <x:v>RFP-A1</x:v>
      </x:c>
      <x:c r="E25" s="7" t="str">
        <x:v>AM-05</x:v>
      </x:c>
      <x:c r="F25" s="7" t="str">
        <x:v>TR-A</x:v>
      </x:c>
      <x:c r="G25" s="7" t="str">
        <x:v>QE-01</x:v>
      </x:c>
      <x:c r="H25" s="7" t="str">
        <x:v>P19</x:v>
      </x:c>
      <x:c r="I25" s="7" t="str">
        <x:v>T+30min</x:v>
      </x:c>
      <x:c r="J25" s="10" t="str">
        <x:v>public intervention classification</x:v>
      </x:c>
      <x:c r="K25" s="7" t="str"/>
      <x:c r="L25" s="10" t="str"/>
      <x:c r="M25" s="7" t="str">
        <x:v>OPEN</x:v>
      </x:c>
    </x:row>
    <x:row r="26" ht="36" customHeight="1">
      <x:c r="B26" s="7" t="str">
        <x:v>RAE-E-01-P20</x:v>
      </x:c>
      <x:c r="C26" s="7" t="str">
        <x:v>RAE-E-01</x:v>
      </x:c>
      <x:c r="D26" s="7" t="str">
        <x:v>RFP-A1</x:v>
      </x:c>
      <x:c r="E26" s="7" t="str">
        <x:v>AM-05</x:v>
      </x:c>
      <x:c r="F26" s="7" t="str">
        <x:v>TR-A</x:v>
      </x:c>
      <x:c r="G26" s="7" t="str">
        <x:v>QE-01</x:v>
      </x:c>
      <x:c r="H26" s="7" t="str">
        <x:v>P20</x:v>
      </x:c>
      <x:c r="I26" s="7" t="str">
        <x:v>T+60min</x:v>
      </x:c>
      <x:c r="J26" s="10" t="str">
        <x:v>remote-entry classification</x:v>
      </x:c>
      <x:c r="K26" s="7" t="str"/>
      <x:c r="L26" s="10" t="str"/>
      <x:c r="M26" s="7" t="str">
        <x:v>OPEN</x:v>
      </x:c>
    </x:row>
    <x:row r="27" ht="36" customHeight="1">
      <x:c r="B27" s="7" t="str">
        <x:v>RAE-E-01-P21</x:v>
      </x:c>
      <x:c r="C27" s="7" t="str">
        <x:v>RAE-E-01</x:v>
      </x:c>
      <x:c r="D27" s="7" t="str">
        <x:v>RFP-A1</x:v>
      </x:c>
      <x:c r="E27" s="7" t="str">
        <x:v>AM-05</x:v>
      </x:c>
      <x:c r="F27" s="7" t="str">
        <x:v>TR-A</x:v>
      </x:c>
      <x:c r="G27" s="7" t="str">
        <x:v>QE-01</x:v>
      </x:c>
      <x:c r="H27" s="7" t="str">
        <x:v>P21</x:v>
      </x:c>
      <x:c r="I27" s="7" t="str">
        <x:v>T+6h</x:v>
      </x:c>
      <x:c r="J27" s="10" t="str">
        <x:v>evidence tail closure</x:v>
      </x:c>
      <x:c r="K27" s="7" t="str"/>
      <x:c r="L27" s="10" t="str"/>
      <x:c r="M27" s="7" t="str">
        <x:v>OPEN</x:v>
      </x:c>
    </x:row>
    <x:row r="28" ht="36" customHeight="1">
      <x:c r="B28" s="7" t="str">
        <x:v>RAE-E-01-P22</x:v>
      </x:c>
      <x:c r="C28" s="7" t="str">
        <x:v>RAE-E-01</x:v>
      </x:c>
      <x:c r="D28" s="7" t="str">
        <x:v>RFP-A1</x:v>
      </x:c>
      <x:c r="E28" s="7" t="str">
        <x:v>AM-05</x:v>
      </x:c>
      <x:c r="F28" s="7" t="str">
        <x:v>TR-A</x:v>
      </x:c>
      <x:c r="G28" s="7" t="str">
        <x:v>QE-01</x:v>
      </x:c>
      <x:c r="H28" s="7" t="str">
        <x:v>P22</x:v>
      </x:c>
      <x:c r="I28" s="7" t="str">
        <x:v>T+24h</x:v>
      </x:c>
      <x:c r="J28" s="10" t="str">
        <x:v>physical ledger closure</x:v>
      </x:c>
      <x:c r="K28" s="7" t="str"/>
      <x:c r="L28" s="10" t="str"/>
      <x:c r="M28" s="7" t="str">
        <x:v>OPEN</x:v>
      </x:c>
    </x:row>
    <x:row r="29" ht="36" customHeight="1">
      <x:c r="B29" s="7" t="str">
        <x:v>RAE-E-01-P23</x:v>
      </x:c>
      <x:c r="C29" s="7" t="str">
        <x:v>RAE-E-01</x:v>
      </x:c>
      <x:c r="D29" s="7" t="str">
        <x:v>RFP-A1</x:v>
      </x:c>
      <x:c r="E29" s="7" t="str">
        <x:v>AM-05</x:v>
      </x:c>
      <x:c r="F29" s="7" t="str">
        <x:v>TR-A</x:v>
      </x:c>
      <x:c r="G29" s="7" t="str">
        <x:v>QE-01</x:v>
      </x:c>
      <x:c r="H29" s="7" t="str">
        <x:v>P23</x:v>
      </x:c>
      <x:c r="I29" s="7" t="str">
        <x:v>T+72h</x:v>
      </x:c>
      <x:c r="J29" s="10" t="str">
        <x:v>immutable packet freeze</x:v>
      </x:c>
      <x:c r="K29" s="7" t="str"/>
      <x:c r="L29" s="10" t="str"/>
      <x:c r="M29" s="7" t="str">
        <x:v>OPEN</x:v>
      </x:c>
    </x:row>
    <x:row r="30" ht="36" customHeight="1">
      <x:c r="B30" s="7" t="str">
        <x:v>RAE-E-01-P24</x:v>
      </x:c>
      <x:c r="C30" s="7" t="str">
        <x:v>RAE-E-01</x:v>
      </x:c>
      <x:c r="D30" s="7" t="str">
        <x:v>RFP-A1</x:v>
      </x:c>
      <x:c r="E30" s="7" t="str">
        <x:v>AM-05</x:v>
      </x:c>
      <x:c r="F30" s="7" t="str">
        <x:v>TR-A</x:v>
      </x:c>
      <x:c r="G30" s="7" t="str">
        <x:v>QE-01</x:v>
      </x:c>
      <x:c r="H30" s="7" t="str">
        <x:v>P24</x:v>
      </x:c>
      <x:c r="I30" s="7" t="str">
        <x:v>day 7</x:v>
      </x:c>
      <x:c r="J30" s="10" t="str">
        <x:v>validity and outcome board</x:v>
      </x:c>
      <x:c r="K30" s="7" t="str"/>
      <x:c r="L30" s="10" t="str"/>
      <x:c r="M30" s="7" t="str">
        <x:v>OPEN</x:v>
      </x:c>
    </x:row>
    <x:row r="31" ht="36" customHeight="1">
      <x:c r="B31" s="7" t="str">
        <x:v>RAE-E-02-P01</x:v>
      </x:c>
      <x:c r="C31" s="7" t="str">
        <x:v>RAE-E-02</x:v>
      </x:c>
      <x:c r="D31" s="7" t="str">
        <x:v>RFP-A1</x:v>
      </x:c>
      <x:c r="E31" s="7" t="str">
        <x:v>AM-05</x:v>
      </x:c>
      <x:c r="F31" s="7" t="str">
        <x:v>TR-A</x:v>
      </x:c>
      <x:c r="G31" s="7" t="str">
        <x:v>QE-02</x:v>
      </x:c>
      <x:c r="H31" s="7" t="str">
        <x:v>P01</x:v>
      </x:c>
      <x:c r="I31" s="7" t="str">
        <x:v>T-96h</x:v>
      </x:c>
      <x:c r="J31" s="10" t="str">
        <x:v>baseline freeze</x:v>
      </x:c>
      <x:c r="K31" s="7" t="str"/>
      <x:c r="L31" s="10" t="str"/>
      <x:c r="M31" s="7" t="str">
        <x:v>OPEN</x:v>
      </x:c>
    </x:row>
    <x:row r="32" ht="36" customHeight="1">
      <x:c r="B32" s="7" t="str">
        <x:v>RAE-E-02-P02</x:v>
      </x:c>
      <x:c r="C32" s="7" t="str">
        <x:v>RAE-E-02</x:v>
      </x:c>
      <x:c r="D32" s="7" t="str">
        <x:v>RFP-A1</x:v>
      </x:c>
      <x:c r="E32" s="7" t="str">
        <x:v>AM-05</x:v>
      </x:c>
      <x:c r="F32" s="7" t="str">
        <x:v>TR-A</x:v>
      </x:c>
      <x:c r="G32" s="7" t="str">
        <x:v>QE-02</x:v>
      </x:c>
      <x:c r="H32" s="7" t="str">
        <x:v>P02</x:v>
      </x:c>
      <x:c r="I32" s="7" t="str">
        <x:v>T-72h</x:v>
      </x:c>
      <x:c r="J32" s="10" t="str">
        <x:v>source and water custody freeze</x:v>
      </x:c>
      <x:c r="K32" s="7" t="str"/>
      <x:c r="L32" s="10" t="str"/>
      <x:c r="M32" s="7" t="str">
        <x:v>OPEN</x:v>
      </x:c>
    </x:row>
    <x:row r="33" ht="36" customHeight="1">
      <x:c r="B33" s="7" t="str">
        <x:v>RAE-E-02-P03</x:v>
      </x:c>
      <x:c r="C33" s="7" t="str">
        <x:v>RAE-E-02</x:v>
      </x:c>
      <x:c r="D33" s="7" t="str">
        <x:v>RFP-A1</x:v>
      </x:c>
      <x:c r="E33" s="7" t="str">
        <x:v>AM-05</x:v>
      </x:c>
      <x:c r="F33" s="7" t="str">
        <x:v>TR-A</x:v>
      </x:c>
      <x:c r="G33" s="7" t="str">
        <x:v>QE-02</x:v>
      </x:c>
      <x:c r="H33" s="7" t="str">
        <x:v>P03</x:v>
      </x:c>
      <x:c r="I33" s="7" t="str">
        <x:v>T-48h</x:v>
      </x:c>
      <x:c r="J33" s="10" t="str">
        <x:v>article and configuration identity</x:v>
      </x:c>
      <x:c r="K33" s="7" t="str"/>
      <x:c r="L33" s="10" t="str"/>
      <x:c r="M33" s="7" t="str">
        <x:v>OPEN</x:v>
      </x:c>
    </x:row>
    <x:row r="34" ht="36" customHeight="1">
      <x:c r="B34" s="7" t="str">
        <x:v>RAE-E-02-P04</x:v>
      </x:c>
      <x:c r="C34" s="7" t="str">
        <x:v>RAE-E-02</x:v>
      </x:c>
      <x:c r="D34" s="7" t="str">
        <x:v>RFP-A1</x:v>
      </x:c>
      <x:c r="E34" s="7" t="str">
        <x:v>AM-05</x:v>
      </x:c>
      <x:c r="F34" s="7" t="str">
        <x:v>TR-A</x:v>
      </x:c>
      <x:c r="G34" s="7" t="str">
        <x:v>QE-02</x:v>
      </x:c>
      <x:c r="H34" s="7" t="str">
        <x:v>P04</x:v>
      </x:c>
      <x:c r="I34" s="7" t="str">
        <x:v>T-24h</x:v>
      </x:c>
      <x:c r="J34" s="10" t="str">
        <x:v>environment and recovery readiness</x:v>
      </x:c>
      <x:c r="K34" s="7" t="str"/>
      <x:c r="L34" s="10" t="str"/>
      <x:c r="M34" s="7" t="str">
        <x:v>OPEN</x:v>
      </x:c>
    </x:row>
    <x:row r="35" ht="36" customHeight="1">
      <x:c r="B35" s="7" t="str">
        <x:v>RAE-E-02-P05</x:v>
      </x:c>
      <x:c r="C35" s="7" t="str">
        <x:v>RAE-E-02</x:v>
      </x:c>
      <x:c r="D35" s="7" t="str">
        <x:v>RFP-A1</x:v>
      </x:c>
      <x:c r="E35" s="7" t="str">
        <x:v>AM-05</x:v>
      </x:c>
      <x:c r="F35" s="7" t="str">
        <x:v>TR-A</x:v>
      </x:c>
      <x:c r="G35" s="7" t="str">
        <x:v>QE-02</x:v>
      </x:c>
      <x:c r="H35" s="7" t="str">
        <x:v>P05</x:v>
      </x:c>
      <x:c r="I35" s="7" t="str">
        <x:v>T-12h</x:v>
      </x:c>
      <x:c r="J35" s="10" t="str">
        <x:v>rescue posture</x:v>
      </x:c>
      <x:c r="K35" s="7" t="str"/>
      <x:c r="L35" s="10" t="str"/>
      <x:c r="M35" s="7" t="str">
        <x:v>OPEN</x:v>
      </x:c>
    </x:row>
    <x:row r="36" ht="36" customHeight="1">
      <x:c r="B36" s="7" t="str">
        <x:v>RAE-E-02-P06</x:v>
      </x:c>
      <x:c r="C36" s="7" t="str">
        <x:v>RAE-E-02</x:v>
      </x:c>
      <x:c r="D36" s="7" t="str">
        <x:v>RFP-A1</x:v>
      </x:c>
      <x:c r="E36" s="7" t="str">
        <x:v>AM-05</x:v>
      </x:c>
      <x:c r="F36" s="7" t="str">
        <x:v>TR-A</x:v>
      </x:c>
      <x:c r="G36" s="7" t="str">
        <x:v>QE-02</x:v>
      </x:c>
      <x:c r="H36" s="7" t="str">
        <x:v>P06</x:v>
      </x:c>
      <x:c r="I36" s="7" t="str">
        <x:v>T-6h</x:v>
      </x:c>
      <x:c r="J36" s="10" t="str">
        <x:v>calibration before state</x:v>
      </x:c>
      <x:c r="K36" s="7" t="str"/>
      <x:c r="L36" s="10" t="str"/>
      <x:c r="M36" s="7" t="str">
        <x:v>OPEN</x:v>
      </x:c>
    </x:row>
    <x:row r="37" ht="36" customHeight="1">
      <x:c r="B37" s="7" t="str">
        <x:v>RAE-E-02-P07</x:v>
      </x:c>
      <x:c r="C37" s="7" t="str">
        <x:v>RAE-E-02</x:v>
      </x:c>
      <x:c r="D37" s="7" t="str">
        <x:v>RFP-A1</x:v>
      </x:c>
      <x:c r="E37" s="7" t="str">
        <x:v>AM-05</x:v>
      </x:c>
      <x:c r="F37" s="7" t="str">
        <x:v>TR-A</x:v>
      </x:c>
      <x:c r="G37" s="7" t="str">
        <x:v>QE-02</x:v>
      </x:c>
      <x:c r="H37" s="7" t="str">
        <x:v>P07</x:v>
      </x:c>
      <x:c r="I37" s="7" t="str">
        <x:v>T-2h</x:v>
      </x:c>
      <x:c r="J37" s="10" t="str">
        <x:v>receiver initial-volume proof</x:v>
      </x:c>
      <x:c r="K37" s="7" t="str"/>
      <x:c r="L37" s="10" t="str"/>
      <x:c r="M37" s="7" t="str">
        <x:v>OPEN</x:v>
      </x:c>
    </x:row>
    <x:row r="38" ht="36" customHeight="1">
      <x:c r="B38" s="7" t="str">
        <x:v>RAE-E-02-P08</x:v>
      </x:c>
      <x:c r="C38" s="7" t="str">
        <x:v>RAE-E-02</x:v>
      </x:c>
      <x:c r="D38" s="7" t="str">
        <x:v>RFP-A1</x:v>
      </x:c>
      <x:c r="E38" s="7" t="str">
        <x:v>AM-05</x:v>
      </x:c>
      <x:c r="F38" s="7" t="str">
        <x:v>TR-A</x:v>
      </x:c>
      <x:c r="G38" s="7" t="str">
        <x:v>QE-02</x:v>
      </x:c>
      <x:c r="H38" s="7" t="str">
        <x:v>P08</x:v>
      </x:c>
      <x:c r="I38" s="7" t="str">
        <x:v>T-60min</x:v>
      </x:c>
      <x:c r="J38" s="10" t="str">
        <x:v>neighbor inert-state proof</x:v>
      </x:c>
      <x:c r="K38" s="7" t="str"/>
      <x:c r="L38" s="10" t="str"/>
      <x:c r="M38" s="7" t="str">
        <x:v>OPEN</x:v>
      </x:c>
    </x:row>
    <x:row r="39" ht="36" customHeight="1">
      <x:c r="B39" s="7" t="str">
        <x:v>RAE-E-02-P09</x:v>
      </x:c>
      <x:c r="C39" s="7" t="str">
        <x:v>RAE-E-02</x:v>
      </x:c>
      <x:c r="D39" s="7" t="str">
        <x:v>RFP-A1</x:v>
      </x:c>
      <x:c r="E39" s="7" t="str">
        <x:v>AM-05</x:v>
      </x:c>
      <x:c r="F39" s="7" t="str">
        <x:v>TR-A</x:v>
      </x:c>
      <x:c r="G39" s="7" t="str">
        <x:v>QE-02</x:v>
      </x:c>
      <x:c r="H39" s="7" t="str">
        <x:v>P09</x:v>
      </x:c>
      <x:c r="I39" s="7" t="str">
        <x:v>T-30min</x:v>
      </x:c>
      <x:c r="J39" s="10" t="str">
        <x:v>native evidence armed</x:v>
      </x:c>
      <x:c r="K39" s="7" t="str"/>
      <x:c r="L39" s="10" t="str"/>
      <x:c r="M39" s="7" t="str">
        <x:v>OPEN</x:v>
      </x:c>
    </x:row>
    <x:row r="40" ht="36" customHeight="1">
      <x:c r="B40" s="7" t="str">
        <x:v>RAE-E-02-P10</x:v>
      </x:c>
      <x:c r="C40" s="7" t="str">
        <x:v>RAE-E-02</x:v>
      </x:c>
      <x:c r="D40" s="7" t="str">
        <x:v>RFP-A1</x:v>
      </x:c>
      <x:c r="E40" s="7" t="str">
        <x:v>AM-05</x:v>
      </x:c>
      <x:c r="F40" s="7" t="str">
        <x:v>TR-A</x:v>
      </x:c>
      <x:c r="G40" s="7" t="str">
        <x:v>QE-02</x:v>
      </x:c>
      <x:c r="H40" s="7" t="str">
        <x:v>P10</x:v>
      </x:c>
      <x:c r="I40" s="7" t="str">
        <x:v>T-10min</x:v>
      </x:c>
      <x:c r="J40" s="10" t="str">
        <x:v>final control poll</x:v>
      </x:c>
      <x:c r="K40" s="7" t="str"/>
      <x:c r="L40" s="10" t="str"/>
      <x:c r="M40" s="7" t="str">
        <x:v>OPEN</x:v>
      </x:c>
    </x:row>
    <x:row r="41" ht="36" customHeight="1">
      <x:c r="B41" s="7" t="str">
        <x:v>RAE-E-02-P11</x:v>
      </x:c>
      <x:c r="C41" s="7" t="str">
        <x:v>RAE-E-02</x:v>
      </x:c>
      <x:c r="D41" s="7" t="str">
        <x:v>RFP-A1</x:v>
      </x:c>
      <x:c r="E41" s="7" t="str">
        <x:v>AM-05</x:v>
      </x:c>
      <x:c r="F41" s="7" t="str">
        <x:v>TR-A</x:v>
      </x:c>
      <x:c r="G41" s="7" t="str">
        <x:v>QE-02</x:v>
      </x:c>
      <x:c r="H41" s="7" t="str">
        <x:v>P11</x:v>
      </x:c>
      <x:c r="I41" s="7" t="str">
        <x:v>T-60s</x:v>
      </x:c>
      <x:c r="J41" s="10" t="str">
        <x:v>full-rate capture</x:v>
      </x:c>
      <x:c r="K41" s="7" t="str"/>
      <x:c r="L41" s="10" t="str"/>
      <x:c r="M41" s="7" t="str">
        <x:v>OPEN</x:v>
      </x:c>
    </x:row>
    <x:row r="42" ht="36" customHeight="1">
      <x:c r="B42" s="7" t="str">
        <x:v>RAE-E-02-P12</x:v>
      </x:c>
      <x:c r="C42" s="7" t="str">
        <x:v>RAE-E-02</x:v>
      </x:c>
      <x:c r="D42" s="7" t="str">
        <x:v>RFP-A1</x:v>
      </x:c>
      <x:c r="E42" s="7" t="str">
        <x:v>AM-05</x:v>
      </x:c>
      <x:c r="F42" s="7" t="str">
        <x:v>TR-A</x:v>
      </x:c>
      <x:c r="G42" s="7" t="str">
        <x:v>QE-02</x:v>
      </x:c>
      <x:c r="H42" s="7" t="str">
        <x:v>P12</x:v>
      </x:c>
      <x:c r="I42" s="7" t="str">
        <x:v>T-10s</x:v>
      </x:c>
      <x:c r="J42" s="10" t="str">
        <x:v>registered challenge state</x:v>
      </x:c>
      <x:c r="K42" s="7" t="str"/>
      <x:c r="L42" s="10" t="str"/>
      <x:c r="M42" s="7" t="str">
        <x:v>OPEN</x:v>
      </x:c>
    </x:row>
    <x:row r="43" ht="36" customHeight="1">
      <x:c r="B43" s="7" t="str">
        <x:v>RAE-E-02-P13</x:v>
      </x:c>
      <x:c r="C43" s="7" t="str">
        <x:v>RAE-E-02</x:v>
      </x:c>
      <x:c r="D43" s="7" t="str">
        <x:v>RFP-A1</x:v>
      </x:c>
      <x:c r="E43" s="7" t="str">
        <x:v>AM-05</x:v>
      </x:c>
      <x:c r="F43" s="7" t="str">
        <x:v>TR-A</x:v>
      </x:c>
      <x:c r="G43" s="7" t="str">
        <x:v>QE-02</x:v>
      </x:c>
      <x:c r="H43" s="7" t="str">
        <x:v>P13</x:v>
      </x:c>
      <x:c r="I43" s="7" t="str">
        <x:v>T0</x:v>
      </x:c>
      <x:c r="J43" s="10" t="str">
        <x:v>source command or zero-source marker</x:v>
      </x:c>
      <x:c r="K43" s="7" t="str"/>
      <x:c r="L43" s="10" t="str"/>
      <x:c r="M43" s="7" t="str">
        <x:v>OPEN</x:v>
      </x:c>
    </x:row>
    <x:row r="44" ht="36" customHeight="1">
      <x:c r="B44" s="7" t="str">
        <x:v>RAE-E-02-P14</x:v>
      </x:c>
      <x:c r="C44" s="7" t="str">
        <x:v>RAE-E-02</x:v>
      </x:c>
      <x:c r="D44" s="7" t="str">
        <x:v>RFP-A1</x:v>
      </x:c>
      <x:c r="E44" s="7" t="str">
        <x:v>AM-05</x:v>
      </x:c>
      <x:c r="F44" s="7" t="str">
        <x:v>TR-A</x:v>
      </x:c>
      <x:c r="G44" s="7" t="str">
        <x:v>QE-02</x:v>
      </x:c>
      <x:c r="H44" s="7" t="str">
        <x:v>P14</x:v>
      </x:c>
      <x:c r="I44" s="7" t="str">
        <x:v>T+2s</x:v>
      </x:c>
      <x:c r="J44" s="10" t="str">
        <x:v>inlet and dispenser final state</x:v>
      </x:c>
      <x:c r="K44" s="7" t="str"/>
      <x:c r="L44" s="10" t="str"/>
      <x:c r="M44" s="7" t="str">
        <x:v>OPEN</x:v>
      </x:c>
    </x:row>
    <x:row r="45" ht="36" customHeight="1">
      <x:c r="B45" s="7" t="str">
        <x:v>RAE-E-02-P15</x:v>
      </x:c>
      <x:c r="C45" s="7" t="str">
        <x:v>RAE-E-02</x:v>
      </x:c>
      <x:c r="D45" s="7" t="str">
        <x:v>RFP-A1</x:v>
      </x:c>
      <x:c r="E45" s="7" t="str">
        <x:v>AM-05</x:v>
      </x:c>
      <x:c r="F45" s="7" t="str">
        <x:v>TR-A</x:v>
      </x:c>
      <x:c r="G45" s="7" t="str">
        <x:v>QE-02</x:v>
      </x:c>
      <x:c r="H45" s="7" t="str">
        <x:v>P15</x:v>
      </x:c>
      <x:c r="I45" s="7" t="str">
        <x:v>T+15s</x:v>
      </x:c>
      <x:c r="J45" s="10" t="str">
        <x:v>AM-06 QE-02 ignition opportunity</x:v>
      </x:c>
      <x:c r="K45" s="7" t="str"/>
      <x:c r="L45" s="10" t="str"/>
      <x:c r="M45" s="7" t="str">
        <x:v>OPEN</x:v>
      </x:c>
    </x:row>
    <x:row r="46" ht="36" customHeight="1">
      <x:c r="B46" s="7" t="str">
        <x:v>RAE-E-02-P16</x:v>
      </x:c>
      <x:c r="C46" s="7" t="str">
        <x:v>RAE-E-02</x:v>
      </x:c>
      <x:c r="D46" s="7" t="str">
        <x:v>RFP-A1</x:v>
      </x:c>
      <x:c r="E46" s="7" t="str">
        <x:v>AM-05</x:v>
      </x:c>
      <x:c r="F46" s="7" t="str">
        <x:v>TR-A</x:v>
      </x:c>
      <x:c r="G46" s="7" t="str">
        <x:v>QE-02</x:v>
      </x:c>
      <x:c r="H46" s="7" t="str">
        <x:v>P16</x:v>
      </x:c>
      <x:c r="I46" s="7" t="str">
        <x:v>T+30s</x:v>
      </x:c>
      <x:c r="J46" s="10" t="str">
        <x:v>terminal-source decision</x:v>
      </x:c>
      <x:c r="K46" s="7" t="str"/>
      <x:c r="L46" s="10" t="str"/>
      <x:c r="M46" s="7" t="str">
        <x:v>OPEN</x:v>
      </x:c>
    </x:row>
    <x:row r="47" ht="36" customHeight="1">
      <x:c r="B47" s="7" t="str">
        <x:v>RAE-E-02-P17</x:v>
      </x:c>
      <x:c r="C47" s="7" t="str">
        <x:v>RAE-E-02</x:v>
      </x:c>
      <x:c r="D47" s="7" t="str">
        <x:v>RFP-A1</x:v>
      </x:c>
      <x:c r="E47" s="7" t="str">
        <x:v>AM-05</x:v>
      </x:c>
      <x:c r="F47" s="7" t="str">
        <x:v>TR-A</x:v>
      </x:c>
      <x:c r="G47" s="7" t="str">
        <x:v>QE-02</x:v>
      </x:c>
      <x:c r="H47" s="7" t="str">
        <x:v>P17</x:v>
      </x:c>
      <x:c r="I47" s="7" t="str">
        <x:v>T+120s</x:v>
      </x:c>
      <x:c r="J47" s="10" t="str">
        <x:v>public schedule end</x:v>
      </x:c>
      <x:c r="K47" s="7" t="str"/>
      <x:c r="L47" s="10" t="str"/>
      <x:c r="M47" s="7" t="str">
        <x:v>OPEN</x:v>
      </x:c>
    </x:row>
    <x:row r="48" ht="36" customHeight="1">
      <x:c r="B48" s="7" t="str">
        <x:v>RAE-E-02-P18</x:v>
      </x:c>
      <x:c r="C48" s="7" t="str">
        <x:v>RAE-E-02</x:v>
      </x:c>
      <x:c r="D48" s="7" t="str">
        <x:v>RFP-A1</x:v>
      </x:c>
      <x:c r="E48" s="7" t="str">
        <x:v>AM-05</x:v>
      </x:c>
      <x:c r="F48" s="7" t="str">
        <x:v>TR-A</x:v>
      </x:c>
      <x:c r="G48" s="7" t="str">
        <x:v>QE-02</x:v>
      </x:c>
      <x:c r="H48" s="7" t="str">
        <x:v>P18</x:v>
      </x:c>
      <x:c r="I48" s="7" t="str">
        <x:v>T+15min</x:v>
      </x:c>
      <x:c r="J48" s="10" t="str">
        <x:v>thermal and water classification</x:v>
      </x:c>
      <x:c r="K48" s="7" t="str"/>
      <x:c r="L48" s="10" t="str"/>
      <x:c r="M48" s="7" t="str">
        <x:v>OPEN</x:v>
      </x:c>
    </x:row>
    <x:row r="49" ht="36" customHeight="1">
      <x:c r="B49" s="7" t="str">
        <x:v>RAE-E-02-P19</x:v>
      </x:c>
      <x:c r="C49" s="7" t="str">
        <x:v>RAE-E-02</x:v>
      </x:c>
      <x:c r="D49" s="7" t="str">
        <x:v>RFP-A1</x:v>
      </x:c>
      <x:c r="E49" s="7" t="str">
        <x:v>AM-05</x:v>
      </x:c>
      <x:c r="F49" s="7" t="str">
        <x:v>TR-A</x:v>
      </x:c>
      <x:c r="G49" s="7" t="str">
        <x:v>QE-02</x:v>
      </x:c>
      <x:c r="H49" s="7" t="str">
        <x:v>P19</x:v>
      </x:c>
      <x:c r="I49" s="7" t="str">
        <x:v>T+30min</x:v>
      </x:c>
      <x:c r="J49" s="10" t="str">
        <x:v>public intervention classification</x:v>
      </x:c>
      <x:c r="K49" s="7" t="str"/>
      <x:c r="L49" s="10" t="str"/>
      <x:c r="M49" s="7" t="str">
        <x:v>OPEN</x:v>
      </x:c>
    </x:row>
    <x:row r="50" ht="36" customHeight="1">
      <x:c r="B50" s="7" t="str">
        <x:v>RAE-E-02-P20</x:v>
      </x:c>
      <x:c r="C50" s="7" t="str">
        <x:v>RAE-E-02</x:v>
      </x:c>
      <x:c r="D50" s="7" t="str">
        <x:v>RFP-A1</x:v>
      </x:c>
      <x:c r="E50" s="7" t="str">
        <x:v>AM-05</x:v>
      </x:c>
      <x:c r="F50" s="7" t="str">
        <x:v>TR-A</x:v>
      </x:c>
      <x:c r="G50" s="7" t="str">
        <x:v>QE-02</x:v>
      </x:c>
      <x:c r="H50" s="7" t="str">
        <x:v>P20</x:v>
      </x:c>
      <x:c r="I50" s="7" t="str">
        <x:v>T+60min</x:v>
      </x:c>
      <x:c r="J50" s="10" t="str">
        <x:v>remote-entry classification</x:v>
      </x:c>
      <x:c r="K50" s="7" t="str"/>
      <x:c r="L50" s="10" t="str"/>
      <x:c r="M50" s="7" t="str">
        <x:v>OPEN</x:v>
      </x:c>
    </x:row>
    <x:row r="51" ht="36" customHeight="1">
      <x:c r="B51" s="7" t="str">
        <x:v>RAE-E-02-P21</x:v>
      </x:c>
      <x:c r="C51" s="7" t="str">
        <x:v>RAE-E-02</x:v>
      </x:c>
      <x:c r="D51" s="7" t="str">
        <x:v>RFP-A1</x:v>
      </x:c>
      <x:c r="E51" s="7" t="str">
        <x:v>AM-05</x:v>
      </x:c>
      <x:c r="F51" s="7" t="str">
        <x:v>TR-A</x:v>
      </x:c>
      <x:c r="G51" s="7" t="str">
        <x:v>QE-02</x:v>
      </x:c>
      <x:c r="H51" s="7" t="str">
        <x:v>P21</x:v>
      </x:c>
      <x:c r="I51" s="7" t="str">
        <x:v>T+6h</x:v>
      </x:c>
      <x:c r="J51" s="10" t="str">
        <x:v>evidence tail closure</x:v>
      </x:c>
      <x:c r="K51" s="7" t="str"/>
      <x:c r="L51" s="10" t="str"/>
      <x:c r="M51" s="7" t="str">
        <x:v>OPEN</x:v>
      </x:c>
    </x:row>
    <x:row r="52" ht="36" customHeight="1">
      <x:c r="B52" s="7" t="str">
        <x:v>RAE-E-02-P22</x:v>
      </x:c>
      <x:c r="C52" s="7" t="str">
        <x:v>RAE-E-02</x:v>
      </x:c>
      <x:c r="D52" s="7" t="str">
        <x:v>RFP-A1</x:v>
      </x:c>
      <x:c r="E52" s="7" t="str">
        <x:v>AM-05</x:v>
      </x:c>
      <x:c r="F52" s="7" t="str">
        <x:v>TR-A</x:v>
      </x:c>
      <x:c r="G52" s="7" t="str">
        <x:v>QE-02</x:v>
      </x:c>
      <x:c r="H52" s="7" t="str">
        <x:v>P22</x:v>
      </x:c>
      <x:c r="I52" s="7" t="str">
        <x:v>T+24h</x:v>
      </x:c>
      <x:c r="J52" s="10" t="str">
        <x:v>physical ledger closure</x:v>
      </x:c>
      <x:c r="K52" s="7" t="str"/>
      <x:c r="L52" s="10" t="str"/>
      <x:c r="M52" s="7" t="str">
        <x:v>OPEN</x:v>
      </x:c>
    </x:row>
    <x:row r="53" ht="36" customHeight="1">
      <x:c r="B53" s="7" t="str">
        <x:v>RAE-E-02-P23</x:v>
      </x:c>
      <x:c r="C53" s="7" t="str">
        <x:v>RAE-E-02</x:v>
      </x:c>
      <x:c r="D53" s="7" t="str">
        <x:v>RFP-A1</x:v>
      </x:c>
      <x:c r="E53" s="7" t="str">
        <x:v>AM-05</x:v>
      </x:c>
      <x:c r="F53" s="7" t="str">
        <x:v>TR-A</x:v>
      </x:c>
      <x:c r="G53" s="7" t="str">
        <x:v>QE-02</x:v>
      </x:c>
      <x:c r="H53" s="7" t="str">
        <x:v>P23</x:v>
      </x:c>
      <x:c r="I53" s="7" t="str">
        <x:v>T+72h</x:v>
      </x:c>
      <x:c r="J53" s="10" t="str">
        <x:v>immutable packet freeze</x:v>
      </x:c>
      <x:c r="K53" s="7" t="str"/>
      <x:c r="L53" s="10" t="str"/>
      <x:c r="M53" s="7" t="str">
        <x:v>OPEN</x:v>
      </x:c>
    </x:row>
    <x:row r="54" ht="36" customHeight="1">
      <x:c r="B54" s="7" t="str">
        <x:v>RAE-E-02-P24</x:v>
      </x:c>
      <x:c r="C54" s="7" t="str">
        <x:v>RAE-E-02</x:v>
      </x:c>
      <x:c r="D54" s="7" t="str">
        <x:v>RFP-A1</x:v>
      </x:c>
      <x:c r="E54" s="7" t="str">
        <x:v>AM-05</x:v>
      </x:c>
      <x:c r="F54" s="7" t="str">
        <x:v>TR-A</x:v>
      </x:c>
      <x:c r="G54" s="7" t="str">
        <x:v>QE-02</x:v>
      </x:c>
      <x:c r="H54" s="7" t="str">
        <x:v>P24</x:v>
      </x:c>
      <x:c r="I54" s="7" t="str">
        <x:v>day 7</x:v>
      </x:c>
      <x:c r="J54" s="10" t="str">
        <x:v>validity and outcome board</x:v>
      </x:c>
      <x:c r="K54" s="7" t="str"/>
      <x:c r="L54" s="10" t="str"/>
      <x:c r="M54" s="7" t="str">
        <x:v>OPEN</x:v>
      </x:c>
    </x:row>
    <x:row r="55" ht="36" customHeight="1">
      <x:c r="B55" s="7" t="str">
        <x:v>RAE-E-03-P01</x:v>
      </x:c>
      <x:c r="C55" s="7" t="str">
        <x:v>RAE-E-03</x:v>
      </x:c>
      <x:c r="D55" s="7" t="str">
        <x:v>RFP-A1</x:v>
      </x:c>
      <x:c r="E55" s="7" t="str">
        <x:v>AM-05</x:v>
      </x:c>
      <x:c r="F55" s="7" t="str">
        <x:v>TR-B</x:v>
      </x:c>
      <x:c r="G55" s="7" t="str">
        <x:v>QE-01</x:v>
      </x:c>
      <x:c r="H55" s="7" t="str">
        <x:v>P01</x:v>
      </x:c>
      <x:c r="I55" s="7" t="str">
        <x:v>T-96h</x:v>
      </x:c>
      <x:c r="J55" s="10" t="str">
        <x:v>baseline freeze</x:v>
      </x:c>
      <x:c r="K55" s="7" t="str"/>
      <x:c r="L55" s="10" t="str"/>
      <x:c r="M55" s="7" t="str">
        <x:v>OPEN</x:v>
      </x:c>
    </x:row>
    <x:row r="56" ht="36" customHeight="1">
      <x:c r="B56" s="7" t="str">
        <x:v>RAE-E-03-P02</x:v>
      </x:c>
      <x:c r="C56" s="7" t="str">
        <x:v>RAE-E-03</x:v>
      </x:c>
      <x:c r="D56" s="7" t="str">
        <x:v>RFP-A1</x:v>
      </x:c>
      <x:c r="E56" s="7" t="str">
        <x:v>AM-05</x:v>
      </x:c>
      <x:c r="F56" s="7" t="str">
        <x:v>TR-B</x:v>
      </x:c>
      <x:c r="G56" s="7" t="str">
        <x:v>QE-01</x:v>
      </x:c>
      <x:c r="H56" s="7" t="str">
        <x:v>P02</x:v>
      </x:c>
      <x:c r="I56" s="7" t="str">
        <x:v>T-72h</x:v>
      </x:c>
      <x:c r="J56" s="10" t="str">
        <x:v>source and water custody freeze</x:v>
      </x:c>
      <x:c r="K56" s="7" t="str"/>
      <x:c r="L56" s="10" t="str"/>
      <x:c r="M56" s="7" t="str">
        <x:v>OPEN</x:v>
      </x:c>
    </x:row>
    <x:row r="57" ht="36" customHeight="1">
      <x:c r="B57" s="7" t="str">
        <x:v>RAE-E-03-P03</x:v>
      </x:c>
      <x:c r="C57" s="7" t="str">
        <x:v>RAE-E-03</x:v>
      </x:c>
      <x:c r="D57" s="7" t="str">
        <x:v>RFP-A1</x:v>
      </x:c>
      <x:c r="E57" s="7" t="str">
        <x:v>AM-05</x:v>
      </x:c>
      <x:c r="F57" s="7" t="str">
        <x:v>TR-B</x:v>
      </x:c>
      <x:c r="G57" s="7" t="str">
        <x:v>QE-01</x:v>
      </x:c>
      <x:c r="H57" s="7" t="str">
        <x:v>P03</x:v>
      </x:c>
      <x:c r="I57" s="7" t="str">
        <x:v>T-48h</x:v>
      </x:c>
      <x:c r="J57" s="10" t="str">
        <x:v>article and configuration identity</x:v>
      </x:c>
      <x:c r="K57" s="7" t="str"/>
      <x:c r="L57" s="10" t="str"/>
      <x:c r="M57" s="7" t="str">
        <x:v>OPEN</x:v>
      </x:c>
    </x:row>
    <x:row r="58" ht="36" customHeight="1">
      <x:c r="B58" s="7" t="str">
        <x:v>RAE-E-03-P04</x:v>
      </x:c>
      <x:c r="C58" s="7" t="str">
        <x:v>RAE-E-03</x:v>
      </x:c>
      <x:c r="D58" s="7" t="str">
        <x:v>RFP-A1</x:v>
      </x:c>
      <x:c r="E58" s="7" t="str">
        <x:v>AM-05</x:v>
      </x:c>
      <x:c r="F58" s="7" t="str">
        <x:v>TR-B</x:v>
      </x:c>
      <x:c r="G58" s="7" t="str">
        <x:v>QE-01</x:v>
      </x:c>
      <x:c r="H58" s="7" t="str">
        <x:v>P04</x:v>
      </x:c>
      <x:c r="I58" s="7" t="str">
        <x:v>T-24h</x:v>
      </x:c>
      <x:c r="J58" s="10" t="str">
        <x:v>environment and recovery readiness</x:v>
      </x:c>
      <x:c r="K58" s="7" t="str"/>
      <x:c r="L58" s="10" t="str"/>
      <x:c r="M58" s="7" t="str">
        <x:v>OPEN</x:v>
      </x:c>
    </x:row>
    <x:row r="59" ht="36" customHeight="1">
      <x:c r="B59" s="7" t="str">
        <x:v>RAE-E-03-P05</x:v>
      </x:c>
      <x:c r="C59" s="7" t="str">
        <x:v>RAE-E-03</x:v>
      </x:c>
      <x:c r="D59" s="7" t="str">
        <x:v>RFP-A1</x:v>
      </x:c>
      <x:c r="E59" s="7" t="str">
        <x:v>AM-05</x:v>
      </x:c>
      <x:c r="F59" s="7" t="str">
        <x:v>TR-B</x:v>
      </x:c>
      <x:c r="G59" s="7" t="str">
        <x:v>QE-01</x:v>
      </x:c>
      <x:c r="H59" s="7" t="str">
        <x:v>P05</x:v>
      </x:c>
      <x:c r="I59" s="7" t="str">
        <x:v>T-12h</x:v>
      </x:c>
      <x:c r="J59" s="10" t="str">
        <x:v>rescue posture</x:v>
      </x:c>
      <x:c r="K59" s="7" t="str"/>
      <x:c r="L59" s="10" t="str"/>
      <x:c r="M59" s="7" t="str">
        <x:v>OPEN</x:v>
      </x:c>
    </x:row>
    <x:row r="60" ht="36" customHeight="1">
      <x:c r="B60" s="7" t="str">
        <x:v>RAE-E-03-P06</x:v>
      </x:c>
      <x:c r="C60" s="7" t="str">
        <x:v>RAE-E-03</x:v>
      </x:c>
      <x:c r="D60" s="7" t="str">
        <x:v>RFP-A1</x:v>
      </x:c>
      <x:c r="E60" s="7" t="str">
        <x:v>AM-05</x:v>
      </x:c>
      <x:c r="F60" s="7" t="str">
        <x:v>TR-B</x:v>
      </x:c>
      <x:c r="G60" s="7" t="str">
        <x:v>QE-01</x:v>
      </x:c>
      <x:c r="H60" s="7" t="str">
        <x:v>P06</x:v>
      </x:c>
      <x:c r="I60" s="7" t="str">
        <x:v>T-6h</x:v>
      </x:c>
      <x:c r="J60" s="10" t="str">
        <x:v>calibration before state</x:v>
      </x:c>
      <x:c r="K60" s="7" t="str"/>
      <x:c r="L60" s="10" t="str"/>
      <x:c r="M60" s="7" t="str">
        <x:v>OPEN</x:v>
      </x:c>
    </x:row>
    <x:row r="61" ht="36" customHeight="1">
      <x:c r="B61" s="7" t="str">
        <x:v>RAE-E-03-P07</x:v>
      </x:c>
      <x:c r="C61" s="7" t="str">
        <x:v>RAE-E-03</x:v>
      </x:c>
      <x:c r="D61" s="7" t="str">
        <x:v>RFP-A1</x:v>
      </x:c>
      <x:c r="E61" s="7" t="str">
        <x:v>AM-05</x:v>
      </x:c>
      <x:c r="F61" s="7" t="str">
        <x:v>TR-B</x:v>
      </x:c>
      <x:c r="G61" s="7" t="str">
        <x:v>QE-01</x:v>
      </x:c>
      <x:c r="H61" s="7" t="str">
        <x:v>P07</x:v>
      </x:c>
      <x:c r="I61" s="7" t="str">
        <x:v>T-2h</x:v>
      </x:c>
      <x:c r="J61" s="10" t="str">
        <x:v>receiver initial-volume proof</x:v>
      </x:c>
      <x:c r="K61" s="7" t="str"/>
      <x:c r="L61" s="10" t="str"/>
      <x:c r="M61" s="7" t="str">
        <x:v>OPEN</x:v>
      </x:c>
    </x:row>
    <x:row r="62" ht="36" customHeight="1">
      <x:c r="B62" s="7" t="str">
        <x:v>RAE-E-03-P08</x:v>
      </x:c>
      <x:c r="C62" s="7" t="str">
        <x:v>RAE-E-03</x:v>
      </x:c>
      <x:c r="D62" s="7" t="str">
        <x:v>RFP-A1</x:v>
      </x:c>
      <x:c r="E62" s="7" t="str">
        <x:v>AM-05</x:v>
      </x:c>
      <x:c r="F62" s="7" t="str">
        <x:v>TR-B</x:v>
      </x:c>
      <x:c r="G62" s="7" t="str">
        <x:v>QE-01</x:v>
      </x:c>
      <x:c r="H62" s="7" t="str">
        <x:v>P08</x:v>
      </x:c>
      <x:c r="I62" s="7" t="str">
        <x:v>T-60min</x:v>
      </x:c>
      <x:c r="J62" s="10" t="str">
        <x:v>neighbor inert-state proof</x:v>
      </x:c>
      <x:c r="K62" s="7" t="str"/>
      <x:c r="L62" s="10" t="str"/>
      <x:c r="M62" s="7" t="str">
        <x:v>OPEN</x:v>
      </x:c>
    </x:row>
    <x:row r="63" ht="36" customHeight="1">
      <x:c r="B63" s="7" t="str">
        <x:v>RAE-E-03-P09</x:v>
      </x:c>
      <x:c r="C63" s="7" t="str">
        <x:v>RAE-E-03</x:v>
      </x:c>
      <x:c r="D63" s="7" t="str">
        <x:v>RFP-A1</x:v>
      </x:c>
      <x:c r="E63" s="7" t="str">
        <x:v>AM-05</x:v>
      </x:c>
      <x:c r="F63" s="7" t="str">
        <x:v>TR-B</x:v>
      </x:c>
      <x:c r="G63" s="7" t="str">
        <x:v>QE-01</x:v>
      </x:c>
      <x:c r="H63" s="7" t="str">
        <x:v>P09</x:v>
      </x:c>
      <x:c r="I63" s="7" t="str">
        <x:v>T-30min</x:v>
      </x:c>
      <x:c r="J63" s="10" t="str">
        <x:v>native evidence armed</x:v>
      </x:c>
      <x:c r="K63" s="7" t="str"/>
      <x:c r="L63" s="10" t="str"/>
      <x:c r="M63" s="7" t="str">
        <x:v>OPEN</x:v>
      </x:c>
    </x:row>
    <x:row r="64" ht="36" customHeight="1">
      <x:c r="B64" s="7" t="str">
        <x:v>RAE-E-03-P10</x:v>
      </x:c>
      <x:c r="C64" s="7" t="str">
        <x:v>RAE-E-03</x:v>
      </x:c>
      <x:c r="D64" s="7" t="str">
        <x:v>RFP-A1</x:v>
      </x:c>
      <x:c r="E64" s="7" t="str">
        <x:v>AM-05</x:v>
      </x:c>
      <x:c r="F64" s="7" t="str">
        <x:v>TR-B</x:v>
      </x:c>
      <x:c r="G64" s="7" t="str">
        <x:v>QE-01</x:v>
      </x:c>
      <x:c r="H64" s="7" t="str">
        <x:v>P10</x:v>
      </x:c>
      <x:c r="I64" s="7" t="str">
        <x:v>T-10min</x:v>
      </x:c>
      <x:c r="J64" s="10" t="str">
        <x:v>final control poll</x:v>
      </x:c>
      <x:c r="K64" s="7" t="str"/>
      <x:c r="L64" s="10" t="str"/>
      <x:c r="M64" s="7" t="str">
        <x:v>OPEN</x:v>
      </x:c>
    </x:row>
    <x:row r="65" ht="36" customHeight="1">
      <x:c r="B65" s="7" t="str">
        <x:v>RAE-E-03-P11</x:v>
      </x:c>
      <x:c r="C65" s="7" t="str">
        <x:v>RAE-E-03</x:v>
      </x:c>
      <x:c r="D65" s="7" t="str">
        <x:v>RFP-A1</x:v>
      </x:c>
      <x:c r="E65" s="7" t="str">
        <x:v>AM-05</x:v>
      </x:c>
      <x:c r="F65" s="7" t="str">
        <x:v>TR-B</x:v>
      </x:c>
      <x:c r="G65" s="7" t="str">
        <x:v>QE-01</x:v>
      </x:c>
      <x:c r="H65" s="7" t="str">
        <x:v>P11</x:v>
      </x:c>
      <x:c r="I65" s="7" t="str">
        <x:v>T-60s</x:v>
      </x:c>
      <x:c r="J65" s="10" t="str">
        <x:v>full-rate capture</x:v>
      </x:c>
      <x:c r="K65" s="7" t="str"/>
      <x:c r="L65" s="10" t="str"/>
      <x:c r="M65" s="7" t="str">
        <x:v>OPEN</x:v>
      </x:c>
    </x:row>
    <x:row r="66" ht="36" customHeight="1">
      <x:c r="B66" s="7" t="str">
        <x:v>RAE-E-03-P12</x:v>
      </x:c>
      <x:c r="C66" s="7" t="str">
        <x:v>RAE-E-03</x:v>
      </x:c>
      <x:c r="D66" s="7" t="str">
        <x:v>RFP-A1</x:v>
      </x:c>
      <x:c r="E66" s="7" t="str">
        <x:v>AM-05</x:v>
      </x:c>
      <x:c r="F66" s="7" t="str">
        <x:v>TR-B</x:v>
      </x:c>
      <x:c r="G66" s="7" t="str">
        <x:v>QE-01</x:v>
      </x:c>
      <x:c r="H66" s="7" t="str">
        <x:v>P12</x:v>
      </x:c>
      <x:c r="I66" s="7" t="str">
        <x:v>T-10s</x:v>
      </x:c>
      <x:c r="J66" s="10" t="str">
        <x:v>registered challenge state</x:v>
      </x:c>
      <x:c r="K66" s="7" t="str"/>
      <x:c r="L66" s="10" t="str"/>
      <x:c r="M66" s="7" t="str">
        <x:v>OPEN</x:v>
      </x:c>
    </x:row>
    <x:row r="67" ht="36" customHeight="1">
      <x:c r="B67" s="7" t="str">
        <x:v>RAE-E-03-P13</x:v>
      </x:c>
      <x:c r="C67" s="7" t="str">
        <x:v>RAE-E-03</x:v>
      </x:c>
      <x:c r="D67" s="7" t="str">
        <x:v>RFP-A1</x:v>
      </x:c>
      <x:c r="E67" s="7" t="str">
        <x:v>AM-05</x:v>
      </x:c>
      <x:c r="F67" s="7" t="str">
        <x:v>TR-B</x:v>
      </x:c>
      <x:c r="G67" s="7" t="str">
        <x:v>QE-01</x:v>
      </x:c>
      <x:c r="H67" s="7" t="str">
        <x:v>P13</x:v>
      </x:c>
      <x:c r="I67" s="7" t="str">
        <x:v>T0</x:v>
      </x:c>
      <x:c r="J67" s="10" t="str">
        <x:v>source command or zero-source marker</x:v>
      </x:c>
      <x:c r="K67" s="7" t="str"/>
      <x:c r="L67" s="10" t="str"/>
      <x:c r="M67" s="7" t="str">
        <x:v>OPEN</x:v>
      </x:c>
    </x:row>
    <x:row r="68" ht="36" customHeight="1">
      <x:c r="B68" s="7" t="str">
        <x:v>RAE-E-03-P14</x:v>
      </x:c>
      <x:c r="C68" s="7" t="str">
        <x:v>RAE-E-03</x:v>
      </x:c>
      <x:c r="D68" s="7" t="str">
        <x:v>RFP-A1</x:v>
      </x:c>
      <x:c r="E68" s="7" t="str">
        <x:v>AM-05</x:v>
      </x:c>
      <x:c r="F68" s="7" t="str">
        <x:v>TR-B</x:v>
      </x:c>
      <x:c r="G68" s="7" t="str">
        <x:v>QE-01</x:v>
      </x:c>
      <x:c r="H68" s="7" t="str">
        <x:v>P14</x:v>
      </x:c>
      <x:c r="I68" s="7" t="str">
        <x:v>T+2s</x:v>
      </x:c>
      <x:c r="J68" s="10" t="str">
        <x:v>inlet and dispenser final state</x:v>
      </x:c>
      <x:c r="K68" s="7" t="str"/>
      <x:c r="L68" s="10" t="str"/>
      <x:c r="M68" s="7" t="str">
        <x:v>OPEN</x:v>
      </x:c>
    </x:row>
    <x:row r="69" ht="36" customHeight="1">
      <x:c r="B69" s="7" t="str">
        <x:v>RAE-E-03-P15</x:v>
      </x:c>
      <x:c r="C69" s="7" t="str">
        <x:v>RAE-E-03</x:v>
      </x:c>
      <x:c r="D69" s="7" t="str">
        <x:v>RFP-A1</x:v>
      </x:c>
      <x:c r="E69" s="7" t="str">
        <x:v>AM-05</x:v>
      </x:c>
      <x:c r="F69" s="7" t="str">
        <x:v>TR-B</x:v>
      </x:c>
      <x:c r="G69" s="7" t="str">
        <x:v>QE-01</x:v>
      </x:c>
      <x:c r="H69" s="7" t="str">
        <x:v>P15</x:v>
      </x:c>
      <x:c r="I69" s="7" t="str">
        <x:v>T+15s</x:v>
      </x:c>
      <x:c r="J69" s="10" t="str">
        <x:v>AM-06 QE-02 ignition opportunity</x:v>
      </x:c>
      <x:c r="K69" s="7" t="str"/>
      <x:c r="L69" s="10" t="str"/>
      <x:c r="M69" s="7" t="str">
        <x:v>OPEN</x:v>
      </x:c>
    </x:row>
    <x:row r="70" ht="36" customHeight="1">
      <x:c r="B70" s="7" t="str">
        <x:v>RAE-E-03-P16</x:v>
      </x:c>
      <x:c r="C70" s="7" t="str">
        <x:v>RAE-E-03</x:v>
      </x:c>
      <x:c r="D70" s="7" t="str">
        <x:v>RFP-A1</x:v>
      </x:c>
      <x:c r="E70" s="7" t="str">
        <x:v>AM-05</x:v>
      </x:c>
      <x:c r="F70" s="7" t="str">
        <x:v>TR-B</x:v>
      </x:c>
      <x:c r="G70" s="7" t="str">
        <x:v>QE-01</x:v>
      </x:c>
      <x:c r="H70" s="7" t="str">
        <x:v>P16</x:v>
      </x:c>
      <x:c r="I70" s="7" t="str">
        <x:v>T+30s</x:v>
      </x:c>
      <x:c r="J70" s="10" t="str">
        <x:v>terminal-source decision</x:v>
      </x:c>
      <x:c r="K70" s="7" t="str"/>
      <x:c r="L70" s="10" t="str"/>
      <x:c r="M70" s="7" t="str">
        <x:v>OPEN</x:v>
      </x:c>
    </x:row>
    <x:row r="71" ht="36" customHeight="1">
      <x:c r="B71" s="7" t="str">
        <x:v>RAE-E-03-P17</x:v>
      </x:c>
      <x:c r="C71" s="7" t="str">
        <x:v>RAE-E-03</x:v>
      </x:c>
      <x:c r="D71" s="7" t="str">
        <x:v>RFP-A1</x:v>
      </x:c>
      <x:c r="E71" s="7" t="str">
        <x:v>AM-05</x:v>
      </x:c>
      <x:c r="F71" s="7" t="str">
        <x:v>TR-B</x:v>
      </x:c>
      <x:c r="G71" s="7" t="str">
        <x:v>QE-01</x:v>
      </x:c>
      <x:c r="H71" s="7" t="str">
        <x:v>P17</x:v>
      </x:c>
      <x:c r="I71" s="7" t="str">
        <x:v>T+120s</x:v>
      </x:c>
      <x:c r="J71" s="10" t="str">
        <x:v>public schedule end</x:v>
      </x:c>
      <x:c r="K71" s="7" t="str"/>
      <x:c r="L71" s="10" t="str"/>
      <x:c r="M71" s="7" t="str">
        <x:v>OPEN</x:v>
      </x:c>
    </x:row>
    <x:row r="72" ht="36" customHeight="1">
      <x:c r="B72" s="7" t="str">
        <x:v>RAE-E-03-P18</x:v>
      </x:c>
      <x:c r="C72" s="7" t="str">
        <x:v>RAE-E-03</x:v>
      </x:c>
      <x:c r="D72" s="7" t="str">
        <x:v>RFP-A1</x:v>
      </x:c>
      <x:c r="E72" s="7" t="str">
        <x:v>AM-05</x:v>
      </x:c>
      <x:c r="F72" s="7" t="str">
        <x:v>TR-B</x:v>
      </x:c>
      <x:c r="G72" s="7" t="str">
        <x:v>QE-01</x:v>
      </x:c>
      <x:c r="H72" s="7" t="str">
        <x:v>P18</x:v>
      </x:c>
      <x:c r="I72" s="7" t="str">
        <x:v>T+15min</x:v>
      </x:c>
      <x:c r="J72" s="10" t="str">
        <x:v>thermal and water classification</x:v>
      </x:c>
      <x:c r="K72" s="7" t="str"/>
      <x:c r="L72" s="10" t="str"/>
      <x:c r="M72" s="7" t="str">
        <x:v>OPEN</x:v>
      </x:c>
    </x:row>
    <x:row r="73" ht="36" customHeight="1">
      <x:c r="B73" s="7" t="str">
        <x:v>RAE-E-03-P19</x:v>
      </x:c>
      <x:c r="C73" s="7" t="str">
        <x:v>RAE-E-03</x:v>
      </x:c>
      <x:c r="D73" s="7" t="str">
        <x:v>RFP-A1</x:v>
      </x:c>
      <x:c r="E73" s="7" t="str">
        <x:v>AM-05</x:v>
      </x:c>
      <x:c r="F73" s="7" t="str">
        <x:v>TR-B</x:v>
      </x:c>
      <x:c r="G73" s="7" t="str">
        <x:v>QE-01</x:v>
      </x:c>
      <x:c r="H73" s="7" t="str">
        <x:v>P19</x:v>
      </x:c>
      <x:c r="I73" s="7" t="str">
        <x:v>T+30min</x:v>
      </x:c>
      <x:c r="J73" s="10" t="str">
        <x:v>public intervention classification</x:v>
      </x:c>
      <x:c r="K73" s="7" t="str"/>
      <x:c r="L73" s="10" t="str"/>
      <x:c r="M73" s="7" t="str">
        <x:v>OPEN</x:v>
      </x:c>
    </x:row>
    <x:row r="74" ht="36" customHeight="1">
      <x:c r="B74" s="7" t="str">
        <x:v>RAE-E-03-P20</x:v>
      </x:c>
      <x:c r="C74" s="7" t="str">
        <x:v>RAE-E-03</x:v>
      </x:c>
      <x:c r="D74" s="7" t="str">
        <x:v>RFP-A1</x:v>
      </x:c>
      <x:c r="E74" s="7" t="str">
        <x:v>AM-05</x:v>
      </x:c>
      <x:c r="F74" s="7" t="str">
        <x:v>TR-B</x:v>
      </x:c>
      <x:c r="G74" s="7" t="str">
        <x:v>QE-01</x:v>
      </x:c>
      <x:c r="H74" s="7" t="str">
        <x:v>P20</x:v>
      </x:c>
      <x:c r="I74" s="7" t="str">
        <x:v>T+60min</x:v>
      </x:c>
      <x:c r="J74" s="10" t="str">
        <x:v>remote-entry classification</x:v>
      </x:c>
      <x:c r="K74" s="7" t="str"/>
      <x:c r="L74" s="10" t="str"/>
      <x:c r="M74" s="7" t="str">
        <x:v>OPEN</x:v>
      </x:c>
    </x:row>
    <x:row r="75" ht="36" customHeight="1">
      <x:c r="B75" s="7" t="str">
        <x:v>RAE-E-03-P21</x:v>
      </x:c>
      <x:c r="C75" s="7" t="str">
        <x:v>RAE-E-03</x:v>
      </x:c>
      <x:c r="D75" s="7" t="str">
        <x:v>RFP-A1</x:v>
      </x:c>
      <x:c r="E75" s="7" t="str">
        <x:v>AM-05</x:v>
      </x:c>
      <x:c r="F75" s="7" t="str">
        <x:v>TR-B</x:v>
      </x:c>
      <x:c r="G75" s="7" t="str">
        <x:v>QE-01</x:v>
      </x:c>
      <x:c r="H75" s="7" t="str">
        <x:v>P21</x:v>
      </x:c>
      <x:c r="I75" s="7" t="str">
        <x:v>T+6h</x:v>
      </x:c>
      <x:c r="J75" s="10" t="str">
        <x:v>evidence tail closure</x:v>
      </x:c>
      <x:c r="K75" s="7" t="str"/>
      <x:c r="L75" s="10" t="str"/>
      <x:c r="M75" s="7" t="str">
        <x:v>OPEN</x:v>
      </x:c>
    </x:row>
    <x:row r="76" ht="36" customHeight="1">
      <x:c r="B76" s="7" t="str">
        <x:v>RAE-E-03-P22</x:v>
      </x:c>
      <x:c r="C76" s="7" t="str">
        <x:v>RAE-E-03</x:v>
      </x:c>
      <x:c r="D76" s="7" t="str">
        <x:v>RFP-A1</x:v>
      </x:c>
      <x:c r="E76" s="7" t="str">
        <x:v>AM-05</x:v>
      </x:c>
      <x:c r="F76" s="7" t="str">
        <x:v>TR-B</x:v>
      </x:c>
      <x:c r="G76" s="7" t="str">
        <x:v>QE-01</x:v>
      </x:c>
      <x:c r="H76" s="7" t="str">
        <x:v>P22</x:v>
      </x:c>
      <x:c r="I76" s="7" t="str">
        <x:v>T+24h</x:v>
      </x:c>
      <x:c r="J76" s="10" t="str">
        <x:v>physical ledger closure</x:v>
      </x:c>
      <x:c r="K76" s="7" t="str"/>
      <x:c r="L76" s="10" t="str"/>
      <x:c r="M76" s="7" t="str">
        <x:v>OPEN</x:v>
      </x:c>
    </x:row>
    <x:row r="77" ht="36" customHeight="1">
      <x:c r="B77" s="7" t="str">
        <x:v>RAE-E-03-P23</x:v>
      </x:c>
      <x:c r="C77" s="7" t="str">
        <x:v>RAE-E-03</x:v>
      </x:c>
      <x:c r="D77" s="7" t="str">
        <x:v>RFP-A1</x:v>
      </x:c>
      <x:c r="E77" s="7" t="str">
        <x:v>AM-05</x:v>
      </x:c>
      <x:c r="F77" s="7" t="str">
        <x:v>TR-B</x:v>
      </x:c>
      <x:c r="G77" s="7" t="str">
        <x:v>QE-01</x:v>
      </x:c>
      <x:c r="H77" s="7" t="str">
        <x:v>P23</x:v>
      </x:c>
      <x:c r="I77" s="7" t="str">
        <x:v>T+72h</x:v>
      </x:c>
      <x:c r="J77" s="10" t="str">
        <x:v>immutable packet freeze</x:v>
      </x:c>
      <x:c r="K77" s="7" t="str"/>
      <x:c r="L77" s="10" t="str"/>
      <x:c r="M77" s="7" t="str">
        <x:v>OPEN</x:v>
      </x:c>
    </x:row>
    <x:row r="78" ht="36" customHeight="1">
      <x:c r="B78" s="7" t="str">
        <x:v>RAE-E-03-P24</x:v>
      </x:c>
      <x:c r="C78" s="7" t="str">
        <x:v>RAE-E-03</x:v>
      </x:c>
      <x:c r="D78" s="7" t="str">
        <x:v>RFP-A1</x:v>
      </x:c>
      <x:c r="E78" s="7" t="str">
        <x:v>AM-05</x:v>
      </x:c>
      <x:c r="F78" s="7" t="str">
        <x:v>TR-B</x:v>
      </x:c>
      <x:c r="G78" s="7" t="str">
        <x:v>QE-01</x:v>
      </x:c>
      <x:c r="H78" s="7" t="str">
        <x:v>P24</x:v>
      </x:c>
      <x:c r="I78" s="7" t="str">
        <x:v>day 7</x:v>
      </x:c>
      <x:c r="J78" s="10" t="str">
        <x:v>validity and outcome board</x:v>
      </x:c>
      <x:c r="K78" s="7" t="str"/>
      <x:c r="L78" s="10" t="str"/>
      <x:c r="M78" s="7" t="str">
        <x:v>OPEN</x:v>
      </x:c>
    </x:row>
    <x:row r="79" ht="36" customHeight="1">
      <x:c r="B79" s="7" t="str">
        <x:v>RAE-E-04-P01</x:v>
      </x:c>
      <x:c r="C79" s="7" t="str">
        <x:v>RAE-E-04</x:v>
      </x:c>
      <x:c r="D79" s="7" t="str">
        <x:v>RFP-A1</x:v>
      </x:c>
      <x:c r="E79" s="7" t="str">
        <x:v>AM-05</x:v>
      </x:c>
      <x:c r="F79" s="7" t="str">
        <x:v>TR-B</x:v>
      </x:c>
      <x:c r="G79" s="7" t="str">
        <x:v>QE-02</x:v>
      </x:c>
      <x:c r="H79" s="7" t="str">
        <x:v>P01</x:v>
      </x:c>
      <x:c r="I79" s="7" t="str">
        <x:v>T-96h</x:v>
      </x:c>
      <x:c r="J79" s="10" t="str">
        <x:v>baseline freeze</x:v>
      </x:c>
      <x:c r="K79" s="7" t="str"/>
      <x:c r="L79" s="10" t="str"/>
      <x:c r="M79" s="7" t="str">
        <x:v>OPEN</x:v>
      </x:c>
    </x:row>
    <x:row r="80" ht="36" customHeight="1">
      <x:c r="B80" s="7" t="str">
        <x:v>RAE-E-04-P02</x:v>
      </x:c>
      <x:c r="C80" s="7" t="str">
        <x:v>RAE-E-04</x:v>
      </x:c>
      <x:c r="D80" s="7" t="str">
        <x:v>RFP-A1</x:v>
      </x:c>
      <x:c r="E80" s="7" t="str">
        <x:v>AM-05</x:v>
      </x:c>
      <x:c r="F80" s="7" t="str">
        <x:v>TR-B</x:v>
      </x:c>
      <x:c r="G80" s="7" t="str">
        <x:v>QE-02</x:v>
      </x:c>
      <x:c r="H80" s="7" t="str">
        <x:v>P02</x:v>
      </x:c>
      <x:c r="I80" s="7" t="str">
        <x:v>T-72h</x:v>
      </x:c>
      <x:c r="J80" s="10" t="str">
        <x:v>source and water custody freeze</x:v>
      </x:c>
      <x:c r="K80" s="7" t="str"/>
      <x:c r="L80" s="10" t="str"/>
      <x:c r="M80" s="7" t="str">
        <x:v>OPEN</x:v>
      </x:c>
    </x:row>
    <x:row r="81" ht="36" customHeight="1">
      <x:c r="B81" s="7" t="str">
        <x:v>RAE-E-04-P03</x:v>
      </x:c>
      <x:c r="C81" s="7" t="str">
        <x:v>RAE-E-04</x:v>
      </x:c>
      <x:c r="D81" s="7" t="str">
        <x:v>RFP-A1</x:v>
      </x:c>
      <x:c r="E81" s="7" t="str">
        <x:v>AM-05</x:v>
      </x:c>
      <x:c r="F81" s="7" t="str">
        <x:v>TR-B</x:v>
      </x:c>
      <x:c r="G81" s="7" t="str">
        <x:v>QE-02</x:v>
      </x:c>
      <x:c r="H81" s="7" t="str">
        <x:v>P03</x:v>
      </x:c>
      <x:c r="I81" s="7" t="str">
        <x:v>T-48h</x:v>
      </x:c>
      <x:c r="J81" s="10" t="str">
        <x:v>article and configuration identity</x:v>
      </x:c>
      <x:c r="K81" s="7" t="str"/>
      <x:c r="L81" s="10" t="str"/>
      <x:c r="M81" s="7" t="str">
        <x:v>OPEN</x:v>
      </x:c>
    </x:row>
    <x:row r="82" ht="36" customHeight="1">
      <x:c r="B82" s="7" t="str">
        <x:v>RAE-E-04-P04</x:v>
      </x:c>
      <x:c r="C82" s="7" t="str">
        <x:v>RAE-E-04</x:v>
      </x:c>
      <x:c r="D82" s="7" t="str">
        <x:v>RFP-A1</x:v>
      </x:c>
      <x:c r="E82" s="7" t="str">
        <x:v>AM-05</x:v>
      </x:c>
      <x:c r="F82" s="7" t="str">
        <x:v>TR-B</x:v>
      </x:c>
      <x:c r="G82" s="7" t="str">
        <x:v>QE-02</x:v>
      </x:c>
      <x:c r="H82" s="7" t="str">
        <x:v>P04</x:v>
      </x:c>
      <x:c r="I82" s="7" t="str">
        <x:v>T-24h</x:v>
      </x:c>
      <x:c r="J82" s="10" t="str">
        <x:v>environment and recovery readiness</x:v>
      </x:c>
      <x:c r="K82" s="7" t="str"/>
      <x:c r="L82" s="10" t="str"/>
      <x:c r="M82" s="7" t="str">
        <x:v>OPEN</x:v>
      </x:c>
    </x:row>
    <x:row r="83" ht="36" customHeight="1">
      <x:c r="B83" s="7" t="str">
        <x:v>RAE-E-04-P05</x:v>
      </x:c>
      <x:c r="C83" s="7" t="str">
        <x:v>RAE-E-04</x:v>
      </x:c>
      <x:c r="D83" s="7" t="str">
        <x:v>RFP-A1</x:v>
      </x:c>
      <x:c r="E83" s="7" t="str">
        <x:v>AM-05</x:v>
      </x:c>
      <x:c r="F83" s="7" t="str">
        <x:v>TR-B</x:v>
      </x:c>
      <x:c r="G83" s="7" t="str">
        <x:v>QE-02</x:v>
      </x:c>
      <x:c r="H83" s="7" t="str">
        <x:v>P05</x:v>
      </x:c>
      <x:c r="I83" s="7" t="str">
        <x:v>T-12h</x:v>
      </x:c>
      <x:c r="J83" s="10" t="str">
        <x:v>rescue posture</x:v>
      </x:c>
      <x:c r="K83" s="7" t="str"/>
      <x:c r="L83" s="10" t="str"/>
      <x:c r="M83" s="7" t="str">
        <x:v>OPEN</x:v>
      </x:c>
    </x:row>
    <x:row r="84" ht="36" customHeight="1">
      <x:c r="B84" s="7" t="str">
        <x:v>RAE-E-04-P06</x:v>
      </x:c>
      <x:c r="C84" s="7" t="str">
        <x:v>RAE-E-04</x:v>
      </x:c>
      <x:c r="D84" s="7" t="str">
        <x:v>RFP-A1</x:v>
      </x:c>
      <x:c r="E84" s="7" t="str">
        <x:v>AM-05</x:v>
      </x:c>
      <x:c r="F84" s="7" t="str">
        <x:v>TR-B</x:v>
      </x:c>
      <x:c r="G84" s="7" t="str">
        <x:v>QE-02</x:v>
      </x:c>
      <x:c r="H84" s="7" t="str">
        <x:v>P06</x:v>
      </x:c>
      <x:c r="I84" s="7" t="str">
        <x:v>T-6h</x:v>
      </x:c>
      <x:c r="J84" s="10" t="str">
        <x:v>calibration before state</x:v>
      </x:c>
      <x:c r="K84" s="7" t="str"/>
      <x:c r="L84" s="10" t="str"/>
      <x:c r="M84" s="7" t="str">
        <x:v>OPEN</x:v>
      </x:c>
    </x:row>
    <x:row r="85" ht="36" customHeight="1">
      <x:c r="B85" s="7" t="str">
        <x:v>RAE-E-04-P07</x:v>
      </x:c>
      <x:c r="C85" s="7" t="str">
        <x:v>RAE-E-04</x:v>
      </x:c>
      <x:c r="D85" s="7" t="str">
        <x:v>RFP-A1</x:v>
      </x:c>
      <x:c r="E85" s="7" t="str">
        <x:v>AM-05</x:v>
      </x:c>
      <x:c r="F85" s="7" t="str">
        <x:v>TR-B</x:v>
      </x:c>
      <x:c r="G85" s="7" t="str">
        <x:v>QE-02</x:v>
      </x:c>
      <x:c r="H85" s="7" t="str">
        <x:v>P07</x:v>
      </x:c>
      <x:c r="I85" s="7" t="str">
        <x:v>T-2h</x:v>
      </x:c>
      <x:c r="J85" s="10" t="str">
        <x:v>receiver initial-volume proof</x:v>
      </x:c>
      <x:c r="K85" s="7" t="str"/>
      <x:c r="L85" s="10" t="str"/>
      <x:c r="M85" s="7" t="str">
        <x:v>OPEN</x:v>
      </x:c>
    </x:row>
    <x:row r="86" ht="36" customHeight="1">
      <x:c r="B86" s="7" t="str">
        <x:v>RAE-E-04-P08</x:v>
      </x:c>
      <x:c r="C86" s="7" t="str">
        <x:v>RAE-E-04</x:v>
      </x:c>
      <x:c r="D86" s="7" t="str">
        <x:v>RFP-A1</x:v>
      </x:c>
      <x:c r="E86" s="7" t="str">
        <x:v>AM-05</x:v>
      </x:c>
      <x:c r="F86" s="7" t="str">
        <x:v>TR-B</x:v>
      </x:c>
      <x:c r="G86" s="7" t="str">
        <x:v>QE-02</x:v>
      </x:c>
      <x:c r="H86" s="7" t="str">
        <x:v>P08</x:v>
      </x:c>
      <x:c r="I86" s="7" t="str">
        <x:v>T-60min</x:v>
      </x:c>
      <x:c r="J86" s="10" t="str">
        <x:v>neighbor inert-state proof</x:v>
      </x:c>
      <x:c r="K86" s="7" t="str"/>
      <x:c r="L86" s="10" t="str"/>
      <x:c r="M86" s="7" t="str">
        <x:v>OPEN</x:v>
      </x:c>
    </x:row>
    <x:row r="87" ht="36" customHeight="1">
      <x:c r="B87" s="7" t="str">
        <x:v>RAE-E-04-P09</x:v>
      </x:c>
      <x:c r="C87" s="7" t="str">
        <x:v>RAE-E-04</x:v>
      </x:c>
      <x:c r="D87" s="7" t="str">
        <x:v>RFP-A1</x:v>
      </x:c>
      <x:c r="E87" s="7" t="str">
        <x:v>AM-05</x:v>
      </x:c>
      <x:c r="F87" s="7" t="str">
        <x:v>TR-B</x:v>
      </x:c>
      <x:c r="G87" s="7" t="str">
        <x:v>QE-02</x:v>
      </x:c>
      <x:c r="H87" s="7" t="str">
        <x:v>P09</x:v>
      </x:c>
      <x:c r="I87" s="7" t="str">
        <x:v>T-30min</x:v>
      </x:c>
      <x:c r="J87" s="10" t="str">
        <x:v>native evidence armed</x:v>
      </x:c>
      <x:c r="K87" s="7" t="str"/>
      <x:c r="L87" s="10" t="str"/>
      <x:c r="M87" s="7" t="str">
        <x:v>OPEN</x:v>
      </x:c>
    </x:row>
    <x:row r="88" ht="36" customHeight="1">
      <x:c r="B88" s="7" t="str">
        <x:v>RAE-E-04-P10</x:v>
      </x:c>
      <x:c r="C88" s="7" t="str">
        <x:v>RAE-E-04</x:v>
      </x:c>
      <x:c r="D88" s="7" t="str">
        <x:v>RFP-A1</x:v>
      </x:c>
      <x:c r="E88" s="7" t="str">
        <x:v>AM-05</x:v>
      </x:c>
      <x:c r="F88" s="7" t="str">
        <x:v>TR-B</x:v>
      </x:c>
      <x:c r="G88" s="7" t="str">
        <x:v>QE-02</x:v>
      </x:c>
      <x:c r="H88" s="7" t="str">
        <x:v>P10</x:v>
      </x:c>
      <x:c r="I88" s="7" t="str">
        <x:v>T-10min</x:v>
      </x:c>
      <x:c r="J88" s="10" t="str">
        <x:v>final control poll</x:v>
      </x:c>
      <x:c r="K88" s="7" t="str"/>
      <x:c r="L88" s="10" t="str"/>
      <x:c r="M88" s="7" t="str">
        <x:v>OPEN</x:v>
      </x:c>
    </x:row>
    <x:row r="89" ht="36" customHeight="1">
      <x:c r="B89" s="7" t="str">
        <x:v>RAE-E-04-P11</x:v>
      </x:c>
      <x:c r="C89" s="7" t="str">
        <x:v>RAE-E-04</x:v>
      </x:c>
      <x:c r="D89" s="7" t="str">
        <x:v>RFP-A1</x:v>
      </x:c>
      <x:c r="E89" s="7" t="str">
        <x:v>AM-05</x:v>
      </x:c>
      <x:c r="F89" s="7" t="str">
        <x:v>TR-B</x:v>
      </x:c>
      <x:c r="G89" s="7" t="str">
        <x:v>QE-02</x:v>
      </x:c>
      <x:c r="H89" s="7" t="str">
        <x:v>P11</x:v>
      </x:c>
      <x:c r="I89" s="7" t="str">
        <x:v>T-60s</x:v>
      </x:c>
      <x:c r="J89" s="10" t="str">
        <x:v>full-rate capture</x:v>
      </x:c>
      <x:c r="K89" s="7" t="str"/>
      <x:c r="L89" s="10" t="str"/>
      <x:c r="M89" s="7" t="str">
        <x:v>OPEN</x:v>
      </x:c>
    </x:row>
    <x:row r="90" ht="36" customHeight="1">
      <x:c r="B90" s="7" t="str">
        <x:v>RAE-E-04-P12</x:v>
      </x:c>
      <x:c r="C90" s="7" t="str">
        <x:v>RAE-E-04</x:v>
      </x:c>
      <x:c r="D90" s="7" t="str">
        <x:v>RFP-A1</x:v>
      </x:c>
      <x:c r="E90" s="7" t="str">
        <x:v>AM-05</x:v>
      </x:c>
      <x:c r="F90" s="7" t="str">
        <x:v>TR-B</x:v>
      </x:c>
      <x:c r="G90" s="7" t="str">
        <x:v>QE-02</x:v>
      </x:c>
      <x:c r="H90" s="7" t="str">
        <x:v>P12</x:v>
      </x:c>
      <x:c r="I90" s="7" t="str">
        <x:v>T-10s</x:v>
      </x:c>
      <x:c r="J90" s="10" t="str">
        <x:v>registered challenge state</x:v>
      </x:c>
      <x:c r="K90" s="7" t="str"/>
      <x:c r="L90" s="10" t="str"/>
      <x:c r="M90" s="7" t="str">
        <x:v>OPEN</x:v>
      </x:c>
    </x:row>
    <x:row r="91" ht="36" customHeight="1">
      <x:c r="B91" s="7" t="str">
        <x:v>RAE-E-04-P13</x:v>
      </x:c>
      <x:c r="C91" s="7" t="str">
        <x:v>RAE-E-04</x:v>
      </x:c>
      <x:c r="D91" s="7" t="str">
        <x:v>RFP-A1</x:v>
      </x:c>
      <x:c r="E91" s="7" t="str">
        <x:v>AM-05</x:v>
      </x:c>
      <x:c r="F91" s="7" t="str">
        <x:v>TR-B</x:v>
      </x:c>
      <x:c r="G91" s="7" t="str">
        <x:v>QE-02</x:v>
      </x:c>
      <x:c r="H91" s="7" t="str">
        <x:v>P13</x:v>
      </x:c>
      <x:c r="I91" s="7" t="str">
        <x:v>T0</x:v>
      </x:c>
      <x:c r="J91" s="10" t="str">
        <x:v>source command or zero-source marker</x:v>
      </x:c>
      <x:c r="K91" s="7" t="str"/>
      <x:c r="L91" s="10" t="str"/>
      <x:c r="M91" s="7" t="str">
        <x:v>OPEN</x:v>
      </x:c>
    </x:row>
    <x:row r="92" ht="36" customHeight="1">
      <x:c r="B92" s="7" t="str">
        <x:v>RAE-E-04-P14</x:v>
      </x:c>
      <x:c r="C92" s="7" t="str">
        <x:v>RAE-E-04</x:v>
      </x:c>
      <x:c r="D92" s="7" t="str">
        <x:v>RFP-A1</x:v>
      </x:c>
      <x:c r="E92" s="7" t="str">
        <x:v>AM-05</x:v>
      </x:c>
      <x:c r="F92" s="7" t="str">
        <x:v>TR-B</x:v>
      </x:c>
      <x:c r="G92" s="7" t="str">
        <x:v>QE-02</x:v>
      </x:c>
      <x:c r="H92" s="7" t="str">
        <x:v>P14</x:v>
      </x:c>
      <x:c r="I92" s="7" t="str">
        <x:v>T+2s</x:v>
      </x:c>
      <x:c r="J92" s="10" t="str">
        <x:v>inlet and dispenser final state</x:v>
      </x:c>
      <x:c r="K92" s="7" t="str"/>
      <x:c r="L92" s="10" t="str"/>
      <x:c r="M92" s="7" t="str">
        <x:v>OPEN</x:v>
      </x:c>
    </x:row>
    <x:row r="93" ht="36" customHeight="1">
      <x:c r="B93" s="7" t="str">
        <x:v>RAE-E-04-P15</x:v>
      </x:c>
      <x:c r="C93" s="7" t="str">
        <x:v>RAE-E-04</x:v>
      </x:c>
      <x:c r="D93" s="7" t="str">
        <x:v>RFP-A1</x:v>
      </x:c>
      <x:c r="E93" s="7" t="str">
        <x:v>AM-05</x:v>
      </x:c>
      <x:c r="F93" s="7" t="str">
        <x:v>TR-B</x:v>
      </x:c>
      <x:c r="G93" s="7" t="str">
        <x:v>QE-02</x:v>
      </x:c>
      <x:c r="H93" s="7" t="str">
        <x:v>P15</x:v>
      </x:c>
      <x:c r="I93" s="7" t="str">
        <x:v>T+15s</x:v>
      </x:c>
      <x:c r="J93" s="10" t="str">
        <x:v>AM-06 QE-02 ignition opportunity</x:v>
      </x:c>
      <x:c r="K93" s="7" t="str"/>
      <x:c r="L93" s="10" t="str"/>
      <x:c r="M93" s="7" t="str">
        <x:v>OPEN</x:v>
      </x:c>
    </x:row>
    <x:row r="94" ht="36" customHeight="1">
      <x:c r="B94" s="7" t="str">
        <x:v>RAE-E-04-P16</x:v>
      </x:c>
      <x:c r="C94" s="7" t="str">
        <x:v>RAE-E-04</x:v>
      </x:c>
      <x:c r="D94" s="7" t="str">
        <x:v>RFP-A1</x:v>
      </x:c>
      <x:c r="E94" s="7" t="str">
        <x:v>AM-05</x:v>
      </x:c>
      <x:c r="F94" s="7" t="str">
        <x:v>TR-B</x:v>
      </x:c>
      <x:c r="G94" s="7" t="str">
        <x:v>QE-02</x:v>
      </x:c>
      <x:c r="H94" s="7" t="str">
        <x:v>P16</x:v>
      </x:c>
      <x:c r="I94" s="7" t="str">
        <x:v>T+30s</x:v>
      </x:c>
      <x:c r="J94" s="10" t="str">
        <x:v>terminal-source decision</x:v>
      </x:c>
      <x:c r="K94" s="7" t="str"/>
      <x:c r="L94" s="10" t="str"/>
      <x:c r="M94" s="7" t="str">
        <x:v>OPEN</x:v>
      </x:c>
    </x:row>
    <x:row r="95" ht="36" customHeight="1">
      <x:c r="B95" s="7" t="str">
        <x:v>RAE-E-04-P17</x:v>
      </x:c>
      <x:c r="C95" s="7" t="str">
        <x:v>RAE-E-04</x:v>
      </x:c>
      <x:c r="D95" s="7" t="str">
        <x:v>RFP-A1</x:v>
      </x:c>
      <x:c r="E95" s="7" t="str">
        <x:v>AM-05</x:v>
      </x:c>
      <x:c r="F95" s="7" t="str">
        <x:v>TR-B</x:v>
      </x:c>
      <x:c r="G95" s="7" t="str">
        <x:v>QE-02</x:v>
      </x:c>
      <x:c r="H95" s="7" t="str">
        <x:v>P17</x:v>
      </x:c>
      <x:c r="I95" s="7" t="str">
        <x:v>T+120s</x:v>
      </x:c>
      <x:c r="J95" s="10" t="str">
        <x:v>public schedule end</x:v>
      </x:c>
      <x:c r="K95" s="7" t="str"/>
      <x:c r="L95" s="10" t="str"/>
      <x:c r="M95" s="7" t="str">
        <x:v>OPEN</x:v>
      </x:c>
    </x:row>
    <x:row r="96" ht="36" customHeight="1">
      <x:c r="B96" s="7" t="str">
        <x:v>RAE-E-04-P18</x:v>
      </x:c>
      <x:c r="C96" s="7" t="str">
        <x:v>RAE-E-04</x:v>
      </x:c>
      <x:c r="D96" s="7" t="str">
        <x:v>RFP-A1</x:v>
      </x:c>
      <x:c r="E96" s="7" t="str">
        <x:v>AM-05</x:v>
      </x:c>
      <x:c r="F96" s="7" t="str">
        <x:v>TR-B</x:v>
      </x:c>
      <x:c r="G96" s="7" t="str">
        <x:v>QE-02</x:v>
      </x:c>
      <x:c r="H96" s="7" t="str">
        <x:v>P18</x:v>
      </x:c>
      <x:c r="I96" s="7" t="str">
        <x:v>T+15min</x:v>
      </x:c>
      <x:c r="J96" s="10" t="str">
        <x:v>thermal and water classification</x:v>
      </x:c>
      <x:c r="K96" s="7" t="str"/>
      <x:c r="L96" s="10" t="str"/>
      <x:c r="M96" s="7" t="str">
        <x:v>OPEN</x:v>
      </x:c>
    </x:row>
    <x:row r="97" ht="36" customHeight="1">
      <x:c r="B97" s="7" t="str">
        <x:v>RAE-E-04-P19</x:v>
      </x:c>
      <x:c r="C97" s="7" t="str">
        <x:v>RAE-E-04</x:v>
      </x:c>
      <x:c r="D97" s="7" t="str">
        <x:v>RFP-A1</x:v>
      </x:c>
      <x:c r="E97" s="7" t="str">
        <x:v>AM-05</x:v>
      </x:c>
      <x:c r="F97" s="7" t="str">
        <x:v>TR-B</x:v>
      </x:c>
      <x:c r="G97" s="7" t="str">
        <x:v>QE-02</x:v>
      </x:c>
      <x:c r="H97" s="7" t="str">
        <x:v>P19</x:v>
      </x:c>
      <x:c r="I97" s="7" t="str">
        <x:v>T+30min</x:v>
      </x:c>
      <x:c r="J97" s="10" t="str">
        <x:v>public intervention classification</x:v>
      </x:c>
      <x:c r="K97" s="7" t="str"/>
      <x:c r="L97" s="10" t="str"/>
      <x:c r="M97" s="7" t="str">
        <x:v>OPEN</x:v>
      </x:c>
    </x:row>
    <x:row r="98" ht="36" customHeight="1">
      <x:c r="B98" s="7" t="str">
        <x:v>RAE-E-04-P20</x:v>
      </x:c>
      <x:c r="C98" s="7" t="str">
        <x:v>RAE-E-04</x:v>
      </x:c>
      <x:c r="D98" s="7" t="str">
        <x:v>RFP-A1</x:v>
      </x:c>
      <x:c r="E98" s="7" t="str">
        <x:v>AM-05</x:v>
      </x:c>
      <x:c r="F98" s="7" t="str">
        <x:v>TR-B</x:v>
      </x:c>
      <x:c r="G98" s="7" t="str">
        <x:v>QE-02</x:v>
      </x:c>
      <x:c r="H98" s="7" t="str">
        <x:v>P20</x:v>
      </x:c>
      <x:c r="I98" s="7" t="str">
        <x:v>T+60min</x:v>
      </x:c>
      <x:c r="J98" s="10" t="str">
        <x:v>remote-entry classification</x:v>
      </x:c>
      <x:c r="K98" s="7" t="str"/>
      <x:c r="L98" s="10" t="str"/>
      <x:c r="M98" s="7" t="str">
        <x:v>OPEN</x:v>
      </x:c>
    </x:row>
    <x:row r="99" ht="36" customHeight="1">
      <x:c r="B99" s="7" t="str">
        <x:v>RAE-E-04-P21</x:v>
      </x:c>
      <x:c r="C99" s="7" t="str">
        <x:v>RAE-E-04</x:v>
      </x:c>
      <x:c r="D99" s="7" t="str">
        <x:v>RFP-A1</x:v>
      </x:c>
      <x:c r="E99" s="7" t="str">
        <x:v>AM-05</x:v>
      </x:c>
      <x:c r="F99" s="7" t="str">
        <x:v>TR-B</x:v>
      </x:c>
      <x:c r="G99" s="7" t="str">
        <x:v>QE-02</x:v>
      </x:c>
      <x:c r="H99" s="7" t="str">
        <x:v>P21</x:v>
      </x:c>
      <x:c r="I99" s="7" t="str">
        <x:v>T+6h</x:v>
      </x:c>
      <x:c r="J99" s="10" t="str">
        <x:v>evidence tail closure</x:v>
      </x:c>
      <x:c r="K99" s="7" t="str"/>
      <x:c r="L99" s="10" t="str"/>
      <x:c r="M99" s="7" t="str">
        <x:v>OPEN</x:v>
      </x:c>
    </x:row>
    <x:row r="100" ht="36" customHeight="1">
      <x:c r="B100" s="7" t="str">
        <x:v>RAE-E-04-P22</x:v>
      </x:c>
      <x:c r="C100" s="7" t="str">
        <x:v>RAE-E-04</x:v>
      </x:c>
      <x:c r="D100" s="7" t="str">
        <x:v>RFP-A1</x:v>
      </x:c>
      <x:c r="E100" s="7" t="str">
        <x:v>AM-05</x:v>
      </x:c>
      <x:c r="F100" s="7" t="str">
        <x:v>TR-B</x:v>
      </x:c>
      <x:c r="G100" s="7" t="str">
        <x:v>QE-02</x:v>
      </x:c>
      <x:c r="H100" s="7" t="str">
        <x:v>P22</x:v>
      </x:c>
      <x:c r="I100" s="7" t="str">
        <x:v>T+24h</x:v>
      </x:c>
      <x:c r="J100" s="10" t="str">
        <x:v>physical ledger closure</x:v>
      </x:c>
      <x:c r="K100" s="7" t="str"/>
      <x:c r="L100" s="10" t="str"/>
      <x:c r="M100" s="7" t="str">
        <x:v>OPEN</x:v>
      </x:c>
    </x:row>
    <x:row r="101" ht="36" customHeight="1">
      <x:c r="B101" s="7" t="str">
        <x:v>RAE-E-04-P23</x:v>
      </x:c>
      <x:c r="C101" s="7" t="str">
        <x:v>RAE-E-04</x:v>
      </x:c>
      <x:c r="D101" s="7" t="str">
        <x:v>RFP-A1</x:v>
      </x:c>
      <x:c r="E101" s="7" t="str">
        <x:v>AM-05</x:v>
      </x:c>
      <x:c r="F101" s="7" t="str">
        <x:v>TR-B</x:v>
      </x:c>
      <x:c r="G101" s="7" t="str">
        <x:v>QE-02</x:v>
      </x:c>
      <x:c r="H101" s="7" t="str">
        <x:v>P23</x:v>
      </x:c>
      <x:c r="I101" s="7" t="str">
        <x:v>T+72h</x:v>
      </x:c>
      <x:c r="J101" s="10" t="str">
        <x:v>immutable packet freeze</x:v>
      </x:c>
      <x:c r="K101" s="7" t="str"/>
      <x:c r="L101" s="10" t="str"/>
      <x:c r="M101" s="7" t="str">
        <x:v>OPEN</x:v>
      </x:c>
    </x:row>
    <x:row r="102" ht="36" customHeight="1">
      <x:c r="B102" s="7" t="str">
        <x:v>RAE-E-04-P24</x:v>
      </x:c>
      <x:c r="C102" s="7" t="str">
        <x:v>RAE-E-04</x:v>
      </x:c>
      <x:c r="D102" s="7" t="str">
        <x:v>RFP-A1</x:v>
      </x:c>
      <x:c r="E102" s="7" t="str">
        <x:v>AM-05</x:v>
      </x:c>
      <x:c r="F102" s="7" t="str">
        <x:v>TR-B</x:v>
      </x:c>
      <x:c r="G102" s="7" t="str">
        <x:v>QE-02</x:v>
      </x:c>
      <x:c r="H102" s="7" t="str">
        <x:v>P24</x:v>
      </x:c>
      <x:c r="I102" s="7" t="str">
        <x:v>day 7</x:v>
      </x:c>
      <x:c r="J102" s="10" t="str">
        <x:v>validity and outcome board</x:v>
      </x:c>
      <x:c r="K102" s="7" t="str"/>
      <x:c r="L102" s="10" t="str"/>
      <x:c r="M102" s="7" t="str">
        <x:v>OPEN</x:v>
      </x:c>
    </x:row>
    <x:row r="103" ht="36" customHeight="1">
      <x:c r="B103" s="7" t="str">
        <x:v>RAE-E-05-P01</x:v>
      </x:c>
      <x:c r="C103" s="7" t="str">
        <x:v>RAE-E-05</x:v>
      </x:c>
      <x:c r="D103" s="7" t="str">
        <x:v>RFP-A1</x:v>
      </x:c>
      <x:c r="E103" s="7" t="str">
        <x:v>AM-06</x:v>
      </x:c>
      <x:c r="F103" s="7" t="str">
        <x:v>TR-A</x:v>
      </x:c>
      <x:c r="G103" s="7" t="str">
        <x:v>QE-01</x:v>
      </x:c>
      <x:c r="H103" s="7" t="str">
        <x:v>P01</x:v>
      </x:c>
      <x:c r="I103" s="7" t="str">
        <x:v>T-96h</x:v>
      </x:c>
      <x:c r="J103" s="10" t="str">
        <x:v>baseline freeze</x:v>
      </x:c>
      <x:c r="K103" s="7" t="str"/>
      <x:c r="L103" s="10" t="str"/>
      <x:c r="M103" s="7" t="str">
        <x:v>OPEN</x:v>
      </x:c>
    </x:row>
    <x:row r="104" ht="36" customHeight="1">
      <x:c r="B104" s="7" t="str">
        <x:v>RAE-E-05-P02</x:v>
      </x:c>
      <x:c r="C104" s="7" t="str">
        <x:v>RAE-E-05</x:v>
      </x:c>
      <x:c r="D104" s="7" t="str">
        <x:v>RFP-A1</x:v>
      </x:c>
      <x:c r="E104" s="7" t="str">
        <x:v>AM-06</x:v>
      </x:c>
      <x:c r="F104" s="7" t="str">
        <x:v>TR-A</x:v>
      </x:c>
      <x:c r="G104" s="7" t="str">
        <x:v>QE-01</x:v>
      </x:c>
      <x:c r="H104" s="7" t="str">
        <x:v>P02</x:v>
      </x:c>
      <x:c r="I104" s="7" t="str">
        <x:v>T-72h</x:v>
      </x:c>
      <x:c r="J104" s="10" t="str">
        <x:v>source and water custody freeze</x:v>
      </x:c>
      <x:c r="K104" s="7" t="str"/>
      <x:c r="L104" s="10" t="str"/>
      <x:c r="M104" s="7" t="str">
        <x:v>OPEN</x:v>
      </x:c>
    </x:row>
    <x:row r="105" ht="36" customHeight="1">
      <x:c r="B105" s="7" t="str">
        <x:v>RAE-E-05-P03</x:v>
      </x:c>
      <x:c r="C105" s="7" t="str">
        <x:v>RAE-E-05</x:v>
      </x:c>
      <x:c r="D105" s="7" t="str">
        <x:v>RFP-A1</x:v>
      </x:c>
      <x:c r="E105" s="7" t="str">
        <x:v>AM-06</x:v>
      </x:c>
      <x:c r="F105" s="7" t="str">
        <x:v>TR-A</x:v>
      </x:c>
      <x:c r="G105" s="7" t="str">
        <x:v>QE-01</x:v>
      </x:c>
      <x:c r="H105" s="7" t="str">
        <x:v>P03</x:v>
      </x:c>
      <x:c r="I105" s="7" t="str">
        <x:v>T-48h</x:v>
      </x:c>
      <x:c r="J105" s="10" t="str">
        <x:v>article and configuration identity</x:v>
      </x:c>
      <x:c r="K105" s="7" t="str"/>
      <x:c r="L105" s="10" t="str"/>
      <x:c r="M105" s="7" t="str">
        <x:v>OPEN</x:v>
      </x:c>
    </x:row>
    <x:row r="106" ht="36" customHeight="1">
      <x:c r="B106" s="7" t="str">
        <x:v>RAE-E-05-P04</x:v>
      </x:c>
      <x:c r="C106" s="7" t="str">
        <x:v>RAE-E-05</x:v>
      </x:c>
      <x:c r="D106" s="7" t="str">
        <x:v>RFP-A1</x:v>
      </x:c>
      <x:c r="E106" s="7" t="str">
        <x:v>AM-06</x:v>
      </x:c>
      <x:c r="F106" s="7" t="str">
        <x:v>TR-A</x:v>
      </x:c>
      <x:c r="G106" s="7" t="str">
        <x:v>QE-01</x:v>
      </x:c>
      <x:c r="H106" s="7" t="str">
        <x:v>P04</x:v>
      </x:c>
      <x:c r="I106" s="7" t="str">
        <x:v>T-24h</x:v>
      </x:c>
      <x:c r="J106" s="10" t="str">
        <x:v>environment and recovery readiness</x:v>
      </x:c>
      <x:c r="K106" s="7" t="str"/>
      <x:c r="L106" s="10" t="str"/>
      <x:c r="M106" s="7" t="str">
        <x:v>OPEN</x:v>
      </x:c>
    </x:row>
    <x:row r="107" ht="36" customHeight="1">
      <x:c r="B107" s="7" t="str">
        <x:v>RAE-E-05-P05</x:v>
      </x:c>
      <x:c r="C107" s="7" t="str">
        <x:v>RAE-E-05</x:v>
      </x:c>
      <x:c r="D107" s="7" t="str">
        <x:v>RFP-A1</x:v>
      </x:c>
      <x:c r="E107" s="7" t="str">
        <x:v>AM-06</x:v>
      </x:c>
      <x:c r="F107" s="7" t="str">
        <x:v>TR-A</x:v>
      </x:c>
      <x:c r="G107" s="7" t="str">
        <x:v>QE-01</x:v>
      </x:c>
      <x:c r="H107" s="7" t="str">
        <x:v>P05</x:v>
      </x:c>
      <x:c r="I107" s="7" t="str">
        <x:v>T-12h</x:v>
      </x:c>
      <x:c r="J107" s="10" t="str">
        <x:v>rescue posture</x:v>
      </x:c>
      <x:c r="K107" s="7" t="str"/>
      <x:c r="L107" s="10" t="str"/>
      <x:c r="M107" s="7" t="str">
        <x:v>OPEN</x:v>
      </x:c>
    </x:row>
    <x:row r="108" ht="36" customHeight="1">
      <x:c r="B108" s="7" t="str">
        <x:v>RAE-E-05-P06</x:v>
      </x:c>
      <x:c r="C108" s="7" t="str">
        <x:v>RAE-E-05</x:v>
      </x:c>
      <x:c r="D108" s="7" t="str">
        <x:v>RFP-A1</x:v>
      </x:c>
      <x:c r="E108" s="7" t="str">
        <x:v>AM-06</x:v>
      </x:c>
      <x:c r="F108" s="7" t="str">
        <x:v>TR-A</x:v>
      </x:c>
      <x:c r="G108" s="7" t="str">
        <x:v>QE-01</x:v>
      </x:c>
      <x:c r="H108" s="7" t="str">
        <x:v>P06</x:v>
      </x:c>
      <x:c r="I108" s="7" t="str">
        <x:v>T-6h</x:v>
      </x:c>
      <x:c r="J108" s="10" t="str">
        <x:v>calibration before state</x:v>
      </x:c>
      <x:c r="K108" s="7" t="str"/>
      <x:c r="L108" s="10" t="str"/>
      <x:c r="M108" s="7" t="str">
        <x:v>OPEN</x:v>
      </x:c>
    </x:row>
    <x:row r="109" ht="36" customHeight="1">
      <x:c r="B109" s="7" t="str">
        <x:v>RAE-E-05-P07</x:v>
      </x:c>
      <x:c r="C109" s="7" t="str">
        <x:v>RAE-E-05</x:v>
      </x:c>
      <x:c r="D109" s="7" t="str">
        <x:v>RFP-A1</x:v>
      </x:c>
      <x:c r="E109" s="7" t="str">
        <x:v>AM-06</x:v>
      </x:c>
      <x:c r="F109" s="7" t="str">
        <x:v>TR-A</x:v>
      </x:c>
      <x:c r="G109" s="7" t="str">
        <x:v>QE-01</x:v>
      </x:c>
      <x:c r="H109" s="7" t="str">
        <x:v>P07</x:v>
      </x:c>
      <x:c r="I109" s="7" t="str">
        <x:v>T-2h</x:v>
      </x:c>
      <x:c r="J109" s="10" t="str">
        <x:v>receiver initial-volume proof</x:v>
      </x:c>
      <x:c r="K109" s="7" t="str"/>
      <x:c r="L109" s="10" t="str"/>
      <x:c r="M109" s="7" t="str">
        <x:v>OPEN</x:v>
      </x:c>
    </x:row>
    <x:row r="110" ht="36" customHeight="1">
      <x:c r="B110" s="7" t="str">
        <x:v>RAE-E-05-P08</x:v>
      </x:c>
      <x:c r="C110" s="7" t="str">
        <x:v>RAE-E-05</x:v>
      </x:c>
      <x:c r="D110" s="7" t="str">
        <x:v>RFP-A1</x:v>
      </x:c>
      <x:c r="E110" s="7" t="str">
        <x:v>AM-06</x:v>
      </x:c>
      <x:c r="F110" s="7" t="str">
        <x:v>TR-A</x:v>
      </x:c>
      <x:c r="G110" s="7" t="str">
        <x:v>QE-01</x:v>
      </x:c>
      <x:c r="H110" s="7" t="str">
        <x:v>P08</x:v>
      </x:c>
      <x:c r="I110" s="7" t="str">
        <x:v>T-60min</x:v>
      </x:c>
      <x:c r="J110" s="10" t="str">
        <x:v>neighbor inert-state proof</x:v>
      </x:c>
      <x:c r="K110" s="7" t="str"/>
      <x:c r="L110" s="10" t="str"/>
      <x:c r="M110" s="7" t="str">
        <x:v>OPEN</x:v>
      </x:c>
    </x:row>
    <x:row r="111" ht="36" customHeight="1">
      <x:c r="B111" s="7" t="str">
        <x:v>RAE-E-05-P09</x:v>
      </x:c>
      <x:c r="C111" s="7" t="str">
        <x:v>RAE-E-05</x:v>
      </x:c>
      <x:c r="D111" s="7" t="str">
        <x:v>RFP-A1</x:v>
      </x:c>
      <x:c r="E111" s="7" t="str">
        <x:v>AM-06</x:v>
      </x:c>
      <x:c r="F111" s="7" t="str">
        <x:v>TR-A</x:v>
      </x:c>
      <x:c r="G111" s="7" t="str">
        <x:v>QE-01</x:v>
      </x:c>
      <x:c r="H111" s="7" t="str">
        <x:v>P09</x:v>
      </x:c>
      <x:c r="I111" s="7" t="str">
        <x:v>T-30min</x:v>
      </x:c>
      <x:c r="J111" s="10" t="str">
        <x:v>native evidence armed</x:v>
      </x:c>
      <x:c r="K111" s="7" t="str"/>
      <x:c r="L111" s="10" t="str"/>
      <x:c r="M111" s="7" t="str">
        <x:v>OPEN</x:v>
      </x:c>
    </x:row>
    <x:row r="112" ht="36" customHeight="1">
      <x:c r="B112" s="7" t="str">
        <x:v>RAE-E-05-P10</x:v>
      </x:c>
      <x:c r="C112" s="7" t="str">
        <x:v>RAE-E-05</x:v>
      </x:c>
      <x:c r="D112" s="7" t="str">
        <x:v>RFP-A1</x:v>
      </x:c>
      <x:c r="E112" s="7" t="str">
        <x:v>AM-06</x:v>
      </x:c>
      <x:c r="F112" s="7" t="str">
        <x:v>TR-A</x:v>
      </x:c>
      <x:c r="G112" s="7" t="str">
        <x:v>QE-01</x:v>
      </x:c>
      <x:c r="H112" s="7" t="str">
        <x:v>P10</x:v>
      </x:c>
      <x:c r="I112" s="7" t="str">
        <x:v>T-10min</x:v>
      </x:c>
      <x:c r="J112" s="10" t="str">
        <x:v>final control poll</x:v>
      </x:c>
      <x:c r="K112" s="7" t="str"/>
      <x:c r="L112" s="10" t="str"/>
      <x:c r="M112" s="7" t="str">
        <x:v>OPEN</x:v>
      </x:c>
    </x:row>
    <x:row r="113" ht="36" customHeight="1">
      <x:c r="B113" s="7" t="str">
        <x:v>RAE-E-05-P11</x:v>
      </x:c>
      <x:c r="C113" s="7" t="str">
        <x:v>RAE-E-05</x:v>
      </x:c>
      <x:c r="D113" s="7" t="str">
        <x:v>RFP-A1</x:v>
      </x:c>
      <x:c r="E113" s="7" t="str">
        <x:v>AM-06</x:v>
      </x:c>
      <x:c r="F113" s="7" t="str">
        <x:v>TR-A</x:v>
      </x:c>
      <x:c r="G113" s="7" t="str">
        <x:v>QE-01</x:v>
      </x:c>
      <x:c r="H113" s="7" t="str">
        <x:v>P11</x:v>
      </x:c>
      <x:c r="I113" s="7" t="str">
        <x:v>T-60s</x:v>
      </x:c>
      <x:c r="J113" s="10" t="str">
        <x:v>full-rate capture</x:v>
      </x:c>
      <x:c r="K113" s="7" t="str"/>
      <x:c r="L113" s="10" t="str"/>
      <x:c r="M113" s="7" t="str">
        <x:v>OPEN</x:v>
      </x:c>
    </x:row>
    <x:row r="114" ht="36" customHeight="1">
      <x:c r="B114" s="7" t="str">
        <x:v>RAE-E-05-P12</x:v>
      </x:c>
      <x:c r="C114" s="7" t="str">
        <x:v>RAE-E-05</x:v>
      </x:c>
      <x:c r="D114" s="7" t="str">
        <x:v>RFP-A1</x:v>
      </x:c>
      <x:c r="E114" s="7" t="str">
        <x:v>AM-06</x:v>
      </x:c>
      <x:c r="F114" s="7" t="str">
        <x:v>TR-A</x:v>
      </x:c>
      <x:c r="G114" s="7" t="str">
        <x:v>QE-01</x:v>
      </x:c>
      <x:c r="H114" s="7" t="str">
        <x:v>P12</x:v>
      </x:c>
      <x:c r="I114" s="7" t="str">
        <x:v>T-10s</x:v>
      </x:c>
      <x:c r="J114" s="10" t="str">
        <x:v>registered challenge state</x:v>
      </x:c>
      <x:c r="K114" s="7" t="str"/>
      <x:c r="L114" s="10" t="str"/>
      <x:c r="M114" s="7" t="str">
        <x:v>OPEN</x:v>
      </x:c>
    </x:row>
    <x:row r="115" ht="36" customHeight="1">
      <x:c r="B115" s="7" t="str">
        <x:v>RAE-E-05-P13</x:v>
      </x:c>
      <x:c r="C115" s="7" t="str">
        <x:v>RAE-E-05</x:v>
      </x:c>
      <x:c r="D115" s="7" t="str">
        <x:v>RFP-A1</x:v>
      </x:c>
      <x:c r="E115" s="7" t="str">
        <x:v>AM-06</x:v>
      </x:c>
      <x:c r="F115" s="7" t="str">
        <x:v>TR-A</x:v>
      </x:c>
      <x:c r="G115" s="7" t="str">
        <x:v>QE-01</x:v>
      </x:c>
      <x:c r="H115" s="7" t="str">
        <x:v>P13</x:v>
      </x:c>
      <x:c r="I115" s="7" t="str">
        <x:v>T0</x:v>
      </x:c>
      <x:c r="J115" s="10" t="str">
        <x:v>source command or zero-source marker</x:v>
      </x:c>
      <x:c r="K115" s="7" t="str"/>
      <x:c r="L115" s="10" t="str"/>
      <x:c r="M115" s="7" t="str">
        <x:v>OPEN</x:v>
      </x:c>
    </x:row>
    <x:row r="116" ht="36" customHeight="1">
      <x:c r="B116" s="7" t="str">
        <x:v>RAE-E-05-P14</x:v>
      </x:c>
      <x:c r="C116" s="7" t="str">
        <x:v>RAE-E-05</x:v>
      </x:c>
      <x:c r="D116" s="7" t="str">
        <x:v>RFP-A1</x:v>
      </x:c>
      <x:c r="E116" s="7" t="str">
        <x:v>AM-06</x:v>
      </x:c>
      <x:c r="F116" s="7" t="str">
        <x:v>TR-A</x:v>
      </x:c>
      <x:c r="G116" s="7" t="str">
        <x:v>QE-01</x:v>
      </x:c>
      <x:c r="H116" s="7" t="str">
        <x:v>P14</x:v>
      </x:c>
      <x:c r="I116" s="7" t="str">
        <x:v>T+2s</x:v>
      </x:c>
      <x:c r="J116" s="10" t="str">
        <x:v>inlet and dispenser final state</x:v>
      </x:c>
      <x:c r="K116" s="7" t="str"/>
      <x:c r="L116" s="10" t="str"/>
      <x:c r="M116" s="7" t="str">
        <x:v>OPEN</x:v>
      </x:c>
    </x:row>
    <x:row r="117" ht="36" customHeight="1">
      <x:c r="B117" s="7" t="str">
        <x:v>RAE-E-05-P15</x:v>
      </x:c>
      <x:c r="C117" s="7" t="str">
        <x:v>RAE-E-05</x:v>
      </x:c>
      <x:c r="D117" s="7" t="str">
        <x:v>RFP-A1</x:v>
      </x:c>
      <x:c r="E117" s="7" t="str">
        <x:v>AM-06</x:v>
      </x:c>
      <x:c r="F117" s="7" t="str">
        <x:v>TR-A</x:v>
      </x:c>
      <x:c r="G117" s="7" t="str">
        <x:v>QE-01</x:v>
      </x:c>
      <x:c r="H117" s="7" t="str">
        <x:v>P15</x:v>
      </x:c>
      <x:c r="I117" s="7" t="str">
        <x:v>T+15s</x:v>
      </x:c>
      <x:c r="J117" s="10" t="str">
        <x:v>AM-06 QE-02 ignition opportunity</x:v>
      </x:c>
      <x:c r="K117" s="7" t="str"/>
      <x:c r="L117" s="10" t="str"/>
      <x:c r="M117" s="7" t="str">
        <x:v>OPEN</x:v>
      </x:c>
    </x:row>
    <x:row r="118" ht="36" customHeight="1">
      <x:c r="B118" s="7" t="str">
        <x:v>RAE-E-05-P16</x:v>
      </x:c>
      <x:c r="C118" s="7" t="str">
        <x:v>RAE-E-05</x:v>
      </x:c>
      <x:c r="D118" s="7" t="str">
        <x:v>RFP-A1</x:v>
      </x:c>
      <x:c r="E118" s="7" t="str">
        <x:v>AM-06</x:v>
      </x:c>
      <x:c r="F118" s="7" t="str">
        <x:v>TR-A</x:v>
      </x:c>
      <x:c r="G118" s="7" t="str">
        <x:v>QE-01</x:v>
      </x:c>
      <x:c r="H118" s="7" t="str">
        <x:v>P16</x:v>
      </x:c>
      <x:c r="I118" s="7" t="str">
        <x:v>T+30s</x:v>
      </x:c>
      <x:c r="J118" s="10" t="str">
        <x:v>terminal-source decision</x:v>
      </x:c>
      <x:c r="K118" s="7" t="str"/>
      <x:c r="L118" s="10" t="str"/>
      <x:c r="M118" s="7" t="str">
        <x:v>OPEN</x:v>
      </x:c>
    </x:row>
    <x:row r="119" ht="36" customHeight="1">
      <x:c r="B119" s="7" t="str">
        <x:v>RAE-E-05-P17</x:v>
      </x:c>
      <x:c r="C119" s="7" t="str">
        <x:v>RAE-E-05</x:v>
      </x:c>
      <x:c r="D119" s="7" t="str">
        <x:v>RFP-A1</x:v>
      </x:c>
      <x:c r="E119" s="7" t="str">
        <x:v>AM-06</x:v>
      </x:c>
      <x:c r="F119" s="7" t="str">
        <x:v>TR-A</x:v>
      </x:c>
      <x:c r="G119" s="7" t="str">
        <x:v>QE-01</x:v>
      </x:c>
      <x:c r="H119" s="7" t="str">
        <x:v>P17</x:v>
      </x:c>
      <x:c r="I119" s="7" t="str">
        <x:v>T+120s</x:v>
      </x:c>
      <x:c r="J119" s="10" t="str">
        <x:v>public schedule end</x:v>
      </x:c>
      <x:c r="K119" s="7" t="str"/>
      <x:c r="L119" s="10" t="str"/>
      <x:c r="M119" s="7" t="str">
        <x:v>OPEN</x:v>
      </x:c>
    </x:row>
    <x:row r="120" ht="36" customHeight="1">
      <x:c r="B120" s="7" t="str">
        <x:v>RAE-E-05-P18</x:v>
      </x:c>
      <x:c r="C120" s="7" t="str">
        <x:v>RAE-E-05</x:v>
      </x:c>
      <x:c r="D120" s="7" t="str">
        <x:v>RFP-A1</x:v>
      </x:c>
      <x:c r="E120" s="7" t="str">
        <x:v>AM-06</x:v>
      </x:c>
      <x:c r="F120" s="7" t="str">
        <x:v>TR-A</x:v>
      </x:c>
      <x:c r="G120" s="7" t="str">
        <x:v>QE-01</x:v>
      </x:c>
      <x:c r="H120" s="7" t="str">
        <x:v>P18</x:v>
      </x:c>
      <x:c r="I120" s="7" t="str">
        <x:v>T+15min</x:v>
      </x:c>
      <x:c r="J120" s="10" t="str">
        <x:v>thermal and water classification</x:v>
      </x:c>
      <x:c r="K120" s="7" t="str"/>
      <x:c r="L120" s="10" t="str"/>
      <x:c r="M120" s="7" t="str">
        <x:v>OPEN</x:v>
      </x:c>
    </x:row>
    <x:row r="121" ht="36" customHeight="1">
      <x:c r="B121" s="7" t="str">
        <x:v>RAE-E-05-P19</x:v>
      </x:c>
      <x:c r="C121" s="7" t="str">
        <x:v>RAE-E-05</x:v>
      </x:c>
      <x:c r="D121" s="7" t="str">
        <x:v>RFP-A1</x:v>
      </x:c>
      <x:c r="E121" s="7" t="str">
        <x:v>AM-06</x:v>
      </x:c>
      <x:c r="F121" s="7" t="str">
        <x:v>TR-A</x:v>
      </x:c>
      <x:c r="G121" s="7" t="str">
        <x:v>QE-01</x:v>
      </x:c>
      <x:c r="H121" s="7" t="str">
        <x:v>P19</x:v>
      </x:c>
      <x:c r="I121" s="7" t="str">
        <x:v>T+30min</x:v>
      </x:c>
      <x:c r="J121" s="10" t="str">
        <x:v>public intervention classification</x:v>
      </x:c>
      <x:c r="K121" s="7" t="str"/>
      <x:c r="L121" s="10" t="str"/>
      <x:c r="M121" s="7" t="str">
        <x:v>OPEN</x:v>
      </x:c>
    </x:row>
    <x:row r="122" ht="36" customHeight="1">
      <x:c r="B122" s="7" t="str">
        <x:v>RAE-E-05-P20</x:v>
      </x:c>
      <x:c r="C122" s="7" t="str">
        <x:v>RAE-E-05</x:v>
      </x:c>
      <x:c r="D122" s="7" t="str">
        <x:v>RFP-A1</x:v>
      </x:c>
      <x:c r="E122" s="7" t="str">
        <x:v>AM-06</x:v>
      </x:c>
      <x:c r="F122" s="7" t="str">
        <x:v>TR-A</x:v>
      </x:c>
      <x:c r="G122" s="7" t="str">
        <x:v>QE-01</x:v>
      </x:c>
      <x:c r="H122" s="7" t="str">
        <x:v>P20</x:v>
      </x:c>
      <x:c r="I122" s="7" t="str">
        <x:v>T+60min</x:v>
      </x:c>
      <x:c r="J122" s="10" t="str">
        <x:v>remote-entry classification</x:v>
      </x:c>
      <x:c r="K122" s="7" t="str"/>
      <x:c r="L122" s="10" t="str"/>
      <x:c r="M122" s="7" t="str">
        <x:v>OPEN</x:v>
      </x:c>
    </x:row>
    <x:row r="123" ht="36" customHeight="1">
      <x:c r="B123" s="7" t="str">
        <x:v>RAE-E-05-P21</x:v>
      </x:c>
      <x:c r="C123" s="7" t="str">
        <x:v>RAE-E-05</x:v>
      </x:c>
      <x:c r="D123" s="7" t="str">
        <x:v>RFP-A1</x:v>
      </x:c>
      <x:c r="E123" s="7" t="str">
        <x:v>AM-06</x:v>
      </x:c>
      <x:c r="F123" s="7" t="str">
        <x:v>TR-A</x:v>
      </x:c>
      <x:c r="G123" s="7" t="str">
        <x:v>QE-01</x:v>
      </x:c>
      <x:c r="H123" s="7" t="str">
        <x:v>P21</x:v>
      </x:c>
      <x:c r="I123" s="7" t="str">
        <x:v>T+6h</x:v>
      </x:c>
      <x:c r="J123" s="10" t="str">
        <x:v>evidence tail closure</x:v>
      </x:c>
      <x:c r="K123" s="7" t="str"/>
      <x:c r="L123" s="10" t="str"/>
      <x:c r="M123" s="7" t="str">
        <x:v>OPEN</x:v>
      </x:c>
    </x:row>
    <x:row r="124" ht="36" customHeight="1">
      <x:c r="B124" s="7" t="str">
        <x:v>RAE-E-05-P22</x:v>
      </x:c>
      <x:c r="C124" s="7" t="str">
        <x:v>RAE-E-05</x:v>
      </x:c>
      <x:c r="D124" s="7" t="str">
        <x:v>RFP-A1</x:v>
      </x:c>
      <x:c r="E124" s="7" t="str">
        <x:v>AM-06</x:v>
      </x:c>
      <x:c r="F124" s="7" t="str">
        <x:v>TR-A</x:v>
      </x:c>
      <x:c r="G124" s="7" t="str">
        <x:v>QE-01</x:v>
      </x:c>
      <x:c r="H124" s="7" t="str">
        <x:v>P22</x:v>
      </x:c>
      <x:c r="I124" s="7" t="str">
        <x:v>T+24h</x:v>
      </x:c>
      <x:c r="J124" s="10" t="str">
        <x:v>physical ledger closure</x:v>
      </x:c>
      <x:c r="K124" s="7" t="str"/>
      <x:c r="L124" s="10" t="str"/>
      <x:c r="M124" s="7" t="str">
        <x:v>OPEN</x:v>
      </x:c>
    </x:row>
    <x:row r="125" ht="36" customHeight="1">
      <x:c r="B125" s="7" t="str">
        <x:v>RAE-E-05-P23</x:v>
      </x:c>
      <x:c r="C125" s="7" t="str">
        <x:v>RAE-E-05</x:v>
      </x:c>
      <x:c r="D125" s="7" t="str">
        <x:v>RFP-A1</x:v>
      </x:c>
      <x:c r="E125" s="7" t="str">
        <x:v>AM-06</x:v>
      </x:c>
      <x:c r="F125" s="7" t="str">
        <x:v>TR-A</x:v>
      </x:c>
      <x:c r="G125" s="7" t="str">
        <x:v>QE-01</x:v>
      </x:c>
      <x:c r="H125" s="7" t="str">
        <x:v>P23</x:v>
      </x:c>
      <x:c r="I125" s="7" t="str">
        <x:v>T+72h</x:v>
      </x:c>
      <x:c r="J125" s="10" t="str">
        <x:v>immutable packet freeze</x:v>
      </x:c>
      <x:c r="K125" s="7" t="str"/>
      <x:c r="L125" s="10" t="str"/>
      <x:c r="M125" s="7" t="str">
        <x:v>OPEN</x:v>
      </x:c>
    </x:row>
    <x:row r="126" ht="36" customHeight="1">
      <x:c r="B126" s="7" t="str">
        <x:v>RAE-E-05-P24</x:v>
      </x:c>
      <x:c r="C126" s="7" t="str">
        <x:v>RAE-E-05</x:v>
      </x:c>
      <x:c r="D126" s="7" t="str">
        <x:v>RFP-A1</x:v>
      </x:c>
      <x:c r="E126" s="7" t="str">
        <x:v>AM-06</x:v>
      </x:c>
      <x:c r="F126" s="7" t="str">
        <x:v>TR-A</x:v>
      </x:c>
      <x:c r="G126" s="7" t="str">
        <x:v>QE-01</x:v>
      </x:c>
      <x:c r="H126" s="7" t="str">
        <x:v>P24</x:v>
      </x:c>
      <x:c r="I126" s="7" t="str">
        <x:v>day 7</x:v>
      </x:c>
      <x:c r="J126" s="10" t="str">
        <x:v>validity and outcome board</x:v>
      </x:c>
      <x:c r="K126" s="7" t="str"/>
      <x:c r="L126" s="10" t="str"/>
      <x:c r="M126" s="7" t="str">
        <x:v>OPEN</x:v>
      </x:c>
    </x:row>
    <x:row r="127" ht="36" customHeight="1">
      <x:c r="B127" s="7" t="str">
        <x:v>RAE-E-06-P01</x:v>
      </x:c>
      <x:c r="C127" s="7" t="str">
        <x:v>RAE-E-06</x:v>
      </x:c>
      <x:c r="D127" s="7" t="str">
        <x:v>RFP-A1</x:v>
      </x:c>
      <x:c r="E127" s="7" t="str">
        <x:v>AM-06</x:v>
      </x:c>
      <x:c r="F127" s="7" t="str">
        <x:v>TR-A</x:v>
      </x:c>
      <x:c r="G127" s="7" t="str">
        <x:v>QE-02</x:v>
      </x:c>
      <x:c r="H127" s="7" t="str">
        <x:v>P01</x:v>
      </x:c>
      <x:c r="I127" s="7" t="str">
        <x:v>T-96h</x:v>
      </x:c>
      <x:c r="J127" s="10" t="str">
        <x:v>baseline freeze</x:v>
      </x:c>
      <x:c r="K127" s="7" t="str"/>
      <x:c r="L127" s="10" t="str"/>
      <x:c r="M127" s="7" t="str">
        <x:v>OPEN</x:v>
      </x:c>
    </x:row>
    <x:row r="128" ht="36" customHeight="1">
      <x:c r="B128" s="7" t="str">
        <x:v>RAE-E-06-P02</x:v>
      </x:c>
      <x:c r="C128" s="7" t="str">
        <x:v>RAE-E-06</x:v>
      </x:c>
      <x:c r="D128" s="7" t="str">
        <x:v>RFP-A1</x:v>
      </x:c>
      <x:c r="E128" s="7" t="str">
        <x:v>AM-06</x:v>
      </x:c>
      <x:c r="F128" s="7" t="str">
        <x:v>TR-A</x:v>
      </x:c>
      <x:c r="G128" s="7" t="str">
        <x:v>QE-02</x:v>
      </x:c>
      <x:c r="H128" s="7" t="str">
        <x:v>P02</x:v>
      </x:c>
      <x:c r="I128" s="7" t="str">
        <x:v>T-72h</x:v>
      </x:c>
      <x:c r="J128" s="10" t="str">
        <x:v>source and water custody freeze</x:v>
      </x:c>
      <x:c r="K128" s="7" t="str"/>
      <x:c r="L128" s="10" t="str"/>
      <x:c r="M128" s="7" t="str">
        <x:v>OPEN</x:v>
      </x:c>
    </x:row>
    <x:row r="129" ht="36" customHeight="1">
      <x:c r="B129" s="7" t="str">
        <x:v>RAE-E-06-P03</x:v>
      </x:c>
      <x:c r="C129" s="7" t="str">
        <x:v>RAE-E-06</x:v>
      </x:c>
      <x:c r="D129" s="7" t="str">
        <x:v>RFP-A1</x:v>
      </x:c>
      <x:c r="E129" s="7" t="str">
        <x:v>AM-06</x:v>
      </x:c>
      <x:c r="F129" s="7" t="str">
        <x:v>TR-A</x:v>
      </x:c>
      <x:c r="G129" s="7" t="str">
        <x:v>QE-02</x:v>
      </x:c>
      <x:c r="H129" s="7" t="str">
        <x:v>P03</x:v>
      </x:c>
      <x:c r="I129" s="7" t="str">
        <x:v>T-48h</x:v>
      </x:c>
      <x:c r="J129" s="10" t="str">
        <x:v>article and configuration identity</x:v>
      </x:c>
      <x:c r="K129" s="7" t="str"/>
      <x:c r="L129" s="10" t="str"/>
      <x:c r="M129" s="7" t="str">
        <x:v>OPEN</x:v>
      </x:c>
    </x:row>
    <x:row r="130" ht="36" customHeight="1">
      <x:c r="B130" s="7" t="str">
        <x:v>RAE-E-06-P04</x:v>
      </x:c>
      <x:c r="C130" s="7" t="str">
        <x:v>RAE-E-06</x:v>
      </x:c>
      <x:c r="D130" s="7" t="str">
        <x:v>RFP-A1</x:v>
      </x:c>
      <x:c r="E130" s="7" t="str">
        <x:v>AM-06</x:v>
      </x:c>
      <x:c r="F130" s="7" t="str">
        <x:v>TR-A</x:v>
      </x:c>
      <x:c r="G130" s="7" t="str">
        <x:v>QE-02</x:v>
      </x:c>
      <x:c r="H130" s="7" t="str">
        <x:v>P04</x:v>
      </x:c>
      <x:c r="I130" s="7" t="str">
        <x:v>T-24h</x:v>
      </x:c>
      <x:c r="J130" s="10" t="str">
        <x:v>environment and recovery readiness</x:v>
      </x:c>
      <x:c r="K130" s="7" t="str"/>
      <x:c r="L130" s="10" t="str"/>
      <x:c r="M130" s="7" t="str">
        <x:v>OPEN</x:v>
      </x:c>
    </x:row>
    <x:row r="131" ht="36" customHeight="1">
      <x:c r="B131" s="7" t="str">
        <x:v>RAE-E-06-P05</x:v>
      </x:c>
      <x:c r="C131" s="7" t="str">
        <x:v>RAE-E-06</x:v>
      </x:c>
      <x:c r="D131" s="7" t="str">
        <x:v>RFP-A1</x:v>
      </x:c>
      <x:c r="E131" s="7" t="str">
        <x:v>AM-06</x:v>
      </x:c>
      <x:c r="F131" s="7" t="str">
        <x:v>TR-A</x:v>
      </x:c>
      <x:c r="G131" s="7" t="str">
        <x:v>QE-02</x:v>
      </x:c>
      <x:c r="H131" s="7" t="str">
        <x:v>P05</x:v>
      </x:c>
      <x:c r="I131" s="7" t="str">
        <x:v>T-12h</x:v>
      </x:c>
      <x:c r="J131" s="10" t="str">
        <x:v>rescue posture</x:v>
      </x:c>
      <x:c r="K131" s="7" t="str"/>
      <x:c r="L131" s="10" t="str"/>
      <x:c r="M131" s="7" t="str">
        <x:v>OPEN</x:v>
      </x:c>
    </x:row>
    <x:row r="132" ht="36" customHeight="1">
      <x:c r="B132" s="7" t="str">
        <x:v>RAE-E-06-P06</x:v>
      </x:c>
      <x:c r="C132" s="7" t="str">
        <x:v>RAE-E-06</x:v>
      </x:c>
      <x:c r="D132" s="7" t="str">
        <x:v>RFP-A1</x:v>
      </x:c>
      <x:c r="E132" s="7" t="str">
        <x:v>AM-06</x:v>
      </x:c>
      <x:c r="F132" s="7" t="str">
        <x:v>TR-A</x:v>
      </x:c>
      <x:c r="G132" s="7" t="str">
        <x:v>QE-02</x:v>
      </x:c>
      <x:c r="H132" s="7" t="str">
        <x:v>P06</x:v>
      </x:c>
      <x:c r="I132" s="7" t="str">
        <x:v>T-6h</x:v>
      </x:c>
      <x:c r="J132" s="10" t="str">
        <x:v>calibration before state</x:v>
      </x:c>
      <x:c r="K132" s="7" t="str"/>
      <x:c r="L132" s="10" t="str"/>
      <x:c r="M132" s="7" t="str">
        <x:v>OPEN</x:v>
      </x:c>
    </x:row>
    <x:row r="133" ht="36" customHeight="1">
      <x:c r="B133" s="7" t="str">
        <x:v>RAE-E-06-P07</x:v>
      </x:c>
      <x:c r="C133" s="7" t="str">
        <x:v>RAE-E-06</x:v>
      </x:c>
      <x:c r="D133" s="7" t="str">
        <x:v>RFP-A1</x:v>
      </x:c>
      <x:c r="E133" s="7" t="str">
        <x:v>AM-06</x:v>
      </x:c>
      <x:c r="F133" s="7" t="str">
        <x:v>TR-A</x:v>
      </x:c>
      <x:c r="G133" s="7" t="str">
        <x:v>QE-02</x:v>
      </x:c>
      <x:c r="H133" s="7" t="str">
        <x:v>P07</x:v>
      </x:c>
      <x:c r="I133" s="7" t="str">
        <x:v>T-2h</x:v>
      </x:c>
      <x:c r="J133" s="10" t="str">
        <x:v>receiver initial-volume proof</x:v>
      </x:c>
      <x:c r="K133" s="7" t="str"/>
      <x:c r="L133" s="10" t="str"/>
      <x:c r="M133" s="7" t="str">
        <x:v>OPEN</x:v>
      </x:c>
    </x:row>
    <x:row r="134" ht="36" customHeight="1">
      <x:c r="B134" s="7" t="str">
        <x:v>RAE-E-06-P08</x:v>
      </x:c>
      <x:c r="C134" s="7" t="str">
        <x:v>RAE-E-06</x:v>
      </x:c>
      <x:c r="D134" s="7" t="str">
        <x:v>RFP-A1</x:v>
      </x:c>
      <x:c r="E134" s="7" t="str">
        <x:v>AM-06</x:v>
      </x:c>
      <x:c r="F134" s="7" t="str">
        <x:v>TR-A</x:v>
      </x:c>
      <x:c r="G134" s="7" t="str">
        <x:v>QE-02</x:v>
      </x:c>
      <x:c r="H134" s="7" t="str">
        <x:v>P08</x:v>
      </x:c>
      <x:c r="I134" s="7" t="str">
        <x:v>T-60min</x:v>
      </x:c>
      <x:c r="J134" s="10" t="str">
        <x:v>neighbor inert-state proof</x:v>
      </x:c>
      <x:c r="K134" s="7" t="str"/>
      <x:c r="L134" s="10" t="str"/>
      <x:c r="M134" s="7" t="str">
        <x:v>OPEN</x:v>
      </x:c>
    </x:row>
    <x:row r="135" ht="36" customHeight="1">
      <x:c r="B135" s="7" t="str">
        <x:v>RAE-E-06-P09</x:v>
      </x:c>
      <x:c r="C135" s="7" t="str">
        <x:v>RAE-E-06</x:v>
      </x:c>
      <x:c r="D135" s="7" t="str">
        <x:v>RFP-A1</x:v>
      </x:c>
      <x:c r="E135" s="7" t="str">
        <x:v>AM-06</x:v>
      </x:c>
      <x:c r="F135" s="7" t="str">
        <x:v>TR-A</x:v>
      </x:c>
      <x:c r="G135" s="7" t="str">
        <x:v>QE-02</x:v>
      </x:c>
      <x:c r="H135" s="7" t="str">
        <x:v>P09</x:v>
      </x:c>
      <x:c r="I135" s="7" t="str">
        <x:v>T-30min</x:v>
      </x:c>
      <x:c r="J135" s="10" t="str">
        <x:v>native evidence armed</x:v>
      </x:c>
      <x:c r="K135" s="7" t="str"/>
      <x:c r="L135" s="10" t="str"/>
      <x:c r="M135" s="7" t="str">
        <x:v>OPEN</x:v>
      </x:c>
    </x:row>
    <x:row r="136" ht="36" customHeight="1">
      <x:c r="B136" s="7" t="str">
        <x:v>RAE-E-06-P10</x:v>
      </x:c>
      <x:c r="C136" s="7" t="str">
        <x:v>RAE-E-06</x:v>
      </x:c>
      <x:c r="D136" s="7" t="str">
        <x:v>RFP-A1</x:v>
      </x:c>
      <x:c r="E136" s="7" t="str">
        <x:v>AM-06</x:v>
      </x:c>
      <x:c r="F136" s="7" t="str">
        <x:v>TR-A</x:v>
      </x:c>
      <x:c r="G136" s="7" t="str">
        <x:v>QE-02</x:v>
      </x:c>
      <x:c r="H136" s="7" t="str">
        <x:v>P10</x:v>
      </x:c>
      <x:c r="I136" s="7" t="str">
        <x:v>T-10min</x:v>
      </x:c>
      <x:c r="J136" s="10" t="str">
        <x:v>final control poll</x:v>
      </x:c>
      <x:c r="K136" s="7" t="str"/>
      <x:c r="L136" s="10" t="str"/>
      <x:c r="M136" s="7" t="str">
        <x:v>OPEN</x:v>
      </x:c>
    </x:row>
    <x:row r="137" ht="36" customHeight="1">
      <x:c r="B137" s="7" t="str">
        <x:v>RAE-E-06-P11</x:v>
      </x:c>
      <x:c r="C137" s="7" t="str">
        <x:v>RAE-E-06</x:v>
      </x:c>
      <x:c r="D137" s="7" t="str">
        <x:v>RFP-A1</x:v>
      </x:c>
      <x:c r="E137" s="7" t="str">
        <x:v>AM-06</x:v>
      </x:c>
      <x:c r="F137" s="7" t="str">
        <x:v>TR-A</x:v>
      </x:c>
      <x:c r="G137" s="7" t="str">
        <x:v>QE-02</x:v>
      </x:c>
      <x:c r="H137" s="7" t="str">
        <x:v>P11</x:v>
      </x:c>
      <x:c r="I137" s="7" t="str">
        <x:v>T-60s</x:v>
      </x:c>
      <x:c r="J137" s="10" t="str">
        <x:v>full-rate capture</x:v>
      </x:c>
      <x:c r="K137" s="7" t="str"/>
      <x:c r="L137" s="10" t="str"/>
      <x:c r="M137" s="7" t="str">
        <x:v>OPEN</x:v>
      </x:c>
    </x:row>
    <x:row r="138" ht="36" customHeight="1">
      <x:c r="B138" s="7" t="str">
        <x:v>RAE-E-06-P12</x:v>
      </x:c>
      <x:c r="C138" s="7" t="str">
        <x:v>RAE-E-06</x:v>
      </x:c>
      <x:c r="D138" s="7" t="str">
        <x:v>RFP-A1</x:v>
      </x:c>
      <x:c r="E138" s="7" t="str">
        <x:v>AM-06</x:v>
      </x:c>
      <x:c r="F138" s="7" t="str">
        <x:v>TR-A</x:v>
      </x:c>
      <x:c r="G138" s="7" t="str">
        <x:v>QE-02</x:v>
      </x:c>
      <x:c r="H138" s="7" t="str">
        <x:v>P12</x:v>
      </x:c>
      <x:c r="I138" s="7" t="str">
        <x:v>T-10s</x:v>
      </x:c>
      <x:c r="J138" s="10" t="str">
        <x:v>registered challenge state</x:v>
      </x:c>
      <x:c r="K138" s="7" t="str"/>
      <x:c r="L138" s="10" t="str"/>
      <x:c r="M138" s="7" t="str">
        <x:v>OPEN</x:v>
      </x:c>
    </x:row>
    <x:row r="139" ht="36" customHeight="1">
      <x:c r="B139" s="7" t="str">
        <x:v>RAE-E-06-P13</x:v>
      </x:c>
      <x:c r="C139" s="7" t="str">
        <x:v>RAE-E-06</x:v>
      </x:c>
      <x:c r="D139" s="7" t="str">
        <x:v>RFP-A1</x:v>
      </x:c>
      <x:c r="E139" s="7" t="str">
        <x:v>AM-06</x:v>
      </x:c>
      <x:c r="F139" s="7" t="str">
        <x:v>TR-A</x:v>
      </x:c>
      <x:c r="G139" s="7" t="str">
        <x:v>QE-02</x:v>
      </x:c>
      <x:c r="H139" s="7" t="str">
        <x:v>P13</x:v>
      </x:c>
      <x:c r="I139" s="7" t="str">
        <x:v>T0</x:v>
      </x:c>
      <x:c r="J139" s="10" t="str">
        <x:v>source command or zero-source marker</x:v>
      </x:c>
      <x:c r="K139" s="7" t="str"/>
      <x:c r="L139" s="10" t="str"/>
      <x:c r="M139" s="7" t="str">
        <x:v>OPEN</x:v>
      </x:c>
    </x:row>
    <x:row r="140" ht="36" customHeight="1">
      <x:c r="B140" s="7" t="str">
        <x:v>RAE-E-06-P14</x:v>
      </x:c>
      <x:c r="C140" s="7" t="str">
        <x:v>RAE-E-06</x:v>
      </x:c>
      <x:c r="D140" s="7" t="str">
        <x:v>RFP-A1</x:v>
      </x:c>
      <x:c r="E140" s="7" t="str">
        <x:v>AM-06</x:v>
      </x:c>
      <x:c r="F140" s="7" t="str">
        <x:v>TR-A</x:v>
      </x:c>
      <x:c r="G140" s="7" t="str">
        <x:v>QE-02</x:v>
      </x:c>
      <x:c r="H140" s="7" t="str">
        <x:v>P14</x:v>
      </x:c>
      <x:c r="I140" s="7" t="str">
        <x:v>T+2s</x:v>
      </x:c>
      <x:c r="J140" s="10" t="str">
        <x:v>inlet and dispenser final state</x:v>
      </x:c>
      <x:c r="K140" s="7" t="str"/>
      <x:c r="L140" s="10" t="str"/>
      <x:c r="M140" s="7" t="str">
        <x:v>OPEN</x:v>
      </x:c>
    </x:row>
    <x:row r="141" ht="36" customHeight="1">
      <x:c r="B141" s="7" t="str">
        <x:v>RAE-E-06-P15</x:v>
      </x:c>
      <x:c r="C141" s="7" t="str">
        <x:v>RAE-E-06</x:v>
      </x:c>
      <x:c r="D141" s="7" t="str">
        <x:v>RFP-A1</x:v>
      </x:c>
      <x:c r="E141" s="7" t="str">
        <x:v>AM-06</x:v>
      </x:c>
      <x:c r="F141" s="7" t="str">
        <x:v>TR-A</x:v>
      </x:c>
      <x:c r="G141" s="7" t="str">
        <x:v>QE-02</x:v>
      </x:c>
      <x:c r="H141" s="7" t="str">
        <x:v>P15</x:v>
      </x:c>
      <x:c r="I141" s="7" t="str">
        <x:v>T+15s</x:v>
      </x:c>
      <x:c r="J141" s="10" t="str">
        <x:v>AM-06 QE-02 ignition opportunity</x:v>
      </x:c>
      <x:c r="K141" s="7" t="str"/>
      <x:c r="L141" s="10" t="str"/>
      <x:c r="M141" s="7" t="str">
        <x:v>OPEN</x:v>
      </x:c>
    </x:row>
    <x:row r="142" ht="36" customHeight="1">
      <x:c r="B142" s="7" t="str">
        <x:v>RAE-E-06-P16</x:v>
      </x:c>
      <x:c r="C142" s="7" t="str">
        <x:v>RAE-E-06</x:v>
      </x:c>
      <x:c r="D142" s="7" t="str">
        <x:v>RFP-A1</x:v>
      </x:c>
      <x:c r="E142" s="7" t="str">
        <x:v>AM-06</x:v>
      </x:c>
      <x:c r="F142" s="7" t="str">
        <x:v>TR-A</x:v>
      </x:c>
      <x:c r="G142" s="7" t="str">
        <x:v>QE-02</x:v>
      </x:c>
      <x:c r="H142" s="7" t="str">
        <x:v>P16</x:v>
      </x:c>
      <x:c r="I142" s="7" t="str">
        <x:v>T+30s</x:v>
      </x:c>
      <x:c r="J142" s="10" t="str">
        <x:v>terminal-source decision</x:v>
      </x:c>
      <x:c r="K142" s="7" t="str"/>
      <x:c r="L142" s="10" t="str"/>
      <x:c r="M142" s="7" t="str">
        <x:v>OPEN</x:v>
      </x:c>
    </x:row>
    <x:row r="143" ht="36" customHeight="1">
      <x:c r="B143" s="7" t="str">
        <x:v>RAE-E-06-P17</x:v>
      </x:c>
      <x:c r="C143" s="7" t="str">
        <x:v>RAE-E-06</x:v>
      </x:c>
      <x:c r="D143" s="7" t="str">
        <x:v>RFP-A1</x:v>
      </x:c>
      <x:c r="E143" s="7" t="str">
        <x:v>AM-06</x:v>
      </x:c>
      <x:c r="F143" s="7" t="str">
        <x:v>TR-A</x:v>
      </x:c>
      <x:c r="G143" s="7" t="str">
        <x:v>QE-02</x:v>
      </x:c>
      <x:c r="H143" s="7" t="str">
        <x:v>P17</x:v>
      </x:c>
      <x:c r="I143" s="7" t="str">
        <x:v>T+120s</x:v>
      </x:c>
      <x:c r="J143" s="10" t="str">
        <x:v>public schedule end</x:v>
      </x:c>
      <x:c r="K143" s="7" t="str"/>
      <x:c r="L143" s="10" t="str"/>
      <x:c r="M143" s="7" t="str">
        <x:v>OPEN</x:v>
      </x:c>
    </x:row>
    <x:row r="144" ht="36" customHeight="1">
      <x:c r="B144" s="7" t="str">
        <x:v>RAE-E-06-P18</x:v>
      </x:c>
      <x:c r="C144" s="7" t="str">
        <x:v>RAE-E-06</x:v>
      </x:c>
      <x:c r="D144" s="7" t="str">
        <x:v>RFP-A1</x:v>
      </x:c>
      <x:c r="E144" s="7" t="str">
        <x:v>AM-06</x:v>
      </x:c>
      <x:c r="F144" s="7" t="str">
        <x:v>TR-A</x:v>
      </x:c>
      <x:c r="G144" s="7" t="str">
        <x:v>QE-02</x:v>
      </x:c>
      <x:c r="H144" s="7" t="str">
        <x:v>P18</x:v>
      </x:c>
      <x:c r="I144" s="7" t="str">
        <x:v>T+15min</x:v>
      </x:c>
      <x:c r="J144" s="10" t="str">
        <x:v>thermal and water classification</x:v>
      </x:c>
      <x:c r="K144" s="7" t="str"/>
      <x:c r="L144" s="10" t="str"/>
      <x:c r="M144" s="7" t="str">
        <x:v>OPEN</x:v>
      </x:c>
    </x:row>
    <x:row r="145" ht="36" customHeight="1">
      <x:c r="B145" s="7" t="str">
        <x:v>RAE-E-06-P19</x:v>
      </x:c>
      <x:c r="C145" s="7" t="str">
        <x:v>RAE-E-06</x:v>
      </x:c>
      <x:c r="D145" s="7" t="str">
        <x:v>RFP-A1</x:v>
      </x:c>
      <x:c r="E145" s="7" t="str">
        <x:v>AM-06</x:v>
      </x:c>
      <x:c r="F145" s="7" t="str">
        <x:v>TR-A</x:v>
      </x:c>
      <x:c r="G145" s="7" t="str">
        <x:v>QE-02</x:v>
      </x:c>
      <x:c r="H145" s="7" t="str">
        <x:v>P19</x:v>
      </x:c>
      <x:c r="I145" s="7" t="str">
        <x:v>T+30min</x:v>
      </x:c>
      <x:c r="J145" s="10" t="str">
        <x:v>public intervention classification</x:v>
      </x:c>
      <x:c r="K145" s="7" t="str"/>
      <x:c r="L145" s="10" t="str"/>
      <x:c r="M145" s="7" t="str">
        <x:v>OPEN</x:v>
      </x:c>
    </x:row>
    <x:row r="146" ht="36" customHeight="1">
      <x:c r="B146" s="7" t="str">
        <x:v>RAE-E-06-P20</x:v>
      </x:c>
      <x:c r="C146" s="7" t="str">
        <x:v>RAE-E-06</x:v>
      </x:c>
      <x:c r="D146" s="7" t="str">
        <x:v>RFP-A1</x:v>
      </x:c>
      <x:c r="E146" s="7" t="str">
        <x:v>AM-06</x:v>
      </x:c>
      <x:c r="F146" s="7" t="str">
        <x:v>TR-A</x:v>
      </x:c>
      <x:c r="G146" s="7" t="str">
        <x:v>QE-02</x:v>
      </x:c>
      <x:c r="H146" s="7" t="str">
        <x:v>P20</x:v>
      </x:c>
      <x:c r="I146" s="7" t="str">
        <x:v>T+60min</x:v>
      </x:c>
      <x:c r="J146" s="10" t="str">
        <x:v>remote-entry classification</x:v>
      </x:c>
      <x:c r="K146" s="7" t="str"/>
      <x:c r="L146" s="10" t="str"/>
      <x:c r="M146" s="7" t="str">
        <x:v>OPEN</x:v>
      </x:c>
    </x:row>
    <x:row r="147" ht="36" customHeight="1">
      <x:c r="B147" s="7" t="str">
        <x:v>RAE-E-06-P21</x:v>
      </x:c>
      <x:c r="C147" s="7" t="str">
        <x:v>RAE-E-06</x:v>
      </x:c>
      <x:c r="D147" s="7" t="str">
        <x:v>RFP-A1</x:v>
      </x:c>
      <x:c r="E147" s="7" t="str">
        <x:v>AM-06</x:v>
      </x:c>
      <x:c r="F147" s="7" t="str">
        <x:v>TR-A</x:v>
      </x:c>
      <x:c r="G147" s="7" t="str">
        <x:v>QE-02</x:v>
      </x:c>
      <x:c r="H147" s="7" t="str">
        <x:v>P21</x:v>
      </x:c>
      <x:c r="I147" s="7" t="str">
        <x:v>T+6h</x:v>
      </x:c>
      <x:c r="J147" s="10" t="str">
        <x:v>evidence tail closure</x:v>
      </x:c>
      <x:c r="K147" s="7" t="str"/>
      <x:c r="L147" s="10" t="str"/>
      <x:c r="M147" s="7" t="str">
        <x:v>OPEN</x:v>
      </x:c>
    </x:row>
    <x:row r="148" ht="36" customHeight="1">
      <x:c r="B148" s="7" t="str">
        <x:v>RAE-E-06-P22</x:v>
      </x:c>
      <x:c r="C148" s="7" t="str">
        <x:v>RAE-E-06</x:v>
      </x:c>
      <x:c r="D148" s="7" t="str">
        <x:v>RFP-A1</x:v>
      </x:c>
      <x:c r="E148" s="7" t="str">
        <x:v>AM-06</x:v>
      </x:c>
      <x:c r="F148" s="7" t="str">
        <x:v>TR-A</x:v>
      </x:c>
      <x:c r="G148" s="7" t="str">
        <x:v>QE-02</x:v>
      </x:c>
      <x:c r="H148" s="7" t="str">
        <x:v>P22</x:v>
      </x:c>
      <x:c r="I148" s="7" t="str">
        <x:v>T+24h</x:v>
      </x:c>
      <x:c r="J148" s="10" t="str">
        <x:v>physical ledger closure</x:v>
      </x:c>
      <x:c r="K148" s="7" t="str"/>
      <x:c r="L148" s="10" t="str"/>
      <x:c r="M148" s="7" t="str">
        <x:v>OPEN</x:v>
      </x:c>
    </x:row>
    <x:row r="149" ht="36" customHeight="1">
      <x:c r="B149" s="7" t="str">
        <x:v>RAE-E-06-P23</x:v>
      </x:c>
      <x:c r="C149" s="7" t="str">
        <x:v>RAE-E-06</x:v>
      </x:c>
      <x:c r="D149" s="7" t="str">
        <x:v>RFP-A1</x:v>
      </x:c>
      <x:c r="E149" s="7" t="str">
        <x:v>AM-06</x:v>
      </x:c>
      <x:c r="F149" s="7" t="str">
        <x:v>TR-A</x:v>
      </x:c>
      <x:c r="G149" s="7" t="str">
        <x:v>QE-02</x:v>
      </x:c>
      <x:c r="H149" s="7" t="str">
        <x:v>P23</x:v>
      </x:c>
      <x:c r="I149" s="7" t="str">
        <x:v>T+72h</x:v>
      </x:c>
      <x:c r="J149" s="10" t="str">
        <x:v>immutable packet freeze</x:v>
      </x:c>
      <x:c r="K149" s="7" t="str"/>
      <x:c r="L149" s="10" t="str"/>
      <x:c r="M149" s="7" t="str">
        <x:v>OPEN</x:v>
      </x:c>
    </x:row>
    <x:row r="150" ht="36" customHeight="1">
      <x:c r="B150" s="7" t="str">
        <x:v>RAE-E-06-P24</x:v>
      </x:c>
      <x:c r="C150" s="7" t="str">
        <x:v>RAE-E-06</x:v>
      </x:c>
      <x:c r="D150" s="7" t="str">
        <x:v>RFP-A1</x:v>
      </x:c>
      <x:c r="E150" s="7" t="str">
        <x:v>AM-06</x:v>
      </x:c>
      <x:c r="F150" s="7" t="str">
        <x:v>TR-A</x:v>
      </x:c>
      <x:c r="G150" s="7" t="str">
        <x:v>QE-02</x:v>
      </x:c>
      <x:c r="H150" s="7" t="str">
        <x:v>P24</x:v>
      </x:c>
      <x:c r="I150" s="7" t="str">
        <x:v>day 7</x:v>
      </x:c>
      <x:c r="J150" s="10" t="str">
        <x:v>validity and outcome board</x:v>
      </x:c>
      <x:c r="K150" s="7" t="str"/>
      <x:c r="L150" s="10" t="str"/>
      <x:c r="M150" s="7" t="str">
        <x:v>OPEN</x:v>
      </x:c>
    </x:row>
    <x:row r="151" ht="36" customHeight="1">
      <x:c r="B151" s="7" t="str">
        <x:v>RAE-E-07-P01</x:v>
      </x:c>
      <x:c r="C151" s="7" t="str">
        <x:v>RAE-E-07</x:v>
      </x:c>
      <x:c r="D151" s="7" t="str">
        <x:v>RFP-A1</x:v>
      </x:c>
      <x:c r="E151" s="7" t="str">
        <x:v>AM-06</x:v>
      </x:c>
      <x:c r="F151" s="7" t="str">
        <x:v>TR-B</x:v>
      </x:c>
      <x:c r="G151" s="7" t="str">
        <x:v>QE-01</x:v>
      </x:c>
      <x:c r="H151" s="7" t="str">
        <x:v>P01</x:v>
      </x:c>
      <x:c r="I151" s="7" t="str">
        <x:v>T-96h</x:v>
      </x:c>
      <x:c r="J151" s="10" t="str">
        <x:v>baseline freeze</x:v>
      </x:c>
      <x:c r="K151" s="7" t="str"/>
      <x:c r="L151" s="10" t="str"/>
      <x:c r="M151" s="7" t="str">
        <x:v>OPEN</x:v>
      </x:c>
    </x:row>
    <x:row r="152" ht="36" customHeight="1">
      <x:c r="B152" s="7" t="str">
        <x:v>RAE-E-07-P02</x:v>
      </x:c>
      <x:c r="C152" s="7" t="str">
        <x:v>RAE-E-07</x:v>
      </x:c>
      <x:c r="D152" s="7" t="str">
        <x:v>RFP-A1</x:v>
      </x:c>
      <x:c r="E152" s="7" t="str">
        <x:v>AM-06</x:v>
      </x:c>
      <x:c r="F152" s="7" t="str">
        <x:v>TR-B</x:v>
      </x:c>
      <x:c r="G152" s="7" t="str">
        <x:v>QE-01</x:v>
      </x:c>
      <x:c r="H152" s="7" t="str">
        <x:v>P02</x:v>
      </x:c>
      <x:c r="I152" s="7" t="str">
        <x:v>T-72h</x:v>
      </x:c>
      <x:c r="J152" s="10" t="str">
        <x:v>source and water custody freeze</x:v>
      </x:c>
      <x:c r="K152" s="7" t="str"/>
      <x:c r="L152" s="10" t="str"/>
      <x:c r="M152" s="7" t="str">
        <x:v>OPEN</x:v>
      </x:c>
    </x:row>
    <x:row r="153" ht="36" customHeight="1">
      <x:c r="B153" s="7" t="str">
        <x:v>RAE-E-07-P03</x:v>
      </x:c>
      <x:c r="C153" s="7" t="str">
        <x:v>RAE-E-07</x:v>
      </x:c>
      <x:c r="D153" s="7" t="str">
        <x:v>RFP-A1</x:v>
      </x:c>
      <x:c r="E153" s="7" t="str">
        <x:v>AM-06</x:v>
      </x:c>
      <x:c r="F153" s="7" t="str">
        <x:v>TR-B</x:v>
      </x:c>
      <x:c r="G153" s="7" t="str">
        <x:v>QE-01</x:v>
      </x:c>
      <x:c r="H153" s="7" t="str">
        <x:v>P03</x:v>
      </x:c>
      <x:c r="I153" s="7" t="str">
        <x:v>T-48h</x:v>
      </x:c>
      <x:c r="J153" s="10" t="str">
        <x:v>article and configuration identity</x:v>
      </x:c>
      <x:c r="K153" s="7" t="str"/>
      <x:c r="L153" s="10" t="str"/>
      <x:c r="M153" s="7" t="str">
        <x:v>OPEN</x:v>
      </x:c>
    </x:row>
    <x:row r="154" ht="36" customHeight="1">
      <x:c r="B154" s="7" t="str">
        <x:v>RAE-E-07-P04</x:v>
      </x:c>
      <x:c r="C154" s="7" t="str">
        <x:v>RAE-E-07</x:v>
      </x:c>
      <x:c r="D154" s="7" t="str">
        <x:v>RFP-A1</x:v>
      </x:c>
      <x:c r="E154" s="7" t="str">
        <x:v>AM-06</x:v>
      </x:c>
      <x:c r="F154" s="7" t="str">
        <x:v>TR-B</x:v>
      </x:c>
      <x:c r="G154" s="7" t="str">
        <x:v>QE-01</x:v>
      </x:c>
      <x:c r="H154" s="7" t="str">
        <x:v>P04</x:v>
      </x:c>
      <x:c r="I154" s="7" t="str">
        <x:v>T-24h</x:v>
      </x:c>
      <x:c r="J154" s="10" t="str">
        <x:v>environment and recovery readiness</x:v>
      </x:c>
      <x:c r="K154" s="7" t="str"/>
      <x:c r="L154" s="10" t="str"/>
      <x:c r="M154" s="7" t="str">
        <x:v>OPEN</x:v>
      </x:c>
    </x:row>
    <x:row r="155" ht="36" customHeight="1">
      <x:c r="B155" s="7" t="str">
        <x:v>RAE-E-07-P05</x:v>
      </x:c>
      <x:c r="C155" s="7" t="str">
        <x:v>RAE-E-07</x:v>
      </x:c>
      <x:c r="D155" s="7" t="str">
        <x:v>RFP-A1</x:v>
      </x:c>
      <x:c r="E155" s="7" t="str">
        <x:v>AM-06</x:v>
      </x:c>
      <x:c r="F155" s="7" t="str">
        <x:v>TR-B</x:v>
      </x:c>
      <x:c r="G155" s="7" t="str">
        <x:v>QE-01</x:v>
      </x:c>
      <x:c r="H155" s="7" t="str">
        <x:v>P05</x:v>
      </x:c>
      <x:c r="I155" s="7" t="str">
        <x:v>T-12h</x:v>
      </x:c>
      <x:c r="J155" s="10" t="str">
        <x:v>rescue posture</x:v>
      </x:c>
      <x:c r="K155" s="7" t="str"/>
      <x:c r="L155" s="10" t="str"/>
      <x:c r="M155" s="7" t="str">
        <x:v>OPEN</x:v>
      </x:c>
    </x:row>
    <x:row r="156" ht="36" customHeight="1">
      <x:c r="B156" s="7" t="str">
        <x:v>RAE-E-07-P06</x:v>
      </x:c>
      <x:c r="C156" s="7" t="str">
        <x:v>RAE-E-07</x:v>
      </x:c>
      <x:c r="D156" s="7" t="str">
        <x:v>RFP-A1</x:v>
      </x:c>
      <x:c r="E156" s="7" t="str">
        <x:v>AM-06</x:v>
      </x:c>
      <x:c r="F156" s="7" t="str">
        <x:v>TR-B</x:v>
      </x:c>
      <x:c r="G156" s="7" t="str">
        <x:v>QE-01</x:v>
      </x:c>
      <x:c r="H156" s="7" t="str">
        <x:v>P06</x:v>
      </x:c>
      <x:c r="I156" s="7" t="str">
        <x:v>T-6h</x:v>
      </x:c>
      <x:c r="J156" s="10" t="str">
        <x:v>calibration before state</x:v>
      </x:c>
      <x:c r="K156" s="7" t="str"/>
      <x:c r="L156" s="10" t="str"/>
      <x:c r="M156" s="7" t="str">
        <x:v>OPEN</x:v>
      </x:c>
    </x:row>
    <x:row r="157" ht="36" customHeight="1">
      <x:c r="B157" s="7" t="str">
        <x:v>RAE-E-07-P07</x:v>
      </x:c>
      <x:c r="C157" s="7" t="str">
        <x:v>RAE-E-07</x:v>
      </x:c>
      <x:c r="D157" s="7" t="str">
        <x:v>RFP-A1</x:v>
      </x:c>
      <x:c r="E157" s="7" t="str">
        <x:v>AM-06</x:v>
      </x:c>
      <x:c r="F157" s="7" t="str">
        <x:v>TR-B</x:v>
      </x:c>
      <x:c r="G157" s="7" t="str">
        <x:v>QE-01</x:v>
      </x:c>
      <x:c r="H157" s="7" t="str">
        <x:v>P07</x:v>
      </x:c>
      <x:c r="I157" s="7" t="str">
        <x:v>T-2h</x:v>
      </x:c>
      <x:c r="J157" s="10" t="str">
        <x:v>receiver initial-volume proof</x:v>
      </x:c>
      <x:c r="K157" s="7" t="str"/>
      <x:c r="L157" s="10" t="str"/>
      <x:c r="M157" s="7" t="str">
        <x:v>OPEN</x:v>
      </x:c>
    </x:row>
    <x:row r="158" ht="36" customHeight="1">
      <x:c r="B158" s="7" t="str">
        <x:v>RAE-E-07-P08</x:v>
      </x:c>
      <x:c r="C158" s="7" t="str">
        <x:v>RAE-E-07</x:v>
      </x:c>
      <x:c r="D158" s="7" t="str">
        <x:v>RFP-A1</x:v>
      </x:c>
      <x:c r="E158" s="7" t="str">
        <x:v>AM-06</x:v>
      </x:c>
      <x:c r="F158" s="7" t="str">
        <x:v>TR-B</x:v>
      </x:c>
      <x:c r="G158" s="7" t="str">
        <x:v>QE-01</x:v>
      </x:c>
      <x:c r="H158" s="7" t="str">
        <x:v>P08</x:v>
      </x:c>
      <x:c r="I158" s="7" t="str">
        <x:v>T-60min</x:v>
      </x:c>
      <x:c r="J158" s="10" t="str">
        <x:v>neighbor inert-state proof</x:v>
      </x:c>
      <x:c r="K158" s="7" t="str"/>
      <x:c r="L158" s="10" t="str"/>
      <x:c r="M158" s="7" t="str">
        <x:v>OPEN</x:v>
      </x:c>
    </x:row>
    <x:row r="159" ht="36" customHeight="1">
      <x:c r="B159" s="7" t="str">
        <x:v>RAE-E-07-P09</x:v>
      </x:c>
      <x:c r="C159" s="7" t="str">
        <x:v>RAE-E-07</x:v>
      </x:c>
      <x:c r="D159" s="7" t="str">
        <x:v>RFP-A1</x:v>
      </x:c>
      <x:c r="E159" s="7" t="str">
        <x:v>AM-06</x:v>
      </x:c>
      <x:c r="F159" s="7" t="str">
        <x:v>TR-B</x:v>
      </x:c>
      <x:c r="G159" s="7" t="str">
        <x:v>QE-01</x:v>
      </x:c>
      <x:c r="H159" s="7" t="str">
        <x:v>P09</x:v>
      </x:c>
      <x:c r="I159" s="7" t="str">
        <x:v>T-30min</x:v>
      </x:c>
      <x:c r="J159" s="10" t="str">
        <x:v>native evidence armed</x:v>
      </x:c>
      <x:c r="K159" s="7" t="str"/>
      <x:c r="L159" s="10" t="str"/>
      <x:c r="M159" s="7" t="str">
        <x:v>OPEN</x:v>
      </x:c>
    </x:row>
    <x:row r="160" ht="36" customHeight="1">
      <x:c r="B160" s="7" t="str">
        <x:v>RAE-E-07-P10</x:v>
      </x:c>
      <x:c r="C160" s="7" t="str">
        <x:v>RAE-E-07</x:v>
      </x:c>
      <x:c r="D160" s="7" t="str">
        <x:v>RFP-A1</x:v>
      </x:c>
      <x:c r="E160" s="7" t="str">
        <x:v>AM-06</x:v>
      </x:c>
      <x:c r="F160" s="7" t="str">
        <x:v>TR-B</x:v>
      </x:c>
      <x:c r="G160" s="7" t="str">
        <x:v>QE-01</x:v>
      </x:c>
      <x:c r="H160" s="7" t="str">
        <x:v>P10</x:v>
      </x:c>
      <x:c r="I160" s="7" t="str">
        <x:v>T-10min</x:v>
      </x:c>
      <x:c r="J160" s="10" t="str">
        <x:v>final control poll</x:v>
      </x:c>
      <x:c r="K160" s="7" t="str"/>
      <x:c r="L160" s="10" t="str"/>
      <x:c r="M160" s="7" t="str">
        <x:v>OPEN</x:v>
      </x:c>
    </x:row>
    <x:row r="161" ht="36" customHeight="1">
      <x:c r="B161" s="7" t="str">
        <x:v>RAE-E-07-P11</x:v>
      </x:c>
      <x:c r="C161" s="7" t="str">
        <x:v>RAE-E-07</x:v>
      </x:c>
      <x:c r="D161" s="7" t="str">
        <x:v>RFP-A1</x:v>
      </x:c>
      <x:c r="E161" s="7" t="str">
        <x:v>AM-06</x:v>
      </x:c>
      <x:c r="F161" s="7" t="str">
        <x:v>TR-B</x:v>
      </x:c>
      <x:c r="G161" s="7" t="str">
        <x:v>QE-01</x:v>
      </x:c>
      <x:c r="H161" s="7" t="str">
        <x:v>P11</x:v>
      </x:c>
      <x:c r="I161" s="7" t="str">
        <x:v>T-60s</x:v>
      </x:c>
      <x:c r="J161" s="10" t="str">
        <x:v>full-rate capture</x:v>
      </x:c>
      <x:c r="K161" s="7" t="str"/>
      <x:c r="L161" s="10" t="str"/>
      <x:c r="M161" s="7" t="str">
        <x:v>OPEN</x:v>
      </x:c>
    </x:row>
    <x:row r="162" ht="36" customHeight="1">
      <x:c r="B162" s="7" t="str">
        <x:v>RAE-E-07-P12</x:v>
      </x:c>
      <x:c r="C162" s="7" t="str">
        <x:v>RAE-E-07</x:v>
      </x:c>
      <x:c r="D162" s="7" t="str">
        <x:v>RFP-A1</x:v>
      </x:c>
      <x:c r="E162" s="7" t="str">
        <x:v>AM-06</x:v>
      </x:c>
      <x:c r="F162" s="7" t="str">
        <x:v>TR-B</x:v>
      </x:c>
      <x:c r="G162" s="7" t="str">
        <x:v>QE-01</x:v>
      </x:c>
      <x:c r="H162" s="7" t="str">
        <x:v>P12</x:v>
      </x:c>
      <x:c r="I162" s="7" t="str">
        <x:v>T-10s</x:v>
      </x:c>
      <x:c r="J162" s="10" t="str">
        <x:v>registered challenge state</x:v>
      </x:c>
      <x:c r="K162" s="7" t="str"/>
      <x:c r="L162" s="10" t="str"/>
      <x:c r="M162" s="7" t="str">
        <x:v>OPEN</x:v>
      </x:c>
    </x:row>
    <x:row r="163" ht="36" customHeight="1">
      <x:c r="B163" s="7" t="str">
        <x:v>RAE-E-07-P13</x:v>
      </x:c>
      <x:c r="C163" s="7" t="str">
        <x:v>RAE-E-07</x:v>
      </x:c>
      <x:c r="D163" s="7" t="str">
        <x:v>RFP-A1</x:v>
      </x:c>
      <x:c r="E163" s="7" t="str">
        <x:v>AM-06</x:v>
      </x:c>
      <x:c r="F163" s="7" t="str">
        <x:v>TR-B</x:v>
      </x:c>
      <x:c r="G163" s="7" t="str">
        <x:v>QE-01</x:v>
      </x:c>
      <x:c r="H163" s="7" t="str">
        <x:v>P13</x:v>
      </x:c>
      <x:c r="I163" s="7" t="str">
        <x:v>T0</x:v>
      </x:c>
      <x:c r="J163" s="10" t="str">
        <x:v>source command or zero-source marker</x:v>
      </x:c>
      <x:c r="K163" s="7" t="str"/>
      <x:c r="L163" s="10" t="str"/>
      <x:c r="M163" s="7" t="str">
        <x:v>OPEN</x:v>
      </x:c>
    </x:row>
    <x:row r="164" ht="36" customHeight="1">
      <x:c r="B164" s="7" t="str">
        <x:v>RAE-E-07-P14</x:v>
      </x:c>
      <x:c r="C164" s="7" t="str">
        <x:v>RAE-E-07</x:v>
      </x:c>
      <x:c r="D164" s="7" t="str">
        <x:v>RFP-A1</x:v>
      </x:c>
      <x:c r="E164" s="7" t="str">
        <x:v>AM-06</x:v>
      </x:c>
      <x:c r="F164" s="7" t="str">
        <x:v>TR-B</x:v>
      </x:c>
      <x:c r="G164" s="7" t="str">
        <x:v>QE-01</x:v>
      </x:c>
      <x:c r="H164" s="7" t="str">
        <x:v>P14</x:v>
      </x:c>
      <x:c r="I164" s="7" t="str">
        <x:v>T+2s</x:v>
      </x:c>
      <x:c r="J164" s="10" t="str">
        <x:v>inlet and dispenser final state</x:v>
      </x:c>
      <x:c r="K164" s="7" t="str"/>
      <x:c r="L164" s="10" t="str"/>
      <x:c r="M164" s="7" t="str">
        <x:v>OPEN</x:v>
      </x:c>
    </x:row>
    <x:row r="165" ht="36" customHeight="1">
      <x:c r="B165" s="7" t="str">
        <x:v>RAE-E-07-P15</x:v>
      </x:c>
      <x:c r="C165" s="7" t="str">
        <x:v>RAE-E-07</x:v>
      </x:c>
      <x:c r="D165" s="7" t="str">
        <x:v>RFP-A1</x:v>
      </x:c>
      <x:c r="E165" s="7" t="str">
        <x:v>AM-06</x:v>
      </x:c>
      <x:c r="F165" s="7" t="str">
        <x:v>TR-B</x:v>
      </x:c>
      <x:c r="G165" s="7" t="str">
        <x:v>QE-01</x:v>
      </x:c>
      <x:c r="H165" s="7" t="str">
        <x:v>P15</x:v>
      </x:c>
      <x:c r="I165" s="7" t="str">
        <x:v>T+15s</x:v>
      </x:c>
      <x:c r="J165" s="10" t="str">
        <x:v>AM-06 QE-02 ignition opportunity</x:v>
      </x:c>
      <x:c r="K165" s="7" t="str"/>
      <x:c r="L165" s="10" t="str"/>
      <x:c r="M165" s="7" t="str">
        <x:v>OPEN</x:v>
      </x:c>
    </x:row>
    <x:row r="166" ht="36" customHeight="1">
      <x:c r="B166" s="7" t="str">
        <x:v>RAE-E-07-P16</x:v>
      </x:c>
      <x:c r="C166" s="7" t="str">
        <x:v>RAE-E-07</x:v>
      </x:c>
      <x:c r="D166" s="7" t="str">
        <x:v>RFP-A1</x:v>
      </x:c>
      <x:c r="E166" s="7" t="str">
        <x:v>AM-06</x:v>
      </x:c>
      <x:c r="F166" s="7" t="str">
        <x:v>TR-B</x:v>
      </x:c>
      <x:c r="G166" s="7" t="str">
        <x:v>QE-01</x:v>
      </x:c>
      <x:c r="H166" s="7" t="str">
        <x:v>P16</x:v>
      </x:c>
      <x:c r="I166" s="7" t="str">
        <x:v>T+30s</x:v>
      </x:c>
      <x:c r="J166" s="10" t="str">
        <x:v>terminal-source decision</x:v>
      </x:c>
      <x:c r="K166" s="7" t="str"/>
      <x:c r="L166" s="10" t="str"/>
      <x:c r="M166" s="7" t="str">
        <x:v>OPEN</x:v>
      </x:c>
    </x:row>
    <x:row r="167" ht="36" customHeight="1">
      <x:c r="B167" s="7" t="str">
        <x:v>RAE-E-07-P17</x:v>
      </x:c>
      <x:c r="C167" s="7" t="str">
        <x:v>RAE-E-07</x:v>
      </x:c>
      <x:c r="D167" s="7" t="str">
        <x:v>RFP-A1</x:v>
      </x:c>
      <x:c r="E167" s="7" t="str">
        <x:v>AM-06</x:v>
      </x:c>
      <x:c r="F167" s="7" t="str">
        <x:v>TR-B</x:v>
      </x:c>
      <x:c r="G167" s="7" t="str">
        <x:v>QE-01</x:v>
      </x:c>
      <x:c r="H167" s="7" t="str">
        <x:v>P17</x:v>
      </x:c>
      <x:c r="I167" s="7" t="str">
        <x:v>T+120s</x:v>
      </x:c>
      <x:c r="J167" s="10" t="str">
        <x:v>public schedule end</x:v>
      </x:c>
      <x:c r="K167" s="7" t="str"/>
      <x:c r="L167" s="10" t="str"/>
      <x:c r="M167" s="7" t="str">
        <x:v>OPEN</x:v>
      </x:c>
    </x:row>
    <x:row r="168" ht="36" customHeight="1">
      <x:c r="B168" s="7" t="str">
        <x:v>RAE-E-07-P18</x:v>
      </x:c>
      <x:c r="C168" s="7" t="str">
        <x:v>RAE-E-07</x:v>
      </x:c>
      <x:c r="D168" s="7" t="str">
        <x:v>RFP-A1</x:v>
      </x:c>
      <x:c r="E168" s="7" t="str">
        <x:v>AM-06</x:v>
      </x:c>
      <x:c r="F168" s="7" t="str">
        <x:v>TR-B</x:v>
      </x:c>
      <x:c r="G168" s="7" t="str">
        <x:v>QE-01</x:v>
      </x:c>
      <x:c r="H168" s="7" t="str">
        <x:v>P18</x:v>
      </x:c>
      <x:c r="I168" s="7" t="str">
        <x:v>T+15min</x:v>
      </x:c>
      <x:c r="J168" s="10" t="str">
        <x:v>thermal and water classification</x:v>
      </x:c>
      <x:c r="K168" s="7" t="str"/>
      <x:c r="L168" s="10" t="str"/>
      <x:c r="M168" s="7" t="str">
        <x:v>OPEN</x:v>
      </x:c>
    </x:row>
    <x:row r="169" ht="36" customHeight="1">
      <x:c r="B169" s="7" t="str">
        <x:v>RAE-E-07-P19</x:v>
      </x:c>
      <x:c r="C169" s="7" t="str">
        <x:v>RAE-E-07</x:v>
      </x:c>
      <x:c r="D169" s="7" t="str">
        <x:v>RFP-A1</x:v>
      </x:c>
      <x:c r="E169" s="7" t="str">
        <x:v>AM-06</x:v>
      </x:c>
      <x:c r="F169" s="7" t="str">
        <x:v>TR-B</x:v>
      </x:c>
      <x:c r="G169" s="7" t="str">
        <x:v>QE-01</x:v>
      </x:c>
      <x:c r="H169" s="7" t="str">
        <x:v>P19</x:v>
      </x:c>
      <x:c r="I169" s="7" t="str">
        <x:v>T+30min</x:v>
      </x:c>
      <x:c r="J169" s="10" t="str">
        <x:v>public intervention classification</x:v>
      </x:c>
      <x:c r="K169" s="7" t="str"/>
      <x:c r="L169" s="10" t="str"/>
      <x:c r="M169" s="7" t="str">
        <x:v>OPEN</x:v>
      </x:c>
    </x:row>
    <x:row r="170" ht="36" customHeight="1">
      <x:c r="B170" s="7" t="str">
        <x:v>RAE-E-07-P20</x:v>
      </x:c>
      <x:c r="C170" s="7" t="str">
        <x:v>RAE-E-07</x:v>
      </x:c>
      <x:c r="D170" s="7" t="str">
        <x:v>RFP-A1</x:v>
      </x:c>
      <x:c r="E170" s="7" t="str">
        <x:v>AM-06</x:v>
      </x:c>
      <x:c r="F170" s="7" t="str">
        <x:v>TR-B</x:v>
      </x:c>
      <x:c r="G170" s="7" t="str">
        <x:v>QE-01</x:v>
      </x:c>
      <x:c r="H170" s="7" t="str">
        <x:v>P20</x:v>
      </x:c>
      <x:c r="I170" s="7" t="str">
        <x:v>T+60min</x:v>
      </x:c>
      <x:c r="J170" s="10" t="str">
        <x:v>remote-entry classification</x:v>
      </x:c>
      <x:c r="K170" s="7" t="str"/>
      <x:c r="L170" s="10" t="str"/>
      <x:c r="M170" s="7" t="str">
        <x:v>OPEN</x:v>
      </x:c>
    </x:row>
    <x:row r="171" ht="36" customHeight="1">
      <x:c r="B171" s="7" t="str">
        <x:v>RAE-E-07-P21</x:v>
      </x:c>
      <x:c r="C171" s="7" t="str">
        <x:v>RAE-E-07</x:v>
      </x:c>
      <x:c r="D171" s="7" t="str">
        <x:v>RFP-A1</x:v>
      </x:c>
      <x:c r="E171" s="7" t="str">
        <x:v>AM-06</x:v>
      </x:c>
      <x:c r="F171" s="7" t="str">
        <x:v>TR-B</x:v>
      </x:c>
      <x:c r="G171" s="7" t="str">
        <x:v>QE-01</x:v>
      </x:c>
      <x:c r="H171" s="7" t="str">
        <x:v>P21</x:v>
      </x:c>
      <x:c r="I171" s="7" t="str">
        <x:v>T+6h</x:v>
      </x:c>
      <x:c r="J171" s="10" t="str">
        <x:v>evidence tail closure</x:v>
      </x:c>
      <x:c r="K171" s="7" t="str"/>
      <x:c r="L171" s="10" t="str"/>
      <x:c r="M171" s="7" t="str">
        <x:v>OPEN</x:v>
      </x:c>
    </x:row>
    <x:row r="172" ht="36" customHeight="1">
      <x:c r="B172" s="7" t="str">
        <x:v>RAE-E-07-P22</x:v>
      </x:c>
      <x:c r="C172" s="7" t="str">
        <x:v>RAE-E-07</x:v>
      </x:c>
      <x:c r="D172" s="7" t="str">
        <x:v>RFP-A1</x:v>
      </x:c>
      <x:c r="E172" s="7" t="str">
        <x:v>AM-06</x:v>
      </x:c>
      <x:c r="F172" s="7" t="str">
        <x:v>TR-B</x:v>
      </x:c>
      <x:c r="G172" s="7" t="str">
        <x:v>QE-01</x:v>
      </x:c>
      <x:c r="H172" s="7" t="str">
        <x:v>P22</x:v>
      </x:c>
      <x:c r="I172" s="7" t="str">
        <x:v>T+24h</x:v>
      </x:c>
      <x:c r="J172" s="10" t="str">
        <x:v>physical ledger closure</x:v>
      </x:c>
      <x:c r="K172" s="7" t="str"/>
      <x:c r="L172" s="10" t="str"/>
      <x:c r="M172" s="7" t="str">
        <x:v>OPEN</x:v>
      </x:c>
    </x:row>
    <x:row r="173" ht="36" customHeight="1">
      <x:c r="B173" s="7" t="str">
        <x:v>RAE-E-07-P23</x:v>
      </x:c>
      <x:c r="C173" s="7" t="str">
        <x:v>RAE-E-07</x:v>
      </x:c>
      <x:c r="D173" s="7" t="str">
        <x:v>RFP-A1</x:v>
      </x:c>
      <x:c r="E173" s="7" t="str">
        <x:v>AM-06</x:v>
      </x:c>
      <x:c r="F173" s="7" t="str">
        <x:v>TR-B</x:v>
      </x:c>
      <x:c r="G173" s="7" t="str">
        <x:v>QE-01</x:v>
      </x:c>
      <x:c r="H173" s="7" t="str">
        <x:v>P23</x:v>
      </x:c>
      <x:c r="I173" s="7" t="str">
        <x:v>T+72h</x:v>
      </x:c>
      <x:c r="J173" s="10" t="str">
        <x:v>immutable packet freeze</x:v>
      </x:c>
      <x:c r="K173" s="7" t="str"/>
      <x:c r="L173" s="10" t="str"/>
      <x:c r="M173" s="7" t="str">
        <x:v>OPEN</x:v>
      </x:c>
    </x:row>
    <x:row r="174" ht="36" customHeight="1">
      <x:c r="B174" s="7" t="str">
        <x:v>RAE-E-07-P24</x:v>
      </x:c>
      <x:c r="C174" s="7" t="str">
        <x:v>RAE-E-07</x:v>
      </x:c>
      <x:c r="D174" s="7" t="str">
        <x:v>RFP-A1</x:v>
      </x:c>
      <x:c r="E174" s="7" t="str">
        <x:v>AM-06</x:v>
      </x:c>
      <x:c r="F174" s="7" t="str">
        <x:v>TR-B</x:v>
      </x:c>
      <x:c r="G174" s="7" t="str">
        <x:v>QE-01</x:v>
      </x:c>
      <x:c r="H174" s="7" t="str">
        <x:v>P24</x:v>
      </x:c>
      <x:c r="I174" s="7" t="str">
        <x:v>day 7</x:v>
      </x:c>
      <x:c r="J174" s="10" t="str">
        <x:v>validity and outcome board</x:v>
      </x:c>
      <x:c r="K174" s="7" t="str"/>
      <x:c r="L174" s="10" t="str"/>
      <x:c r="M174" s="7" t="str">
        <x:v>OPEN</x:v>
      </x:c>
    </x:row>
    <x:row r="175" ht="36" customHeight="1">
      <x:c r="B175" s="7" t="str">
        <x:v>RAE-E-08-P01</x:v>
      </x:c>
      <x:c r="C175" s="7" t="str">
        <x:v>RAE-E-08</x:v>
      </x:c>
      <x:c r="D175" s="7" t="str">
        <x:v>RFP-A1</x:v>
      </x:c>
      <x:c r="E175" s="7" t="str">
        <x:v>AM-06</x:v>
      </x:c>
      <x:c r="F175" s="7" t="str">
        <x:v>TR-B</x:v>
      </x:c>
      <x:c r="G175" s="7" t="str">
        <x:v>QE-02</x:v>
      </x:c>
      <x:c r="H175" s="7" t="str">
        <x:v>P01</x:v>
      </x:c>
      <x:c r="I175" s="7" t="str">
        <x:v>T-96h</x:v>
      </x:c>
      <x:c r="J175" s="10" t="str">
        <x:v>baseline freeze</x:v>
      </x:c>
      <x:c r="K175" s="7" t="str"/>
      <x:c r="L175" s="10" t="str"/>
      <x:c r="M175" s="7" t="str">
        <x:v>OPEN</x:v>
      </x:c>
    </x:row>
    <x:row r="176" ht="36" customHeight="1">
      <x:c r="B176" s="7" t="str">
        <x:v>RAE-E-08-P02</x:v>
      </x:c>
      <x:c r="C176" s="7" t="str">
        <x:v>RAE-E-08</x:v>
      </x:c>
      <x:c r="D176" s="7" t="str">
        <x:v>RFP-A1</x:v>
      </x:c>
      <x:c r="E176" s="7" t="str">
        <x:v>AM-06</x:v>
      </x:c>
      <x:c r="F176" s="7" t="str">
        <x:v>TR-B</x:v>
      </x:c>
      <x:c r="G176" s="7" t="str">
        <x:v>QE-02</x:v>
      </x:c>
      <x:c r="H176" s="7" t="str">
        <x:v>P02</x:v>
      </x:c>
      <x:c r="I176" s="7" t="str">
        <x:v>T-72h</x:v>
      </x:c>
      <x:c r="J176" s="10" t="str">
        <x:v>source and water custody freeze</x:v>
      </x:c>
      <x:c r="K176" s="7" t="str"/>
      <x:c r="L176" s="10" t="str"/>
      <x:c r="M176" s="7" t="str">
        <x:v>OPEN</x:v>
      </x:c>
    </x:row>
    <x:row r="177" ht="36" customHeight="1">
      <x:c r="B177" s="7" t="str">
        <x:v>RAE-E-08-P03</x:v>
      </x:c>
      <x:c r="C177" s="7" t="str">
        <x:v>RAE-E-08</x:v>
      </x:c>
      <x:c r="D177" s="7" t="str">
        <x:v>RFP-A1</x:v>
      </x:c>
      <x:c r="E177" s="7" t="str">
        <x:v>AM-06</x:v>
      </x:c>
      <x:c r="F177" s="7" t="str">
        <x:v>TR-B</x:v>
      </x:c>
      <x:c r="G177" s="7" t="str">
        <x:v>QE-02</x:v>
      </x:c>
      <x:c r="H177" s="7" t="str">
        <x:v>P03</x:v>
      </x:c>
      <x:c r="I177" s="7" t="str">
        <x:v>T-48h</x:v>
      </x:c>
      <x:c r="J177" s="10" t="str">
        <x:v>article and configuration identity</x:v>
      </x:c>
      <x:c r="K177" s="7" t="str"/>
      <x:c r="L177" s="10" t="str"/>
      <x:c r="M177" s="7" t="str">
        <x:v>OPEN</x:v>
      </x:c>
    </x:row>
    <x:row r="178" ht="36" customHeight="1">
      <x:c r="B178" s="7" t="str">
        <x:v>RAE-E-08-P04</x:v>
      </x:c>
      <x:c r="C178" s="7" t="str">
        <x:v>RAE-E-08</x:v>
      </x:c>
      <x:c r="D178" s="7" t="str">
        <x:v>RFP-A1</x:v>
      </x:c>
      <x:c r="E178" s="7" t="str">
        <x:v>AM-06</x:v>
      </x:c>
      <x:c r="F178" s="7" t="str">
        <x:v>TR-B</x:v>
      </x:c>
      <x:c r="G178" s="7" t="str">
        <x:v>QE-02</x:v>
      </x:c>
      <x:c r="H178" s="7" t="str">
        <x:v>P04</x:v>
      </x:c>
      <x:c r="I178" s="7" t="str">
        <x:v>T-24h</x:v>
      </x:c>
      <x:c r="J178" s="10" t="str">
        <x:v>environment and recovery readiness</x:v>
      </x:c>
      <x:c r="K178" s="7" t="str"/>
      <x:c r="L178" s="10" t="str"/>
      <x:c r="M178" s="7" t="str">
        <x:v>OPEN</x:v>
      </x:c>
    </x:row>
    <x:row r="179" ht="36" customHeight="1">
      <x:c r="B179" s="7" t="str">
        <x:v>RAE-E-08-P05</x:v>
      </x:c>
      <x:c r="C179" s="7" t="str">
        <x:v>RAE-E-08</x:v>
      </x:c>
      <x:c r="D179" s="7" t="str">
        <x:v>RFP-A1</x:v>
      </x:c>
      <x:c r="E179" s="7" t="str">
        <x:v>AM-06</x:v>
      </x:c>
      <x:c r="F179" s="7" t="str">
        <x:v>TR-B</x:v>
      </x:c>
      <x:c r="G179" s="7" t="str">
        <x:v>QE-02</x:v>
      </x:c>
      <x:c r="H179" s="7" t="str">
        <x:v>P05</x:v>
      </x:c>
      <x:c r="I179" s="7" t="str">
        <x:v>T-12h</x:v>
      </x:c>
      <x:c r="J179" s="10" t="str">
        <x:v>rescue posture</x:v>
      </x:c>
      <x:c r="K179" s="7" t="str"/>
      <x:c r="L179" s="10" t="str"/>
      <x:c r="M179" s="7" t="str">
        <x:v>OPEN</x:v>
      </x:c>
    </x:row>
    <x:row r="180" ht="36" customHeight="1">
      <x:c r="B180" s="7" t="str">
        <x:v>RAE-E-08-P06</x:v>
      </x:c>
      <x:c r="C180" s="7" t="str">
        <x:v>RAE-E-08</x:v>
      </x:c>
      <x:c r="D180" s="7" t="str">
        <x:v>RFP-A1</x:v>
      </x:c>
      <x:c r="E180" s="7" t="str">
        <x:v>AM-06</x:v>
      </x:c>
      <x:c r="F180" s="7" t="str">
        <x:v>TR-B</x:v>
      </x:c>
      <x:c r="G180" s="7" t="str">
        <x:v>QE-02</x:v>
      </x:c>
      <x:c r="H180" s="7" t="str">
        <x:v>P06</x:v>
      </x:c>
      <x:c r="I180" s="7" t="str">
        <x:v>T-6h</x:v>
      </x:c>
      <x:c r="J180" s="10" t="str">
        <x:v>calibration before state</x:v>
      </x:c>
      <x:c r="K180" s="7" t="str"/>
      <x:c r="L180" s="10" t="str"/>
      <x:c r="M180" s="7" t="str">
        <x:v>OPEN</x:v>
      </x:c>
    </x:row>
    <x:row r="181" ht="36" customHeight="1">
      <x:c r="B181" s="7" t="str">
        <x:v>RAE-E-08-P07</x:v>
      </x:c>
      <x:c r="C181" s="7" t="str">
        <x:v>RAE-E-08</x:v>
      </x:c>
      <x:c r="D181" s="7" t="str">
        <x:v>RFP-A1</x:v>
      </x:c>
      <x:c r="E181" s="7" t="str">
        <x:v>AM-06</x:v>
      </x:c>
      <x:c r="F181" s="7" t="str">
        <x:v>TR-B</x:v>
      </x:c>
      <x:c r="G181" s="7" t="str">
        <x:v>QE-02</x:v>
      </x:c>
      <x:c r="H181" s="7" t="str">
        <x:v>P07</x:v>
      </x:c>
      <x:c r="I181" s="7" t="str">
        <x:v>T-2h</x:v>
      </x:c>
      <x:c r="J181" s="10" t="str">
        <x:v>receiver initial-volume proof</x:v>
      </x:c>
      <x:c r="K181" s="7" t="str"/>
      <x:c r="L181" s="10" t="str"/>
      <x:c r="M181" s="7" t="str">
        <x:v>OPEN</x:v>
      </x:c>
    </x:row>
    <x:row r="182" ht="36" customHeight="1">
      <x:c r="B182" s="7" t="str">
        <x:v>RAE-E-08-P08</x:v>
      </x:c>
      <x:c r="C182" s="7" t="str">
        <x:v>RAE-E-08</x:v>
      </x:c>
      <x:c r="D182" s="7" t="str">
        <x:v>RFP-A1</x:v>
      </x:c>
      <x:c r="E182" s="7" t="str">
        <x:v>AM-06</x:v>
      </x:c>
      <x:c r="F182" s="7" t="str">
        <x:v>TR-B</x:v>
      </x:c>
      <x:c r="G182" s="7" t="str">
        <x:v>QE-02</x:v>
      </x:c>
      <x:c r="H182" s="7" t="str">
        <x:v>P08</x:v>
      </x:c>
      <x:c r="I182" s="7" t="str">
        <x:v>T-60min</x:v>
      </x:c>
      <x:c r="J182" s="10" t="str">
        <x:v>neighbor inert-state proof</x:v>
      </x:c>
      <x:c r="K182" s="7" t="str"/>
      <x:c r="L182" s="10" t="str"/>
      <x:c r="M182" s="7" t="str">
        <x:v>OPEN</x:v>
      </x:c>
    </x:row>
    <x:row r="183" ht="36" customHeight="1">
      <x:c r="B183" s="7" t="str">
        <x:v>RAE-E-08-P09</x:v>
      </x:c>
      <x:c r="C183" s="7" t="str">
        <x:v>RAE-E-08</x:v>
      </x:c>
      <x:c r="D183" s="7" t="str">
        <x:v>RFP-A1</x:v>
      </x:c>
      <x:c r="E183" s="7" t="str">
        <x:v>AM-06</x:v>
      </x:c>
      <x:c r="F183" s="7" t="str">
        <x:v>TR-B</x:v>
      </x:c>
      <x:c r="G183" s="7" t="str">
        <x:v>QE-02</x:v>
      </x:c>
      <x:c r="H183" s="7" t="str">
        <x:v>P09</x:v>
      </x:c>
      <x:c r="I183" s="7" t="str">
        <x:v>T-30min</x:v>
      </x:c>
      <x:c r="J183" s="10" t="str">
        <x:v>native evidence armed</x:v>
      </x:c>
      <x:c r="K183" s="7" t="str"/>
      <x:c r="L183" s="10" t="str"/>
      <x:c r="M183" s="7" t="str">
        <x:v>OPEN</x:v>
      </x:c>
    </x:row>
    <x:row r="184" ht="36" customHeight="1">
      <x:c r="B184" s="7" t="str">
        <x:v>RAE-E-08-P10</x:v>
      </x:c>
      <x:c r="C184" s="7" t="str">
        <x:v>RAE-E-08</x:v>
      </x:c>
      <x:c r="D184" s="7" t="str">
        <x:v>RFP-A1</x:v>
      </x:c>
      <x:c r="E184" s="7" t="str">
        <x:v>AM-06</x:v>
      </x:c>
      <x:c r="F184" s="7" t="str">
        <x:v>TR-B</x:v>
      </x:c>
      <x:c r="G184" s="7" t="str">
        <x:v>QE-02</x:v>
      </x:c>
      <x:c r="H184" s="7" t="str">
        <x:v>P10</x:v>
      </x:c>
      <x:c r="I184" s="7" t="str">
        <x:v>T-10min</x:v>
      </x:c>
      <x:c r="J184" s="10" t="str">
        <x:v>final control poll</x:v>
      </x:c>
      <x:c r="K184" s="7" t="str"/>
      <x:c r="L184" s="10" t="str"/>
      <x:c r="M184" s="7" t="str">
        <x:v>OPEN</x:v>
      </x:c>
    </x:row>
    <x:row r="185" ht="36" customHeight="1">
      <x:c r="B185" s="7" t="str">
        <x:v>RAE-E-08-P11</x:v>
      </x:c>
      <x:c r="C185" s="7" t="str">
        <x:v>RAE-E-08</x:v>
      </x:c>
      <x:c r="D185" s="7" t="str">
        <x:v>RFP-A1</x:v>
      </x:c>
      <x:c r="E185" s="7" t="str">
        <x:v>AM-06</x:v>
      </x:c>
      <x:c r="F185" s="7" t="str">
        <x:v>TR-B</x:v>
      </x:c>
      <x:c r="G185" s="7" t="str">
        <x:v>QE-02</x:v>
      </x:c>
      <x:c r="H185" s="7" t="str">
        <x:v>P11</x:v>
      </x:c>
      <x:c r="I185" s="7" t="str">
        <x:v>T-60s</x:v>
      </x:c>
      <x:c r="J185" s="10" t="str">
        <x:v>full-rate capture</x:v>
      </x:c>
      <x:c r="K185" s="7" t="str"/>
      <x:c r="L185" s="10" t="str"/>
      <x:c r="M185" s="7" t="str">
        <x:v>OPEN</x:v>
      </x:c>
    </x:row>
    <x:row r="186" ht="36" customHeight="1">
      <x:c r="B186" s="7" t="str">
        <x:v>RAE-E-08-P12</x:v>
      </x:c>
      <x:c r="C186" s="7" t="str">
        <x:v>RAE-E-08</x:v>
      </x:c>
      <x:c r="D186" s="7" t="str">
        <x:v>RFP-A1</x:v>
      </x:c>
      <x:c r="E186" s="7" t="str">
        <x:v>AM-06</x:v>
      </x:c>
      <x:c r="F186" s="7" t="str">
        <x:v>TR-B</x:v>
      </x:c>
      <x:c r="G186" s="7" t="str">
        <x:v>QE-02</x:v>
      </x:c>
      <x:c r="H186" s="7" t="str">
        <x:v>P12</x:v>
      </x:c>
      <x:c r="I186" s="7" t="str">
        <x:v>T-10s</x:v>
      </x:c>
      <x:c r="J186" s="10" t="str">
        <x:v>registered challenge state</x:v>
      </x:c>
      <x:c r="K186" s="7" t="str"/>
      <x:c r="L186" s="10" t="str"/>
      <x:c r="M186" s="7" t="str">
        <x:v>OPEN</x:v>
      </x:c>
    </x:row>
    <x:row r="187" ht="36" customHeight="1">
      <x:c r="B187" s="7" t="str">
        <x:v>RAE-E-08-P13</x:v>
      </x:c>
      <x:c r="C187" s="7" t="str">
        <x:v>RAE-E-08</x:v>
      </x:c>
      <x:c r="D187" s="7" t="str">
        <x:v>RFP-A1</x:v>
      </x:c>
      <x:c r="E187" s="7" t="str">
        <x:v>AM-06</x:v>
      </x:c>
      <x:c r="F187" s="7" t="str">
        <x:v>TR-B</x:v>
      </x:c>
      <x:c r="G187" s="7" t="str">
        <x:v>QE-02</x:v>
      </x:c>
      <x:c r="H187" s="7" t="str">
        <x:v>P13</x:v>
      </x:c>
      <x:c r="I187" s="7" t="str">
        <x:v>T0</x:v>
      </x:c>
      <x:c r="J187" s="10" t="str">
        <x:v>source command or zero-source marker</x:v>
      </x:c>
      <x:c r="K187" s="7" t="str"/>
      <x:c r="L187" s="10" t="str"/>
      <x:c r="M187" s="7" t="str">
        <x:v>OPEN</x:v>
      </x:c>
    </x:row>
    <x:row r="188" ht="36" customHeight="1">
      <x:c r="B188" s="7" t="str">
        <x:v>RAE-E-08-P14</x:v>
      </x:c>
      <x:c r="C188" s="7" t="str">
        <x:v>RAE-E-08</x:v>
      </x:c>
      <x:c r="D188" s="7" t="str">
        <x:v>RFP-A1</x:v>
      </x:c>
      <x:c r="E188" s="7" t="str">
        <x:v>AM-06</x:v>
      </x:c>
      <x:c r="F188" s="7" t="str">
        <x:v>TR-B</x:v>
      </x:c>
      <x:c r="G188" s="7" t="str">
        <x:v>QE-02</x:v>
      </x:c>
      <x:c r="H188" s="7" t="str">
        <x:v>P14</x:v>
      </x:c>
      <x:c r="I188" s="7" t="str">
        <x:v>T+2s</x:v>
      </x:c>
      <x:c r="J188" s="10" t="str">
        <x:v>inlet and dispenser final state</x:v>
      </x:c>
      <x:c r="K188" s="7" t="str"/>
      <x:c r="L188" s="10" t="str"/>
      <x:c r="M188" s="7" t="str">
        <x:v>OPEN</x:v>
      </x:c>
    </x:row>
    <x:row r="189" ht="36" customHeight="1">
      <x:c r="B189" s="7" t="str">
        <x:v>RAE-E-08-P15</x:v>
      </x:c>
      <x:c r="C189" s="7" t="str">
        <x:v>RAE-E-08</x:v>
      </x:c>
      <x:c r="D189" s="7" t="str">
        <x:v>RFP-A1</x:v>
      </x:c>
      <x:c r="E189" s="7" t="str">
        <x:v>AM-06</x:v>
      </x:c>
      <x:c r="F189" s="7" t="str">
        <x:v>TR-B</x:v>
      </x:c>
      <x:c r="G189" s="7" t="str">
        <x:v>QE-02</x:v>
      </x:c>
      <x:c r="H189" s="7" t="str">
        <x:v>P15</x:v>
      </x:c>
      <x:c r="I189" s="7" t="str">
        <x:v>T+15s</x:v>
      </x:c>
      <x:c r="J189" s="10" t="str">
        <x:v>AM-06 QE-02 ignition opportunity</x:v>
      </x:c>
      <x:c r="K189" s="7" t="str"/>
      <x:c r="L189" s="10" t="str"/>
      <x:c r="M189" s="7" t="str">
        <x:v>OPEN</x:v>
      </x:c>
    </x:row>
    <x:row r="190" ht="36" customHeight="1">
      <x:c r="B190" s="7" t="str">
        <x:v>RAE-E-08-P16</x:v>
      </x:c>
      <x:c r="C190" s="7" t="str">
        <x:v>RAE-E-08</x:v>
      </x:c>
      <x:c r="D190" s="7" t="str">
        <x:v>RFP-A1</x:v>
      </x:c>
      <x:c r="E190" s="7" t="str">
        <x:v>AM-06</x:v>
      </x:c>
      <x:c r="F190" s="7" t="str">
        <x:v>TR-B</x:v>
      </x:c>
      <x:c r="G190" s="7" t="str">
        <x:v>QE-02</x:v>
      </x:c>
      <x:c r="H190" s="7" t="str">
        <x:v>P16</x:v>
      </x:c>
      <x:c r="I190" s="7" t="str">
        <x:v>T+30s</x:v>
      </x:c>
      <x:c r="J190" s="10" t="str">
        <x:v>terminal-source decision</x:v>
      </x:c>
      <x:c r="K190" s="7" t="str"/>
      <x:c r="L190" s="10" t="str"/>
      <x:c r="M190" s="7" t="str">
        <x:v>OPEN</x:v>
      </x:c>
    </x:row>
    <x:row r="191" ht="36" customHeight="1">
      <x:c r="B191" s="7" t="str">
        <x:v>RAE-E-08-P17</x:v>
      </x:c>
      <x:c r="C191" s="7" t="str">
        <x:v>RAE-E-08</x:v>
      </x:c>
      <x:c r="D191" s="7" t="str">
        <x:v>RFP-A1</x:v>
      </x:c>
      <x:c r="E191" s="7" t="str">
        <x:v>AM-06</x:v>
      </x:c>
      <x:c r="F191" s="7" t="str">
        <x:v>TR-B</x:v>
      </x:c>
      <x:c r="G191" s="7" t="str">
        <x:v>QE-02</x:v>
      </x:c>
      <x:c r="H191" s="7" t="str">
        <x:v>P17</x:v>
      </x:c>
      <x:c r="I191" s="7" t="str">
        <x:v>T+120s</x:v>
      </x:c>
      <x:c r="J191" s="10" t="str">
        <x:v>public schedule end</x:v>
      </x:c>
      <x:c r="K191" s="7" t="str"/>
      <x:c r="L191" s="10" t="str"/>
      <x:c r="M191" s="7" t="str">
        <x:v>OPEN</x:v>
      </x:c>
    </x:row>
    <x:row r="192" ht="36" customHeight="1">
      <x:c r="B192" s="7" t="str">
        <x:v>RAE-E-08-P18</x:v>
      </x:c>
      <x:c r="C192" s="7" t="str">
        <x:v>RAE-E-08</x:v>
      </x:c>
      <x:c r="D192" s="7" t="str">
        <x:v>RFP-A1</x:v>
      </x:c>
      <x:c r="E192" s="7" t="str">
        <x:v>AM-06</x:v>
      </x:c>
      <x:c r="F192" s="7" t="str">
        <x:v>TR-B</x:v>
      </x:c>
      <x:c r="G192" s="7" t="str">
        <x:v>QE-02</x:v>
      </x:c>
      <x:c r="H192" s="7" t="str">
        <x:v>P18</x:v>
      </x:c>
      <x:c r="I192" s="7" t="str">
        <x:v>T+15min</x:v>
      </x:c>
      <x:c r="J192" s="10" t="str">
        <x:v>thermal and water classification</x:v>
      </x:c>
      <x:c r="K192" s="7" t="str"/>
      <x:c r="L192" s="10" t="str"/>
      <x:c r="M192" s="7" t="str">
        <x:v>OPEN</x:v>
      </x:c>
    </x:row>
    <x:row r="193" ht="36" customHeight="1">
      <x:c r="B193" s="7" t="str">
        <x:v>RAE-E-08-P19</x:v>
      </x:c>
      <x:c r="C193" s="7" t="str">
        <x:v>RAE-E-08</x:v>
      </x:c>
      <x:c r="D193" s="7" t="str">
        <x:v>RFP-A1</x:v>
      </x:c>
      <x:c r="E193" s="7" t="str">
        <x:v>AM-06</x:v>
      </x:c>
      <x:c r="F193" s="7" t="str">
        <x:v>TR-B</x:v>
      </x:c>
      <x:c r="G193" s="7" t="str">
        <x:v>QE-02</x:v>
      </x:c>
      <x:c r="H193" s="7" t="str">
        <x:v>P19</x:v>
      </x:c>
      <x:c r="I193" s="7" t="str">
        <x:v>T+30min</x:v>
      </x:c>
      <x:c r="J193" s="10" t="str">
        <x:v>public intervention classification</x:v>
      </x:c>
      <x:c r="K193" s="7" t="str"/>
      <x:c r="L193" s="10" t="str"/>
      <x:c r="M193" s="7" t="str">
        <x:v>OPEN</x:v>
      </x:c>
    </x:row>
    <x:row r="194" ht="36" customHeight="1">
      <x:c r="B194" s="7" t="str">
        <x:v>RAE-E-08-P20</x:v>
      </x:c>
      <x:c r="C194" s="7" t="str">
        <x:v>RAE-E-08</x:v>
      </x:c>
      <x:c r="D194" s="7" t="str">
        <x:v>RFP-A1</x:v>
      </x:c>
      <x:c r="E194" s="7" t="str">
        <x:v>AM-06</x:v>
      </x:c>
      <x:c r="F194" s="7" t="str">
        <x:v>TR-B</x:v>
      </x:c>
      <x:c r="G194" s="7" t="str">
        <x:v>QE-02</x:v>
      </x:c>
      <x:c r="H194" s="7" t="str">
        <x:v>P20</x:v>
      </x:c>
      <x:c r="I194" s="7" t="str">
        <x:v>T+60min</x:v>
      </x:c>
      <x:c r="J194" s="10" t="str">
        <x:v>remote-entry classification</x:v>
      </x:c>
      <x:c r="K194" s="7" t="str"/>
      <x:c r="L194" s="10" t="str"/>
      <x:c r="M194" s="7" t="str">
        <x:v>OPEN</x:v>
      </x:c>
    </x:row>
    <x:row r="195" ht="36" customHeight="1">
      <x:c r="B195" s="7" t="str">
        <x:v>RAE-E-08-P21</x:v>
      </x:c>
      <x:c r="C195" s="7" t="str">
        <x:v>RAE-E-08</x:v>
      </x:c>
      <x:c r="D195" s="7" t="str">
        <x:v>RFP-A1</x:v>
      </x:c>
      <x:c r="E195" s="7" t="str">
        <x:v>AM-06</x:v>
      </x:c>
      <x:c r="F195" s="7" t="str">
        <x:v>TR-B</x:v>
      </x:c>
      <x:c r="G195" s="7" t="str">
        <x:v>QE-02</x:v>
      </x:c>
      <x:c r="H195" s="7" t="str">
        <x:v>P21</x:v>
      </x:c>
      <x:c r="I195" s="7" t="str">
        <x:v>T+6h</x:v>
      </x:c>
      <x:c r="J195" s="10" t="str">
        <x:v>evidence tail closure</x:v>
      </x:c>
      <x:c r="K195" s="7" t="str"/>
      <x:c r="L195" s="10" t="str"/>
      <x:c r="M195" s="7" t="str">
        <x:v>OPEN</x:v>
      </x:c>
    </x:row>
    <x:row r="196" ht="36" customHeight="1">
      <x:c r="B196" s="7" t="str">
        <x:v>RAE-E-08-P22</x:v>
      </x:c>
      <x:c r="C196" s="7" t="str">
        <x:v>RAE-E-08</x:v>
      </x:c>
      <x:c r="D196" s="7" t="str">
        <x:v>RFP-A1</x:v>
      </x:c>
      <x:c r="E196" s="7" t="str">
        <x:v>AM-06</x:v>
      </x:c>
      <x:c r="F196" s="7" t="str">
        <x:v>TR-B</x:v>
      </x:c>
      <x:c r="G196" s="7" t="str">
        <x:v>QE-02</x:v>
      </x:c>
      <x:c r="H196" s="7" t="str">
        <x:v>P22</x:v>
      </x:c>
      <x:c r="I196" s="7" t="str">
        <x:v>T+24h</x:v>
      </x:c>
      <x:c r="J196" s="10" t="str">
        <x:v>physical ledger closure</x:v>
      </x:c>
      <x:c r="K196" s="7" t="str"/>
      <x:c r="L196" s="10" t="str"/>
      <x:c r="M196" s="7" t="str">
        <x:v>OPEN</x:v>
      </x:c>
    </x:row>
    <x:row r="197" ht="36" customHeight="1">
      <x:c r="B197" s="7" t="str">
        <x:v>RAE-E-08-P23</x:v>
      </x:c>
      <x:c r="C197" s="7" t="str">
        <x:v>RAE-E-08</x:v>
      </x:c>
      <x:c r="D197" s="7" t="str">
        <x:v>RFP-A1</x:v>
      </x:c>
      <x:c r="E197" s="7" t="str">
        <x:v>AM-06</x:v>
      </x:c>
      <x:c r="F197" s="7" t="str">
        <x:v>TR-B</x:v>
      </x:c>
      <x:c r="G197" s="7" t="str">
        <x:v>QE-02</x:v>
      </x:c>
      <x:c r="H197" s="7" t="str">
        <x:v>P23</x:v>
      </x:c>
      <x:c r="I197" s="7" t="str">
        <x:v>T+72h</x:v>
      </x:c>
      <x:c r="J197" s="10" t="str">
        <x:v>immutable packet freeze</x:v>
      </x:c>
      <x:c r="K197" s="7" t="str"/>
      <x:c r="L197" s="10" t="str"/>
      <x:c r="M197" s="7" t="str">
        <x:v>OPEN</x:v>
      </x:c>
    </x:row>
    <x:row r="198" ht="36" customHeight="1">
      <x:c r="B198" s="7" t="str">
        <x:v>RAE-E-08-P24</x:v>
      </x:c>
      <x:c r="C198" s="7" t="str">
        <x:v>RAE-E-08</x:v>
      </x:c>
      <x:c r="D198" s="7" t="str">
        <x:v>RFP-A1</x:v>
      </x:c>
      <x:c r="E198" s="7" t="str">
        <x:v>AM-06</x:v>
      </x:c>
      <x:c r="F198" s="7" t="str">
        <x:v>TR-B</x:v>
      </x:c>
      <x:c r="G198" s="7" t="str">
        <x:v>QE-02</x:v>
      </x:c>
      <x:c r="H198" s="7" t="str">
        <x:v>P24</x:v>
      </x:c>
      <x:c r="I198" s="7" t="str">
        <x:v>day 7</x:v>
      </x:c>
      <x:c r="J198" s="10" t="str">
        <x:v>validity and outcome board</x:v>
      </x:c>
      <x:c r="K198" s="7" t="str"/>
      <x:c r="L198" s="10" t="str"/>
      <x:c r="M198" s="7" t="str">
        <x:v>OPEN</x:v>
      </x:c>
    </x:row>
    <x:row r="199" ht="36" customHeight="1">
      <x:c r="B199" s="7" t="str">
        <x:v>RAE-E-09-P01</x:v>
      </x:c>
      <x:c r="C199" s="7" t="str">
        <x:v>RAE-E-09</x:v>
      </x:c>
      <x:c r="D199" s="7" t="str">
        <x:v>RFP-A2</x:v>
      </x:c>
      <x:c r="E199" s="7" t="str">
        <x:v>AM-05</x:v>
      </x:c>
      <x:c r="F199" s="7" t="str">
        <x:v>TR-A</x:v>
      </x:c>
      <x:c r="G199" s="7" t="str">
        <x:v>QE-01</x:v>
      </x:c>
      <x:c r="H199" s="7" t="str">
        <x:v>P01</x:v>
      </x:c>
      <x:c r="I199" s="7" t="str">
        <x:v>T-96h</x:v>
      </x:c>
      <x:c r="J199" s="10" t="str">
        <x:v>baseline freeze</x:v>
      </x:c>
      <x:c r="K199" s="7" t="str"/>
      <x:c r="L199" s="10" t="str"/>
      <x:c r="M199" s="7" t="str">
        <x:v>OPEN</x:v>
      </x:c>
    </x:row>
    <x:row r="200" ht="36" customHeight="1">
      <x:c r="B200" s="7" t="str">
        <x:v>RAE-E-09-P02</x:v>
      </x:c>
      <x:c r="C200" s="7" t="str">
        <x:v>RAE-E-09</x:v>
      </x:c>
      <x:c r="D200" s="7" t="str">
        <x:v>RFP-A2</x:v>
      </x:c>
      <x:c r="E200" s="7" t="str">
        <x:v>AM-05</x:v>
      </x:c>
      <x:c r="F200" s="7" t="str">
        <x:v>TR-A</x:v>
      </x:c>
      <x:c r="G200" s="7" t="str">
        <x:v>QE-01</x:v>
      </x:c>
      <x:c r="H200" s="7" t="str">
        <x:v>P02</x:v>
      </x:c>
      <x:c r="I200" s="7" t="str">
        <x:v>T-72h</x:v>
      </x:c>
      <x:c r="J200" s="10" t="str">
        <x:v>source and water custody freeze</x:v>
      </x:c>
      <x:c r="K200" s="7" t="str"/>
      <x:c r="L200" s="10" t="str"/>
      <x:c r="M200" s="7" t="str">
        <x:v>OPEN</x:v>
      </x:c>
    </x:row>
    <x:row r="201" ht="36" customHeight="1">
      <x:c r="B201" s="7" t="str">
        <x:v>RAE-E-09-P03</x:v>
      </x:c>
      <x:c r="C201" s="7" t="str">
        <x:v>RAE-E-09</x:v>
      </x:c>
      <x:c r="D201" s="7" t="str">
        <x:v>RFP-A2</x:v>
      </x:c>
      <x:c r="E201" s="7" t="str">
        <x:v>AM-05</x:v>
      </x:c>
      <x:c r="F201" s="7" t="str">
        <x:v>TR-A</x:v>
      </x:c>
      <x:c r="G201" s="7" t="str">
        <x:v>QE-01</x:v>
      </x:c>
      <x:c r="H201" s="7" t="str">
        <x:v>P03</x:v>
      </x:c>
      <x:c r="I201" s="7" t="str">
        <x:v>T-48h</x:v>
      </x:c>
      <x:c r="J201" s="10" t="str">
        <x:v>article and configuration identity</x:v>
      </x:c>
      <x:c r="K201" s="7" t="str"/>
      <x:c r="L201" s="10" t="str"/>
      <x:c r="M201" s="7" t="str">
        <x:v>OPEN</x:v>
      </x:c>
    </x:row>
    <x:row r="202" ht="36" customHeight="1">
      <x:c r="B202" s="7" t="str">
        <x:v>RAE-E-09-P04</x:v>
      </x:c>
      <x:c r="C202" s="7" t="str">
        <x:v>RAE-E-09</x:v>
      </x:c>
      <x:c r="D202" s="7" t="str">
        <x:v>RFP-A2</x:v>
      </x:c>
      <x:c r="E202" s="7" t="str">
        <x:v>AM-05</x:v>
      </x:c>
      <x:c r="F202" s="7" t="str">
        <x:v>TR-A</x:v>
      </x:c>
      <x:c r="G202" s="7" t="str">
        <x:v>QE-01</x:v>
      </x:c>
      <x:c r="H202" s="7" t="str">
        <x:v>P04</x:v>
      </x:c>
      <x:c r="I202" s="7" t="str">
        <x:v>T-24h</x:v>
      </x:c>
      <x:c r="J202" s="10" t="str">
        <x:v>environment and recovery readiness</x:v>
      </x:c>
      <x:c r="K202" s="7" t="str"/>
      <x:c r="L202" s="10" t="str"/>
      <x:c r="M202" s="7" t="str">
        <x:v>OPEN</x:v>
      </x:c>
    </x:row>
    <x:row r="203" ht="36" customHeight="1">
      <x:c r="B203" s="7" t="str">
        <x:v>RAE-E-09-P05</x:v>
      </x:c>
      <x:c r="C203" s="7" t="str">
        <x:v>RAE-E-09</x:v>
      </x:c>
      <x:c r="D203" s="7" t="str">
        <x:v>RFP-A2</x:v>
      </x:c>
      <x:c r="E203" s="7" t="str">
        <x:v>AM-05</x:v>
      </x:c>
      <x:c r="F203" s="7" t="str">
        <x:v>TR-A</x:v>
      </x:c>
      <x:c r="G203" s="7" t="str">
        <x:v>QE-01</x:v>
      </x:c>
      <x:c r="H203" s="7" t="str">
        <x:v>P05</x:v>
      </x:c>
      <x:c r="I203" s="7" t="str">
        <x:v>T-12h</x:v>
      </x:c>
      <x:c r="J203" s="10" t="str">
        <x:v>rescue posture</x:v>
      </x:c>
      <x:c r="K203" s="7" t="str"/>
      <x:c r="L203" s="10" t="str"/>
      <x:c r="M203" s="7" t="str">
        <x:v>OPEN</x:v>
      </x:c>
    </x:row>
    <x:row r="204" ht="36" customHeight="1">
      <x:c r="B204" s="7" t="str">
        <x:v>RAE-E-09-P06</x:v>
      </x:c>
      <x:c r="C204" s="7" t="str">
        <x:v>RAE-E-09</x:v>
      </x:c>
      <x:c r="D204" s="7" t="str">
        <x:v>RFP-A2</x:v>
      </x:c>
      <x:c r="E204" s="7" t="str">
        <x:v>AM-05</x:v>
      </x:c>
      <x:c r="F204" s="7" t="str">
        <x:v>TR-A</x:v>
      </x:c>
      <x:c r="G204" s="7" t="str">
        <x:v>QE-01</x:v>
      </x:c>
      <x:c r="H204" s="7" t="str">
        <x:v>P06</x:v>
      </x:c>
      <x:c r="I204" s="7" t="str">
        <x:v>T-6h</x:v>
      </x:c>
      <x:c r="J204" s="10" t="str">
        <x:v>calibration before state</x:v>
      </x:c>
      <x:c r="K204" s="7" t="str"/>
      <x:c r="L204" s="10" t="str"/>
      <x:c r="M204" s="7" t="str">
        <x:v>OPEN</x:v>
      </x:c>
    </x:row>
    <x:row r="205" ht="36" customHeight="1">
      <x:c r="B205" s="7" t="str">
        <x:v>RAE-E-09-P07</x:v>
      </x:c>
      <x:c r="C205" s="7" t="str">
        <x:v>RAE-E-09</x:v>
      </x:c>
      <x:c r="D205" s="7" t="str">
        <x:v>RFP-A2</x:v>
      </x:c>
      <x:c r="E205" s="7" t="str">
        <x:v>AM-05</x:v>
      </x:c>
      <x:c r="F205" s="7" t="str">
        <x:v>TR-A</x:v>
      </x:c>
      <x:c r="G205" s="7" t="str">
        <x:v>QE-01</x:v>
      </x:c>
      <x:c r="H205" s="7" t="str">
        <x:v>P07</x:v>
      </x:c>
      <x:c r="I205" s="7" t="str">
        <x:v>T-2h</x:v>
      </x:c>
      <x:c r="J205" s="10" t="str">
        <x:v>receiver initial-volume proof</x:v>
      </x:c>
      <x:c r="K205" s="7" t="str"/>
      <x:c r="L205" s="10" t="str"/>
      <x:c r="M205" s="7" t="str">
        <x:v>OPEN</x:v>
      </x:c>
    </x:row>
    <x:row r="206" ht="36" customHeight="1">
      <x:c r="B206" s="7" t="str">
        <x:v>RAE-E-09-P08</x:v>
      </x:c>
      <x:c r="C206" s="7" t="str">
        <x:v>RAE-E-09</x:v>
      </x:c>
      <x:c r="D206" s="7" t="str">
        <x:v>RFP-A2</x:v>
      </x:c>
      <x:c r="E206" s="7" t="str">
        <x:v>AM-05</x:v>
      </x:c>
      <x:c r="F206" s="7" t="str">
        <x:v>TR-A</x:v>
      </x:c>
      <x:c r="G206" s="7" t="str">
        <x:v>QE-01</x:v>
      </x:c>
      <x:c r="H206" s="7" t="str">
        <x:v>P08</x:v>
      </x:c>
      <x:c r="I206" s="7" t="str">
        <x:v>T-60min</x:v>
      </x:c>
      <x:c r="J206" s="10" t="str">
        <x:v>neighbor inert-state proof</x:v>
      </x:c>
      <x:c r="K206" s="7" t="str"/>
      <x:c r="L206" s="10" t="str"/>
      <x:c r="M206" s="7" t="str">
        <x:v>OPEN</x:v>
      </x:c>
    </x:row>
    <x:row r="207" ht="36" customHeight="1">
      <x:c r="B207" s="7" t="str">
        <x:v>RAE-E-09-P09</x:v>
      </x:c>
      <x:c r="C207" s="7" t="str">
        <x:v>RAE-E-09</x:v>
      </x:c>
      <x:c r="D207" s="7" t="str">
        <x:v>RFP-A2</x:v>
      </x:c>
      <x:c r="E207" s="7" t="str">
        <x:v>AM-05</x:v>
      </x:c>
      <x:c r="F207" s="7" t="str">
        <x:v>TR-A</x:v>
      </x:c>
      <x:c r="G207" s="7" t="str">
        <x:v>QE-01</x:v>
      </x:c>
      <x:c r="H207" s="7" t="str">
        <x:v>P09</x:v>
      </x:c>
      <x:c r="I207" s="7" t="str">
        <x:v>T-30min</x:v>
      </x:c>
      <x:c r="J207" s="10" t="str">
        <x:v>native evidence armed</x:v>
      </x:c>
      <x:c r="K207" s="7" t="str"/>
      <x:c r="L207" s="10" t="str"/>
      <x:c r="M207" s="7" t="str">
        <x:v>OPEN</x:v>
      </x:c>
    </x:row>
    <x:row r="208" ht="36" customHeight="1">
      <x:c r="B208" s="7" t="str">
        <x:v>RAE-E-09-P10</x:v>
      </x:c>
      <x:c r="C208" s="7" t="str">
        <x:v>RAE-E-09</x:v>
      </x:c>
      <x:c r="D208" s="7" t="str">
        <x:v>RFP-A2</x:v>
      </x:c>
      <x:c r="E208" s="7" t="str">
        <x:v>AM-05</x:v>
      </x:c>
      <x:c r="F208" s="7" t="str">
        <x:v>TR-A</x:v>
      </x:c>
      <x:c r="G208" s="7" t="str">
        <x:v>QE-01</x:v>
      </x:c>
      <x:c r="H208" s="7" t="str">
        <x:v>P10</x:v>
      </x:c>
      <x:c r="I208" s="7" t="str">
        <x:v>T-10min</x:v>
      </x:c>
      <x:c r="J208" s="10" t="str">
        <x:v>final control poll</x:v>
      </x:c>
      <x:c r="K208" s="7" t="str"/>
      <x:c r="L208" s="10" t="str"/>
      <x:c r="M208" s="7" t="str">
        <x:v>OPEN</x:v>
      </x:c>
    </x:row>
    <x:row r="209" ht="36" customHeight="1">
      <x:c r="B209" s="7" t="str">
        <x:v>RAE-E-09-P11</x:v>
      </x:c>
      <x:c r="C209" s="7" t="str">
        <x:v>RAE-E-09</x:v>
      </x:c>
      <x:c r="D209" s="7" t="str">
        <x:v>RFP-A2</x:v>
      </x:c>
      <x:c r="E209" s="7" t="str">
        <x:v>AM-05</x:v>
      </x:c>
      <x:c r="F209" s="7" t="str">
        <x:v>TR-A</x:v>
      </x:c>
      <x:c r="G209" s="7" t="str">
        <x:v>QE-01</x:v>
      </x:c>
      <x:c r="H209" s="7" t="str">
        <x:v>P11</x:v>
      </x:c>
      <x:c r="I209" s="7" t="str">
        <x:v>T-60s</x:v>
      </x:c>
      <x:c r="J209" s="10" t="str">
        <x:v>full-rate capture</x:v>
      </x:c>
      <x:c r="K209" s="7" t="str"/>
      <x:c r="L209" s="10" t="str"/>
      <x:c r="M209" s="7" t="str">
        <x:v>OPEN</x:v>
      </x:c>
    </x:row>
    <x:row r="210" ht="36" customHeight="1">
      <x:c r="B210" s="7" t="str">
        <x:v>RAE-E-09-P12</x:v>
      </x:c>
      <x:c r="C210" s="7" t="str">
        <x:v>RAE-E-09</x:v>
      </x:c>
      <x:c r="D210" s="7" t="str">
        <x:v>RFP-A2</x:v>
      </x:c>
      <x:c r="E210" s="7" t="str">
        <x:v>AM-05</x:v>
      </x:c>
      <x:c r="F210" s="7" t="str">
        <x:v>TR-A</x:v>
      </x:c>
      <x:c r="G210" s="7" t="str">
        <x:v>QE-01</x:v>
      </x:c>
      <x:c r="H210" s="7" t="str">
        <x:v>P12</x:v>
      </x:c>
      <x:c r="I210" s="7" t="str">
        <x:v>T-10s</x:v>
      </x:c>
      <x:c r="J210" s="10" t="str">
        <x:v>registered challenge state</x:v>
      </x:c>
      <x:c r="K210" s="7" t="str"/>
      <x:c r="L210" s="10" t="str"/>
      <x:c r="M210" s="7" t="str">
        <x:v>OPEN</x:v>
      </x:c>
    </x:row>
    <x:row r="211" ht="36" customHeight="1">
      <x:c r="B211" s="7" t="str">
        <x:v>RAE-E-09-P13</x:v>
      </x:c>
      <x:c r="C211" s="7" t="str">
        <x:v>RAE-E-09</x:v>
      </x:c>
      <x:c r="D211" s="7" t="str">
        <x:v>RFP-A2</x:v>
      </x:c>
      <x:c r="E211" s="7" t="str">
        <x:v>AM-05</x:v>
      </x:c>
      <x:c r="F211" s="7" t="str">
        <x:v>TR-A</x:v>
      </x:c>
      <x:c r="G211" s="7" t="str">
        <x:v>QE-01</x:v>
      </x:c>
      <x:c r="H211" s="7" t="str">
        <x:v>P13</x:v>
      </x:c>
      <x:c r="I211" s="7" t="str">
        <x:v>T0</x:v>
      </x:c>
      <x:c r="J211" s="10" t="str">
        <x:v>source command or zero-source marker</x:v>
      </x:c>
      <x:c r="K211" s="7" t="str"/>
      <x:c r="L211" s="10" t="str"/>
      <x:c r="M211" s="7" t="str">
        <x:v>OPEN</x:v>
      </x:c>
    </x:row>
    <x:row r="212" ht="36" customHeight="1">
      <x:c r="B212" s="7" t="str">
        <x:v>RAE-E-09-P14</x:v>
      </x:c>
      <x:c r="C212" s="7" t="str">
        <x:v>RAE-E-09</x:v>
      </x:c>
      <x:c r="D212" s="7" t="str">
        <x:v>RFP-A2</x:v>
      </x:c>
      <x:c r="E212" s="7" t="str">
        <x:v>AM-05</x:v>
      </x:c>
      <x:c r="F212" s="7" t="str">
        <x:v>TR-A</x:v>
      </x:c>
      <x:c r="G212" s="7" t="str">
        <x:v>QE-01</x:v>
      </x:c>
      <x:c r="H212" s="7" t="str">
        <x:v>P14</x:v>
      </x:c>
      <x:c r="I212" s="7" t="str">
        <x:v>T+2s</x:v>
      </x:c>
      <x:c r="J212" s="10" t="str">
        <x:v>inlet and dispenser final state</x:v>
      </x:c>
      <x:c r="K212" s="7" t="str"/>
      <x:c r="L212" s="10" t="str"/>
      <x:c r="M212" s="7" t="str">
        <x:v>OPEN</x:v>
      </x:c>
    </x:row>
    <x:row r="213" ht="36" customHeight="1">
      <x:c r="B213" s="7" t="str">
        <x:v>RAE-E-09-P15</x:v>
      </x:c>
      <x:c r="C213" s="7" t="str">
        <x:v>RAE-E-09</x:v>
      </x:c>
      <x:c r="D213" s="7" t="str">
        <x:v>RFP-A2</x:v>
      </x:c>
      <x:c r="E213" s="7" t="str">
        <x:v>AM-05</x:v>
      </x:c>
      <x:c r="F213" s="7" t="str">
        <x:v>TR-A</x:v>
      </x:c>
      <x:c r="G213" s="7" t="str">
        <x:v>QE-01</x:v>
      </x:c>
      <x:c r="H213" s="7" t="str">
        <x:v>P15</x:v>
      </x:c>
      <x:c r="I213" s="7" t="str">
        <x:v>T+15s</x:v>
      </x:c>
      <x:c r="J213" s="10" t="str">
        <x:v>AM-06 QE-02 ignition opportunity</x:v>
      </x:c>
      <x:c r="K213" s="7" t="str"/>
      <x:c r="L213" s="10" t="str"/>
      <x:c r="M213" s="7" t="str">
        <x:v>OPEN</x:v>
      </x:c>
    </x:row>
    <x:row r="214" ht="36" customHeight="1">
      <x:c r="B214" s="7" t="str">
        <x:v>RAE-E-09-P16</x:v>
      </x:c>
      <x:c r="C214" s="7" t="str">
        <x:v>RAE-E-09</x:v>
      </x:c>
      <x:c r="D214" s="7" t="str">
        <x:v>RFP-A2</x:v>
      </x:c>
      <x:c r="E214" s="7" t="str">
        <x:v>AM-05</x:v>
      </x:c>
      <x:c r="F214" s="7" t="str">
        <x:v>TR-A</x:v>
      </x:c>
      <x:c r="G214" s="7" t="str">
        <x:v>QE-01</x:v>
      </x:c>
      <x:c r="H214" s="7" t="str">
        <x:v>P16</x:v>
      </x:c>
      <x:c r="I214" s="7" t="str">
        <x:v>T+30s</x:v>
      </x:c>
      <x:c r="J214" s="10" t="str">
        <x:v>terminal-source decision</x:v>
      </x:c>
      <x:c r="K214" s="7" t="str"/>
      <x:c r="L214" s="10" t="str"/>
      <x:c r="M214" s="7" t="str">
        <x:v>OPEN</x:v>
      </x:c>
    </x:row>
    <x:row r="215" ht="36" customHeight="1">
      <x:c r="B215" s="7" t="str">
        <x:v>RAE-E-09-P17</x:v>
      </x:c>
      <x:c r="C215" s="7" t="str">
        <x:v>RAE-E-09</x:v>
      </x:c>
      <x:c r="D215" s="7" t="str">
        <x:v>RFP-A2</x:v>
      </x:c>
      <x:c r="E215" s="7" t="str">
        <x:v>AM-05</x:v>
      </x:c>
      <x:c r="F215" s="7" t="str">
        <x:v>TR-A</x:v>
      </x:c>
      <x:c r="G215" s="7" t="str">
        <x:v>QE-01</x:v>
      </x:c>
      <x:c r="H215" s="7" t="str">
        <x:v>P17</x:v>
      </x:c>
      <x:c r="I215" s="7" t="str">
        <x:v>T+120s</x:v>
      </x:c>
      <x:c r="J215" s="10" t="str">
        <x:v>public schedule end</x:v>
      </x:c>
      <x:c r="K215" s="7" t="str"/>
      <x:c r="L215" s="10" t="str"/>
      <x:c r="M215" s="7" t="str">
        <x:v>OPEN</x:v>
      </x:c>
    </x:row>
    <x:row r="216" ht="36" customHeight="1">
      <x:c r="B216" s="7" t="str">
        <x:v>RAE-E-09-P18</x:v>
      </x:c>
      <x:c r="C216" s="7" t="str">
        <x:v>RAE-E-09</x:v>
      </x:c>
      <x:c r="D216" s="7" t="str">
        <x:v>RFP-A2</x:v>
      </x:c>
      <x:c r="E216" s="7" t="str">
        <x:v>AM-05</x:v>
      </x:c>
      <x:c r="F216" s="7" t="str">
        <x:v>TR-A</x:v>
      </x:c>
      <x:c r="G216" s="7" t="str">
        <x:v>QE-01</x:v>
      </x:c>
      <x:c r="H216" s="7" t="str">
        <x:v>P18</x:v>
      </x:c>
      <x:c r="I216" s="7" t="str">
        <x:v>T+15min</x:v>
      </x:c>
      <x:c r="J216" s="10" t="str">
        <x:v>thermal and water classification</x:v>
      </x:c>
      <x:c r="K216" s="7" t="str"/>
      <x:c r="L216" s="10" t="str"/>
      <x:c r="M216" s="7" t="str">
        <x:v>OPEN</x:v>
      </x:c>
    </x:row>
    <x:row r="217" ht="36" customHeight="1">
      <x:c r="B217" s="7" t="str">
        <x:v>RAE-E-09-P19</x:v>
      </x:c>
      <x:c r="C217" s="7" t="str">
        <x:v>RAE-E-09</x:v>
      </x:c>
      <x:c r="D217" s="7" t="str">
        <x:v>RFP-A2</x:v>
      </x:c>
      <x:c r="E217" s="7" t="str">
        <x:v>AM-05</x:v>
      </x:c>
      <x:c r="F217" s="7" t="str">
        <x:v>TR-A</x:v>
      </x:c>
      <x:c r="G217" s="7" t="str">
        <x:v>QE-01</x:v>
      </x:c>
      <x:c r="H217" s="7" t="str">
        <x:v>P19</x:v>
      </x:c>
      <x:c r="I217" s="7" t="str">
        <x:v>T+30min</x:v>
      </x:c>
      <x:c r="J217" s="10" t="str">
        <x:v>public intervention classification</x:v>
      </x:c>
      <x:c r="K217" s="7" t="str"/>
      <x:c r="L217" s="10" t="str"/>
      <x:c r="M217" s="7" t="str">
        <x:v>OPEN</x:v>
      </x:c>
    </x:row>
    <x:row r="218" ht="36" customHeight="1">
      <x:c r="B218" s="7" t="str">
        <x:v>RAE-E-09-P20</x:v>
      </x:c>
      <x:c r="C218" s="7" t="str">
        <x:v>RAE-E-09</x:v>
      </x:c>
      <x:c r="D218" s="7" t="str">
        <x:v>RFP-A2</x:v>
      </x:c>
      <x:c r="E218" s="7" t="str">
        <x:v>AM-05</x:v>
      </x:c>
      <x:c r="F218" s="7" t="str">
        <x:v>TR-A</x:v>
      </x:c>
      <x:c r="G218" s="7" t="str">
        <x:v>QE-01</x:v>
      </x:c>
      <x:c r="H218" s="7" t="str">
        <x:v>P20</x:v>
      </x:c>
      <x:c r="I218" s="7" t="str">
        <x:v>T+60min</x:v>
      </x:c>
      <x:c r="J218" s="10" t="str">
        <x:v>remote-entry classification</x:v>
      </x:c>
      <x:c r="K218" s="7" t="str"/>
      <x:c r="L218" s="10" t="str"/>
      <x:c r="M218" s="7" t="str">
        <x:v>OPEN</x:v>
      </x:c>
    </x:row>
    <x:row r="219" ht="36" customHeight="1">
      <x:c r="B219" s="7" t="str">
        <x:v>RAE-E-09-P21</x:v>
      </x:c>
      <x:c r="C219" s="7" t="str">
        <x:v>RAE-E-09</x:v>
      </x:c>
      <x:c r="D219" s="7" t="str">
        <x:v>RFP-A2</x:v>
      </x:c>
      <x:c r="E219" s="7" t="str">
        <x:v>AM-05</x:v>
      </x:c>
      <x:c r="F219" s="7" t="str">
        <x:v>TR-A</x:v>
      </x:c>
      <x:c r="G219" s="7" t="str">
        <x:v>QE-01</x:v>
      </x:c>
      <x:c r="H219" s="7" t="str">
        <x:v>P21</x:v>
      </x:c>
      <x:c r="I219" s="7" t="str">
        <x:v>T+6h</x:v>
      </x:c>
      <x:c r="J219" s="10" t="str">
        <x:v>evidence tail closure</x:v>
      </x:c>
      <x:c r="K219" s="7" t="str"/>
      <x:c r="L219" s="10" t="str"/>
      <x:c r="M219" s="7" t="str">
        <x:v>OPEN</x:v>
      </x:c>
    </x:row>
    <x:row r="220" ht="36" customHeight="1">
      <x:c r="B220" s="7" t="str">
        <x:v>RAE-E-09-P22</x:v>
      </x:c>
      <x:c r="C220" s="7" t="str">
        <x:v>RAE-E-09</x:v>
      </x:c>
      <x:c r="D220" s="7" t="str">
        <x:v>RFP-A2</x:v>
      </x:c>
      <x:c r="E220" s="7" t="str">
        <x:v>AM-05</x:v>
      </x:c>
      <x:c r="F220" s="7" t="str">
        <x:v>TR-A</x:v>
      </x:c>
      <x:c r="G220" s="7" t="str">
        <x:v>QE-01</x:v>
      </x:c>
      <x:c r="H220" s="7" t="str">
        <x:v>P22</x:v>
      </x:c>
      <x:c r="I220" s="7" t="str">
        <x:v>T+24h</x:v>
      </x:c>
      <x:c r="J220" s="10" t="str">
        <x:v>physical ledger closure</x:v>
      </x:c>
      <x:c r="K220" s="7" t="str"/>
      <x:c r="L220" s="10" t="str"/>
      <x:c r="M220" s="7" t="str">
        <x:v>OPEN</x:v>
      </x:c>
    </x:row>
    <x:row r="221" ht="36" customHeight="1">
      <x:c r="B221" s="7" t="str">
        <x:v>RAE-E-09-P23</x:v>
      </x:c>
      <x:c r="C221" s="7" t="str">
        <x:v>RAE-E-09</x:v>
      </x:c>
      <x:c r="D221" s="7" t="str">
        <x:v>RFP-A2</x:v>
      </x:c>
      <x:c r="E221" s="7" t="str">
        <x:v>AM-05</x:v>
      </x:c>
      <x:c r="F221" s="7" t="str">
        <x:v>TR-A</x:v>
      </x:c>
      <x:c r="G221" s="7" t="str">
        <x:v>QE-01</x:v>
      </x:c>
      <x:c r="H221" s="7" t="str">
        <x:v>P23</x:v>
      </x:c>
      <x:c r="I221" s="7" t="str">
        <x:v>T+72h</x:v>
      </x:c>
      <x:c r="J221" s="10" t="str">
        <x:v>immutable packet freeze</x:v>
      </x:c>
      <x:c r="K221" s="7" t="str"/>
      <x:c r="L221" s="10" t="str"/>
      <x:c r="M221" s="7" t="str">
        <x:v>OPEN</x:v>
      </x:c>
    </x:row>
    <x:row r="222" ht="36" customHeight="1">
      <x:c r="B222" s="7" t="str">
        <x:v>RAE-E-09-P24</x:v>
      </x:c>
      <x:c r="C222" s="7" t="str">
        <x:v>RAE-E-09</x:v>
      </x:c>
      <x:c r="D222" s="7" t="str">
        <x:v>RFP-A2</x:v>
      </x:c>
      <x:c r="E222" s="7" t="str">
        <x:v>AM-05</x:v>
      </x:c>
      <x:c r="F222" s="7" t="str">
        <x:v>TR-A</x:v>
      </x:c>
      <x:c r="G222" s="7" t="str">
        <x:v>QE-01</x:v>
      </x:c>
      <x:c r="H222" s="7" t="str">
        <x:v>P24</x:v>
      </x:c>
      <x:c r="I222" s="7" t="str">
        <x:v>day 7</x:v>
      </x:c>
      <x:c r="J222" s="10" t="str">
        <x:v>validity and outcome board</x:v>
      </x:c>
      <x:c r="K222" s="7" t="str"/>
      <x:c r="L222" s="10" t="str"/>
      <x:c r="M222" s="7" t="str">
        <x:v>OPEN</x:v>
      </x:c>
    </x:row>
    <x:row r="223" ht="36" customHeight="1">
      <x:c r="B223" s="7" t="str">
        <x:v>RAE-E-10-P01</x:v>
      </x:c>
      <x:c r="C223" s="7" t="str">
        <x:v>RAE-E-10</x:v>
      </x:c>
      <x:c r="D223" s="7" t="str">
        <x:v>RFP-A2</x:v>
      </x:c>
      <x:c r="E223" s="7" t="str">
        <x:v>AM-05</x:v>
      </x:c>
      <x:c r="F223" s="7" t="str">
        <x:v>TR-A</x:v>
      </x:c>
      <x:c r="G223" s="7" t="str">
        <x:v>QE-02</x:v>
      </x:c>
      <x:c r="H223" s="7" t="str">
        <x:v>P01</x:v>
      </x:c>
      <x:c r="I223" s="7" t="str">
        <x:v>T-96h</x:v>
      </x:c>
      <x:c r="J223" s="10" t="str">
        <x:v>baseline freeze</x:v>
      </x:c>
      <x:c r="K223" s="7" t="str"/>
      <x:c r="L223" s="10" t="str"/>
      <x:c r="M223" s="7" t="str">
        <x:v>OPEN</x:v>
      </x:c>
    </x:row>
    <x:row r="224" ht="36" customHeight="1">
      <x:c r="B224" s="7" t="str">
        <x:v>RAE-E-10-P02</x:v>
      </x:c>
      <x:c r="C224" s="7" t="str">
        <x:v>RAE-E-10</x:v>
      </x:c>
      <x:c r="D224" s="7" t="str">
        <x:v>RFP-A2</x:v>
      </x:c>
      <x:c r="E224" s="7" t="str">
        <x:v>AM-05</x:v>
      </x:c>
      <x:c r="F224" s="7" t="str">
        <x:v>TR-A</x:v>
      </x:c>
      <x:c r="G224" s="7" t="str">
        <x:v>QE-02</x:v>
      </x:c>
      <x:c r="H224" s="7" t="str">
        <x:v>P02</x:v>
      </x:c>
      <x:c r="I224" s="7" t="str">
        <x:v>T-72h</x:v>
      </x:c>
      <x:c r="J224" s="10" t="str">
        <x:v>source and water custody freeze</x:v>
      </x:c>
      <x:c r="K224" s="7" t="str"/>
      <x:c r="L224" s="10" t="str"/>
      <x:c r="M224" s="7" t="str">
        <x:v>OPEN</x:v>
      </x:c>
    </x:row>
    <x:row r="225" ht="36" customHeight="1">
      <x:c r="B225" s="7" t="str">
        <x:v>RAE-E-10-P03</x:v>
      </x:c>
      <x:c r="C225" s="7" t="str">
        <x:v>RAE-E-10</x:v>
      </x:c>
      <x:c r="D225" s="7" t="str">
        <x:v>RFP-A2</x:v>
      </x:c>
      <x:c r="E225" s="7" t="str">
        <x:v>AM-05</x:v>
      </x:c>
      <x:c r="F225" s="7" t="str">
        <x:v>TR-A</x:v>
      </x:c>
      <x:c r="G225" s="7" t="str">
        <x:v>QE-02</x:v>
      </x:c>
      <x:c r="H225" s="7" t="str">
        <x:v>P03</x:v>
      </x:c>
      <x:c r="I225" s="7" t="str">
        <x:v>T-48h</x:v>
      </x:c>
      <x:c r="J225" s="10" t="str">
        <x:v>article and configuration identity</x:v>
      </x:c>
      <x:c r="K225" s="7" t="str"/>
      <x:c r="L225" s="10" t="str"/>
      <x:c r="M225" s="7" t="str">
        <x:v>OPEN</x:v>
      </x:c>
    </x:row>
    <x:row r="226" ht="36" customHeight="1">
      <x:c r="B226" s="7" t="str">
        <x:v>RAE-E-10-P04</x:v>
      </x:c>
      <x:c r="C226" s="7" t="str">
        <x:v>RAE-E-10</x:v>
      </x:c>
      <x:c r="D226" s="7" t="str">
        <x:v>RFP-A2</x:v>
      </x:c>
      <x:c r="E226" s="7" t="str">
        <x:v>AM-05</x:v>
      </x:c>
      <x:c r="F226" s="7" t="str">
        <x:v>TR-A</x:v>
      </x:c>
      <x:c r="G226" s="7" t="str">
        <x:v>QE-02</x:v>
      </x:c>
      <x:c r="H226" s="7" t="str">
        <x:v>P04</x:v>
      </x:c>
      <x:c r="I226" s="7" t="str">
        <x:v>T-24h</x:v>
      </x:c>
      <x:c r="J226" s="10" t="str">
        <x:v>environment and recovery readiness</x:v>
      </x:c>
      <x:c r="K226" s="7" t="str"/>
      <x:c r="L226" s="10" t="str"/>
      <x:c r="M226" s="7" t="str">
        <x:v>OPEN</x:v>
      </x:c>
    </x:row>
    <x:row r="227" ht="36" customHeight="1">
      <x:c r="B227" s="7" t="str">
        <x:v>RAE-E-10-P05</x:v>
      </x:c>
      <x:c r="C227" s="7" t="str">
        <x:v>RAE-E-10</x:v>
      </x:c>
      <x:c r="D227" s="7" t="str">
        <x:v>RFP-A2</x:v>
      </x:c>
      <x:c r="E227" s="7" t="str">
        <x:v>AM-05</x:v>
      </x:c>
      <x:c r="F227" s="7" t="str">
        <x:v>TR-A</x:v>
      </x:c>
      <x:c r="G227" s="7" t="str">
        <x:v>QE-02</x:v>
      </x:c>
      <x:c r="H227" s="7" t="str">
        <x:v>P05</x:v>
      </x:c>
      <x:c r="I227" s="7" t="str">
        <x:v>T-12h</x:v>
      </x:c>
      <x:c r="J227" s="10" t="str">
        <x:v>rescue posture</x:v>
      </x:c>
      <x:c r="K227" s="7" t="str"/>
      <x:c r="L227" s="10" t="str"/>
      <x:c r="M227" s="7" t="str">
        <x:v>OPEN</x:v>
      </x:c>
    </x:row>
    <x:row r="228" ht="36" customHeight="1">
      <x:c r="B228" s="7" t="str">
        <x:v>RAE-E-10-P06</x:v>
      </x:c>
      <x:c r="C228" s="7" t="str">
        <x:v>RAE-E-10</x:v>
      </x:c>
      <x:c r="D228" s="7" t="str">
        <x:v>RFP-A2</x:v>
      </x:c>
      <x:c r="E228" s="7" t="str">
        <x:v>AM-05</x:v>
      </x:c>
      <x:c r="F228" s="7" t="str">
        <x:v>TR-A</x:v>
      </x:c>
      <x:c r="G228" s="7" t="str">
        <x:v>QE-02</x:v>
      </x:c>
      <x:c r="H228" s="7" t="str">
        <x:v>P06</x:v>
      </x:c>
      <x:c r="I228" s="7" t="str">
        <x:v>T-6h</x:v>
      </x:c>
      <x:c r="J228" s="10" t="str">
        <x:v>calibration before state</x:v>
      </x:c>
      <x:c r="K228" s="7" t="str"/>
      <x:c r="L228" s="10" t="str"/>
      <x:c r="M228" s="7" t="str">
        <x:v>OPEN</x:v>
      </x:c>
    </x:row>
    <x:row r="229" ht="36" customHeight="1">
      <x:c r="B229" s="7" t="str">
        <x:v>RAE-E-10-P07</x:v>
      </x:c>
      <x:c r="C229" s="7" t="str">
        <x:v>RAE-E-10</x:v>
      </x:c>
      <x:c r="D229" s="7" t="str">
        <x:v>RFP-A2</x:v>
      </x:c>
      <x:c r="E229" s="7" t="str">
        <x:v>AM-05</x:v>
      </x:c>
      <x:c r="F229" s="7" t="str">
        <x:v>TR-A</x:v>
      </x:c>
      <x:c r="G229" s="7" t="str">
        <x:v>QE-02</x:v>
      </x:c>
      <x:c r="H229" s="7" t="str">
        <x:v>P07</x:v>
      </x:c>
      <x:c r="I229" s="7" t="str">
        <x:v>T-2h</x:v>
      </x:c>
      <x:c r="J229" s="10" t="str">
        <x:v>receiver initial-volume proof</x:v>
      </x:c>
      <x:c r="K229" s="7" t="str"/>
      <x:c r="L229" s="10" t="str"/>
      <x:c r="M229" s="7" t="str">
        <x:v>OPEN</x:v>
      </x:c>
    </x:row>
    <x:row r="230" ht="36" customHeight="1">
      <x:c r="B230" s="7" t="str">
        <x:v>RAE-E-10-P08</x:v>
      </x:c>
      <x:c r="C230" s="7" t="str">
        <x:v>RAE-E-10</x:v>
      </x:c>
      <x:c r="D230" s="7" t="str">
        <x:v>RFP-A2</x:v>
      </x:c>
      <x:c r="E230" s="7" t="str">
        <x:v>AM-05</x:v>
      </x:c>
      <x:c r="F230" s="7" t="str">
        <x:v>TR-A</x:v>
      </x:c>
      <x:c r="G230" s="7" t="str">
        <x:v>QE-02</x:v>
      </x:c>
      <x:c r="H230" s="7" t="str">
        <x:v>P08</x:v>
      </x:c>
      <x:c r="I230" s="7" t="str">
        <x:v>T-60min</x:v>
      </x:c>
      <x:c r="J230" s="10" t="str">
        <x:v>neighbor inert-state proof</x:v>
      </x:c>
      <x:c r="K230" s="7" t="str"/>
      <x:c r="L230" s="10" t="str"/>
      <x:c r="M230" s="7" t="str">
        <x:v>OPEN</x:v>
      </x:c>
    </x:row>
    <x:row r="231" ht="36" customHeight="1">
      <x:c r="B231" s="7" t="str">
        <x:v>RAE-E-10-P09</x:v>
      </x:c>
      <x:c r="C231" s="7" t="str">
        <x:v>RAE-E-10</x:v>
      </x:c>
      <x:c r="D231" s="7" t="str">
        <x:v>RFP-A2</x:v>
      </x:c>
      <x:c r="E231" s="7" t="str">
        <x:v>AM-05</x:v>
      </x:c>
      <x:c r="F231" s="7" t="str">
        <x:v>TR-A</x:v>
      </x:c>
      <x:c r="G231" s="7" t="str">
        <x:v>QE-02</x:v>
      </x:c>
      <x:c r="H231" s="7" t="str">
        <x:v>P09</x:v>
      </x:c>
      <x:c r="I231" s="7" t="str">
        <x:v>T-30min</x:v>
      </x:c>
      <x:c r="J231" s="10" t="str">
        <x:v>native evidence armed</x:v>
      </x:c>
      <x:c r="K231" s="7" t="str"/>
      <x:c r="L231" s="10" t="str"/>
      <x:c r="M231" s="7" t="str">
        <x:v>OPEN</x:v>
      </x:c>
    </x:row>
    <x:row r="232" ht="36" customHeight="1">
      <x:c r="B232" s="7" t="str">
        <x:v>RAE-E-10-P10</x:v>
      </x:c>
      <x:c r="C232" s="7" t="str">
        <x:v>RAE-E-10</x:v>
      </x:c>
      <x:c r="D232" s="7" t="str">
        <x:v>RFP-A2</x:v>
      </x:c>
      <x:c r="E232" s="7" t="str">
        <x:v>AM-05</x:v>
      </x:c>
      <x:c r="F232" s="7" t="str">
        <x:v>TR-A</x:v>
      </x:c>
      <x:c r="G232" s="7" t="str">
        <x:v>QE-02</x:v>
      </x:c>
      <x:c r="H232" s="7" t="str">
        <x:v>P10</x:v>
      </x:c>
      <x:c r="I232" s="7" t="str">
        <x:v>T-10min</x:v>
      </x:c>
      <x:c r="J232" s="10" t="str">
        <x:v>final control poll</x:v>
      </x:c>
      <x:c r="K232" s="7" t="str"/>
      <x:c r="L232" s="10" t="str"/>
      <x:c r="M232" s="7" t="str">
        <x:v>OPEN</x:v>
      </x:c>
    </x:row>
    <x:row r="233" ht="36" customHeight="1">
      <x:c r="B233" s="7" t="str">
        <x:v>RAE-E-10-P11</x:v>
      </x:c>
      <x:c r="C233" s="7" t="str">
        <x:v>RAE-E-10</x:v>
      </x:c>
      <x:c r="D233" s="7" t="str">
        <x:v>RFP-A2</x:v>
      </x:c>
      <x:c r="E233" s="7" t="str">
        <x:v>AM-05</x:v>
      </x:c>
      <x:c r="F233" s="7" t="str">
        <x:v>TR-A</x:v>
      </x:c>
      <x:c r="G233" s="7" t="str">
        <x:v>QE-02</x:v>
      </x:c>
      <x:c r="H233" s="7" t="str">
        <x:v>P11</x:v>
      </x:c>
      <x:c r="I233" s="7" t="str">
        <x:v>T-60s</x:v>
      </x:c>
      <x:c r="J233" s="10" t="str">
        <x:v>full-rate capture</x:v>
      </x:c>
      <x:c r="K233" s="7" t="str"/>
      <x:c r="L233" s="10" t="str"/>
      <x:c r="M233" s="7" t="str">
        <x:v>OPEN</x:v>
      </x:c>
    </x:row>
    <x:row r="234" ht="36" customHeight="1">
      <x:c r="B234" s="7" t="str">
        <x:v>RAE-E-10-P12</x:v>
      </x:c>
      <x:c r="C234" s="7" t="str">
        <x:v>RAE-E-10</x:v>
      </x:c>
      <x:c r="D234" s="7" t="str">
        <x:v>RFP-A2</x:v>
      </x:c>
      <x:c r="E234" s="7" t="str">
        <x:v>AM-05</x:v>
      </x:c>
      <x:c r="F234" s="7" t="str">
        <x:v>TR-A</x:v>
      </x:c>
      <x:c r="G234" s="7" t="str">
        <x:v>QE-02</x:v>
      </x:c>
      <x:c r="H234" s="7" t="str">
        <x:v>P12</x:v>
      </x:c>
      <x:c r="I234" s="7" t="str">
        <x:v>T-10s</x:v>
      </x:c>
      <x:c r="J234" s="10" t="str">
        <x:v>registered challenge state</x:v>
      </x:c>
      <x:c r="K234" s="7" t="str"/>
      <x:c r="L234" s="10" t="str"/>
      <x:c r="M234" s="7" t="str">
        <x:v>OPEN</x:v>
      </x:c>
    </x:row>
    <x:row r="235" ht="36" customHeight="1">
      <x:c r="B235" s="7" t="str">
        <x:v>RAE-E-10-P13</x:v>
      </x:c>
      <x:c r="C235" s="7" t="str">
        <x:v>RAE-E-10</x:v>
      </x:c>
      <x:c r="D235" s="7" t="str">
        <x:v>RFP-A2</x:v>
      </x:c>
      <x:c r="E235" s="7" t="str">
        <x:v>AM-05</x:v>
      </x:c>
      <x:c r="F235" s="7" t="str">
        <x:v>TR-A</x:v>
      </x:c>
      <x:c r="G235" s="7" t="str">
        <x:v>QE-02</x:v>
      </x:c>
      <x:c r="H235" s="7" t="str">
        <x:v>P13</x:v>
      </x:c>
      <x:c r="I235" s="7" t="str">
        <x:v>T0</x:v>
      </x:c>
      <x:c r="J235" s="10" t="str">
        <x:v>source command or zero-source marker</x:v>
      </x:c>
      <x:c r="K235" s="7" t="str"/>
      <x:c r="L235" s="10" t="str"/>
      <x:c r="M235" s="7" t="str">
        <x:v>OPEN</x:v>
      </x:c>
    </x:row>
    <x:row r="236" ht="36" customHeight="1">
      <x:c r="B236" s="7" t="str">
        <x:v>RAE-E-10-P14</x:v>
      </x:c>
      <x:c r="C236" s="7" t="str">
        <x:v>RAE-E-10</x:v>
      </x:c>
      <x:c r="D236" s="7" t="str">
        <x:v>RFP-A2</x:v>
      </x:c>
      <x:c r="E236" s="7" t="str">
        <x:v>AM-05</x:v>
      </x:c>
      <x:c r="F236" s="7" t="str">
        <x:v>TR-A</x:v>
      </x:c>
      <x:c r="G236" s="7" t="str">
        <x:v>QE-02</x:v>
      </x:c>
      <x:c r="H236" s="7" t="str">
        <x:v>P14</x:v>
      </x:c>
      <x:c r="I236" s="7" t="str">
        <x:v>T+2s</x:v>
      </x:c>
      <x:c r="J236" s="10" t="str">
        <x:v>inlet and dispenser final state</x:v>
      </x:c>
      <x:c r="K236" s="7" t="str"/>
      <x:c r="L236" s="10" t="str"/>
      <x:c r="M236" s="7" t="str">
        <x:v>OPEN</x:v>
      </x:c>
    </x:row>
    <x:row r="237" ht="36" customHeight="1">
      <x:c r="B237" s="7" t="str">
        <x:v>RAE-E-10-P15</x:v>
      </x:c>
      <x:c r="C237" s="7" t="str">
        <x:v>RAE-E-10</x:v>
      </x:c>
      <x:c r="D237" s="7" t="str">
        <x:v>RFP-A2</x:v>
      </x:c>
      <x:c r="E237" s="7" t="str">
        <x:v>AM-05</x:v>
      </x:c>
      <x:c r="F237" s="7" t="str">
        <x:v>TR-A</x:v>
      </x:c>
      <x:c r="G237" s="7" t="str">
        <x:v>QE-02</x:v>
      </x:c>
      <x:c r="H237" s="7" t="str">
        <x:v>P15</x:v>
      </x:c>
      <x:c r="I237" s="7" t="str">
        <x:v>T+15s</x:v>
      </x:c>
      <x:c r="J237" s="10" t="str">
        <x:v>AM-06 QE-02 ignition opportunity</x:v>
      </x:c>
      <x:c r="K237" s="7" t="str"/>
      <x:c r="L237" s="10" t="str"/>
      <x:c r="M237" s="7" t="str">
        <x:v>OPEN</x:v>
      </x:c>
    </x:row>
    <x:row r="238" ht="36" customHeight="1">
      <x:c r="B238" s="7" t="str">
        <x:v>RAE-E-10-P16</x:v>
      </x:c>
      <x:c r="C238" s="7" t="str">
        <x:v>RAE-E-10</x:v>
      </x:c>
      <x:c r="D238" s="7" t="str">
        <x:v>RFP-A2</x:v>
      </x:c>
      <x:c r="E238" s="7" t="str">
        <x:v>AM-05</x:v>
      </x:c>
      <x:c r="F238" s="7" t="str">
        <x:v>TR-A</x:v>
      </x:c>
      <x:c r="G238" s="7" t="str">
        <x:v>QE-02</x:v>
      </x:c>
      <x:c r="H238" s="7" t="str">
        <x:v>P16</x:v>
      </x:c>
      <x:c r="I238" s="7" t="str">
        <x:v>T+30s</x:v>
      </x:c>
      <x:c r="J238" s="10" t="str">
        <x:v>terminal-source decision</x:v>
      </x:c>
      <x:c r="K238" s="7" t="str"/>
      <x:c r="L238" s="10" t="str"/>
      <x:c r="M238" s="7" t="str">
        <x:v>OPEN</x:v>
      </x:c>
    </x:row>
    <x:row r="239" ht="36" customHeight="1">
      <x:c r="B239" s="7" t="str">
        <x:v>RAE-E-10-P17</x:v>
      </x:c>
      <x:c r="C239" s="7" t="str">
        <x:v>RAE-E-10</x:v>
      </x:c>
      <x:c r="D239" s="7" t="str">
        <x:v>RFP-A2</x:v>
      </x:c>
      <x:c r="E239" s="7" t="str">
        <x:v>AM-05</x:v>
      </x:c>
      <x:c r="F239" s="7" t="str">
        <x:v>TR-A</x:v>
      </x:c>
      <x:c r="G239" s="7" t="str">
        <x:v>QE-02</x:v>
      </x:c>
      <x:c r="H239" s="7" t="str">
        <x:v>P17</x:v>
      </x:c>
      <x:c r="I239" s="7" t="str">
        <x:v>T+120s</x:v>
      </x:c>
      <x:c r="J239" s="10" t="str">
        <x:v>public schedule end</x:v>
      </x:c>
      <x:c r="K239" s="7" t="str"/>
      <x:c r="L239" s="10" t="str"/>
      <x:c r="M239" s="7" t="str">
        <x:v>OPEN</x:v>
      </x:c>
    </x:row>
    <x:row r="240" ht="36" customHeight="1">
      <x:c r="B240" s="7" t="str">
        <x:v>RAE-E-10-P18</x:v>
      </x:c>
      <x:c r="C240" s="7" t="str">
        <x:v>RAE-E-10</x:v>
      </x:c>
      <x:c r="D240" s="7" t="str">
        <x:v>RFP-A2</x:v>
      </x:c>
      <x:c r="E240" s="7" t="str">
        <x:v>AM-05</x:v>
      </x:c>
      <x:c r="F240" s="7" t="str">
        <x:v>TR-A</x:v>
      </x:c>
      <x:c r="G240" s="7" t="str">
        <x:v>QE-02</x:v>
      </x:c>
      <x:c r="H240" s="7" t="str">
        <x:v>P18</x:v>
      </x:c>
      <x:c r="I240" s="7" t="str">
        <x:v>T+15min</x:v>
      </x:c>
      <x:c r="J240" s="10" t="str">
        <x:v>thermal and water classification</x:v>
      </x:c>
      <x:c r="K240" s="7" t="str"/>
      <x:c r="L240" s="10" t="str"/>
      <x:c r="M240" s="7" t="str">
        <x:v>OPEN</x:v>
      </x:c>
    </x:row>
    <x:row r="241" ht="36" customHeight="1">
      <x:c r="B241" s="7" t="str">
        <x:v>RAE-E-10-P19</x:v>
      </x:c>
      <x:c r="C241" s="7" t="str">
        <x:v>RAE-E-10</x:v>
      </x:c>
      <x:c r="D241" s="7" t="str">
        <x:v>RFP-A2</x:v>
      </x:c>
      <x:c r="E241" s="7" t="str">
        <x:v>AM-05</x:v>
      </x:c>
      <x:c r="F241" s="7" t="str">
        <x:v>TR-A</x:v>
      </x:c>
      <x:c r="G241" s="7" t="str">
        <x:v>QE-02</x:v>
      </x:c>
      <x:c r="H241" s="7" t="str">
        <x:v>P19</x:v>
      </x:c>
      <x:c r="I241" s="7" t="str">
        <x:v>T+30min</x:v>
      </x:c>
      <x:c r="J241" s="10" t="str">
        <x:v>public intervention classification</x:v>
      </x:c>
      <x:c r="K241" s="7" t="str"/>
      <x:c r="L241" s="10" t="str"/>
      <x:c r="M241" s="7" t="str">
        <x:v>OPEN</x:v>
      </x:c>
    </x:row>
    <x:row r="242" ht="36" customHeight="1">
      <x:c r="B242" s="7" t="str">
        <x:v>RAE-E-10-P20</x:v>
      </x:c>
      <x:c r="C242" s="7" t="str">
        <x:v>RAE-E-10</x:v>
      </x:c>
      <x:c r="D242" s="7" t="str">
        <x:v>RFP-A2</x:v>
      </x:c>
      <x:c r="E242" s="7" t="str">
        <x:v>AM-05</x:v>
      </x:c>
      <x:c r="F242" s="7" t="str">
        <x:v>TR-A</x:v>
      </x:c>
      <x:c r="G242" s="7" t="str">
        <x:v>QE-02</x:v>
      </x:c>
      <x:c r="H242" s="7" t="str">
        <x:v>P20</x:v>
      </x:c>
      <x:c r="I242" s="7" t="str">
        <x:v>T+60min</x:v>
      </x:c>
      <x:c r="J242" s="10" t="str">
        <x:v>remote-entry classification</x:v>
      </x:c>
      <x:c r="K242" s="7" t="str"/>
      <x:c r="L242" s="10" t="str"/>
      <x:c r="M242" s="7" t="str">
        <x:v>OPEN</x:v>
      </x:c>
    </x:row>
    <x:row r="243" ht="36" customHeight="1">
      <x:c r="B243" s="7" t="str">
        <x:v>RAE-E-10-P21</x:v>
      </x:c>
      <x:c r="C243" s="7" t="str">
        <x:v>RAE-E-10</x:v>
      </x:c>
      <x:c r="D243" s="7" t="str">
        <x:v>RFP-A2</x:v>
      </x:c>
      <x:c r="E243" s="7" t="str">
        <x:v>AM-05</x:v>
      </x:c>
      <x:c r="F243" s="7" t="str">
        <x:v>TR-A</x:v>
      </x:c>
      <x:c r="G243" s="7" t="str">
        <x:v>QE-02</x:v>
      </x:c>
      <x:c r="H243" s="7" t="str">
        <x:v>P21</x:v>
      </x:c>
      <x:c r="I243" s="7" t="str">
        <x:v>T+6h</x:v>
      </x:c>
      <x:c r="J243" s="10" t="str">
        <x:v>evidence tail closure</x:v>
      </x:c>
      <x:c r="K243" s="7" t="str"/>
      <x:c r="L243" s="10" t="str"/>
      <x:c r="M243" s="7" t="str">
        <x:v>OPEN</x:v>
      </x:c>
    </x:row>
    <x:row r="244" ht="36" customHeight="1">
      <x:c r="B244" s="7" t="str">
        <x:v>RAE-E-10-P22</x:v>
      </x:c>
      <x:c r="C244" s="7" t="str">
        <x:v>RAE-E-10</x:v>
      </x:c>
      <x:c r="D244" s="7" t="str">
        <x:v>RFP-A2</x:v>
      </x:c>
      <x:c r="E244" s="7" t="str">
        <x:v>AM-05</x:v>
      </x:c>
      <x:c r="F244" s="7" t="str">
        <x:v>TR-A</x:v>
      </x:c>
      <x:c r="G244" s="7" t="str">
        <x:v>QE-02</x:v>
      </x:c>
      <x:c r="H244" s="7" t="str">
        <x:v>P22</x:v>
      </x:c>
      <x:c r="I244" s="7" t="str">
        <x:v>T+24h</x:v>
      </x:c>
      <x:c r="J244" s="10" t="str">
        <x:v>physical ledger closure</x:v>
      </x:c>
      <x:c r="K244" s="7" t="str"/>
      <x:c r="L244" s="10" t="str"/>
      <x:c r="M244" s="7" t="str">
        <x:v>OPEN</x:v>
      </x:c>
    </x:row>
    <x:row r="245" ht="36" customHeight="1">
      <x:c r="B245" s="7" t="str">
        <x:v>RAE-E-10-P23</x:v>
      </x:c>
      <x:c r="C245" s="7" t="str">
        <x:v>RAE-E-10</x:v>
      </x:c>
      <x:c r="D245" s="7" t="str">
        <x:v>RFP-A2</x:v>
      </x:c>
      <x:c r="E245" s="7" t="str">
        <x:v>AM-05</x:v>
      </x:c>
      <x:c r="F245" s="7" t="str">
        <x:v>TR-A</x:v>
      </x:c>
      <x:c r="G245" s="7" t="str">
        <x:v>QE-02</x:v>
      </x:c>
      <x:c r="H245" s="7" t="str">
        <x:v>P23</x:v>
      </x:c>
      <x:c r="I245" s="7" t="str">
        <x:v>T+72h</x:v>
      </x:c>
      <x:c r="J245" s="10" t="str">
        <x:v>immutable packet freeze</x:v>
      </x:c>
      <x:c r="K245" s="7" t="str"/>
      <x:c r="L245" s="10" t="str"/>
      <x:c r="M245" s="7" t="str">
        <x:v>OPEN</x:v>
      </x:c>
    </x:row>
    <x:row r="246" ht="36" customHeight="1">
      <x:c r="B246" s="7" t="str">
        <x:v>RAE-E-10-P24</x:v>
      </x:c>
      <x:c r="C246" s="7" t="str">
        <x:v>RAE-E-10</x:v>
      </x:c>
      <x:c r="D246" s="7" t="str">
        <x:v>RFP-A2</x:v>
      </x:c>
      <x:c r="E246" s="7" t="str">
        <x:v>AM-05</x:v>
      </x:c>
      <x:c r="F246" s="7" t="str">
        <x:v>TR-A</x:v>
      </x:c>
      <x:c r="G246" s="7" t="str">
        <x:v>QE-02</x:v>
      </x:c>
      <x:c r="H246" s="7" t="str">
        <x:v>P24</x:v>
      </x:c>
      <x:c r="I246" s="7" t="str">
        <x:v>day 7</x:v>
      </x:c>
      <x:c r="J246" s="10" t="str">
        <x:v>validity and outcome board</x:v>
      </x:c>
      <x:c r="K246" s="7" t="str"/>
      <x:c r="L246" s="10" t="str"/>
      <x:c r="M246" s="7" t="str">
        <x:v>OPEN</x:v>
      </x:c>
    </x:row>
    <x:row r="247" ht="36" customHeight="1">
      <x:c r="B247" s="7" t="str">
        <x:v>RAE-E-11-P01</x:v>
      </x:c>
      <x:c r="C247" s="7" t="str">
        <x:v>RAE-E-11</x:v>
      </x:c>
      <x:c r="D247" s="7" t="str">
        <x:v>RFP-A2</x:v>
      </x:c>
      <x:c r="E247" s="7" t="str">
        <x:v>AM-05</x:v>
      </x:c>
      <x:c r="F247" s="7" t="str">
        <x:v>TR-B</x:v>
      </x:c>
      <x:c r="G247" s="7" t="str">
        <x:v>QE-01</x:v>
      </x:c>
      <x:c r="H247" s="7" t="str">
        <x:v>P01</x:v>
      </x:c>
      <x:c r="I247" s="7" t="str">
        <x:v>T-96h</x:v>
      </x:c>
      <x:c r="J247" s="10" t="str">
        <x:v>baseline freeze</x:v>
      </x:c>
      <x:c r="K247" s="7" t="str"/>
      <x:c r="L247" s="10" t="str"/>
      <x:c r="M247" s="7" t="str">
        <x:v>OPEN</x:v>
      </x:c>
    </x:row>
    <x:row r="248" ht="36" customHeight="1">
      <x:c r="B248" s="7" t="str">
        <x:v>RAE-E-11-P02</x:v>
      </x:c>
      <x:c r="C248" s="7" t="str">
        <x:v>RAE-E-11</x:v>
      </x:c>
      <x:c r="D248" s="7" t="str">
        <x:v>RFP-A2</x:v>
      </x:c>
      <x:c r="E248" s="7" t="str">
        <x:v>AM-05</x:v>
      </x:c>
      <x:c r="F248" s="7" t="str">
        <x:v>TR-B</x:v>
      </x:c>
      <x:c r="G248" s="7" t="str">
        <x:v>QE-01</x:v>
      </x:c>
      <x:c r="H248" s="7" t="str">
        <x:v>P02</x:v>
      </x:c>
      <x:c r="I248" s="7" t="str">
        <x:v>T-72h</x:v>
      </x:c>
      <x:c r="J248" s="10" t="str">
        <x:v>source and water custody freeze</x:v>
      </x:c>
      <x:c r="K248" s="7" t="str"/>
      <x:c r="L248" s="10" t="str"/>
      <x:c r="M248" s="7" t="str">
        <x:v>OPEN</x:v>
      </x:c>
    </x:row>
    <x:row r="249" ht="36" customHeight="1">
      <x:c r="B249" s="7" t="str">
        <x:v>RAE-E-11-P03</x:v>
      </x:c>
      <x:c r="C249" s="7" t="str">
        <x:v>RAE-E-11</x:v>
      </x:c>
      <x:c r="D249" s="7" t="str">
        <x:v>RFP-A2</x:v>
      </x:c>
      <x:c r="E249" s="7" t="str">
        <x:v>AM-05</x:v>
      </x:c>
      <x:c r="F249" s="7" t="str">
        <x:v>TR-B</x:v>
      </x:c>
      <x:c r="G249" s="7" t="str">
        <x:v>QE-01</x:v>
      </x:c>
      <x:c r="H249" s="7" t="str">
        <x:v>P03</x:v>
      </x:c>
      <x:c r="I249" s="7" t="str">
        <x:v>T-48h</x:v>
      </x:c>
      <x:c r="J249" s="10" t="str">
        <x:v>article and configuration identity</x:v>
      </x:c>
      <x:c r="K249" s="7" t="str"/>
      <x:c r="L249" s="10" t="str"/>
      <x:c r="M249" s="7" t="str">
        <x:v>OPEN</x:v>
      </x:c>
    </x:row>
    <x:row r="250" ht="36" customHeight="1">
      <x:c r="B250" s="7" t="str">
        <x:v>RAE-E-11-P04</x:v>
      </x:c>
      <x:c r="C250" s="7" t="str">
        <x:v>RAE-E-11</x:v>
      </x:c>
      <x:c r="D250" s="7" t="str">
        <x:v>RFP-A2</x:v>
      </x:c>
      <x:c r="E250" s="7" t="str">
        <x:v>AM-05</x:v>
      </x:c>
      <x:c r="F250" s="7" t="str">
        <x:v>TR-B</x:v>
      </x:c>
      <x:c r="G250" s="7" t="str">
        <x:v>QE-01</x:v>
      </x:c>
      <x:c r="H250" s="7" t="str">
        <x:v>P04</x:v>
      </x:c>
      <x:c r="I250" s="7" t="str">
        <x:v>T-24h</x:v>
      </x:c>
      <x:c r="J250" s="10" t="str">
        <x:v>environment and recovery readiness</x:v>
      </x:c>
      <x:c r="K250" s="7" t="str"/>
      <x:c r="L250" s="10" t="str"/>
      <x:c r="M250" s="7" t="str">
        <x:v>OPEN</x:v>
      </x:c>
    </x:row>
    <x:row r="251" ht="36" customHeight="1">
      <x:c r="B251" s="7" t="str">
        <x:v>RAE-E-11-P05</x:v>
      </x:c>
      <x:c r="C251" s="7" t="str">
        <x:v>RAE-E-11</x:v>
      </x:c>
      <x:c r="D251" s="7" t="str">
        <x:v>RFP-A2</x:v>
      </x:c>
      <x:c r="E251" s="7" t="str">
        <x:v>AM-05</x:v>
      </x:c>
      <x:c r="F251" s="7" t="str">
        <x:v>TR-B</x:v>
      </x:c>
      <x:c r="G251" s="7" t="str">
        <x:v>QE-01</x:v>
      </x:c>
      <x:c r="H251" s="7" t="str">
        <x:v>P05</x:v>
      </x:c>
      <x:c r="I251" s="7" t="str">
        <x:v>T-12h</x:v>
      </x:c>
      <x:c r="J251" s="10" t="str">
        <x:v>rescue posture</x:v>
      </x:c>
      <x:c r="K251" s="7" t="str"/>
      <x:c r="L251" s="10" t="str"/>
      <x:c r="M251" s="7" t="str">
        <x:v>OPEN</x:v>
      </x:c>
    </x:row>
    <x:row r="252" ht="36" customHeight="1">
      <x:c r="B252" s="7" t="str">
        <x:v>RAE-E-11-P06</x:v>
      </x:c>
      <x:c r="C252" s="7" t="str">
        <x:v>RAE-E-11</x:v>
      </x:c>
      <x:c r="D252" s="7" t="str">
        <x:v>RFP-A2</x:v>
      </x:c>
      <x:c r="E252" s="7" t="str">
        <x:v>AM-05</x:v>
      </x:c>
      <x:c r="F252" s="7" t="str">
        <x:v>TR-B</x:v>
      </x:c>
      <x:c r="G252" s="7" t="str">
        <x:v>QE-01</x:v>
      </x:c>
      <x:c r="H252" s="7" t="str">
        <x:v>P06</x:v>
      </x:c>
      <x:c r="I252" s="7" t="str">
        <x:v>T-6h</x:v>
      </x:c>
      <x:c r="J252" s="10" t="str">
        <x:v>calibration before state</x:v>
      </x:c>
      <x:c r="K252" s="7" t="str"/>
      <x:c r="L252" s="10" t="str"/>
      <x:c r="M252" s="7" t="str">
        <x:v>OPEN</x:v>
      </x:c>
    </x:row>
    <x:row r="253" ht="36" customHeight="1">
      <x:c r="B253" s="7" t="str">
        <x:v>RAE-E-11-P07</x:v>
      </x:c>
      <x:c r="C253" s="7" t="str">
        <x:v>RAE-E-11</x:v>
      </x:c>
      <x:c r="D253" s="7" t="str">
        <x:v>RFP-A2</x:v>
      </x:c>
      <x:c r="E253" s="7" t="str">
        <x:v>AM-05</x:v>
      </x:c>
      <x:c r="F253" s="7" t="str">
        <x:v>TR-B</x:v>
      </x:c>
      <x:c r="G253" s="7" t="str">
        <x:v>QE-01</x:v>
      </x:c>
      <x:c r="H253" s="7" t="str">
        <x:v>P07</x:v>
      </x:c>
      <x:c r="I253" s="7" t="str">
        <x:v>T-2h</x:v>
      </x:c>
      <x:c r="J253" s="10" t="str">
        <x:v>receiver initial-volume proof</x:v>
      </x:c>
      <x:c r="K253" s="7" t="str"/>
      <x:c r="L253" s="10" t="str"/>
      <x:c r="M253" s="7" t="str">
        <x:v>OPEN</x:v>
      </x:c>
    </x:row>
    <x:row r="254" ht="36" customHeight="1">
      <x:c r="B254" s="7" t="str">
        <x:v>RAE-E-11-P08</x:v>
      </x:c>
      <x:c r="C254" s="7" t="str">
        <x:v>RAE-E-11</x:v>
      </x:c>
      <x:c r="D254" s="7" t="str">
        <x:v>RFP-A2</x:v>
      </x:c>
      <x:c r="E254" s="7" t="str">
        <x:v>AM-05</x:v>
      </x:c>
      <x:c r="F254" s="7" t="str">
        <x:v>TR-B</x:v>
      </x:c>
      <x:c r="G254" s="7" t="str">
        <x:v>QE-01</x:v>
      </x:c>
      <x:c r="H254" s="7" t="str">
        <x:v>P08</x:v>
      </x:c>
      <x:c r="I254" s="7" t="str">
        <x:v>T-60min</x:v>
      </x:c>
      <x:c r="J254" s="10" t="str">
        <x:v>neighbor inert-state proof</x:v>
      </x:c>
      <x:c r="K254" s="7" t="str"/>
      <x:c r="L254" s="10" t="str"/>
      <x:c r="M254" s="7" t="str">
        <x:v>OPEN</x:v>
      </x:c>
    </x:row>
    <x:row r="255" ht="36" customHeight="1">
      <x:c r="B255" s="7" t="str">
        <x:v>RAE-E-11-P09</x:v>
      </x:c>
      <x:c r="C255" s="7" t="str">
        <x:v>RAE-E-11</x:v>
      </x:c>
      <x:c r="D255" s="7" t="str">
        <x:v>RFP-A2</x:v>
      </x:c>
      <x:c r="E255" s="7" t="str">
        <x:v>AM-05</x:v>
      </x:c>
      <x:c r="F255" s="7" t="str">
        <x:v>TR-B</x:v>
      </x:c>
      <x:c r="G255" s="7" t="str">
        <x:v>QE-01</x:v>
      </x:c>
      <x:c r="H255" s="7" t="str">
        <x:v>P09</x:v>
      </x:c>
      <x:c r="I255" s="7" t="str">
        <x:v>T-30min</x:v>
      </x:c>
      <x:c r="J255" s="10" t="str">
        <x:v>native evidence armed</x:v>
      </x:c>
      <x:c r="K255" s="7" t="str"/>
      <x:c r="L255" s="10" t="str"/>
      <x:c r="M255" s="7" t="str">
        <x:v>OPEN</x:v>
      </x:c>
    </x:row>
    <x:row r="256" ht="36" customHeight="1">
      <x:c r="B256" s="7" t="str">
        <x:v>RAE-E-11-P10</x:v>
      </x:c>
      <x:c r="C256" s="7" t="str">
        <x:v>RAE-E-11</x:v>
      </x:c>
      <x:c r="D256" s="7" t="str">
        <x:v>RFP-A2</x:v>
      </x:c>
      <x:c r="E256" s="7" t="str">
        <x:v>AM-05</x:v>
      </x:c>
      <x:c r="F256" s="7" t="str">
        <x:v>TR-B</x:v>
      </x:c>
      <x:c r="G256" s="7" t="str">
        <x:v>QE-01</x:v>
      </x:c>
      <x:c r="H256" s="7" t="str">
        <x:v>P10</x:v>
      </x:c>
      <x:c r="I256" s="7" t="str">
        <x:v>T-10min</x:v>
      </x:c>
      <x:c r="J256" s="10" t="str">
        <x:v>final control poll</x:v>
      </x:c>
      <x:c r="K256" s="7" t="str"/>
      <x:c r="L256" s="10" t="str"/>
      <x:c r="M256" s="7" t="str">
        <x:v>OPEN</x:v>
      </x:c>
    </x:row>
    <x:row r="257" ht="36" customHeight="1">
      <x:c r="B257" s="7" t="str">
        <x:v>RAE-E-11-P11</x:v>
      </x:c>
      <x:c r="C257" s="7" t="str">
        <x:v>RAE-E-11</x:v>
      </x:c>
      <x:c r="D257" s="7" t="str">
        <x:v>RFP-A2</x:v>
      </x:c>
      <x:c r="E257" s="7" t="str">
        <x:v>AM-05</x:v>
      </x:c>
      <x:c r="F257" s="7" t="str">
        <x:v>TR-B</x:v>
      </x:c>
      <x:c r="G257" s="7" t="str">
        <x:v>QE-01</x:v>
      </x:c>
      <x:c r="H257" s="7" t="str">
        <x:v>P11</x:v>
      </x:c>
      <x:c r="I257" s="7" t="str">
        <x:v>T-60s</x:v>
      </x:c>
      <x:c r="J257" s="10" t="str">
        <x:v>full-rate capture</x:v>
      </x:c>
      <x:c r="K257" s="7" t="str"/>
      <x:c r="L257" s="10" t="str"/>
      <x:c r="M257" s="7" t="str">
        <x:v>OPEN</x:v>
      </x:c>
    </x:row>
    <x:row r="258" ht="36" customHeight="1">
      <x:c r="B258" s="7" t="str">
        <x:v>RAE-E-11-P12</x:v>
      </x:c>
      <x:c r="C258" s="7" t="str">
        <x:v>RAE-E-11</x:v>
      </x:c>
      <x:c r="D258" s="7" t="str">
        <x:v>RFP-A2</x:v>
      </x:c>
      <x:c r="E258" s="7" t="str">
        <x:v>AM-05</x:v>
      </x:c>
      <x:c r="F258" s="7" t="str">
        <x:v>TR-B</x:v>
      </x:c>
      <x:c r="G258" s="7" t="str">
        <x:v>QE-01</x:v>
      </x:c>
      <x:c r="H258" s="7" t="str">
        <x:v>P12</x:v>
      </x:c>
      <x:c r="I258" s="7" t="str">
        <x:v>T-10s</x:v>
      </x:c>
      <x:c r="J258" s="10" t="str">
        <x:v>registered challenge state</x:v>
      </x:c>
      <x:c r="K258" s="7" t="str"/>
      <x:c r="L258" s="10" t="str"/>
      <x:c r="M258" s="7" t="str">
        <x:v>OPEN</x:v>
      </x:c>
    </x:row>
    <x:row r="259" ht="36" customHeight="1">
      <x:c r="B259" s="7" t="str">
        <x:v>RAE-E-11-P13</x:v>
      </x:c>
      <x:c r="C259" s="7" t="str">
        <x:v>RAE-E-11</x:v>
      </x:c>
      <x:c r="D259" s="7" t="str">
        <x:v>RFP-A2</x:v>
      </x:c>
      <x:c r="E259" s="7" t="str">
        <x:v>AM-05</x:v>
      </x:c>
      <x:c r="F259" s="7" t="str">
        <x:v>TR-B</x:v>
      </x:c>
      <x:c r="G259" s="7" t="str">
        <x:v>QE-01</x:v>
      </x:c>
      <x:c r="H259" s="7" t="str">
        <x:v>P13</x:v>
      </x:c>
      <x:c r="I259" s="7" t="str">
        <x:v>T0</x:v>
      </x:c>
      <x:c r="J259" s="10" t="str">
        <x:v>source command or zero-source marker</x:v>
      </x:c>
      <x:c r="K259" s="7" t="str"/>
      <x:c r="L259" s="10" t="str"/>
      <x:c r="M259" s="7" t="str">
        <x:v>OPEN</x:v>
      </x:c>
    </x:row>
    <x:row r="260" ht="36" customHeight="1">
      <x:c r="B260" s="7" t="str">
        <x:v>RAE-E-11-P14</x:v>
      </x:c>
      <x:c r="C260" s="7" t="str">
        <x:v>RAE-E-11</x:v>
      </x:c>
      <x:c r="D260" s="7" t="str">
        <x:v>RFP-A2</x:v>
      </x:c>
      <x:c r="E260" s="7" t="str">
        <x:v>AM-05</x:v>
      </x:c>
      <x:c r="F260" s="7" t="str">
        <x:v>TR-B</x:v>
      </x:c>
      <x:c r="G260" s="7" t="str">
        <x:v>QE-01</x:v>
      </x:c>
      <x:c r="H260" s="7" t="str">
        <x:v>P14</x:v>
      </x:c>
      <x:c r="I260" s="7" t="str">
        <x:v>T+2s</x:v>
      </x:c>
      <x:c r="J260" s="10" t="str">
        <x:v>inlet and dispenser final state</x:v>
      </x:c>
      <x:c r="K260" s="7" t="str"/>
      <x:c r="L260" s="10" t="str"/>
      <x:c r="M260" s="7" t="str">
        <x:v>OPEN</x:v>
      </x:c>
    </x:row>
    <x:row r="261" ht="36" customHeight="1">
      <x:c r="B261" s="7" t="str">
        <x:v>RAE-E-11-P15</x:v>
      </x:c>
      <x:c r="C261" s="7" t="str">
        <x:v>RAE-E-11</x:v>
      </x:c>
      <x:c r="D261" s="7" t="str">
        <x:v>RFP-A2</x:v>
      </x:c>
      <x:c r="E261" s="7" t="str">
        <x:v>AM-05</x:v>
      </x:c>
      <x:c r="F261" s="7" t="str">
        <x:v>TR-B</x:v>
      </x:c>
      <x:c r="G261" s="7" t="str">
        <x:v>QE-01</x:v>
      </x:c>
      <x:c r="H261" s="7" t="str">
        <x:v>P15</x:v>
      </x:c>
      <x:c r="I261" s="7" t="str">
        <x:v>T+15s</x:v>
      </x:c>
      <x:c r="J261" s="10" t="str">
        <x:v>AM-06 QE-02 ignition opportunity</x:v>
      </x:c>
      <x:c r="K261" s="7" t="str"/>
      <x:c r="L261" s="10" t="str"/>
      <x:c r="M261" s="7" t="str">
        <x:v>OPEN</x:v>
      </x:c>
    </x:row>
    <x:row r="262" ht="36" customHeight="1">
      <x:c r="B262" s="7" t="str">
        <x:v>RAE-E-11-P16</x:v>
      </x:c>
      <x:c r="C262" s="7" t="str">
        <x:v>RAE-E-11</x:v>
      </x:c>
      <x:c r="D262" s="7" t="str">
        <x:v>RFP-A2</x:v>
      </x:c>
      <x:c r="E262" s="7" t="str">
        <x:v>AM-05</x:v>
      </x:c>
      <x:c r="F262" s="7" t="str">
        <x:v>TR-B</x:v>
      </x:c>
      <x:c r="G262" s="7" t="str">
        <x:v>QE-01</x:v>
      </x:c>
      <x:c r="H262" s="7" t="str">
        <x:v>P16</x:v>
      </x:c>
      <x:c r="I262" s="7" t="str">
        <x:v>T+30s</x:v>
      </x:c>
      <x:c r="J262" s="10" t="str">
        <x:v>terminal-source decision</x:v>
      </x:c>
      <x:c r="K262" s="7" t="str"/>
      <x:c r="L262" s="10" t="str"/>
      <x:c r="M262" s="7" t="str">
        <x:v>OPEN</x:v>
      </x:c>
    </x:row>
    <x:row r="263" ht="36" customHeight="1">
      <x:c r="B263" s="7" t="str">
        <x:v>RAE-E-11-P17</x:v>
      </x:c>
      <x:c r="C263" s="7" t="str">
        <x:v>RAE-E-11</x:v>
      </x:c>
      <x:c r="D263" s="7" t="str">
        <x:v>RFP-A2</x:v>
      </x:c>
      <x:c r="E263" s="7" t="str">
        <x:v>AM-05</x:v>
      </x:c>
      <x:c r="F263" s="7" t="str">
        <x:v>TR-B</x:v>
      </x:c>
      <x:c r="G263" s="7" t="str">
        <x:v>QE-01</x:v>
      </x:c>
      <x:c r="H263" s="7" t="str">
        <x:v>P17</x:v>
      </x:c>
      <x:c r="I263" s="7" t="str">
        <x:v>T+120s</x:v>
      </x:c>
      <x:c r="J263" s="10" t="str">
        <x:v>public schedule end</x:v>
      </x:c>
      <x:c r="K263" s="7" t="str"/>
      <x:c r="L263" s="10" t="str"/>
      <x:c r="M263" s="7" t="str">
        <x:v>OPEN</x:v>
      </x:c>
    </x:row>
    <x:row r="264" ht="36" customHeight="1">
      <x:c r="B264" s="7" t="str">
        <x:v>RAE-E-11-P18</x:v>
      </x:c>
      <x:c r="C264" s="7" t="str">
        <x:v>RAE-E-11</x:v>
      </x:c>
      <x:c r="D264" s="7" t="str">
        <x:v>RFP-A2</x:v>
      </x:c>
      <x:c r="E264" s="7" t="str">
        <x:v>AM-05</x:v>
      </x:c>
      <x:c r="F264" s="7" t="str">
        <x:v>TR-B</x:v>
      </x:c>
      <x:c r="G264" s="7" t="str">
        <x:v>QE-01</x:v>
      </x:c>
      <x:c r="H264" s="7" t="str">
        <x:v>P18</x:v>
      </x:c>
      <x:c r="I264" s="7" t="str">
        <x:v>T+15min</x:v>
      </x:c>
      <x:c r="J264" s="10" t="str">
        <x:v>thermal and water classification</x:v>
      </x:c>
      <x:c r="K264" s="7" t="str"/>
      <x:c r="L264" s="10" t="str"/>
      <x:c r="M264" s="7" t="str">
        <x:v>OPEN</x:v>
      </x:c>
    </x:row>
    <x:row r="265" ht="36" customHeight="1">
      <x:c r="B265" s="7" t="str">
        <x:v>RAE-E-11-P19</x:v>
      </x:c>
      <x:c r="C265" s="7" t="str">
        <x:v>RAE-E-11</x:v>
      </x:c>
      <x:c r="D265" s="7" t="str">
        <x:v>RFP-A2</x:v>
      </x:c>
      <x:c r="E265" s="7" t="str">
        <x:v>AM-05</x:v>
      </x:c>
      <x:c r="F265" s="7" t="str">
        <x:v>TR-B</x:v>
      </x:c>
      <x:c r="G265" s="7" t="str">
        <x:v>QE-01</x:v>
      </x:c>
      <x:c r="H265" s="7" t="str">
        <x:v>P19</x:v>
      </x:c>
      <x:c r="I265" s="7" t="str">
        <x:v>T+30min</x:v>
      </x:c>
      <x:c r="J265" s="10" t="str">
        <x:v>public intervention classification</x:v>
      </x:c>
      <x:c r="K265" s="7" t="str"/>
      <x:c r="L265" s="10" t="str"/>
      <x:c r="M265" s="7" t="str">
        <x:v>OPEN</x:v>
      </x:c>
    </x:row>
    <x:row r="266" ht="36" customHeight="1">
      <x:c r="B266" s="7" t="str">
        <x:v>RAE-E-11-P20</x:v>
      </x:c>
      <x:c r="C266" s="7" t="str">
        <x:v>RAE-E-11</x:v>
      </x:c>
      <x:c r="D266" s="7" t="str">
        <x:v>RFP-A2</x:v>
      </x:c>
      <x:c r="E266" s="7" t="str">
        <x:v>AM-05</x:v>
      </x:c>
      <x:c r="F266" s="7" t="str">
        <x:v>TR-B</x:v>
      </x:c>
      <x:c r="G266" s="7" t="str">
        <x:v>QE-01</x:v>
      </x:c>
      <x:c r="H266" s="7" t="str">
        <x:v>P20</x:v>
      </x:c>
      <x:c r="I266" s="7" t="str">
        <x:v>T+60min</x:v>
      </x:c>
      <x:c r="J266" s="10" t="str">
        <x:v>remote-entry classification</x:v>
      </x:c>
      <x:c r="K266" s="7" t="str"/>
      <x:c r="L266" s="10" t="str"/>
      <x:c r="M266" s="7" t="str">
        <x:v>OPEN</x:v>
      </x:c>
    </x:row>
    <x:row r="267" ht="36" customHeight="1">
      <x:c r="B267" s="7" t="str">
        <x:v>RAE-E-11-P21</x:v>
      </x:c>
      <x:c r="C267" s="7" t="str">
        <x:v>RAE-E-11</x:v>
      </x:c>
      <x:c r="D267" s="7" t="str">
        <x:v>RFP-A2</x:v>
      </x:c>
      <x:c r="E267" s="7" t="str">
        <x:v>AM-05</x:v>
      </x:c>
      <x:c r="F267" s="7" t="str">
        <x:v>TR-B</x:v>
      </x:c>
      <x:c r="G267" s="7" t="str">
        <x:v>QE-01</x:v>
      </x:c>
      <x:c r="H267" s="7" t="str">
        <x:v>P21</x:v>
      </x:c>
      <x:c r="I267" s="7" t="str">
        <x:v>T+6h</x:v>
      </x:c>
      <x:c r="J267" s="10" t="str">
        <x:v>evidence tail closure</x:v>
      </x:c>
      <x:c r="K267" s="7" t="str"/>
      <x:c r="L267" s="10" t="str"/>
      <x:c r="M267" s="7" t="str">
        <x:v>OPEN</x:v>
      </x:c>
    </x:row>
    <x:row r="268" ht="36" customHeight="1">
      <x:c r="B268" s="7" t="str">
        <x:v>RAE-E-11-P22</x:v>
      </x:c>
      <x:c r="C268" s="7" t="str">
        <x:v>RAE-E-11</x:v>
      </x:c>
      <x:c r="D268" s="7" t="str">
        <x:v>RFP-A2</x:v>
      </x:c>
      <x:c r="E268" s="7" t="str">
        <x:v>AM-05</x:v>
      </x:c>
      <x:c r="F268" s="7" t="str">
        <x:v>TR-B</x:v>
      </x:c>
      <x:c r="G268" s="7" t="str">
        <x:v>QE-01</x:v>
      </x:c>
      <x:c r="H268" s="7" t="str">
        <x:v>P22</x:v>
      </x:c>
      <x:c r="I268" s="7" t="str">
        <x:v>T+24h</x:v>
      </x:c>
      <x:c r="J268" s="10" t="str">
        <x:v>physical ledger closure</x:v>
      </x:c>
      <x:c r="K268" s="7" t="str"/>
      <x:c r="L268" s="10" t="str"/>
      <x:c r="M268" s="7" t="str">
        <x:v>OPEN</x:v>
      </x:c>
    </x:row>
    <x:row r="269" ht="36" customHeight="1">
      <x:c r="B269" s="7" t="str">
        <x:v>RAE-E-11-P23</x:v>
      </x:c>
      <x:c r="C269" s="7" t="str">
        <x:v>RAE-E-11</x:v>
      </x:c>
      <x:c r="D269" s="7" t="str">
        <x:v>RFP-A2</x:v>
      </x:c>
      <x:c r="E269" s="7" t="str">
        <x:v>AM-05</x:v>
      </x:c>
      <x:c r="F269" s="7" t="str">
        <x:v>TR-B</x:v>
      </x:c>
      <x:c r="G269" s="7" t="str">
        <x:v>QE-01</x:v>
      </x:c>
      <x:c r="H269" s="7" t="str">
        <x:v>P23</x:v>
      </x:c>
      <x:c r="I269" s="7" t="str">
        <x:v>T+72h</x:v>
      </x:c>
      <x:c r="J269" s="10" t="str">
        <x:v>immutable packet freeze</x:v>
      </x:c>
      <x:c r="K269" s="7" t="str"/>
      <x:c r="L269" s="10" t="str"/>
      <x:c r="M269" s="7" t="str">
        <x:v>OPEN</x:v>
      </x:c>
    </x:row>
    <x:row r="270" ht="36" customHeight="1">
      <x:c r="B270" s="7" t="str">
        <x:v>RAE-E-11-P24</x:v>
      </x:c>
      <x:c r="C270" s="7" t="str">
        <x:v>RAE-E-11</x:v>
      </x:c>
      <x:c r="D270" s="7" t="str">
        <x:v>RFP-A2</x:v>
      </x:c>
      <x:c r="E270" s="7" t="str">
        <x:v>AM-05</x:v>
      </x:c>
      <x:c r="F270" s="7" t="str">
        <x:v>TR-B</x:v>
      </x:c>
      <x:c r="G270" s="7" t="str">
        <x:v>QE-01</x:v>
      </x:c>
      <x:c r="H270" s="7" t="str">
        <x:v>P24</x:v>
      </x:c>
      <x:c r="I270" s="7" t="str">
        <x:v>day 7</x:v>
      </x:c>
      <x:c r="J270" s="10" t="str">
        <x:v>validity and outcome board</x:v>
      </x:c>
      <x:c r="K270" s="7" t="str"/>
      <x:c r="L270" s="10" t="str"/>
      <x:c r="M270" s="7" t="str">
        <x:v>OPEN</x:v>
      </x:c>
    </x:row>
    <x:row r="271" ht="36" customHeight="1">
      <x:c r="B271" s="7" t="str">
        <x:v>RAE-E-12-P01</x:v>
      </x:c>
      <x:c r="C271" s="7" t="str">
        <x:v>RAE-E-12</x:v>
      </x:c>
      <x:c r="D271" s="7" t="str">
        <x:v>RFP-A2</x:v>
      </x:c>
      <x:c r="E271" s="7" t="str">
        <x:v>AM-05</x:v>
      </x:c>
      <x:c r="F271" s="7" t="str">
        <x:v>TR-B</x:v>
      </x:c>
      <x:c r="G271" s="7" t="str">
        <x:v>QE-02</x:v>
      </x:c>
      <x:c r="H271" s="7" t="str">
        <x:v>P01</x:v>
      </x:c>
      <x:c r="I271" s="7" t="str">
        <x:v>T-96h</x:v>
      </x:c>
      <x:c r="J271" s="10" t="str">
        <x:v>baseline freeze</x:v>
      </x:c>
      <x:c r="K271" s="7" t="str"/>
      <x:c r="L271" s="10" t="str"/>
      <x:c r="M271" s="7" t="str">
        <x:v>OPEN</x:v>
      </x:c>
    </x:row>
    <x:row r="272" ht="36" customHeight="1">
      <x:c r="B272" s="7" t="str">
        <x:v>RAE-E-12-P02</x:v>
      </x:c>
      <x:c r="C272" s="7" t="str">
        <x:v>RAE-E-12</x:v>
      </x:c>
      <x:c r="D272" s="7" t="str">
        <x:v>RFP-A2</x:v>
      </x:c>
      <x:c r="E272" s="7" t="str">
        <x:v>AM-05</x:v>
      </x:c>
      <x:c r="F272" s="7" t="str">
        <x:v>TR-B</x:v>
      </x:c>
      <x:c r="G272" s="7" t="str">
        <x:v>QE-02</x:v>
      </x:c>
      <x:c r="H272" s="7" t="str">
        <x:v>P02</x:v>
      </x:c>
      <x:c r="I272" s="7" t="str">
        <x:v>T-72h</x:v>
      </x:c>
      <x:c r="J272" s="10" t="str">
        <x:v>source and water custody freeze</x:v>
      </x:c>
      <x:c r="K272" s="7" t="str"/>
      <x:c r="L272" s="10" t="str"/>
      <x:c r="M272" s="7" t="str">
        <x:v>OPEN</x:v>
      </x:c>
    </x:row>
    <x:row r="273" ht="36" customHeight="1">
      <x:c r="B273" s="7" t="str">
        <x:v>RAE-E-12-P03</x:v>
      </x:c>
      <x:c r="C273" s="7" t="str">
        <x:v>RAE-E-12</x:v>
      </x:c>
      <x:c r="D273" s="7" t="str">
        <x:v>RFP-A2</x:v>
      </x:c>
      <x:c r="E273" s="7" t="str">
        <x:v>AM-05</x:v>
      </x:c>
      <x:c r="F273" s="7" t="str">
        <x:v>TR-B</x:v>
      </x:c>
      <x:c r="G273" s="7" t="str">
        <x:v>QE-02</x:v>
      </x:c>
      <x:c r="H273" s="7" t="str">
        <x:v>P03</x:v>
      </x:c>
      <x:c r="I273" s="7" t="str">
        <x:v>T-48h</x:v>
      </x:c>
      <x:c r="J273" s="10" t="str">
        <x:v>article and configuration identity</x:v>
      </x:c>
      <x:c r="K273" s="7" t="str"/>
      <x:c r="L273" s="10" t="str"/>
      <x:c r="M273" s="7" t="str">
        <x:v>OPEN</x:v>
      </x:c>
    </x:row>
    <x:row r="274" ht="36" customHeight="1">
      <x:c r="B274" s="7" t="str">
        <x:v>RAE-E-12-P04</x:v>
      </x:c>
      <x:c r="C274" s="7" t="str">
        <x:v>RAE-E-12</x:v>
      </x:c>
      <x:c r="D274" s="7" t="str">
        <x:v>RFP-A2</x:v>
      </x:c>
      <x:c r="E274" s="7" t="str">
        <x:v>AM-05</x:v>
      </x:c>
      <x:c r="F274" s="7" t="str">
        <x:v>TR-B</x:v>
      </x:c>
      <x:c r="G274" s="7" t="str">
        <x:v>QE-02</x:v>
      </x:c>
      <x:c r="H274" s="7" t="str">
        <x:v>P04</x:v>
      </x:c>
      <x:c r="I274" s="7" t="str">
        <x:v>T-24h</x:v>
      </x:c>
      <x:c r="J274" s="10" t="str">
        <x:v>environment and recovery readiness</x:v>
      </x:c>
      <x:c r="K274" s="7" t="str"/>
      <x:c r="L274" s="10" t="str"/>
      <x:c r="M274" s="7" t="str">
        <x:v>OPEN</x:v>
      </x:c>
    </x:row>
    <x:row r="275" ht="36" customHeight="1">
      <x:c r="B275" s="7" t="str">
        <x:v>RAE-E-12-P05</x:v>
      </x:c>
      <x:c r="C275" s="7" t="str">
        <x:v>RAE-E-12</x:v>
      </x:c>
      <x:c r="D275" s="7" t="str">
        <x:v>RFP-A2</x:v>
      </x:c>
      <x:c r="E275" s="7" t="str">
        <x:v>AM-05</x:v>
      </x:c>
      <x:c r="F275" s="7" t="str">
        <x:v>TR-B</x:v>
      </x:c>
      <x:c r="G275" s="7" t="str">
        <x:v>QE-02</x:v>
      </x:c>
      <x:c r="H275" s="7" t="str">
        <x:v>P05</x:v>
      </x:c>
      <x:c r="I275" s="7" t="str">
        <x:v>T-12h</x:v>
      </x:c>
      <x:c r="J275" s="10" t="str">
        <x:v>rescue posture</x:v>
      </x:c>
      <x:c r="K275" s="7" t="str"/>
      <x:c r="L275" s="10" t="str"/>
      <x:c r="M275" s="7" t="str">
        <x:v>OPEN</x:v>
      </x:c>
    </x:row>
    <x:row r="276" ht="36" customHeight="1">
      <x:c r="B276" s="7" t="str">
        <x:v>RAE-E-12-P06</x:v>
      </x:c>
      <x:c r="C276" s="7" t="str">
        <x:v>RAE-E-12</x:v>
      </x:c>
      <x:c r="D276" s="7" t="str">
        <x:v>RFP-A2</x:v>
      </x:c>
      <x:c r="E276" s="7" t="str">
        <x:v>AM-05</x:v>
      </x:c>
      <x:c r="F276" s="7" t="str">
        <x:v>TR-B</x:v>
      </x:c>
      <x:c r="G276" s="7" t="str">
        <x:v>QE-02</x:v>
      </x:c>
      <x:c r="H276" s="7" t="str">
        <x:v>P06</x:v>
      </x:c>
      <x:c r="I276" s="7" t="str">
        <x:v>T-6h</x:v>
      </x:c>
      <x:c r="J276" s="10" t="str">
        <x:v>calibration before state</x:v>
      </x:c>
      <x:c r="K276" s="7" t="str"/>
      <x:c r="L276" s="10" t="str"/>
      <x:c r="M276" s="7" t="str">
        <x:v>OPEN</x:v>
      </x:c>
    </x:row>
    <x:row r="277" ht="36" customHeight="1">
      <x:c r="B277" s="7" t="str">
        <x:v>RAE-E-12-P07</x:v>
      </x:c>
      <x:c r="C277" s="7" t="str">
        <x:v>RAE-E-12</x:v>
      </x:c>
      <x:c r="D277" s="7" t="str">
        <x:v>RFP-A2</x:v>
      </x:c>
      <x:c r="E277" s="7" t="str">
        <x:v>AM-05</x:v>
      </x:c>
      <x:c r="F277" s="7" t="str">
        <x:v>TR-B</x:v>
      </x:c>
      <x:c r="G277" s="7" t="str">
        <x:v>QE-02</x:v>
      </x:c>
      <x:c r="H277" s="7" t="str">
        <x:v>P07</x:v>
      </x:c>
      <x:c r="I277" s="7" t="str">
        <x:v>T-2h</x:v>
      </x:c>
      <x:c r="J277" s="10" t="str">
        <x:v>receiver initial-volume proof</x:v>
      </x:c>
      <x:c r="K277" s="7" t="str"/>
      <x:c r="L277" s="10" t="str"/>
      <x:c r="M277" s="7" t="str">
        <x:v>OPEN</x:v>
      </x:c>
    </x:row>
    <x:row r="278" ht="36" customHeight="1">
      <x:c r="B278" s="7" t="str">
        <x:v>RAE-E-12-P08</x:v>
      </x:c>
      <x:c r="C278" s="7" t="str">
        <x:v>RAE-E-12</x:v>
      </x:c>
      <x:c r="D278" s="7" t="str">
        <x:v>RFP-A2</x:v>
      </x:c>
      <x:c r="E278" s="7" t="str">
        <x:v>AM-05</x:v>
      </x:c>
      <x:c r="F278" s="7" t="str">
        <x:v>TR-B</x:v>
      </x:c>
      <x:c r="G278" s="7" t="str">
        <x:v>QE-02</x:v>
      </x:c>
      <x:c r="H278" s="7" t="str">
        <x:v>P08</x:v>
      </x:c>
      <x:c r="I278" s="7" t="str">
        <x:v>T-60min</x:v>
      </x:c>
      <x:c r="J278" s="10" t="str">
        <x:v>neighbor inert-state proof</x:v>
      </x:c>
      <x:c r="K278" s="7" t="str"/>
      <x:c r="L278" s="10" t="str"/>
      <x:c r="M278" s="7" t="str">
        <x:v>OPEN</x:v>
      </x:c>
    </x:row>
    <x:row r="279" ht="36" customHeight="1">
      <x:c r="B279" s="7" t="str">
        <x:v>RAE-E-12-P09</x:v>
      </x:c>
      <x:c r="C279" s="7" t="str">
        <x:v>RAE-E-12</x:v>
      </x:c>
      <x:c r="D279" s="7" t="str">
        <x:v>RFP-A2</x:v>
      </x:c>
      <x:c r="E279" s="7" t="str">
        <x:v>AM-05</x:v>
      </x:c>
      <x:c r="F279" s="7" t="str">
        <x:v>TR-B</x:v>
      </x:c>
      <x:c r="G279" s="7" t="str">
        <x:v>QE-02</x:v>
      </x:c>
      <x:c r="H279" s="7" t="str">
        <x:v>P09</x:v>
      </x:c>
      <x:c r="I279" s="7" t="str">
        <x:v>T-30min</x:v>
      </x:c>
      <x:c r="J279" s="10" t="str">
        <x:v>native evidence armed</x:v>
      </x:c>
      <x:c r="K279" s="7" t="str"/>
      <x:c r="L279" s="10" t="str"/>
      <x:c r="M279" s="7" t="str">
        <x:v>OPEN</x:v>
      </x:c>
    </x:row>
    <x:row r="280" ht="36" customHeight="1">
      <x:c r="B280" s="7" t="str">
        <x:v>RAE-E-12-P10</x:v>
      </x:c>
      <x:c r="C280" s="7" t="str">
        <x:v>RAE-E-12</x:v>
      </x:c>
      <x:c r="D280" s="7" t="str">
        <x:v>RFP-A2</x:v>
      </x:c>
      <x:c r="E280" s="7" t="str">
        <x:v>AM-05</x:v>
      </x:c>
      <x:c r="F280" s="7" t="str">
        <x:v>TR-B</x:v>
      </x:c>
      <x:c r="G280" s="7" t="str">
        <x:v>QE-02</x:v>
      </x:c>
      <x:c r="H280" s="7" t="str">
        <x:v>P10</x:v>
      </x:c>
      <x:c r="I280" s="7" t="str">
        <x:v>T-10min</x:v>
      </x:c>
      <x:c r="J280" s="10" t="str">
        <x:v>final control poll</x:v>
      </x:c>
      <x:c r="K280" s="7" t="str"/>
      <x:c r="L280" s="10" t="str"/>
      <x:c r="M280" s="7" t="str">
        <x:v>OPEN</x:v>
      </x:c>
    </x:row>
    <x:row r="281" ht="36" customHeight="1">
      <x:c r="B281" s="7" t="str">
        <x:v>RAE-E-12-P11</x:v>
      </x:c>
      <x:c r="C281" s="7" t="str">
        <x:v>RAE-E-12</x:v>
      </x:c>
      <x:c r="D281" s="7" t="str">
        <x:v>RFP-A2</x:v>
      </x:c>
      <x:c r="E281" s="7" t="str">
        <x:v>AM-05</x:v>
      </x:c>
      <x:c r="F281" s="7" t="str">
        <x:v>TR-B</x:v>
      </x:c>
      <x:c r="G281" s="7" t="str">
        <x:v>QE-02</x:v>
      </x:c>
      <x:c r="H281" s="7" t="str">
        <x:v>P11</x:v>
      </x:c>
      <x:c r="I281" s="7" t="str">
        <x:v>T-60s</x:v>
      </x:c>
      <x:c r="J281" s="10" t="str">
        <x:v>full-rate capture</x:v>
      </x:c>
      <x:c r="K281" s="7" t="str"/>
      <x:c r="L281" s="10" t="str"/>
      <x:c r="M281" s="7" t="str">
        <x:v>OPEN</x:v>
      </x:c>
    </x:row>
    <x:row r="282" ht="36" customHeight="1">
      <x:c r="B282" s="7" t="str">
        <x:v>RAE-E-12-P12</x:v>
      </x:c>
      <x:c r="C282" s="7" t="str">
        <x:v>RAE-E-12</x:v>
      </x:c>
      <x:c r="D282" s="7" t="str">
        <x:v>RFP-A2</x:v>
      </x:c>
      <x:c r="E282" s="7" t="str">
        <x:v>AM-05</x:v>
      </x:c>
      <x:c r="F282" s="7" t="str">
        <x:v>TR-B</x:v>
      </x:c>
      <x:c r="G282" s="7" t="str">
        <x:v>QE-02</x:v>
      </x:c>
      <x:c r="H282" s="7" t="str">
        <x:v>P12</x:v>
      </x:c>
      <x:c r="I282" s="7" t="str">
        <x:v>T-10s</x:v>
      </x:c>
      <x:c r="J282" s="10" t="str">
        <x:v>registered challenge state</x:v>
      </x:c>
      <x:c r="K282" s="7" t="str"/>
      <x:c r="L282" s="10" t="str"/>
      <x:c r="M282" s="7" t="str">
        <x:v>OPEN</x:v>
      </x:c>
    </x:row>
    <x:row r="283" ht="36" customHeight="1">
      <x:c r="B283" s="7" t="str">
        <x:v>RAE-E-12-P13</x:v>
      </x:c>
      <x:c r="C283" s="7" t="str">
        <x:v>RAE-E-12</x:v>
      </x:c>
      <x:c r="D283" s="7" t="str">
        <x:v>RFP-A2</x:v>
      </x:c>
      <x:c r="E283" s="7" t="str">
        <x:v>AM-05</x:v>
      </x:c>
      <x:c r="F283" s="7" t="str">
        <x:v>TR-B</x:v>
      </x:c>
      <x:c r="G283" s="7" t="str">
        <x:v>QE-02</x:v>
      </x:c>
      <x:c r="H283" s="7" t="str">
        <x:v>P13</x:v>
      </x:c>
      <x:c r="I283" s="7" t="str">
        <x:v>T0</x:v>
      </x:c>
      <x:c r="J283" s="10" t="str">
        <x:v>source command or zero-source marker</x:v>
      </x:c>
      <x:c r="K283" s="7" t="str"/>
      <x:c r="L283" s="10" t="str"/>
      <x:c r="M283" s="7" t="str">
        <x:v>OPEN</x:v>
      </x:c>
    </x:row>
    <x:row r="284" ht="36" customHeight="1">
      <x:c r="B284" s="7" t="str">
        <x:v>RAE-E-12-P14</x:v>
      </x:c>
      <x:c r="C284" s="7" t="str">
        <x:v>RAE-E-12</x:v>
      </x:c>
      <x:c r="D284" s="7" t="str">
        <x:v>RFP-A2</x:v>
      </x:c>
      <x:c r="E284" s="7" t="str">
        <x:v>AM-05</x:v>
      </x:c>
      <x:c r="F284" s="7" t="str">
        <x:v>TR-B</x:v>
      </x:c>
      <x:c r="G284" s="7" t="str">
        <x:v>QE-02</x:v>
      </x:c>
      <x:c r="H284" s="7" t="str">
        <x:v>P14</x:v>
      </x:c>
      <x:c r="I284" s="7" t="str">
        <x:v>T+2s</x:v>
      </x:c>
      <x:c r="J284" s="10" t="str">
        <x:v>inlet and dispenser final state</x:v>
      </x:c>
      <x:c r="K284" s="7" t="str"/>
      <x:c r="L284" s="10" t="str"/>
      <x:c r="M284" s="7" t="str">
        <x:v>OPEN</x:v>
      </x:c>
    </x:row>
    <x:row r="285" ht="36" customHeight="1">
      <x:c r="B285" s="7" t="str">
        <x:v>RAE-E-12-P15</x:v>
      </x:c>
      <x:c r="C285" s="7" t="str">
        <x:v>RAE-E-12</x:v>
      </x:c>
      <x:c r="D285" s="7" t="str">
        <x:v>RFP-A2</x:v>
      </x:c>
      <x:c r="E285" s="7" t="str">
        <x:v>AM-05</x:v>
      </x:c>
      <x:c r="F285" s="7" t="str">
        <x:v>TR-B</x:v>
      </x:c>
      <x:c r="G285" s="7" t="str">
        <x:v>QE-02</x:v>
      </x:c>
      <x:c r="H285" s="7" t="str">
        <x:v>P15</x:v>
      </x:c>
      <x:c r="I285" s="7" t="str">
        <x:v>T+15s</x:v>
      </x:c>
      <x:c r="J285" s="10" t="str">
        <x:v>AM-06 QE-02 ignition opportunity</x:v>
      </x:c>
      <x:c r="K285" s="7" t="str"/>
      <x:c r="L285" s="10" t="str"/>
      <x:c r="M285" s="7" t="str">
        <x:v>OPEN</x:v>
      </x:c>
    </x:row>
    <x:row r="286" ht="36" customHeight="1">
      <x:c r="B286" s="7" t="str">
        <x:v>RAE-E-12-P16</x:v>
      </x:c>
      <x:c r="C286" s="7" t="str">
        <x:v>RAE-E-12</x:v>
      </x:c>
      <x:c r="D286" s="7" t="str">
        <x:v>RFP-A2</x:v>
      </x:c>
      <x:c r="E286" s="7" t="str">
        <x:v>AM-05</x:v>
      </x:c>
      <x:c r="F286" s="7" t="str">
        <x:v>TR-B</x:v>
      </x:c>
      <x:c r="G286" s="7" t="str">
        <x:v>QE-02</x:v>
      </x:c>
      <x:c r="H286" s="7" t="str">
        <x:v>P16</x:v>
      </x:c>
      <x:c r="I286" s="7" t="str">
        <x:v>T+30s</x:v>
      </x:c>
      <x:c r="J286" s="10" t="str">
        <x:v>terminal-source decision</x:v>
      </x:c>
      <x:c r="K286" s="7" t="str"/>
      <x:c r="L286" s="10" t="str"/>
      <x:c r="M286" s="7" t="str">
        <x:v>OPEN</x:v>
      </x:c>
    </x:row>
    <x:row r="287" ht="36" customHeight="1">
      <x:c r="B287" s="7" t="str">
        <x:v>RAE-E-12-P17</x:v>
      </x:c>
      <x:c r="C287" s="7" t="str">
        <x:v>RAE-E-12</x:v>
      </x:c>
      <x:c r="D287" s="7" t="str">
        <x:v>RFP-A2</x:v>
      </x:c>
      <x:c r="E287" s="7" t="str">
        <x:v>AM-05</x:v>
      </x:c>
      <x:c r="F287" s="7" t="str">
        <x:v>TR-B</x:v>
      </x:c>
      <x:c r="G287" s="7" t="str">
        <x:v>QE-02</x:v>
      </x:c>
      <x:c r="H287" s="7" t="str">
        <x:v>P17</x:v>
      </x:c>
      <x:c r="I287" s="7" t="str">
        <x:v>T+120s</x:v>
      </x:c>
      <x:c r="J287" s="10" t="str">
        <x:v>public schedule end</x:v>
      </x:c>
      <x:c r="K287" s="7" t="str"/>
      <x:c r="L287" s="10" t="str"/>
      <x:c r="M287" s="7" t="str">
        <x:v>OPEN</x:v>
      </x:c>
    </x:row>
    <x:row r="288" ht="36" customHeight="1">
      <x:c r="B288" s="7" t="str">
        <x:v>RAE-E-12-P18</x:v>
      </x:c>
      <x:c r="C288" s="7" t="str">
        <x:v>RAE-E-12</x:v>
      </x:c>
      <x:c r="D288" s="7" t="str">
        <x:v>RFP-A2</x:v>
      </x:c>
      <x:c r="E288" s="7" t="str">
        <x:v>AM-05</x:v>
      </x:c>
      <x:c r="F288" s="7" t="str">
        <x:v>TR-B</x:v>
      </x:c>
      <x:c r="G288" s="7" t="str">
        <x:v>QE-02</x:v>
      </x:c>
      <x:c r="H288" s="7" t="str">
        <x:v>P18</x:v>
      </x:c>
      <x:c r="I288" s="7" t="str">
        <x:v>T+15min</x:v>
      </x:c>
      <x:c r="J288" s="10" t="str">
        <x:v>thermal and water classification</x:v>
      </x:c>
      <x:c r="K288" s="7" t="str"/>
      <x:c r="L288" s="10" t="str"/>
      <x:c r="M288" s="7" t="str">
        <x:v>OPEN</x:v>
      </x:c>
    </x:row>
    <x:row r="289" ht="36" customHeight="1">
      <x:c r="B289" s="7" t="str">
        <x:v>RAE-E-12-P19</x:v>
      </x:c>
      <x:c r="C289" s="7" t="str">
        <x:v>RAE-E-12</x:v>
      </x:c>
      <x:c r="D289" s="7" t="str">
        <x:v>RFP-A2</x:v>
      </x:c>
      <x:c r="E289" s="7" t="str">
        <x:v>AM-05</x:v>
      </x:c>
      <x:c r="F289" s="7" t="str">
        <x:v>TR-B</x:v>
      </x:c>
      <x:c r="G289" s="7" t="str">
        <x:v>QE-02</x:v>
      </x:c>
      <x:c r="H289" s="7" t="str">
        <x:v>P19</x:v>
      </x:c>
      <x:c r="I289" s="7" t="str">
        <x:v>T+30min</x:v>
      </x:c>
      <x:c r="J289" s="10" t="str">
        <x:v>public intervention classification</x:v>
      </x:c>
      <x:c r="K289" s="7" t="str"/>
      <x:c r="L289" s="10" t="str"/>
      <x:c r="M289" s="7" t="str">
        <x:v>OPEN</x:v>
      </x:c>
    </x:row>
    <x:row r="290" ht="36" customHeight="1">
      <x:c r="B290" s="7" t="str">
        <x:v>RAE-E-12-P20</x:v>
      </x:c>
      <x:c r="C290" s="7" t="str">
        <x:v>RAE-E-12</x:v>
      </x:c>
      <x:c r="D290" s="7" t="str">
        <x:v>RFP-A2</x:v>
      </x:c>
      <x:c r="E290" s="7" t="str">
        <x:v>AM-05</x:v>
      </x:c>
      <x:c r="F290" s="7" t="str">
        <x:v>TR-B</x:v>
      </x:c>
      <x:c r="G290" s="7" t="str">
        <x:v>QE-02</x:v>
      </x:c>
      <x:c r="H290" s="7" t="str">
        <x:v>P20</x:v>
      </x:c>
      <x:c r="I290" s="7" t="str">
        <x:v>T+60min</x:v>
      </x:c>
      <x:c r="J290" s="10" t="str">
        <x:v>remote-entry classification</x:v>
      </x:c>
      <x:c r="K290" s="7" t="str"/>
      <x:c r="L290" s="10" t="str"/>
      <x:c r="M290" s="7" t="str">
        <x:v>OPEN</x:v>
      </x:c>
    </x:row>
    <x:row r="291" ht="36" customHeight="1">
      <x:c r="B291" s="7" t="str">
        <x:v>RAE-E-12-P21</x:v>
      </x:c>
      <x:c r="C291" s="7" t="str">
        <x:v>RAE-E-12</x:v>
      </x:c>
      <x:c r="D291" s="7" t="str">
        <x:v>RFP-A2</x:v>
      </x:c>
      <x:c r="E291" s="7" t="str">
        <x:v>AM-05</x:v>
      </x:c>
      <x:c r="F291" s="7" t="str">
        <x:v>TR-B</x:v>
      </x:c>
      <x:c r="G291" s="7" t="str">
        <x:v>QE-02</x:v>
      </x:c>
      <x:c r="H291" s="7" t="str">
        <x:v>P21</x:v>
      </x:c>
      <x:c r="I291" s="7" t="str">
        <x:v>T+6h</x:v>
      </x:c>
      <x:c r="J291" s="10" t="str">
        <x:v>evidence tail closure</x:v>
      </x:c>
      <x:c r="K291" s="7" t="str"/>
      <x:c r="L291" s="10" t="str"/>
      <x:c r="M291" s="7" t="str">
        <x:v>OPEN</x:v>
      </x:c>
    </x:row>
    <x:row r="292" ht="36" customHeight="1">
      <x:c r="B292" s="7" t="str">
        <x:v>RAE-E-12-P22</x:v>
      </x:c>
      <x:c r="C292" s="7" t="str">
        <x:v>RAE-E-12</x:v>
      </x:c>
      <x:c r="D292" s="7" t="str">
        <x:v>RFP-A2</x:v>
      </x:c>
      <x:c r="E292" s="7" t="str">
        <x:v>AM-05</x:v>
      </x:c>
      <x:c r="F292" s="7" t="str">
        <x:v>TR-B</x:v>
      </x:c>
      <x:c r="G292" s="7" t="str">
        <x:v>QE-02</x:v>
      </x:c>
      <x:c r="H292" s="7" t="str">
        <x:v>P22</x:v>
      </x:c>
      <x:c r="I292" s="7" t="str">
        <x:v>T+24h</x:v>
      </x:c>
      <x:c r="J292" s="10" t="str">
        <x:v>physical ledger closure</x:v>
      </x:c>
      <x:c r="K292" s="7" t="str"/>
      <x:c r="L292" s="10" t="str"/>
      <x:c r="M292" s="7" t="str">
        <x:v>OPEN</x:v>
      </x:c>
    </x:row>
    <x:row r="293" ht="36" customHeight="1">
      <x:c r="B293" s="7" t="str">
        <x:v>RAE-E-12-P23</x:v>
      </x:c>
      <x:c r="C293" s="7" t="str">
        <x:v>RAE-E-12</x:v>
      </x:c>
      <x:c r="D293" s="7" t="str">
        <x:v>RFP-A2</x:v>
      </x:c>
      <x:c r="E293" s="7" t="str">
        <x:v>AM-05</x:v>
      </x:c>
      <x:c r="F293" s="7" t="str">
        <x:v>TR-B</x:v>
      </x:c>
      <x:c r="G293" s="7" t="str">
        <x:v>QE-02</x:v>
      </x:c>
      <x:c r="H293" s="7" t="str">
        <x:v>P23</x:v>
      </x:c>
      <x:c r="I293" s="7" t="str">
        <x:v>T+72h</x:v>
      </x:c>
      <x:c r="J293" s="10" t="str">
        <x:v>immutable packet freeze</x:v>
      </x:c>
      <x:c r="K293" s="7" t="str"/>
      <x:c r="L293" s="10" t="str"/>
      <x:c r="M293" s="7" t="str">
        <x:v>OPEN</x:v>
      </x:c>
    </x:row>
    <x:row r="294" ht="36" customHeight="1">
      <x:c r="B294" s="7" t="str">
        <x:v>RAE-E-12-P24</x:v>
      </x:c>
      <x:c r="C294" s="7" t="str">
        <x:v>RAE-E-12</x:v>
      </x:c>
      <x:c r="D294" s="7" t="str">
        <x:v>RFP-A2</x:v>
      </x:c>
      <x:c r="E294" s="7" t="str">
        <x:v>AM-05</x:v>
      </x:c>
      <x:c r="F294" s="7" t="str">
        <x:v>TR-B</x:v>
      </x:c>
      <x:c r="G294" s="7" t="str">
        <x:v>QE-02</x:v>
      </x:c>
      <x:c r="H294" s="7" t="str">
        <x:v>P24</x:v>
      </x:c>
      <x:c r="I294" s="7" t="str">
        <x:v>day 7</x:v>
      </x:c>
      <x:c r="J294" s="10" t="str">
        <x:v>validity and outcome board</x:v>
      </x:c>
      <x:c r="K294" s="7" t="str"/>
      <x:c r="L294" s="10" t="str"/>
      <x:c r="M294" s="7" t="str">
        <x:v>OPEN</x:v>
      </x:c>
    </x:row>
    <x:row r="295" ht="36" customHeight="1">
      <x:c r="B295" s="7" t="str">
        <x:v>RAE-E-13-P01</x:v>
      </x:c>
      <x:c r="C295" s="7" t="str">
        <x:v>RAE-E-13</x:v>
      </x:c>
      <x:c r="D295" s="7" t="str">
        <x:v>RFP-A2</x:v>
      </x:c>
      <x:c r="E295" s="7" t="str">
        <x:v>AM-06</x:v>
      </x:c>
      <x:c r="F295" s="7" t="str">
        <x:v>TR-A</x:v>
      </x:c>
      <x:c r="G295" s="7" t="str">
        <x:v>QE-01</x:v>
      </x:c>
      <x:c r="H295" s="7" t="str">
        <x:v>P01</x:v>
      </x:c>
      <x:c r="I295" s="7" t="str">
        <x:v>T-96h</x:v>
      </x:c>
      <x:c r="J295" s="10" t="str">
        <x:v>baseline freeze</x:v>
      </x:c>
      <x:c r="K295" s="7" t="str"/>
      <x:c r="L295" s="10" t="str"/>
      <x:c r="M295" s="7" t="str">
        <x:v>OPEN</x:v>
      </x:c>
    </x:row>
    <x:row r="296" ht="36" customHeight="1">
      <x:c r="B296" s="7" t="str">
        <x:v>RAE-E-13-P02</x:v>
      </x:c>
      <x:c r="C296" s="7" t="str">
        <x:v>RAE-E-13</x:v>
      </x:c>
      <x:c r="D296" s="7" t="str">
        <x:v>RFP-A2</x:v>
      </x:c>
      <x:c r="E296" s="7" t="str">
        <x:v>AM-06</x:v>
      </x:c>
      <x:c r="F296" s="7" t="str">
        <x:v>TR-A</x:v>
      </x:c>
      <x:c r="G296" s="7" t="str">
        <x:v>QE-01</x:v>
      </x:c>
      <x:c r="H296" s="7" t="str">
        <x:v>P02</x:v>
      </x:c>
      <x:c r="I296" s="7" t="str">
        <x:v>T-72h</x:v>
      </x:c>
      <x:c r="J296" s="10" t="str">
        <x:v>source and water custody freeze</x:v>
      </x:c>
      <x:c r="K296" s="7" t="str"/>
      <x:c r="L296" s="10" t="str"/>
      <x:c r="M296" s="7" t="str">
        <x:v>OPEN</x:v>
      </x:c>
    </x:row>
    <x:row r="297" ht="36" customHeight="1">
      <x:c r="B297" s="7" t="str">
        <x:v>RAE-E-13-P03</x:v>
      </x:c>
      <x:c r="C297" s="7" t="str">
        <x:v>RAE-E-13</x:v>
      </x:c>
      <x:c r="D297" s="7" t="str">
        <x:v>RFP-A2</x:v>
      </x:c>
      <x:c r="E297" s="7" t="str">
        <x:v>AM-06</x:v>
      </x:c>
      <x:c r="F297" s="7" t="str">
        <x:v>TR-A</x:v>
      </x:c>
      <x:c r="G297" s="7" t="str">
        <x:v>QE-01</x:v>
      </x:c>
      <x:c r="H297" s="7" t="str">
        <x:v>P03</x:v>
      </x:c>
      <x:c r="I297" s="7" t="str">
        <x:v>T-48h</x:v>
      </x:c>
      <x:c r="J297" s="10" t="str">
        <x:v>article and configuration identity</x:v>
      </x:c>
      <x:c r="K297" s="7" t="str"/>
      <x:c r="L297" s="10" t="str"/>
      <x:c r="M297" s="7" t="str">
        <x:v>OPEN</x:v>
      </x:c>
    </x:row>
    <x:row r="298" ht="36" customHeight="1">
      <x:c r="B298" s="7" t="str">
        <x:v>RAE-E-13-P04</x:v>
      </x:c>
      <x:c r="C298" s="7" t="str">
        <x:v>RAE-E-13</x:v>
      </x:c>
      <x:c r="D298" s="7" t="str">
        <x:v>RFP-A2</x:v>
      </x:c>
      <x:c r="E298" s="7" t="str">
        <x:v>AM-06</x:v>
      </x:c>
      <x:c r="F298" s="7" t="str">
        <x:v>TR-A</x:v>
      </x:c>
      <x:c r="G298" s="7" t="str">
        <x:v>QE-01</x:v>
      </x:c>
      <x:c r="H298" s="7" t="str">
        <x:v>P04</x:v>
      </x:c>
      <x:c r="I298" s="7" t="str">
        <x:v>T-24h</x:v>
      </x:c>
      <x:c r="J298" s="10" t="str">
        <x:v>environment and recovery readiness</x:v>
      </x:c>
      <x:c r="K298" s="7" t="str"/>
      <x:c r="L298" s="10" t="str"/>
      <x:c r="M298" s="7" t="str">
        <x:v>OPEN</x:v>
      </x:c>
    </x:row>
    <x:row r="299" ht="36" customHeight="1">
      <x:c r="B299" s="7" t="str">
        <x:v>RAE-E-13-P05</x:v>
      </x:c>
      <x:c r="C299" s="7" t="str">
        <x:v>RAE-E-13</x:v>
      </x:c>
      <x:c r="D299" s="7" t="str">
        <x:v>RFP-A2</x:v>
      </x:c>
      <x:c r="E299" s="7" t="str">
        <x:v>AM-06</x:v>
      </x:c>
      <x:c r="F299" s="7" t="str">
        <x:v>TR-A</x:v>
      </x:c>
      <x:c r="G299" s="7" t="str">
        <x:v>QE-01</x:v>
      </x:c>
      <x:c r="H299" s="7" t="str">
        <x:v>P05</x:v>
      </x:c>
      <x:c r="I299" s="7" t="str">
        <x:v>T-12h</x:v>
      </x:c>
      <x:c r="J299" s="10" t="str">
        <x:v>rescue posture</x:v>
      </x:c>
      <x:c r="K299" s="7" t="str"/>
      <x:c r="L299" s="10" t="str"/>
      <x:c r="M299" s="7" t="str">
        <x:v>OPEN</x:v>
      </x:c>
    </x:row>
    <x:row r="300" ht="36" customHeight="1">
      <x:c r="B300" s="7" t="str">
        <x:v>RAE-E-13-P06</x:v>
      </x:c>
      <x:c r="C300" s="7" t="str">
        <x:v>RAE-E-13</x:v>
      </x:c>
      <x:c r="D300" s="7" t="str">
        <x:v>RFP-A2</x:v>
      </x:c>
      <x:c r="E300" s="7" t="str">
        <x:v>AM-06</x:v>
      </x:c>
      <x:c r="F300" s="7" t="str">
        <x:v>TR-A</x:v>
      </x:c>
      <x:c r="G300" s="7" t="str">
        <x:v>QE-01</x:v>
      </x:c>
      <x:c r="H300" s="7" t="str">
        <x:v>P06</x:v>
      </x:c>
      <x:c r="I300" s="7" t="str">
        <x:v>T-6h</x:v>
      </x:c>
      <x:c r="J300" s="10" t="str">
        <x:v>calibration before state</x:v>
      </x:c>
      <x:c r="K300" s="7" t="str"/>
      <x:c r="L300" s="10" t="str"/>
      <x:c r="M300" s="7" t="str">
        <x:v>OPEN</x:v>
      </x:c>
    </x:row>
    <x:row r="301" ht="36" customHeight="1">
      <x:c r="B301" s="7" t="str">
        <x:v>RAE-E-13-P07</x:v>
      </x:c>
      <x:c r="C301" s="7" t="str">
        <x:v>RAE-E-13</x:v>
      </x:c>
      <x:c r="D301" s="7" t="str">
        <x:v>RFP-A2</x:v>
      </x:c>
      <x:c r="E301" s="7" t="str">
        <x:v>AM-06</x:v>
      </x:c>
      <x:c r="F301" s="7" t="str">
        <x:v>TR-A</x:v>
      </x:c>
      <x:c r="G301" s="7" t="str">
        <x:v>QE-01</x:v>
      </x:c>
      <x:c r="H301" s="7" t="str">
        <x:v>P07</x:v>
      </x:c>
      <x:c r="I301" s="7" t="str">
        <x:v>T-2h</x:v>
      </x:c>
      <x:c r="J301" s="10" t="str">
        <x:v>receiver initial-volume proof</x:v>
      </x:c>
      <x:c r="K301" s="7" t="str"/>
      <x:c r="L301" s="10" t="str"/>
      <x:c r="M301" s="7" t="str">
        <x:v>OPEN</x:v>
      </x:c>
    </x:row>
    <x:row r="302" ht="36" customHeight="1">
      <x:c r="B302" s="7" t="str">
        <x:v>RAE-E-13-P08</x:v>
      </x:c>
      <x:c r="C302" s="7" t="str">
        <x:v>RAE-E-13</x:v>
      </x:c>
      <x:c r="D302" s="7" t="str">
        <x:v>RFP-A2</x:v>
      </x:c>
      <x:c r="E302" s="7" t="str">
        <x:v>AM-06</x:v>
      </x:c>
      <x:c r="F302" s="7" t="str">
        <x:v>TR-A</x:v>
      </x:c>
      <x:c r="G302" s="7" t="str">
        <x:v>QE-01</x:v>
      </x:c>
      <x:c r="H302" s="7" t="str">
        <x:v>P08</x:v>
      </x:c>
      <x:c r="I302" s="7" t="str">
        <x:v>T-60min</x:v>
      </x:c>
      <x:c r="J302" s="10" t="str">
        <x:v>neighbor inert-state proof</x:v>
      </x:c>
      <x:c r="K302" s="7" t="str"/>
      <x:c r="L302" s="10" t="str"/>
      <x:c r="M302" s="7" t="str">
        <x:v>OPEN</x:v>
      </x:c>
    </x:row>
    <x:row r="303" ht="36" customHeight="1">
      <x:c r="B303" s="7" t="str">
        <x:v>RAE-E-13-P09</x:v>
      </x:c>
      <x:c r="C303" s="7" t="str">
        <x:v>RAE-E-13</x:v>
      </x:c>
      <x:c r="D303" s="7" t="str">
        <x:v>RFP-A2</x:v>
      </x:c>
      <x:c r="E303" s="7" t="str">
        <x:v>AM-06</x:v>
      </x:c>
      <x:c r="F303" s="7" t="str">
        <x:v>TR-A</x:v>
      </x:c>
      <x:c r="G303" s="7" t="str">
        <x:v>QE-01</x:v>
      </x:c>
      <x:c r="H303" s="7" t="str">
        <x:v>P09</x:v>
      </x:c>
      <x:c r="I303" s="7" t="str">
        <x:v>T-30min</x:v>
      </x:c>
      <x:c r="J303" s="10" t="str">
        <x:v>native evidence armed</x:v>
      </x:c>
      <x:c r="K303" s="7" t="str"/>
      <x:c r="L303" s="10" t="str"/>
      <x:c r="M303" s="7" t="str">
        <x:v>OPEN</x:v>
      </x:c>
    </x:row>
    <x:row r="304" ht="36" customHeight="1">
      <x:c r="B304" s="7" t="str">
        <x:v>RAE-E-13-P10</x:v>
      </x:c>
      <x:c r="C304" s="7" t="str">
        <x:v>RAE-E-13</x:v>
      </x:c>
      <x:c r="D304" s="7" t="str">
        <x:v>RFP-A2</x:v>
      </x:c>
      <x:c r="E304" s="7" t="str">
        <x:v>AM-06</x:v>
      </x:c>
      <x:c r="F304" s="7" t="str">
        <x:v>TR-A</x:v>
      </x:c>
      <x:c r="G304" s="7" t="str">
        <x:v>QE-01</x:v>
      </x:c>
      <x:c r="H304" s="7" t="str">
        <x:v>P10</x:v>
      </x:c>
      <x:c r="I304" s="7" t="str">
        <x:v>T-10min</x:v>
      </x:c>
      <x:c r="J304" s="10" t="str">
        <x:v>final control poll</x:v>
      </x:c>
      <x:c r="K304" s="7" t="str"/>
      <x:c r="L304" s="10" t="str"/>
      <x:c r="M304" s="7" t="str">
        <x:v>OPEN</x:v>
      </x:c>
    </x:row>
    <x:row r="305" ht="36" customHeight="1">
      <x:c r="B305" s="7" t="str">
        <x:v>RAE-E-13-P11</x:v>
      </x:c>
      <x:c r="C305" s="7" t="str">
        <x:v>RAE-E-13</x:v>
      </x:c>
      <x:c r="D305" s="7" t="str">
        <x:v>RFP-A2</x:v>
      </x:c>
      <x:c r="E305" s="7" t="str">
        <x:v>AM-06</x:v>
      </x:c>
      <x:c r="F305" s="7" t="str">
        <x:v>TR-A</x:v>
      </x:c>
      <x:c r="G305" s="7" t="str">
        <x:v>QE-01</x:v>
      </x:c>
      <x:c r="H305" s="7" t="str">
        <x:v>P11</x:v>
      </x:c>
      <x:c r="I305" s="7" t="str">
        <x:v>T-60s</x:v>
      </x:c>
      <x:c r="J305" s="10" t="str">
        <x:v>full-rate capture</x:v>
      </x:c>
      <x:c r="K305" s="7" t="str"/>
      <x:c r="L305" s="10" t="str"/>
      <x:c r="M305" s="7" t="str">
        <x:v>OPEN</x:v>
      </x:c>
    </x:row>
    <x:row r="306" ht="36" customHeight="1">
      <x:c r="B306" s="7" t="str">
        <x:v>RAE-E-13-P12</x:v>
      </x:c>
      <x:c r="C306" s="7" t="str">
        <x:v>RAE-E-13</x:v>
      </x:c>
      <x:c r="D306" s="7" t="str">
        <x:v>RFP-A2</x:v>
      </x:c>
      <x:c r="E306" s="7" t="str">
        <x:v>AM-06</x:v>
      </x:c>
      <x:c r="F306" s="7" t="str">
        <x:v>TR-A</x:v>
      </x:c>
      <x:c r="G306" s="7" t="str">
        <x:v>QE-01</x:v>
      </x:c>
      <x:c r="H306" s="7" t="str">
        <x:v>P12</x:v>
      </x:c>
      <x:c r="I306" s="7" t="str">
        <x:v>T-10s</x:v>
      </x:c>
      <x:c r="J306" s="10" t="str">
        <x:v>registered challenge state</x:v>
      </x:c>
      <x:c r="K306" s="7" t="str"/>
      <x:c r="L306" s="10" t="str"/>
      <x:c r="M306" s="7" t="str">
        <x:v>OPEN</x:v>
      </x:c>
    </x:row>
    <x:row r="307" ht="36" customHeight="1">
      <x:c r="B307" s="7" t="str">
        <x:v>RAE-E-13-P13</x:v>
      </x:c>
      <x:c r="C307" s="7" t="str">
        <x:v>RAE-E-13</x:v>
      </x:c>
      <x:c r="D307" s="7" t="str">
        <x:v>RFP-A2</x:v>
      </x:c>
      <x:c r="E307" s="7" t="str">
        <x:v>AM-06</x:v>
      </x:c>
      <x:c r="F307" s="7" t="str">
        <x:v>TR-A</x:v>
      </x:c>
      <x:c r="G307" s="7" t="str">
        <x:v>QE-01</x:v>
      </x:c>
      <x:c r="H307" s="7" t="str">
        <x:v>P13</x:v>
      </x:c>
      <x:c r="I307" s="7" t="str">
        <x:v>T0</x:v>
      </x:c>
      <x:c r="J307" s="10" t="str">
        <x:v>source command or zero-source marker</x:v>
      </x:c>
      <x:c r="K307" s="7" t="str"/>
      <x:c r="L307" s="10" t="str"/>
      <x:c r="M307" s="7" t="str">
        <x:v>OPEN</x:v>
      </x:c>
    </x:row>
    <x:row r="308" ht="36" customHeight="1">
      <x:c r="B308" s="7" t="str">
        <x:v>RAE-E-13-P14</x:v>
      </x:c>
      <x:c r="C308" s="7" t="str">
        <x:v>RAE-E-13</x:v>
      </x:c>
      <x:c r="D308" s="7" t="str">
        <x:v>RFP-A2</x:v>
      </x:c>
      <x:c r="E308" s="7" t="str">
        <x:v>AM-06</x:v>
      </x:c>
      <x:c r="F308" s="7" t="str">
        <x:v>TR-A</x:v>
      </x:c>
      <x:c r="G308" s="7" t="str">
        <x:v>QE-01</x:v>
      </x:c>
      <x:c r="H308" s="7" t="str">
        <x:v>P14</x:v>
      </x:c>
      <x:c r="I308" s="7" t="str">
        <x:v>T+2s</x:v>
      </x:c>
      <x:c r="J308" s="10" t="str">
        <x:v>inlet and dispenser final state</x:v>
      </x:c>
      <x:c r="K308" s="7" t="str"/>
      <x:c r="L308" s="10" t="str"/>
      <x:c r="M308" s="7" t="str">
        <x:v>OPEN</x:v>
      </x:c>
    </x:row>
    <x:row r="309" ht="36" customHeight="1">
      <x:c r="B309" s="7" t="str">
        <x:v>RAE-E-13-P15</x:v>
      </x:c>
      <x:c r="C309" s="7" t="str">
        <x:v>RAE-E-13</x:v>
      </x:c>
      <x:c r="D309" s="7" t="str">
        <x:v>RFP-A2</x:v>
      </x:c>
      <x:c r="E309" s="7" t="str">
        <x:v>AM-06</x:v>
      </x:c>
      <x:c r="F309" s="7" t="str">
        <x:v>TR-A</x:v>
      </x:c>
      <x:c r="G309" s="7" t="str">
        <x:v>QE-01</x:v>
      </x:c>
      <x:c r="H309" s="7" t="str">
        <x:v>P15</x:v>
      </x:c>
      <x:c r="I309" s="7" t="str">
        <x:v>T+15s</x:v>
      </x:c>
      <x:c r="J309" s="10" t="str">
        <x:v>AM-06 QE-02 ignition opportunity</x:v>
      </x:c>
      <x:c r="K309" s="7" t="str"/>
      <x:c r="L309" s="10" t="str"/>
      <x:c r="M309" s="7" t="str">
        <x:v>OPEN</x:v>
      </x:c>
    </x:row>
    <x:row r="310" ht="36" customHeight="1">
      <x:c r="B310" s="7" t="str">
        <x:v>RAE-E-13-P16</x:v>
      </x:c>
      <x:c r="C310" s="7" t="str">
        <x:v>RAE-E-13</x:v>
      </x:c>
      <x:c r="D310" s="7" t="str">
        <x:v>RFP-A2</x:v>
      </x:c>
      <x:c r="E310" s="7" t="str">
        <x:v>AM-06</x:v>
      </x:c>
      <x:c r="F310" s="7" t="str">
        <x:v>TR-A</x:v>
      </x:c>
      <x:c r="G310" s="7" t="str">
        <x:v>QE-01</x:v>
      </x:c>
      <x:c r="H310" s="7" t="str">
        <x:v>P16</x:v>
      </x:c>
      <x:c r="I310" s="7" t="str">
        <x:v>T+30s</x:v>
      </x:c>
      <x:c r="J310" s="10" t="str">
        <x:v>terminal-source decision</x:v>
      </x:c>
      <x:c r="K310" s="7" t="str"/>
      <x:c r="L310" s="10" t="str"/>
      <x:c r="M310" s="7" t="str">
        <x:v>OPEN</x:v>
      </x:c>
    </x:row>
    <x:row r="311" ht="36" customHeight="1">
      <x:c r="B311" s="7" t="str">
        <x:v>RAE-E-13-P17</x:v>
      </x:c>
      <x:c r="C311" s="7" t="str">
        <x:v>RAE-E-13</x:v>
      </x:c>
      <x:c r="D311" s="7" t="str">
        <x:v>RFP-A2</x:v>
      </x:c>
      <x:c r="E311" s="7" t="str">
        <x:v>AM-06</x:v>
      </x:c>
      <x:c r="F311" s="7" t="str">
        <x:v>TR-A</x:v>
      </x:c>
      <x:c r="G311" s="7" t="str">
        <x:v>QE-01</x:v>
      </x:c>
      <x:c r="H311" s="7" t="str">
        <x:v>P17</x:v>
      </x:c>
      <x:c r="I311" s="7" t="str">
        <x:v>T+120s</x:v>
      </x:c>
      <x:c r="J311" s="10" t="str">
        <x:v>public schedule end</x:v>
      </x:c>
      <x:c r="K311" s="7" t="str"/>
      <x:c r="L311" s="10" t="str"/>
      <x:c r="M311" s="7" t="str">
        <x:v>OPEN</x:v>
      </x:c>
    </x:row>
    <x:row r="312" ht="36" customHeight="1">
      <x:c r="B312" s="7" t="str">
        <x:v>RAE-E-13-P18</x:v>
      </x:c>
      <x:c r="C312" s="7" t="str">
        <x:v>RAE-E-13</x:v>
      </x:c>
      <x:c r="D312" s="7" t="str">
        <x:v>RFP-A2</x:v>
      </x:c>
      <x:c r="E312" s="7" t="str">
        <x:v>AM-06</x:v>
      </x:c>
      <x:c r="F312" s="7" t="str">
        <x:v>TR-A</x:v>
      </x:c>
      <x:c r="G312" s="7" t="str">
        <x:v>QE-01</x:v>
      </x:c>
      <x:c r="H312" s="7" t="str">
        <x:v>P18</x:v>
      </x:c>
      <x:c r="I312" s="7" t="str">
        <x:v>T+15min</x:v>
      </x:c>
      <x:c r="J312" s="10" t="str">
        <x:v>thermal and water classification</x:v>
      </x:c>
      <x:c r="K312" s="7" t="str"/>
      <x:c r="L312" s="10" t="str"/>
      <x:c r="M312" s="7" t="str">
        <x:v>OPEN</x:v>
      </x:c>
    </x:row>
    <x:row r="313" ht="36" customHeight="1">
      <x:c r="B313" s="7" t="str">
        <x:v>RAE-E-13-P19</x:v>
      </x:c>
      <x:c r="C313" s="7" t="str">
        <x:v>RAE-E-13</x:v>
      </x:c>
      <x:c r="D313" s="7" t="str">
        <x:v>RFP-A2</x:v>
      </x:c>
      <x:c r="E313" s="7" t="str">
        <x:v>AM-06</x:v>
      </x:c>
      <x:c r="F313" s="7" t="str">
        <x:v>TR-A</x:v>
      </x:c>
      <x:c r="G313" s="7" t="str">
        <x:v>QE-01</x:v>
      </x:c>
      <x:c r="H313" s="7" t="str">
        <x:v>P19</x:v>
      </x:c>
      <x:c r="I313" s="7" t="str">
        <x:v>T+30min</x:v>
      </x:c>
      <x:c r="J313" s="10" t="str">
        <x:v>public intervention classification</x:v>
      </x:c>
      <x:c r="K313" s="7" t="str"/>
      <x:c r="L313" s="10" t="str"/>
      <x:c r="M313" s="7" t="str">
        <x:v>OPEN</x:v>
      </x:c>
    </x:row>
    <x:row r="314" ht="36" customHeight="1">
      <x:c r="B314" s="7" t="str">
        <x:v>RAE-E-13-P20</x:v>
      </x:c>
      <x:c r="C314" s="7" t="str">
        <x:v>RAE-E-13</x:v>
      </x:c>
      <x:c r="D314" s="7" t="str">
        <x:v>RFP-A2</x:v>
      </x:c>
      <x:c r="E314" s="7" t="str">
        <x:v>AM-06</x:v>
      </x:c>
      <x:c r="F314" s="7" t="str">
        <x:v>TR-A</x:v>
      </x:c>
      <x:c r="G314" s="7" t="str">
        <x:v>QE-01</x:v>
      </x:c>
      <x:c r="H314" s="7" t="str">
        <x:v>P20</x:v>
      </x:c>
      <x:c r="I314" s="7" t="str">
        <x:v>T+60min</x:v>
      </x:c>
      <x:c r="J314" s="10" t="str">
        <x:v>remote-entry classification</x:v>
      </x:c>
      <x:c r="K314" s="7" t="str"/>
      <x:c r="L314" s="10" t="str"/>
      <x:c r="M314" s="7" t="str">
        <x:v>OPEN</x:v>
      </x:c>
    </x:row>
    <x:row r="315" ht="36" customHeight="1">
      <x:c r="B315" s="7" t="str">
        <x:v>RAE-E-13-P21</x:v>
      </x:c>
      <x:c r="C315" s="7" t="str">
        <x:v>RAE-E-13</x:v>
      </x:c>
      <x:c r="D315" s="7" t="str">
        <x:v>RFP-A2</x:v>
      </x:c>
      <x:c r="E315" s="7" t="str">
        <x:v>AM-06</x:v>
      </x:c>
      <x:c r="F315" s="7" t="str">
        <x:v>TR-A</x:v>
      </x:c>
      <x:c r="G315" s="7" t="str">
        <x:v>QE-01</x:v>
      </x:c>
      <x:c r="H315" s="7" t="str">
        <x:v>P21</x:v>
      </x:c>
      <x:c r="I315" s="7" t="str">
        <x:v>T+6h</x:v>
      </x:c>
      <x:c r="J315" s="10" t="str">
        <x:v>evidence tail closure</x:v>
      </x:c>
      <x:c r="K315" s="7" t="str"/>
      <x:c r="L315" s="10" t="str"/>
      <x:c r="M315" s="7" t="str">
        <x:v>OPEN</x:v>
      </x:c>
    </x:row>
    <x:row r="316" ht="36" customHeight="1">
      <x:c r="B316" s="7" t="str">
        <x:v>RAE-E-13-P22</x:v>
      </x:c>
      <x:c r="C316" s="7" t="str">
        <x:v>RAE-E-13</x:v>
      </x:c>
      <x:c r="D316" s="7" t="str">
        <x:v>RFP-A2</x:v>
      </x:c>
      <x:c r="E316" s="7" t="str">
        <x:v>AM-06</x:v>
      </x:c>
      <x:c r="F316" s="7" t="str">
        <x:v>TR-A</x:v>
      </x:c>
      <x:c r="G316" s="7" t="str">
        <x:v>QE-01</x:v>
      </x:c>
      <x:c r="H316" s="7" t="str">
        <x:v>P22</x:v>
      </x:c>
      <x:c r="I316" s="7" t="str">
        <x:v>T+24h</x:v>
      </x:c>
      <x:c r="J316" s="10" t="str">
        <x:v>physical ledger closure</x:v>
      </x:c>
      <x:c r="K316" s="7" t="str"/>
      <x:c r="L316" s="10" t="str"/>
      <x:c r="M316" s="7" t="str">
        <x:v>OPEN</x:v>
      </x:c>
    </x:row>
    <x:row r="317" ht="36" customHeight="1">
      <x:c r="B317" s="7" t="str">
        <x:v>RAE-E-13-P23</x:v>
      </x:c>
      <x:c r="C317" s="7" t="str">
        <x:v>RAE-E-13</x:v>
      </x:c>
      <x:c r="D317" s="7" t="str">
        <x:v>RFP-A2</x:v>
      </x:c>
      <x:c r="E317" s="7" t="str">
        <x:v>AM-06</x:v>
      </x:c>
      <x:c r="F317" s="7" t="str">
        <x:v>TR-A</x:v>
      </x:c>
      <x:c r="G317" s="7" t="str">
        <x:v>QE-01</x:v>
      </x:c>
      <x:c r="H317" s="7" t="str">
        <x:v>P23</x:v>
      </x:c>
      <x:c r="I317" s="7" t="str">
        <x:v>T+72h</x:v>
      </x:c>
      <x:c r="J317" s="10" t="str">
        <x:v>immutable packet freeze</x:v>
      </x:c>
      <x:c r="K317" s="7" t="str"/>
      <x:c r="L317" s="10" t="str"/>
      <x:c r="M317" s="7" t="str">
        <x:v>OPEN</x:v>
      </x:c>
    </x:row>
    <x:row r="318" ht="36" customHeight="1">
      <x:c r="B318" s="7" t="str">
        <x:v>RAE-E-13-P24</x:v>
      </x:c>
      <x:c r="C318" s="7" t="str">
        <x:v>RAE-E-13</x:v>
      </x:c>
      <x:c r="D318" s="7" t="str">
        <x:v>RFP-A2</x:v>
      </x:c>
      <x:c r="E318" s="7" t="str">
        <x:v>AM-06</x:v>
      </x:c>
      <x:c r="F318" s="7" t="str">
        <x:v>TR-A</x:v>
      </x:c>
      <x:c r="G318" s="7" t="str">
        <x:v>QE-01</x:v>
      </x:c>
      <x:c r="H318" s="7" t="str">
        <x:v>P24</x:v>
      </x:c>
      <x:c r="I318" s="7" t="str">
        <x:v>day 7</x:v>
      </x:c>
      <x:c r="J318" s="10" t="str">
        <x:v>validity and outcome board</x:v>
      </x:c>
      <x:c r="K318" s="7" t="str"/>
      <x:c r="L318" s="10" t="str"/>
      <x:c r="M318" s="7" t="str">
        <x:v>OPEN</x:v>
      </x:c>
    </x:row>
    <x:row r="319" ht="36" customHeight="1">
      <x:c r="B319" s="7" t="str">
        <x:v>RAE-E-14-P01</x:v>
      </x:c>
      <x:c r="C319" s="7" t="str">
        <x:v>RAE-E-14</x:v>
      </x:c>
      <x:c r="D319" s="7" t="str">
        <x:v>RFP-A2</x:v>
      </x:c>
      <x:c r="E319" s="7" t="str">
        <x:v>AM-06</x:v>
      </x:c>
      <x:c r="F319" s="7" t="str">
        <x:v>TR-A</x:v>
      </x:c>
      <x:c r="G319" s="7" t="str">
        <x:v>QE-02</x:v>
      </x:c>
      <x:c r="H319" s="7" t="str">
        <x:v>P01</x:v>
      </x:c>
      <x:c r="I319" s="7" t="str">
        <x:v>T-96h</x:v>
      </x:c>
      <x:c r="J319" s="10" t="str">
        <x:v>baseline freeze</x:v>
      </x:c>
      <x:c r="K319" s="7" t="str"/>
      <x:c r="L319" s="10" t="str"/>
      <x:c r="M319" s="7" t="str">
        <x:v>OPEN</x:v>
      </x:c>
    </x:row>
    <x:row r="320" ht="36" customHeight="1">
      <x:c r="B320" s="7" t="str">
        <x:v>RAE-E-14-P02</x:v>
      </x:c>
      <x:c r="C320" s="7" t="str">
        <x:v>RAE-E-14</x:v>
      </x:c>
      <x:c r="D320" s="7" t="str">
        <x:v>RFP-A2</x:v>
      </x:c>
      <x:c r="E320" s="7" t="str">
        <x:v>AM-06</x:v>
      </x:c>
      <x:c r="F320" s="7" t="str">
        <x:v>TR-A</x:v>
      </x:c>
      <x:c r="G320" s="7" t="str">
        <x:v>QE-02</x:v>
      </x:c>
      <x:c r="H320" s="7" t="str">
        <x:v>P02</x:v>
      </x:c>
      <x:c r="I320" s="7" t="str">
        <x:v>T-72h</x:v>
      </x:c>
      <x:c r="J320" s="10" t="str">
        <x:v>source and water custody freeze</x:v>
      </x:c>
      <x:c r="K320" s="7" t="str"/>
      <x:c r="L320" s="10" t="str"/>
      <x:c r="M320" s="7" t="str">
        <x:v>OPEN</x:v>
      </x:c>
    </x:row>
    <x:row r="321" ht="36" customHeight="1">
      <x:c r="B321" s="7" t="str">
        <x:v>RAE-E-14-P03</x:v>
      </x:c>
      <x:c r="C321" s="7" t="str">
        <x:v>RAE-E-14</x:v>
      </x:c>
      <x:c r="D321" s="7" t="str">
        <x:v>RFP-A2</x:v>
      </x:c>
      <x:c r="E321" s="7" t="str">
        <x:v>AM-06</x:v>
      </x:c>
      <x:c r="F321" s="7" t="str">
        <x:v>TR-A</x:v>
      </x:c>
      <x:c r="G321" s="7" t="str">
        <x:v>QE-02</x:v>
      </x:c>
      <x:c r="H321" s="7" t="str">
        <x:v>P03</x:v>
      </x:c>
      <x:c r="I321" s="7" t="str">
        <x:v>T-48h</x:v>
      </x:c>
      <x:c r="J321" s="10" t="str">
        <x:v>article and configuration identity</x:v>
      </x:c>
      <x:c r="K321" s="7" t="str"/>
      <x:c r="L321" s="10" t="str"/>
      <x:c r="M321" s="7" t="str">
        <x:v>OPEN</x:v>
      </x:c>
    </x:row>
    <x:row r="322" ht="36" customHeight="1">
      <x:c r="B322" s="7" t="str">
        <x:v>RAE-E-14-P04</x:v>
      </x:c>
      <x:c r="C322" s="7" t="str">
        <x:v>RAE-E-14</x:v>
      </x:c>
      <x:c r="D322" s="7" t="str">
        <x:v>RFP-A2</x:v>
      </x:c>
      <x:c r="E322" s="7" t="str">
        <x:v>AM-06</x:v>
      </x:c>
      <x:c r="F322" s="7" t="str">
        <x:v>TR-A</x:v>
      </x:c>
      <x:c r="G322" s="7" t="str">
        <x:v>QE-02</x:v>
      </x:c>
      <x:c r="H322" s="7" t="str">
        <x:v>P04</x:v>
      </x:c>
      <x:c r="I322" s="7" t="str">
        <x:v>T-24h</x:v>
      </x:c>
      <x:c r="J322" s="10" t="str">
        <x:v>environment and recovery readiness</x:v>
      </x:c>
      <x:c r="K322" s="7" t="str"/>
      <x:c r="L322" s="10" t="str"/>
      <x:c r="M322" s="7" t="str">
        <x:v>OPEN</x:v>
      </x:c>
    </x:row>
    <x:row r="323" ht="36" customHeight="1">
      <x:c r="B323" s="7" t="str">
        <x:v>RAE-E-14-P05</x:v>
      </x:c>
      <x:c r="C323" s="7" t="str">
        <x:v>RAE-E-14</x:v>
      </x:c>
      <x:c r="D323" s="7" t="str">
        <x:v>RFP-A2</x:v>
      </x:c>
      <x:c r="E323" s="7" t="str">
        <x:v>AM-06</x:v>
      </x:c>
      <x:c r="F323" s="7" t="str">
        <x:v>TR-A</x:v>
      </x:c>
      <x:c r="G323" s="7" t="str">
        <x:v>QE-02</x:v>
      </x:c>
      <x:c r="H323" s="7" t="str">
        <x:v>P05</x:v>
      </x:c>
      <x:c r="I323" s="7" t="str">
        <x:v>T-12h</x:v>
      </x:c>
      <x:c r="J323" s="10" t="str">
        <x:v>rescue posture</x:v>
      </x:c>
      <x:c r="K323" s="7" t="str"/>
      <x:c r="L323" s="10" t="str"/>
      <x:c r="M323" s="7" t="str">
        <x:v>OPEN</x:v>
      </x:c>
    </x:row>
    <x:row r="324" ht="36" customHeight="1">
      <x:c r="B324" s="7" t="str">
        <x:v>RAE-E-14-P06</x:v>
      </x:c>
      <x:c r="C324" s="7" t="str">
        <x:v>RAE-E-14</x:v>
      </x:c>
      <x:c r="D324" s="7" t="str">
        <x:v>RFP-A2</x:v>
      </x:c>
      <x:c r="E324" s="7" t="str">
        <x:v>AM-06</x:v>
      </x:c>
      <x:c r="F324" s="7" t="str">
        <x:v>TR-A</x:v>
      </x:c>
      <x:c r="G324" s="7" t="str">
        <x:v>QE-02</x:v>
      </x:c>
      <x:c r="H324" s="7" t="str">
        <x:v>P06</x:v>
      </x:c>
      <x:c r="I324" s="7" t="str">
        <x:v>T-6h</x:v>
      </x:c>
      <x:c r="J324" s="10" t="str">
        <x:v>calibration before state</x:v>
      </x:c>
      <x:c r="K324" s="7" t="str"/>
      <x:c r="L324" s="10" t="str"/>
      <x:c r="M324" s="7" t="str">
        <x:v>OPEN</x:v>
      </x:c>
    </x:row>
    <x:row r="325" ht="36" customHeight="1">
      <x:c r="B325" s="7" t="str">
        <x:v>RAE-E-14-P07</x:v>
      </x:c>
      <x:c r="C325" s="7" t="str">
        <x:v>RAE-E-14</x:v>
      </x:c>
      <x:c r="D325" s="7" t="str">
        <x:v>RFP-A2</x:v>
      </x:c>
      <x:c r="E325" s="7" t="str">
        <x:v>AM-06</x:v>
      </x:c>
      <x:c r="F325" s="7" t="str">
        <x:v>TR-A</x:v>
      </x:c>
      <x:c r="G325" s="7" t="str">
        <x:v>QE-02</x:v>
      </x:c>
      <x:c r="H325" s="7" t="str">
        <x:v>P07</x:v>
      </x:c>
      <x:c r="I325" s="7" t="str">
        <x:v>T-2h</x:v>
      </x:c>
      <x:c r="J325" s="10" t="str">
        <x:v>receiver initial-volume proof</x:v>
      </x:c>
      <x:c r="K325" s="7" t="str"/>
      <x:c r="L325" s="10" t="str"/>
      <x:c r="M325" s="7" t="str">
        <x:v>OPEN</x:v>
      </x:c>
    </x:row>
    <x:row r="326" ht="36" customHeight="1">
      <x:c r="B326" s="7" t="str">
        <x:v>RAE-E-14-P08</x:v>
      </x:c>
      <x:c r="C326" s="7" t="str">
        <x:v>RAE-E-14</x:v>
      </x:c>
      <x:c r="D326" s="7" t="str">
        <x:v>RFP-A2</x:v>
      </x:c>
      <x:c r="E326" s="7" t="str">
        <x:v>AM-06</x:v>
      </x:c>
      <x:c r="F326" s="7" t="str">
        <x:v>TR-A</x:v>
      </x:c>
      <x:c r="G326" s="7" t="str">
        <x:v>QE-02</x:v>
      </x:c>
      <x:c r="H326" s="7" t="str">
        <x:v>P08</x:v>
      </x:c>
      <x:c r="I326" s="7" t="str">
        <x:v>T-60min</x:v>
      </x:c>
      <x:c r="J326" s="10" t="str">
        <x:v>neighbor inert-state proof</x:v>
      </x:c>
      <x:c r="K326" s="7" t="str"/>
      <x:c r="L326" s="10" t="str"/>
      <x:c r="M326" s="7" t="str">
        <x:v>OPEN</x:v>
      </x:c>
    </x:row>
    <x:row r="327" ht="36" customHeight="1">
      <x:c r="B327" s="7" t="str">
        <x:v>RAE-E-14-P09</x:v>
      </x:c>
      <x:c r="C327" s="7" t="str">
        <x:v>RAE-E-14</x:v>
      </x:c>
      <x:c r="D327" s="7" t="str">
        <x:v>RFP-A2</x:v>
      </x:c>
      <x:c r="E327" s="7" t="str">
        <x:v>AM-06</x:v>
      </x:c>
      <x:c r="F327" s="7" t="str">
        <x:v>TR-A</x:v>
      </x:c>
      <x:c r="G327" s="7" t="str">
        <x:v>QE-02</x:v>
      </x:c>
      <x:c r="H327" s="7" t="str">
        <x:v>P09</x:v>
      </x:c>
      <x:c r="I327" s="7" t="str">
        <x:v>T-30min</x:v>
      </x:c>
      <x:c r="J327" s="10" t="str">
        <x:v>native evidence armed</x:v>
      </x:c>
      <x:c r="K327" s="7" t="str"/>
      <x:c r="L327" s="10" t="str"/>
      <x:c r="M327" s="7" t="str">
        <x:v>OPEN</x:v>
      </x:c>
    </x:row>
    <x:row r="328" ht="36" customHeight="1">
      <x:c r="B328" s="7" t="str">
        <x:v>RAE-E-14-P10</x:v>
      </x:c>
      <x:c r="C328" s="7" t="str">
        <x:v>RAE-E-14</x:v>
      </x:c>
      <x:c r="D328" s="7" t="str">
        <x:v>RFP-A2</x:v>
      </x:c>
      <x:c r="E328" s="7" t="str">
        <x:v>AM-06</x:v>
      </x:c>
      <x:c r="F328" s="7" t="str">
        <x:v>TR-A</x:v>
      </x:c>
      <x:c r="G328" s="7" t="str">
        <x:v>QE-02</x:v>
      </x:c>
      <x:c r="H328" s="7" t="str">
        <x:v>P10</x:v>
      </x:c>
      <x:c r="I328" s="7" t="str">
        <x:v>T-10min</x:v>
      </x:c>
      <x:c r="J328" s="10" t="str">
        <x:v>final control poll</x:v>
      </x:c>
      <x:c r="K328" s="7" t="str"/>
      <x:c r="L328" s="10" t="str"/>
      <x:c r="M328" s="7" t="str">
        <x:v>OPEN</x:v>
      </x:c>
    </x:row>
    <x:row r="329" ht="36" customHeight="1">
      <x:c r="B329" s="7" t="str">
        <x:v>RAE-E-14-P11</x:v>
      </x:c>
      <x:c r="C329" s="7" t="str">
        <x:v>RAE-E-14</x:v>
      </x:c>
      <x:c r="D329" s="7" t="str">
        <x:v>RFP-A2</x:v>
      </x:c>
      <x:c r="E329" s="7" t="str">
        <x:v>AM-06</x:v>
      </x:c>
      <x:c r="F329" s="7" t="str">
        <x:v>TR-A</x:v>
      </x:c>
      <x:c r="G329" s="7" t="str">
        <x:v>QE-02</x:v>
      </x:c>
      <x:c r="H329" s="7" t="str">
        <x:v>P11</x:v>
      </x:c>
      <x:c r="I329" s="7" t="str">
        <x:v>T-60s</x:v>
      </x:c>
      <x:c r="J329" s="10" t="str">
        <x:v>full-rate capture</x:v>
      </x:c>
      <x:c r="K329" s="7" t="str"/>
      <x:c r="L329" s="10" t="str"/>
      <x:c r="M329" s="7" t="str">
        <x:v>OPEN</x:v>
      </x:c>
    </x:row>
    <x:row r="330" ht="36" customHeight="1">
      <x:c r="B330" s="7" t="str">
        <x:v>RAE-E-14-P12</x:v>
      </x:c>
      <x:c r="C330" s="7" t="str">
        <x:v>RAE-E-14</x:v>
      </x:c>
      <x:c r="D330" s="7" t="str">
        <x:v>RFP-A2</x:v>
      </x:c>
      <x:c r="E330" s="7" t="str">
        <x:v>AM-06</x:v>
      </x:c>
      <x:c r="F330" s="7" t="str">
        <x:v>TR-A</x:v>
      </x:c>
      <x:c r="G330" s="7" t="str">
        <x:v>QE-02</x:v>
      </x:c>
      <x:c r="H330" s="7" t="str">
        <x:v>P12</x:v>
      </x:c>
      <x:c r="I330" s="7" t="str">
        <x:v>T-10s</x:v>
      </x:c>
      <x:c r="J330" s="10" t="str">
        <x:v>registered challenge state</x:v>
      </x:c>
      <x:c r="K330" s="7" t="str"/>
      <x:c r="L330" s="10" t="str"/>
      <x:c r="M330" s="7" t="str">
        <x:v>OPEN</x:v>
      </x:c>
    </x:row>
    <x:row r="331" ht="36" customHeight="1">
      <x:c r="B331" s="7" t="str">
        <x:v>RAE-E-14-P13</x:v>
      </x:c>
      <x:c r="C331" s="7" t="str">
        <x:v>RAE-E-14</x:v>
      </x:c>
      <x:c r="D331" s="7" t="str">
        <x:v>RFP-A2</x:v>
      </x:c>
      <x:c r="E331" s="7" t="str">
        <x:v>AM-06</x:v>
      </x:c>
      <x:c r="F331" s="7" t="str">
        <x:v>TR-A</x:v>
      </x:c>
      <x:c r="G331" s="7" t="str">
        <x:v>QE-02</x:v>
      </x:c>
      <x:c r="H331" s="7" t="str">
        <x:v>P13</x:v>
      </x:c>
      <x:c r="I331" s="7" t="str">
        <x:v>T0</x:v>
      </x:c>
      <x:c r="J331" s="10" t="str">
        <x:v>source command or zero-source marker</x:v>
      </x:c>
      <x:c r="K331" s="7" t="str"/>
      <x:c r="L331" s="10" t="str"/>
      <x:c r="M331" s="7" t="str">
        <x:v>OPEN</x:v>
      </x:c>
    </x:row>
    <x:row r="332" ht="36" customHeight="1">
      <x:c r="B332" s="7" t="str">
        <x:v>RAE-E-14-P14</x:v>
      </x:c>
      <x:c r="C332" s="7" t="str">
        <x:v>RAE-E-14</x:v>
      </x:c>
      <x:c r="D332" s="7" t="str">
        <x:v>RFP-A2</x:v>
      </x:c>
      <x:c r="E332" s="7" t="str">
        <x:v>AM-06</x:v>
      </x:c>
      <x:c r="F332" s="7" t="str">
        <x:v>TR-A</x:v>
      </x:c>
      <x:c r="G332" s="7" t="str">
        <x:v>QE-02</x:v>
      </x:c>
      <x:c r="H332" s="7" t="str">
        <x:v>P14</x:v>
      </x:c>
      <x:c r="I332" s="7" t="str">
        <x:v>T+2s</x:v>
      </x:c>
      <x:c r="J332" s="10" t="str">
        <x:v>inlet and dispenser final state</x:v>
      </x:c>
      <x:c r="K332" s="7" t="str"/>
      <x:c r="L332" s="10" t="str"/>
      <x:c r="M332" s="7" t="str">
        <x:v>OPEN</x:v>
      </x:c>
    </x:row>
    <x:row r="333" ht="36" customHeight="1">
      <x:c r="B333" s="7" t="str">
        <x:v>RAE-E-14-P15</x:v>
      </x:c>
      <x:c r="C333" s="7" t="str">
        <x:v>RAE-E-14</x:v>
      </x:c>
      <x:c r="D333" s="7" t="str">
        <x:v>RFP-A2</x:v>
      </x:c>
      <x:c r="E333" s="7" t="str">
        <x:v>AM-06</x:v>
      </x:c>
      <x:c r="F333" s="7" t="str">
        <x:v>TR-A</x:v>
      </x:c>
      <x:c r="G333" s="7" t="str">
        <x:v>QE-02</x:v>
      </x:c>
      <x:c r="H333" s="7" t="str">
        <x:v>P15</x:v>
      </x:c>
      <x:c r="I333" s="7" t="str">
        <x:v>T+15s</x:v>
      </x:c>
      <x:c r="J333" s="10" t="str">
        <x:v>AM-06 QE-02 ignition opportunity</x:v>
      </x:c>
      <x:c r="K333" s="7" t="str"/>
      <x:c r="L333" s="10" t="str"/>
      <x:c r="M333" s="7" t="str">
        <x:v>OPEN</x:v>
      </x:c>
    </x:row>
    <x:row r="334" ht="36" customHeight="1">
      <x:c r="B334" s="7" t="str">
        <x:v>RAE-E-14-P16</x:v>
      </x:c>
      <x:c r="C334" s="7" t="str">
        <x:v>RAE-E-14</x:v>
      </x:c>
      <x:c r="D334" s="7" t="str">
        <x:v>RFP-A2</x:v>
      </x:c>
      <x:c r="E334" s="7" t="str">
        <x:v>AM-06</x:v>
      </x:c>
      <x:c r="F334" s="7" t="str">
        <x:v>TR-A</x:v>
      </x:c>
      <x:c r="G334" s="7" t="str">
        <x:v>QE-02</x:v>
      </x:c>
      <x:c r="H334" s="7" t="str">
        <x:v>P16</x:v>
      </x:c>
      <x:c r="I334" s="7" t="str">
        <x:v>T+30s</x:v>
      </x:c>
      <x:c r="J334" s="10" t="str">
        <x:v>terminal-source decision</x:v>
      </x:c>
      <x:c r="K334" s="7" t="str"/>
      <x:c r="L334" s="10" t="str"/>
      <x:c r="M334" s="7" t="str">
        <x:v>OPEN</x:v>
      </x:c>
    </x:row>
    <x:row r="335" ht="36" customHeight="1">
      <x:c r="B335" s="7" t="str">
        <x:v>RAE-E-14-P17</x:v>
      </x:c>
      <x:c r="C335" s="7" t="str">
        <x:v>RAE-E-14</x:v>
      </x:c>
      <x:c r="D335" s="7" t="str">
        <x:v>RFP-A2</x:v>
      </x:c>
      <x:c r="E335" s="7" t="str">
        <x:v>AM-06</x:v>
      </x:c>
      <x:c r="F335" s="7" t="str">
        <x:v>TR-A</x:v>
      </x:c>
      <x:c r="G335" s="7" t="str">
        <x:v>QE-02</x:v>
      </x:c>
      <x:c r="H335" s="7" t="str">
        <x:v>P17</x:v>
      </x:c>
      <x:c r="I335" s="7" t="str">
        <x:v>T+120s</x:v>
      </x:c>
      <x:c r="J335" s="10" t="str">
        <x:v>public schedule end</x:v>
      </x:c>
      <x:c r="K335" s="7" t="str"/>
      <x:c r="L335" s="10" t="str"/>
      <x:c r="M335" s="7" t="str">
        <x:v>OPEN</x:v>
      </x:c>
    </x:row>
    <x:row r="336" ht="36" customHeight="1">
      <x:c r="B336" s="7" t="str">
        <x:v>RAE-E-14-P18</x:v>
      </x:c>
      <x:c r="C336" s="7" t="str">
        <x:v>RAE-E-14</x:v>
      </x:c>
      <x:c r="D336" s="7" t="str">
        <x:v>RFP-A2</x:v>
      </x:c>
      <x:c r="E336" s="7" t="str">
        <x:v>AM-06</x:v>
      </x:c>
      <x:c r="F336" s="7" t="str">
        <x:v>TR-A</x:v>
      </x:c>
      <x:c r="G336" s="7" t="str">
        <x:v>QE-02</x:v>
      </x:c>
      <x:c r="H336" s="7" t="str">
        <x:v>P18</x:v>
      </x:c>
      <x:c r="I336" s="7" t="str">
        <x:v>T+15min</x:v>
      </x:c>
      <x:c r="J336" s="10" t="str">
        <x:v>thermal and water classification</x:v>
      </x:c>
      <x:c r="K336" s="7" t="str"/>
      <x:c r="L336" s="10" t="str"/>
      <x:c r="M336" s="7" t="str">
        <x:v>OPEN</x:v>
      </x:c>
    </x:row>
    <x:row r="337" ht="36" customHeight="1">
      <x:c r="B337" s="7" t="str">
        <x:v>RAE-E-14-P19</x:v>
      </x:c>
      <x:c r="C337" s="7" t="str">
        <x:v>RAE-E-14</x:v>
      </x:c>
      <x:c r="D337" s="7" t="str">
        <x:v>RFP-A2</x:v>
      </x:c>
      <x:c r="E337" s="7" t="str">
        <x:v>AM-06</x:v>
      </x:c>
      <x:c r="F337" s="7" t="str">
        <x:v>TR-A</x:v>
      </x:c>
      <x:c r="G337" s="7" t="str">
        <x:v>QE-02</x:v>
      </x:c>
      <x:c r="H337" s="7" t="str">
        <x:v>P19</x:v>
      </x:c>
      <x:c r="I337" s="7" t="str">
        <x:v>T+30min</x:v>
      </x:c>
      <x:c r="J337" s="10" t="str">
        <x:v>public intervention classification</x:v>
      </x:c>
      <x:c r="K337" s="7" t="str"/>
      <x:c r="L337" s="10" t="str"/>
      <x:c r="M337" s="7" t="str">
        <x:v>OPEN</x:v>
      </x:c>
    </x:row>
    <x:row r="338" ht="36" customHeight="1">
      <x:c r="B338" s="7" t="str">
        <x:v>RAE-E-14-P20</x:v>
      </x:c>
      <x:c r="C338" s="7" t="str">
        <x:v>RAE-E-14</x:v>
      </x:c>
      <x:c r="D338" s="7" t="str">
        <x:v>RFP-A2</x:v>
      </x:c>
      <x:c r="E338" s="7" t="str">
        <x:v>AM-06</x:v>
      </x:c>
      <x:c r="F338" s="7" t="str">
        <x:v>TR-A</x:v>
      </x:c>
      <x:c r="G338" s="7" t="str">
        <x:v>QE-02</x:v>
      </x:c>
      <x:c r="H338" s="7" t="str">
        <x:v>P20</x:v>
      </x:c>
      <x:c r="I338" s="7" t="str">
        <x:v>T+60min</x:v>
      </x:c>
      <x:c r="J338" s="10" t="str">
        <x:v>remote-entry classification</x:v>
      </x:c>
      <x:c r="K338" s="7" t="str"/>
      <x:c r="L338" s="10" t="str"/>
      <x:c r="M338" s="7" t="str">
        <x:v>OPEN</x:v>
      </x:c>
    </x:row>
    <x:row r="339" ht="36" customHeight="1">
      <x:c r="B339" s="7" t="str">
        <x:v>RAE-E-14-P21</x:v>
      </x:c>
      <x:c r="C339" s="7" t="str">
        <x:v>RAE-E-14</x:v>
      </x:c>
      <x:c r="D339" s="7" t="str">
        <x:v>RFP-A2</x:v>
      </x:c>
      <x:c r="E339" s="7" t="str">
        <x:v>AM-06</x:v>
      </x:c>
      <x:c r="F339" s="7" t="str">
        <x:v>TR-A</x:v>
      </x:c>
      <x:c r="G339" s="7" t="str">
        <x:v>QE-02</x:v>
      </x:c>
      <x:c r="H339" s="7" t="str">
        <x:v>P21</x:v>
      </x:c>
      <x:c r="I339" s="7" t="str">
        <x:v>T+6h</x:v>
      </x:c>
      <x:c r="J339" s="10" t="str">
        <x:v>evidence tail closure</x:v>
      </x:c>
      <x:c r="K339" s="7" t="str"/>
      <x:c r="L339" s="10" t="str"/>
      <x:c r="M339" s="7" t="str">
        <x:v>OPEN</x:v>
      </x:c>
    </x:row>
    <x:row r="340" ht="36" customHeight="1">
      <x:c r="B340" s="7" t="str">
        <x:v>RAE-E-14-P22</x:v>
      </x:c>
      <x:c r="C340" s="7" t="str">
        <x:v>RAE-E-14</x:v>
      </x:c>
      <x:c r="D340" s="7" t="str">
        <x:v>RFP-A2</x:v>
      </x:c>
      <x:c r="E340" s="7" t="str">
        <x:v>AM-06</x:v>
      </x:c>
      <x:c r="F340" s="7" t="str">
        <x:v>TR-A</x:v>
      </x:c>
      <x:c r="G340" s="7" t="str">
        <x:v>QE-02</x:v>
      </x:c>
      <x:c r="H340" s="7" t="str">
        <x:v>P22</x:v>
      </x:c>
      <x:c r="I340" s="7" t="str">
        <x:v>T+24h</x:v>
      </x:c>
      <x:c r="J340" s="10" t="str">
        <x:v>physical ledger closure</x:v>
      </x:c>
      <x:c r="K340" s="7" t="str"/>
      <x:c r="L340" s="10" t="str"/>
      <x:c r="M340" s="7" t="str">
        <x:v>OPEN</x:v>
      </x:c>
    </x:row>
    <x:row r="341" ht="36" customHeight="1">
      <x:c r="B341" s="7" t="str">
        <x:v>RAE-E-14-P23</x:v>
      </x:c>
      <x:c r="C341" s="7" t="str">
        <x:v>RAE-E-14</x:v>
      </x:c>
      <x:c r="D341" s="7" t="str">
        <x:v>RFP-A2</x:v>
      </x:c>
      <x:c r="E341" s="7" t="str">
        <x:v>AM-06</x:v>
      </x:c>
      <x:c r="F341" s="7" t="str">
        <x:v>TR-A</x:v>
      </x:c>
      <x:c r="G341" s="7" t="str">
        <x:v>QE-02</x:v>
      </x:c>
      <x:c r="H341" s="7" t="str">
        <x:v>P23</x:v>
      </x:c>
      <x:c r="I341" s="7" t="str">
        <x:v>T+72h</x:v>
      </x:c>
      <x:c r="J341" s="10" t="str">
        <x:v>immutable packet freeze</x:v>
      </x:c>
      <x:c r="K341" s="7" t="str"/>
      <x:c r="L341" s="10" t="str"/>
      <x:c r="M341" s="7" t="str">
        <x:v>OPEN</x:v>
      </x:c>
    </x:row>
    <x:row r="342" ht="36" customHeight="1">
      <x:c r="B342" s="7" t="str">
        <x:v>RAE-E-14-P24</x:v>
      </x:c>
      <x:c r="C342" s="7" t="str">
        <x:v>RAE-E-14</x:v>
      </x:c>
      <x:c r="D342" s="7" t="str">
        <x:v>RFP-A2</x:v>
      </x:c>
      <x:c r="E342" s="7" t="str">
        <x:v>AM-06</x:v>
      </x:c>
      <x:c r="F342" s="7" t="str">
        <x:v>TR-A</x:v>
      </x:c>
      <x:c r="G342" s="7" t="str">
        <x:v>QE-02</x:v>
      </x:c>
      <x:c r="H342" s="7" t="str">
        <x:v>P24</x:v>
      </x:c>
      <x:c r="I342" s="7" t="str">
        <x:v>day 7</x:v>
      </x:c>
      <x:c r="J342" s="10" t="str">
        <x:v>validity and outcome board</x:v>
      </x:c>
      <x:c r="K342" s="7" t="str"/>
      <x:c r="L342" s="10" t="str"/>
      <x:c r="M342" s="7" t="str">
        <x:v>OPEN</x:v>
      </x:c>
    </x:row>
    <x:row r="343" ht="36" customHeight="1">
      <x:c r="B343" s="7" t="str">
        <x:v>RAE-E-15-P01</x:v>
      </x:c>
      <x:c r="C343" s="7" t="str">
        <x:v>RAE-E-15</x:v>
      </x:c>
      <x:c r="D343" s="7" t="str">
        <x:v>RFP-A2</x:v>
      </x:c>
      <x:c r="E343" s="7" t="str">
        <x:v>AM-06</x:v>
      </x:c>
      <x:c r="F343" s="7" t="str">
        <x:v>TR-B</x:v>
      </x:c>
      <x:c r="G343" s="7" t="str">
        <x:v>QE-01</x:v>
      </x:c>
      <x:c r="H343" s="7" t="str">
        <x:v>P01</x:v>
      </x:c>
      <x:c r="I343" s="7" t="str">
        <x:v>T-96h</x:v>
      </x:c>
      <x:c r="J343" s="10" t="str">
        <x:v>baseline freeze</x:v>
      </x:c>
      <x:c r="K343" s="7" t="str"/>
      <x:c r="L343" s="10" t="str"/>
      <x:c r="M343" s="7" t="str">
        <x:v>OPEN</x:v>
      </x:c>
    </x:row>
    <x:row r="344" ht="36" customHeight="1">
      <x:c r="B344" s="7" t="str">
        <x:v>RAE-E-15-P02</x:v>
      </x:c>
      <x:c r="C344" s="7" t="str">
        <x:v>RAE-E-15</x:v>
      </x:c>
      <x:c r="D344" s="7" t="str">
        <x:v>RFP-A2</x:v>
      </x:c>
      <x:c r="E344" s="7" t="str">
        <x:v>AM-06</x:v>
      </x:c>
      <x:c r="F344" s="7" t="str">
        <x:v>TR-B</x:v>
      </x:c>
      <x:c r="G344" s="7" t="str">
        <x:v>QE-01</x:v>
      </x:c>
      <x:c r="H344" s="7" t="str">
        <x:v>P02</x:v>
      </x:c>
      <x:c r="I344" s="7" t="str">
        <x:v>T-72h</x:v>
      </x:c>
      <x:c r="J344" s="10" t="str">
        <x:v>source and water custody freeze</x:v>
      </x:c>
      <x:c r="K344" s="7" t="str"/>
      <x:c r="L344" s="10" t="str"/>
      <x:c r="M344" s="7" t="str">
        <x:v>OPEN</x:v>
      </x:c>
    </x:row>
    <x:row r="345" ht="36" customHeight="1">
      <x:c r="B345" s="7" t="str">
        <x:v>RAE-E-15-P03</x:v>
      </x:c>
      <x:c r="C345" s="7" t="str">
        <x:v>RAE-E-15</x:v>
      </x:c>
      <x:c r="D345" s="7" t="str">
        <x:v>RFP-A2</x:v>
      </x:c>
      <x:c r="E345" s="7" t="str">
        <x:v>AM-06</x:v>
      </x:c>
      <x:c r="F345" s="7" t="str">
        <x:v>TR-B</x:v>
      </x:c>
      <x:c r="G345" s="7" t="str">
        <x:v>QE-01</x:v>
      </x:c>
      <x:c r="H345" s="7" t="str">
        <x:v>P03</x:v>
      </x:c>
      <x:c r="I345" s="7" t="str">
        <x:v>T-48h</x:v>
      </x:c>
      <x:c r="J345" s="10" t="str">
        <x:v>article and configuration identity</x:v>
      </x:c>
      <x:c r="K345" s="7" t="str"/>
      <x:c r="L345" s="10" t="str"/>
      <x:c r="M345" s="7" t="str">
        <x:v>OPEN</x:v>
      </x:c>
    </x:row>
    <x:row r="346" ht="36" customHeight="1">
      <x:c r="B346" s="7" t="str">
        <x:v>RAE-E-15-P04</x:v>
      </x:c>
      <x:c r="C346" s="7" t="str">
        <x:v>RAE-E-15</x:v>
      </x:c>
      <x:c r="D346" s="7" t="str">
        <x:v>RFP-A2</x:v>
      </x:c>
      <x:c r="E346" s="7" t="str">
        <x:v>AM-06</x:v>
      </x:c>
      <x:c r="F346" s="7" t="str">
        <x:v>TR-B</x:v>
      </x:c>
      <x:c r="G346" s="7" t="str">
        <x:v>QE-01</x:v>
      </x:c>
      <x:c r="H346" s="7" t="str">
        <x:v>P04</x:v>
      </x:c>
      <x:c r="I346" s="7" t="str">
        <x:v>T-24h</x:v>
      </x:c>
      <x:c r="J346" s="10" t="str">
        <x:v>environment and recovery readiness</x:v>
      </x:c>
      <x:c r="K346" s="7" t="str"/>
      <x:c r="L346" s="10" t="str"/>
      <x:c r="M346" s="7" t="str">
        <x:v>OPEN</x:v>
      </x:c>
    </x:row>
    <x:row r="347" ht="36" customHeight="1">
      <x:c r="B347" s="7" t="str">
        <x:v>RAE-E-15-P05</x:v>
      </x:c>
      <x:c r="C347" s="7" t="str">
        <x:v>RAE-E-15</x:v>
      </x:c>
      <x:c r="D347" s="7" t="str">
        <x:v>RFP-A2</x:v>
      </x:c>
      <x:c r="E347" s="7" t="str">
        <x:v>AM-06</x:v>
      </x:c>
      <x:c r="F347" s="7" t="str">
        <x:v>TR-B</x:v>
      </x:c>
      <x:c r="G347" s="7" t="str">
        <x:v>QE-01</x:v>
      </x:c>
      <x:c r="H347" s="7" t="str">
        <x:v>P05</x:v>
      </x:c>
      <x:c r="I347" s="7" t="str">
        <x:v>T-12h</x:v>
      </x:c>
      <x:c r="J347" s="10" t="str">
        <x:v>rescue posture</x:v>
      </x:c>
      <x:c r="K347" s="7" t="str"/>
      <x:c r="L347" s="10" t="str"/>
      <x:c r="M347" s="7" t="str">
        <x:v>OPEN</x:v>
      </x:c>
    </x:row>
    <x:row r="348" ht="36" customHeight="1">
      <x:c r="B348" s="7" t="str">
        <x:v>RAE-E-15-P06</x:v>
      </x:c>
      <x:c r="C348" s="7" t="str">
        <x:v>RAE-E-15</x:v>
      </x:c>
      <x:c r="D348" s="7" t="str">
        <x:v>RFP-A2</x:v>
      </x:c>
      <x:c r="E348" s="7" t="str">
        <x:v>AM-06</x:v>
      </x:c>
      <x:c r="F348" s="7" t="str">
        <x:v>TR-B</x:v>
      </x:c>
      <x:c r="G348" s="7" t="str">
        <x:v>QE-01</x:v>
      </x:c>
      <x:c r="H348" s="7" t="str">
        <x:v>P06</x:v>
      </x:c>
      <x:c r="I348" s="7" t="str">
        <x:v>T-6h</x:v>
      </x:c>
      <x:c r="J348" s="10" t="str">
        <x:v>calibration before state</x:v>
      </x:c>
      <x:c r="K348" s="7" t="str"/>
      <x:c r="L348" s="10" t="str"/>
      <x:c r="M348" s="7" t="str">
        <x:v>OPEN</x:v>
      </x:c>
    </x:row>
    <x:row r="349" ht="36" customHeight="1">
      <x:c r="B349" s="7" t="str">
        <x:v>RAE-E-15-P07</x:v>
      </x:c>
      <x:c r="C349" s="7" t="str">
        <x:v>RAE-E-15</x:v>
      </x:c>
      <x:c r="D349" s="7" t="str">
        <x:v>RFP-A2</x:v>
      </x:c>
      <x:c r="E349" s="7" t="str">
        <x:v>AM-06</x:v>
      </x:c>
      <x:c r="F349" s="7" t="str">
        <x:v>TR-B</x:v>
      </x:c>
      <x:c r="G349" s="7" t="str">
        <x:v>QE-01</x:v>
      </x:c>
      <x:c r="H349" s="7" t="str">
        <x:v>P07</x:v>
      </x:c>
      <x:c r="I349" s="7" t="str">
        <x:v>T-2h</x:v>
      </x:c>
      <x:c r="J349" s="10" t="str">
        <x:v>receiver initial-volume proof</x:v>
      </x:c>
      <x:c r="K349" s="7" t="str"/>
      <x:c r="L349" s="10" t="str"/>
      <x:c r="M349" s="7" t="str">
        <x:v>OPEN</x:v>
      </x:c>
    </x:row>
    <x:row r="350" ht="36" customHeight="1">
      <x:c r="B350" s="7" t="str">
        <x:v>RAE-E-15-P08</x:v>
      </x:c>
      <x:c r="C350" s="7" t="str">
        <x:v>RAE-E-15</x:v>
      </x:c>
      <x:c r="D350" s="7" t="str">
        <x:v>RFP-A2</x:v>
      </x:c>
      <x:c r="E350" s="7" t="str">
        <x:v>AM-06</x:v>
      </x:c>
      <x:c r="F350" s="7" t="str">
        <x:v>TR-B</x:v>
      </x:c>
      <x:c r="G350" s="7" t="str">
        <x:v>QE-01</x:v>
      </x:c>
      <x:c r="H350" s="7" t="str">
        <x:v>P08</x:v>
      </x:c>
      <x:c r="I350" s="7" t="str">
        <x:v>T-60min</x:v>
      </x:c>
      <x:c r="J350" s="10" t="str">
        <x:v>neighbor inert-state proof</x:v>
      </x:c>
      <x:c r="K350" s="7" t="str"/>
      <x:c r="L350" s="10" t="str"/>
      <x:c r="M350" s="7" t="str">
        <x:v>OPEN</x:v>
      </x:c>
    </x:row>
    <x:row r="351" ht="36" customHeight="1">
      <x:c r="B351" s="7" t="str">
        <x:v>RAE-E-15-P09</x:v>
      </x:c>
      <x:c r="C351" s="7" t="str">
        <x:v>RAE-E-15</x:v>
      </x:c>
      <x:c r="D351" s="7" t="str">
        <x:v>RFP-A2</x:v>
      </x:c>
      <x:c r="E351" s="7" t="str">
        <x:v>AM-06</x:v>
      </x:c>
      <x:c r="F351" s="7" t="str">
        <x:v>TR-B</x:v>
      </x:c>
      <x:c r="G351" s="7" t="str">
        <x:v>QE-01</x:v>
      </x:c>
      <x:c r="H351" s="7" t="str">
        <x:v>P09</x:v>
      </x:c>
      <x:c r="I351" s="7" t="str">
        <x:v>T-30min</x:v>
      </x:c>
      <x:c r="J351" s="10" t="str">
        <x:v>native evidence armed</x:v>
      </x:c>
      <x:c r="K351" s="7" t="str"/>
      <x:c r="L351" s="10" t="str"/>
      <x:c r="M351" s="7" t="str">
        <x:v>OPEN</x:v>
      </x:c>
    </x:row>
    <x:row r="352" ht="36" customHeight="1">
      <x:c r="B352" s="7" t="str">
        <x:v>RAE-E-15-P10</x:v>
      </x:c>
      <x:c r="C352" s="7" t="str">
        <x:v>RAE-E-15</x:v>
      </x:c>
      <x:c r="D352" s="7" t="str">
        <x:v>RFP-A2</x:v>
      </x:c>
      <x:c r="E352" s="7" t="str">
        <x:v>AM-06</x:v>
      </x:c>
      <x:c r="F352" s="7" t="str">
        <x:v>TR-B</x:v>
      </x:c>
      <x:c r="G352" s="7" t="str">
        <x:v>QE-01</x:v>
      </x:c>
      <x:c r="H352" s="7" t="str">
        <x:v>P10</x:v>
      </x:c>
      <x:c r="I352" s="7" t="str">
        <x:v>T-10min</x:v>
      </x:c>
      <x:c r="J352" s="10" t="str">
        <x:v>final control poll</x:v>
      </x:c>
      <x:c r="K352" s="7" t="str"/>
      <x:c r="L352" s="10" t="str"/>
      <x:c r="M352" s="7" t="str">
        <x:v>OPEN</x:v>
      </x:c>
    </x:row>
    <x:row r="353" ht="36" customHeight="1">
      <x:c r="B353" s="7" t="str">
        <x:v>RAE-E-15-P11</x:v>
      </x:c>
      <x:c r="C353" s="7" t="str">
        <x:v>RAE-E-15</x:v>
      </x:c>
      <x:c r="D353" s="7" t="str">
        <x:v>RFP-A2</x:v>
      </x:c>
      <x:c r="E353" s="7" t="str">
        <x:v>AM-06</x:v>
      </x:c>
      <x:c r="F353" s="7" t="str">
        <x:v>TR-B</x:v>
      </x:c>
      <x:c r="G353" s="7" t="str">
        <x:v>QE-01</x:v>
      </x:c>
      <x:c r="H353" s="7" t="str">
        <x:v>P11</x:v>
      </x:c>
      <x:c r="I353" s="7" t="str">
        <x:v>T-60s</x:v>
      </x:c>
      <x:c r="J353" s="10" t="str">
        <x:v>full-rate capture</x:v>
      </x:c>
      <x:c r="K353" s="7" t="str"/>
      <x:c r="L353" s="10" t="str"/>
      <x:c r="M353" s="7" t="str">
        <x:v>OPEN</x:v>
      </x:c>
    </x:row>
    <x:row r="354" ht="36" customHeight="1">
      <x:c r="B354" s="7" t="str">
        <x:v>RAE-E-15-P12</x:v>
      </x:c>
      <x:c r="C354" s="7" t="str">
        <x:v>RAE-E-15</x:v>
      </x:c>
      <x:c r="D354" s="7" t="str">
        <x:v>RFP-A2</x:v>
      </x:c>
      <x:c r="E354" s="7" t="str">
        <x:v>AM-06</x:v>
      </x:c>
      <x:c r="F354" s="7" t="str">
        <x:v>TR-B</x:v>
      </x:c>
      <x:c r="G354" s="7" t="str">
        <x:v>QE-01</x:v>
      </x:c>
      <x:c r="H354" s="7" t="str">
        <x:v>P12</x:v>
      </x:c>
      <x:c r="I354" s="7" t="str">
        <x:v>T-10s</x:v>
      </x:c>
      <x:c r="J354" s="10" t="str">
        <x:v>registered challenge state</x:v>
      </x:c>
      <x:c r="K354" s="7" t="str"/>
      <x:c r="L354" s="10" t="str"/>
      <x:c r="M354" s="7" t="str">
        <x:v>OPEN</x:v>
      </x:c>
    </x:row>
    <x:row r="355" ht="36" customHeight="1">
      <x:c r="B355" s="7" t="str">
        <x:v>RAE-E-15-P13</x:v>
      </x:c>
      <x:c r="C355" s="7" t="str">
        <x:v>RAE-E-15</x:v>
      </x:c>
      <x:c r="D355" s="7" t="str">
        <x:v>RFP-A2</x:v>
      </x:c>
      <x:c r="E355" s="7" t="str">
        <x:v>AM-06</x:v>
      </x:c>
      <x:c r="F355" s="7" t="str">
        <x:v>TR-B</x:v>
      </x:c>
      <x:c r="G355" s="7" t="str">
        <x:v>QE-01</x:v>
      </x:c>
      <x:c r="H355" s="7" t="str">
        <x:v>P13</x:v>
      </x:c>
      <x:c r="I355" s="7" t="str">
        <x:v>T0</x:v>
      </x:c>
      <x:c r="J355" s="10" t="str">
        <x:v>source command or zero-source marker</x:v>
      </x:c>
      <x:c r="K355" s="7" t="str"/>
      <x:c r="L355" s="10" t="str"/>
      <x:c r="M355" s="7" t="str">
        <x:v>OPEN</x:v>
      </x:c>
    </x:row>
    <x:row r="356" ht="36" customHeight="1">
      <x:c r="B356" s="7" t="str">
        <x:v>RAE-E-15-P14</x:v>
      </x:c>
      <x:c r="C356" s="7" t="str">
        <x:v>RAE-E-15</x:v>
      </x:c>
      <x:c r="D356" s="7" t="str">
        <x:v>RFP-A2</x:v>
      </x:c>
      <x:c r="E356" s="7" t="str">
        <x:v>AM-06</x:v>
      </x:c>
      <x:c r="F356" s="7" t="str">
        <x:v>TR-B</x:v>
      </x:c>
      <x:c r="G356" s="7" t="str">
        <x:v>QE-01</x:v>
      </x:c>
      <x:c r="H356" s="7" t="str">
        <x:v>P14</x:v>
      </x:c>
      <x:c r="I356" s="7" t="str">
        <x:v>T+2s</x:v>
      </x:c>
      <x:c r="J356" s="10" t="str">
        <x:v>inlet and dispenser final state</x:v>
      </x:c>
      <x:c r="K356" s="7" t="str"/>
      <x:c r="L356" s="10" t="str"/>
      <x:c r="M356" s="7" t="str">
        <x:v>OPEN</x:v>
      </x:c>
    </x:row>
    <x:row r="357" ht="36" customHeight="1">
      <x:c r="B357" s="7" t="str">
        <x:v>RAE-E-15-P15</x:v>
      </x:c>
      <x:c r="C357" s="7" t="str">
        <x:v>RAE-E-15</x:v>
      </x:c>
      <x:c r="D357" s="7" t="str">
        <x:v>RFP-A2</x:v>
      </x:c>
      <x:c r="E357" s="7" t="str">
        <x:v>AM-06</x:v>
      </x:c>
      <x:c r="F357" s="7" t="str">
        <x:v>TR-B</x:v>
      </x:c>
      <x:c r="G357" s="7" t="str">
        <x:v>QE-01</x:v>
      </x:c>
      <x:c r="H357" s="7" t="str">
        <x:v>P15</x:v>
      </x:c>
      <x:c r="I357" s="7" t="str">
        <x:v>T+15s</x:v>
      </x:c>
      <x:c r="J357" s="10" t="str">
        <x:v>AM-06 QE-02 ignition opportunity</x:v>
      </x:c>
      <x:c r="K357" s="7" t="str"/>
      <x:c r="L357" s="10" t="str"/>
      <x:c r="M357" s="7" t="str">
        <x:v>OPEN</x:v>
      </x:c>
    </x:row>
    <x:row r="358" ht="36" customHeight="1">
      <x:c r="B358" s="7" t="str">
        <x:v>RAE-E-15-P16</x:v>
      </x:c>
      <x:c r="C358" s="7" t="str">
        <x:v>RAE-E-15</x:v>
      </x:c>
      <x:c r="D358" s="7" t="str">
        <x:v>RFP-A2</x:v>
      </x:c>
      <x:c r="E358" s="7" t="str">
        <x:v>AM-06</x:v>
      </x:c>
      <x:c r="F358" s="7" t="str">
        <x:v>TR-B</x:v>
      </x:c>
      <x:c r="G358" s="7" t="str">
        <x:v>QE-01</x:v>
      </x:c>
      <x:c r="H358" s="7" t="str">
        <x:v>P16</x:v>
      </x:c>
      <x:c r="I358" s="7" t="str">
        <x:v>T+30s</x:v>
      </x:c>
      <x:c r="J358" s="10" t="str">
        <x:v>terminal-source decision</x:v>
      </x:c>
      <x:c r="K358" s="7" t="str"/>
      <x:c r="L358" s="10" t="str"/>
      <x:c r="M358" s="7" t="str">
        <x:v>OPEN</x:v>
      </x:c>
    </x:row>
    <x:row r="359" ht="36" customHeight="1">
      <x:c r="B359" s="7" t="str">
        <x:v>RAE-E-15-P17</x:v>
      </x:c>
      <x:c r="C359" s="7" t="str">
        <x:v>RAE-E-15</x:v>
      </x:c>
      <x:c r="D359" s="7" t="str">
        <x:v>RFP-A2</x:v>
      </x:c>
      <x:c r="E359" s="7" t="str">
        <x:v>AM-06</x:v>
      </x:c>
      <x:c r="F359" s="7" t="str">
        <x:v>TR-B</x:v>
      </x:c>
      <x:c r="G359" s="7" t="str">
        <x:v>QE-01</x:v>
      </x:c>
      <x:c r="H359" s="7" t="str">
        <x:v>P17</x:v>
      </x:c>
      <x:c r="I359" s="7" t="str">
        <x:v>T+120s</x:v>
      </x:c>
      <x:c r="J359" s="10" t="str">
        <x:v>public schedule end</x:v>
      </x:c>
      <x:c r="K359" s="7" t="str"/>
      <x:c r="L359" s="10" t="str"/>
      <x:c r="M359" s="7" t="str">
        <x:v>OPEN</x:v>
      </x:c>
    </x:row>
    <x:row r="360" ht="36" customHeight="1">
      <x:c r="B360" s="7" t="str">
        <x:v>RAE-E-15-P18</x:v>
      </x:c>
      <x:c r="C360" s="7" t="str">
        <x:v>RAE-E-15</x:v>
      </x:c>
      <x:c r="D360" s="7" t="str">
        <x:v>RFP-A2</x:v>
      </x:c>
      <x:c r="E360" s="7" t="str">
        <x:v>AM-06</x:v>
      </x:c>
      <x:c r="F360" s="7" t="str">
        <x:v>TR-B</x:v>
      </x:c>
      <x:c r="G360" s="7" t="str">
        <x:v>QE-01</x:v>
      </x:c>
      <x:c r="H360" s="7" t="str">
        <x:v>P18</x:v>
      </x:c>
      <x:c r="I360" s="7" t="str">
        <x:v>T+15min</x:v>
      </x:c>
      <x:c r="J360" s="10" t="str">
        <x:v>thermal and water classification</x:v>
      </x:c>
      <x:c r="K360" s="7" t="str"/>
      <x:c r="L360" s="10" t="str"/>
      <x:c r="M360" s="7" t="str">
        <x:v>OPEN</x:v>
      </x:c>
    </x:row>
    <x:row r="361" ht="36" customHeight="1">
      <x:c r="B361" s="7" t="str">
        <x:v>RAE-E-15-P19</x:v>
      </x:c>
      <x:c r="C361" s="7" t="str">
        <x:v>RAE-E-15</x:v>
      </x:c>
      <x:c r="D361" s="7" t="str">
        <x:v>RFP-A2</x:v>
      </x:c>
      <x:c r="E361" s="7" t="str">
        <x:v>AM-06</x:v>
      </x:c>
      <x:c r="F361" s="7" t="str">
        <x:v>TR-B</x:v>
      </x:c>
      <x:c r="G361" s="7" t="str">
        <x:v>QE-01</x:v>
      </x:c>
      <x:c r="H361" s="7" t="str">
        <x:v>P19</x:v>
      </x:c>
      <x:c r="I361" s="7" t="str">
        <x:v>T+30min</x:v>
      </x:c>
      <x:c r="J361" s="10" t="str">
        <x:v>public intervention classification</x:v>
      </x:c>
      <x:c r="K361" s="7" t="str"/>
      <x:c r="L361" s="10" t="str"/>
      <x:c r="M361" s="7" t="str">
        <x:v>OPEN</x:v>
      </x:c>
    </x:row>
    <x:row r="362" ht="36" customHeight="1">
      <x:c r="B362" s="7" t="str">
        <x:v>RAE-E-15-P20</x:v>
      </x:c>
      <x:c r="C362" s="7" t="str">
        <x:v>RAE-E-15</x:v>
      </x:c>
      <x:c r="D362" s="7" t="str">
        <x:v>RFP-A2</x:v>
      </x:c>
      <x:c r="E362" s="7" t="str">
        <x:v>AM-06</x:v>
      </x:c>
      <x:c r="F362" s="7" t="str">
        <x:v>TR-B</x:v>
      </x:c>
      <x:c r="G362" s="7" t="str">
        <x:v>QE-01</x:v>
      </x:c>
      <x:c r="H362" s="7" t="str">
        <x:v>P20</x:v>
      </x:c>
      <x:c r="I362" s="7" t="str">
        <x:v>T+60min</x:v>
      </x:c>
      <x:c r="J362" s="10" t="str">
        <x:v>remote-entry classification</x:v>
      </x:c>
      <x:c r="K362" s="7" t="str"/>
      <x:c r="L362" s="10" t="str"/>
      <x:c r="M362" s="7" t="str">
        <x:v>OPEN</x:v>
      </x:c>
    </x:row>
    <x:row r="363" ht="36" customHeight="1">
      <x:c r="B363" s="7" t="str">
        <x:v>RAE-E-15-P21</x:v>
      </x:c>
      <x:c r="C363" s="7" t="str">
        <x:v>RAE-E-15</x:v>
      </x:c>
      <x:c r="D363" s="7" t="str">
        <x:v>RFP-A2</x:v>
      </x:c>
      <x:c r="E363" s="7" t="str">
        <x:v>AM-06</x:v>
      </x:c>
      <x:c r="F363" s="7" t="str">
        <x:v>TR-B</x:v>
      </x:c>
      <x:c r="G363" s="7" t="str">
        <x:v>QE-01</x:v>
      </x:c>
      <x:c r="H363" s="7" t="str">
        <x:v>P21</x:v>
      </x:c>
      <x:c r="I363" s="7" t="str">
        <x:v>T+6h</x:v>
      </x:c>
      <x:c r="J363" s="10" t="str">
        <x:v>evidence tail closure</x:v>
      </x:c>
      <x:c r="K363" s="7" t="str"/>
      <x:c r="L363" s="10" t="str"/>
      <x:c r="M363" s="7" t="str">
        <x:v>OPEN</x:v>
      </x:c>
    </x:row>
    <x:row r="364" ht="36" customHeight="1">
      <x:c r="B364" s="7" t="str">
        <x:v>RAE-E-15-P22</x:v>
      </x:c>
      <x:c r="C364" s="7" t="str">
        <x:v>RAE-E-15</x:v>
      </x:c>
      <x:c r="D364" s="7" t="str">
        <x:v>RFP-A2</x:v>
      </x:c>
      <x:c r="E364" s="7" t="str">
        <x:v>AM-06</x:v>
      </x:c>
      <x:c r="F364" s="7" t="str">
        <x:v>TR-B</x:v>
      </x:c>
      <x:c r="G364" s="7" t="str">
        <x:v>QE-01</x:v>
      </x:c>
      <x:c r="H364" s="7" t="str">
        <x:v>P22</x:v>
      </x:c>
      <x:c r="I364" s="7" t="str">
        <x:v>T+24h</x:v>
      </x:c>
      <x:c r="J364" s="10" t="str">
        <x:v>physical ledger closure</x:v>
      </x:c>
      <x:c r="K364" s="7" t="str"/>
      <x:c r="L364" s="10" t="str"/>
      <x:c r="M364" s="7" t="str">
        <x:v>OPEN</x:v>
      </x:c>
    </x:row>
    <x:row r="365" ht="36" customHeight="1">
      <x:c r="B365" s="7" t="str">
        <x:v>RAE-E-15-P23</x:v>
      </x:c>
      <x:c r="C365" s="7" t="str">
        <x:v>RAE-E-15</x:v>
      </x:c>
      <x:c r="D365" s="7" t="str">
        <x:v>RFP-A2</x:v>
      </x:c>
      <x:c r="E365" s="7" t="str">
        <x:v>AM-06</x:v>
      </x:c>
      <x:c r="F365" s="7" t="str">
        <x:v>TR-B</x:v>
      </x:c>
      <x:c r="G365" s="7" t="str">
        <x:v>QE-01</x:v>
      </x:c>
      <x:c r="H365" s="7" t="str">
        <x:v>P23</x:v>
      </x:c>
      <x:c r="I365" s="7" t="str">
        <x:v>T+72h</x:v>
      </x:c>
      <x:c r="J365" s="10" t="str">
        <x:v>immutable packet freeze</x:v>
      </x:c>
      <x:c r="K365" s="7" t="str"/>
      <x:c r="L365" s="10" t="str"/>
      <x:c r="M365" s="7" t="str">
        <x:v>OPEN</x:v>
      </x:c>
    </x:row>
    <x:row r="366" ht="36" customHeight="1">
      <x:c r="B366" s="7" t="str">
        <x:v>RAE-E-15-P24</x:v>
      </x:c>
      <x:c r="C366" s="7" t="str">
        <x:v>RAE-E-15</x:v>
      </x:c>
      <x:c r="D366" s="7" t="str">
        <x:v>RFP-A2</x:v>
      </x:c>
      <x:c r="E366" s="7" t="str">
        <x:v>AM-06</x:v>
      </x:c>
      <x:c r="F366" s="7" t="str">
        <x:v>TR-B</x:v>
      </x:c>
      <x:c r="G366" s="7" t="str">
        <x:v>QE-01</x:v>
      </x:c>
      <x:c r="H366" s="7" t="str">
        <x:v>P24</x:v>
      </x:c>
      <x:c r="I366" s="7" t="str">
        <x:v>day 7</x:v>
      </x:c>
      <x:c r="J366" s="10" t="str">
        <x:v>validity and outcome board</x:v>
      </x:c>
      <x:c r="K366" s="7" t="str"/>
      <x:c r="L366" s="10" t="str"/>
      <x:c r="M366" s="7" t="str">
        <x:v>OPEN</x:v>
      </x:c>
    </x:row>
    <x:row r="367" ht="36" customHeight="1">
      <x:c r="B367" s="7" t="str">
        <x:v>RAE-E-16-P01</x:v>
      </x:c>
      <x:c r="C367" s="7" t="str">
        <x:v>RAE-E-16</x:v>
      </x:c>
      <x:c r="D367" s="7" t="str">
        <x:v>RFP-A2</x:v>
      </x:c>
      <x:c r="E367" s="7" t="str">
        <x:v>AM-06</x:v>
      </x:c>
      <x:c r="F367" s="7" t="str">
        <x:v>TR-B</x:v>
      </x:c>
      <x:c r="G367" s="7" t="str">
        <x:v>QE-02</x:v>
      </x:c>
      <x:c r="H367" s="7" t="str">
        <x:v>P01</x:v>
      </x:c>
      <x:c r="I367" s="7" t="str">
        <x:v>T-96h</x:v>
      </x:c>
      <x:c r="J367" s="10" t="str">
        <x:v>baseline freeze</x:v>
      </x:c>
      <x:c r="K367" s="7" t="str"/>
      <x:c r="L367" s="10" t="str"/>
      <x:c r="M367" s="7" t="str">
        <x:v>OPEN</x:v>
      </x:c>
    </x:row>
    <x:row r="368" ht="36" customHeight="1">
      <x:c r="B368" s="7" t="str">
        <x:v>RAE-E-16-P02</x:v>
      </x:c>
      <x:c r="C368" s="7" t="str">
        <x:v>RAE-E-16</x:v>
      </x:c>
      <x:c r="D368" s="7" t="str">
        <x:v>RFP-A2</x:v>
      </x:c>
      <x:c r="E368" s="7" t="str">
        <x:v>AM-06</x:v>
      </x:c>
      <x:c r="F368" s="7" t="str">
        <x:v>TR-B</x:v>
      </x:c>
      <x:c r="G368" s="7" t="str">
        <x:v>QE-02</x:v>
      </x:c>
      <x:c r="H368" s="7" t="str">
        <x:v>P02</x:v>
      </x:c>
      <x:c r="I368" s="7" t="str">
        <x:v>T-72h</x:v>
      </x:c>
      <x:c r="J368" s="10" t="str">
        <x:v>source and water custody freeze</x:v>
      </x:c>
      <x:c r="K368" s="7" t="str"/>
      <x:c r="L368" s="10" t="str"/>
      <x:c r="M368" s="7" t="str">
        <x:v>OPEN</x:v>
      </x:c>
    </x:row>
    <x:row r="369" ht="36" customHeight="1">
      <x:c r="B369" s="7" t="str">
        <x:v>RAE-E-16-P03</x:v>
      </x:c>
      <x:c r="C369" s="7" t="str">
        <x:v>RAE-E-16</x:v>
      </x:c>
      <x:c r="D369" s="7" t="str">
        <x:v>RFP-A2</x:v>
      </x:c>
      <x:c r="E369" s="7" t="str">
        <x:v>AM-06</x:v>
      </x:c>
      <x:c r="F369" s="7" t="str">
        <x:v>TR-B</x:v>
      </x:c>
      <x:c r="G369" s="7" t="str">
        <x:v>QE-02</x:v>
      </x:c>
      <x:c r="H369" s="7" t="str">
        <x:v>P03</x:v>
      </x:c>
      <x:c r="I369" s="7" t="str">
        <x:v>T-48h</x:v>
      </x:c>
      <x:c r="J369" s="10" t="str">
        <x:v>article and configuration identity</x:v>
      </x:c>
      <x:c r="K369" s="7" t="str"/>
      <x:c r="L369" s="10" t="str"/>
      <x:c r="M369" s="7" t="str">
        <x:v>OPEN</x:v>
      </x:c>
    </x:row>
    <x:row r="370" ht="36" customHeight="1">
      <x:c r="B370" s="7" t="str">
        <x:v>RAE-E-16-P04</x:v>
      </x:c>
      <x:c r="C370" s="7" t="str">
        <x:v>RAE-E-16</x:v>
      </x:c>
      <x:c r="D370" s="7" t="str">
        <x:v>RFP-A2</x:v>
      </x:c>
      <x:c r="E370" s="7" t="str">
        <x:v>AM-06</x:v>
      </x:c>
      <x:c r="F370" s="7" t="str">
        <x:v>TR-B</x:v>
      </x:c>
      <x:c r="G370" s="7" t="str">
        <x:v>QE-02</x:v>
      </x:c>
      <x:c r="H370" s="7" t="str">
        <x:v>P04</x:v>
      </x:c>
      <x:c r="I370" s="7" t="str">
        <x:v>T-24h</x:v>
      </x:c>
      <x:c r="J370" s="10" t="str">
        <x:v>environment and recovery readiness</x:v>
      </x:c>
      <x:c r="K370" s="7" t="str"/>
      <x:c r="L370" s="10" t="str"/>
      <x:c r="M370" s="7" t="str">
        <x:v>OPEN</x:v>
      </x:c>
    </x:row>
    <x:row r="371" ht="36" customHeight="1">
      <x:c r="B371" s="7" t="str">
        <x:v>RAE-E-16-P05</x:v>
      </x:c>
      <x:c r="C371" s="7" t="str">
        <x:v>RAE-E-16</x:v>
      </x:c>
      <x:c r="D371" s="7" t="str">
        <x:v>RFP-A2</x:v>
      </x:c>
      <x:c r="E371" s="7" t="str">
        <x:v>AM-06</x:v>
      </x:c>
      <x:c r="F371" s="7" t="str">
        <x:v>TR-B</x:v>
      </x:c>
      <x:c r="G371" s="7" t="str">
        <x:v>QE-02</x:v>
      </x:c>
      <x:c r="H371" s="7" t="str">
        <x:v>P05</x:v>
      </x:c>
      <x:c r="I371" s="7" t="str">
        <x:v>T-12h</x:v>
      </x:c>
      <x:c r="J371" s="10" t="str">
        <x:v>rescue posture</x:v>
      </x:c>
      <x:c r="K371" s="7" t="str"/>
      <x:c r="L371" s="10" t="str"/>
      <x:c r="M371" s="7" t="str">
        <x:v>OPEN</x:v>
      </x:c>
    </x:row>
    <x:row r="372" ht="36" customHeight="1">
      <x:c r="B372" s="7" t="str">
        <x:v>RAE-E-16-P06</x:v>
      </x:c>
      <x:c r="C372" s="7" t="str">
        <x:v>RAE-E-16</x:v>
      </x:c>
      <x:c r="D372" s="7" t="str">
        <x:v>RFP-A2</x:v>
      </x:c>
      <x:c r="E372" s="7" t="str">
        <x:v>AM-06</x:v>
      </x:c>
      <x:c r="F372" s="7" t="str">
        <x:v>TR-B</x:v>
      </x:c>
      <x:c r="G372" s="7" t="str">
        <x:v>QE-02</x:v>
      </x:c>
      <x:c r="H372" s="7" t="str">
        <x:v>P06</x:v>
      </x:c>
      <x:c r="I372" s="7" t="str">
        <x:v>T-6h</x:v>
      </x:c>
      <x:c r="J372" s="10" t="str">
        <x:v>calibration before state</x:v>
      </x:c>
      <x:c r="K372" s="7" t="str"/>
      <x:c r="L372" s="10" t="str"/>
      <x:c r="M372" s="7" t="str">
        <x:v>OPEN</x:v>
      </x:c>
    </x:row>
    <x:row r="373" ht="36" customHeight="1">
      <x:c r="B373" s="7" t="str">
        <x:v>RAE-E-16-P07</x:v>
      </x:c>
      <x:c r="C373" s="7" t="str">
        <x:v>RAE-E-16</x:v>
      </x:c>
      <x:c r="D373" s="7" t="str">
        <x:v>RFP-A2</x:v>
      </x:c>
      <x:c r="E373" s="7" t="str">
        <x:v>AM-06</x:v>
      </x:c>
      <x:c r="F373" s="7" t="str">
        <x:v>TR-B</x:v>
      </x:c>
      <x:c r="G373" s="7" t="str">
        <x:v>QE-02</x:v>
      </x:c>
      <x:c r="H373" s="7" t="str">
        <x:v>P07</x:v>
      </x:c>
      <x:c r="I373" s="7" t="str">
        <x:v>T-2h</x:v>
      </x:c>
      <x:c r="J373" s="10" t="str">
        <x:v>receiver initial-volume proof</x:v>
      </x:c>
      <x:c r="K373" s="7" t="str"/>
      <x:c r="L373" s="10" t="str"/>
      <x:c r="M373" s="7" t="str">
        <x:v>OPEN</x:v>
      </x:c>
    </x:row>
    <x:row r="374" ht="36" customHeight="1">
      <x:c r="B374" s="7" t="str">
        <x:v>RAE-E-16-P08</x:v>
      </x:c>
      <x:c r="C374" s="7" t="str">
        <x:v>RAE-E-16</x:v>
      </x:c>
      <x:c r="D374" s="7" t="str">
        <x:v>RFP-A2</x:v>
      </x:c>
      <x:c r="E374" s="7" t="str">
        <x:v>AM-06</x:v>
      </x:c>
      <x:c r="F374" s="7" t="str">
        <x:v>TR-B</x:v>
      </x:c>
      <x:c r="G374" s="7" t="str">
        <x:v>QE-02</x:v>
      </x:c>
      <x:c r="H374" s="7" t="str">
        <x:v>P08</x:v>
      </x:c>
      <x:c r="I374" s="7" t="str">
        <x:v>T-60min</x:v>
      </x:c>
      <x:c r="J374" s="10" t="str">
        <x:v>neighbor inert-state proof</x:v>
      </x:c>
      <x:c r="K374" s="7" t="str"/>
      <x:c r="L374" s="10" t="str"/>
      <x:c r="M374" s="7" t="str">
        <x:v>OPEN</x:v>
      </x:c>
    </x:row>
    <x:row r="375" ht="36" customHeight="1">
      <x:c r="B375" s="7" t="str">
        <x:v>RAE-E-16-P09</x:v>
      </x:c>
      <x:c r="C375" s="7" t="str">
        <x:v>RAE-E-16</x:v>
      </x:c>
      <x:c r="D375" s="7" t="str">
        <x:v>RFP-A2</x:v>
      </x:c>
      <x:c r="E375" s="7" t="str">
        <x:v>AM-06</x:v>
      </x:c>
      <x:c r="F375" s="7" t="str">
        <x:v>TR-B</x:v>
      </x:c>
      <x:c r="G375" s="7" t="str">
        <x:v>QE-02</x:v>
      </x:c>
      <x:c r="H375" s="7" t="str">
        <x:v>P09</x:v>
      </x:c>
      <x:c r="I375" s="7" t="str">
        <x:v>T-30min</x:v>
      </x:c>
      <x:c r="J375" s="10" t="str">
        <x:v>native evidence armed</x:v>
      </x:c>
      <x:c r="K375" s="7" t="str"/>
      <x:c r="L375" s="10" t="str"/>
      <x:c r="M375" s="7" t="str">
        <x:v>OPEN</x:v>
      </x:c>
    </x:row>
    <x:row r="376" ht="36" customHeight="1">
      <x:c r="B376" s="7" t="str">
        <x:v>RAE-E-16-P10</x:v>
      </x:c>
      <x:c r="C376" s="7" t="str">
        <x:v>RAE-E-16</x:v>
      </x:c>
      <x:c r="D376" s="7" t="str">
        <x:v>RFP-A2</x:v>
      </x:c>
      <x:c r="E376" s="7" t="str">
        <x:v>AM-06</x:v>
      </x:c>
      <x:c r="F376" s="7" t="str">
        <x:v>TR-B</x:v>
      </x:c>
      <x:c r="G376" s="7" t="str">
        <x:v>QE-02</x:v>
      </x:c>
      <x:c r="H376" s="7" t="str">
        <x:v>P10</x:v>
      </x:c>
      <x:c r="I376" s="7" t="str">
        <x:v>T-10min</x:v>
      </x:c>
      <x:c r="J376" s="10" t="str">
        <x:v>final control poll</x:v>
      </x:c>
      <x:c r="K376" s="7" t="str"/>
      <x:c r="L376" s="10" t="str"/>
      <x:c r="M376" s="7" t="str">
        <x:v>OPEN</x:v>
      </x:c>
    </x:row>
    <x:row r="377" ht="36" customHeight="1">
      <x:c r="B377" s="7" t="str">
        <x:v>RAE-E-16-P11</x:v>
      </x:c>
      <x:c r="C377" s="7" t="str">
        <x:v>RAE-E-16</x:v>
      </x:c>
      <x:c r="D377" s="7" t="str">
        <x:v>RFP-A2</x:v>
      </x:c>
      <x:c r="E377" s="7" t="str">
        <x:v>AM-06</x:v>
      </x:c>
      <x:c r="F377" s="7" t="str">
        <x:v>TR-B</x:v>
      </x:c>
      <x:c r="G377" s="7" t="str">
        <x:v>QE-02</x:v>
      </x:c>
      <x:c r="H377" s="7" t="str">
        <x:v>P11</x:v>
      </x:c>
      <x:c r="I377" s="7" t="str">
        <x:v>T-60s</x:v>
      </x:c>
      <x:c r="J377" s="10" t="str">
        <x:v>full-rate capture</x:v>
      </x:c>
      <x:c r="K377" s="7" t="str"/>
      <x:c r="L377" s="10" t="str"/>
      <x:c r="M377" s="7" t="str">
        <x:v>OPEN</x:v>
      </x:c>
    </x:row>
    <x:row r="378" ht="36" customHeight="1">
      <x:c r="B378" s="7" t="str">
        <x:v>RAE-E-16-P12</x:v>
      </x:c>
      <x:c r="C378" s="7" t="str">
        <x:v>RAE-E-16</x:v>
      </x:c>
      <x:c r="D378" s="7" t="str">
        <x:v>RFP-A2</x:v>
      </x:c>
      <x:c r="E378" s="7" t="str">
        <x:v>AM-06</x:v>
      </x:c>
      <x:c r="F378" s="7" t="str">
        <x:v>TR-B</x:v>
      </x:c>
      <x:c r="G378" s="7" t="str">
        <x:v>QE-02</x:v>
      </x:c>
      <x:c r="H378" s="7" t="str">
        <x:v>P12</x:v>
      </x:c>
      <x:c r="I378" s="7" t="str">
        <x:v>T-10s</x:v>
      </x:c>
      <x:c r="J378" s="10" t="str">
        <x:v>registered challenge state</x:v>
      </x:c>
      <x:c r="K378" s="7" t="str"/>
      <x:c r="L378" s="10" t="str"/>
      <x:c r="M378" s="7" t="str">
        <x:v>OPEN</x:v>
      </x:c>
    </x:row>
    <x:row r="379" ht="36" customHeight="1">
      <x:c r="B379" s="7" t="str">
        <x:v>RAE-E-16-P13</x:v>
      </x:c>
      <x:c r="C379" s="7" t="str">
        <x:v>RAE-E-16</x:v>
      </x:c>
      <x:c r="D379" s="7" t="str">
        <x:v>RFP-A2</x:v>
      </x:c>
      <x:c r="E379" s="7" t="str">
        <x:v>AM-06</x:v>
      </x:c>
      <x:c r="F379" s="7" t="str">
        <x:v>TR-B</x:v>
      </x:c>
      <x:c r="G379" s="7" t="str">
        <x:v>QE-02</x:v>
      </x:c>
      <x:c r="H379" s="7" t="str">
        <x:v>P13</x:v>
      </x:c>
      <x:c r="I379" s="7" t="str">
        <x:v>T0</x:v>
      </x:c>
      <x:c r="J379" s="10" t="str">
        <x:v>source command or zero-source marker</x:v>
      </x:c>
      <x:c r="K379" s="7" t="str"/>
      <x:c r="L379" s="10" t="str"/>
      <x:c r="M379" s="7" t="str">
        <x:v>OPEN</x:v>
      </x:c>
    </x:row>
    <x:row r="380" ht="36" customHeight="1">
      <x:c r="B380" s="7" t="str">
        <x:v>RAE-E-16-P14</x:v>
      </x:c>
      <x:c r="C380" s="7" t="str">
        <x:v>RAE-E-16</x:v>
      </x:c>
      <x:c r="D380" s="7" t="str">
        <x:v>RFP-A2</x:v>
      </x:c>
      <x:c r="E380" s="7" t="str">
        <x:v>AM-06</x:v>
      </x:c>
      <x:c r="F380" s="7" t="str">
        <x:v>TR-B</x:v>
      </x:c>
      <x:c r="G380" s="7" t="str">
        <x:v>QE-02</x:v>
      </x:c>
      <x:c r="H380" s="7" t="str">
        <x:v>P14</x:v>
      </x:c>
      <x:c r="I380" s="7" t="str">
        <x:v>T+2s</x:v>
      </x:c>
      <x:c r="J380" s="10" t="str">
        <x:v>inlet and dispenser final state</x:v>
      </x:c>
      <x:c r="K380" s="7" t="str"/>
      <x:c r="L380" s="10" t="str"/>
      <x:c r="M380" s="7" t="str">
        <x:v>OPEN</x:v>
      </x:c>
    </x:row>
    <x:row r="381" ht="36" customHeight="1">
      <x:c r="B381" s="7" t="str">
        <x:v>RAE-E-16-P15</x:v>
      </x:c>
      <x:c r="C381" s="7" t="str">
        <x:v>RAE-E-16</x:v>
      </x:c>
      <x:c r="D381" s="7" t="str">
        <x:v>RFP-A2</x:v>
      </x:c>
      <x:c r="E381" s="7" t="str">
        <x:v>AM-06</x:v>
      </x:c>
      <x:c r="F381" s="7" t="str">
        <x:v>TR-B</x:v>
      </x:c>
      <x:c r="G381" s="7" t="str">
        <x:v>QE-02</x:v>
      </x:c>
      <x:c r="H381" s="7" t="str">
        <x:v>P15</x:v>
      </x:c>
      <x:c r="I381" s="7" t="str">
        <x:v>T+15s</x:v>
      </x:c>
      <x:c r="J381" s="10" t="str">
        <x:v>AM-06 QE-02 ignition opportunity</x:v>
      </x:c>
      <x:c r="K381" s="7" t="str"/>
      <x:c r="L381" s="10" t="str"/>
      <x:c r="M381" s="7" t="str">
        <x:v>OPEN</x:v>
      </x:c>
    </x:row>
    <x:row r="382" ht="36" customHeight="1">
      <x:c r="B382" s="7" t="str">
        <x:v>RAE-E-16-P16</x:v>
      </x:c>
      <x:c r="C382" s="7" t="str">
        <x:v>RAE-E-16</x:v>
      </x:c>
      <x:c r="D382" s="7" t="str">
        <x:v>RFP-A2</x:v>
      </x:c>
      <x:c r="E382" s="7" t="str">
        <x:v>AM-06</x:v>
      </x:c>
      <x:c r="F382" s="7" t="str">
        <x:v>TR-B</x:v>
      </x:c>
      <x:c r="G382" s="7" t="str">
        <x:v>QE-02</x:v>
      </x:c>
      <x:c r="H382" s="7" t="str">
        <x:v>P16</x:v>
      </x:c>
      <x:c r="I382" s="7" t="str">
        <x:v>T+30s</x:v>
      </x:c>
      <x:c r="J382" s="10" t="str">
        <x:v>terminal-source decision</x:v>
      </x:c>
      <x:c r="K382" s="7" t="str"/>
      <x:c r="L382" s="10" t="str"/>
      <x:c r="M382" s="7" t="str">
        <x:v>OPEN</x:v>
      </x:c>
    </x:row>
    <x:row r="383" ht="36" customHeight="1">
      <x:c r="B383" s="7" t="str">
        <x:v>RAE-E-16-P17</x:v>
      </x:c>
      <x:c r="C383" s="7" t="str">
        <x:v>RAE-E-16</x:v>
      </x:c>
      <x:c r="D383" s="7" t="str">
        <x:v>RFP-A2</x:v>
      </x:c>
      <x:c r="E383" s="7" t="str">
        <x:v>AM-06</x:v>
      </x:c>
      <x:c r="F383" s="7" t="str">
        <x:v>TR-B</x:v>
      </x:c>
      <x:c r="G383" s="7" t="str">
        <x:v>QE-02</x:v>
      </x:c>
      <x:c r="H383" s="7" t="str">
        <x:v>P17</x:v>
      </x:c>
      <x:c r="I383" s="7" t="str">
        <x:v>T+120s</x:v>
      </x:c>
      <x:c r="J383" s="10" t="str">
        <x:v>public schedule end</x:v>
      </x:c>
      <x:c r="K383" s="7" t="str"/>
      <x:c r="L383" s="10" t="str"/>
      <x:c r="M383" s="7" t="str">
        <x:v>OPEN</x:v>
      </x:c>
    </x:row>
    <x:row r="384" ht="36" customHeight="1">
      <x:c r="B384" s="7" t="str">
        <x:v>RAE-E-16-P18</x:v>
      </x:c>
      <x:c r="C384" s="7" t="str">
        <x:v>RAE-E-16</x:v>
      </x:c>
      <x:c r="D384" s="7" t="str">
        <x:v>RFP-A2</x:v>
      </x:c>
      <x:c r="E384" s="7" t="str">
        <x:v>AM-06</x:v>
      </x:c>
      <x:c r="F384" s="7" t="str">
        <x:v>TR-B</x:v>
      </x:c>
      <x:c r="G384" s="7" t="str">
        <x:v>QE-02</x:v>
      </x:c>
      <x:c r="H384" s="7" t="str">
        <x:v>P18</x:v>
      </x:c>
      <x:c r="I384" s="7" t="str">
        <x:v>T+15min</x:v>
      </x:c>
      <x:c r="J384" s="10" t="str">
        <x:v>thermal and water classification</x:v>
      </x:c>
      <x:c r="K384" s="7" t="str"/>
      <x:c r="L384" s="10" t="str"/>
      <x:c r="M384" s="7" t="str">
        <x:v>OPEN</x:v>
      </x:c>
    </x:row>
    <x:row r="385" ht="36" customHeight="1">
      <x:c r="B385" s="7" t="str">
        <x:v>RAE-E-16-P19</x:v>
      </x:c>
      <x:c r="C385" s="7" t="str">
        <x:v>RAE-E-16</x:v>
      </x:c>
      <x:c r="D385" s="7" t="str">
        <x:v>RFP-A2</x:v>
      </x:c>
      <x:c r="E385" s="7" t="str">
        <x:v>AM-06</x:v>
      </x:c>
      <x:c r="F385" s="7" t="str">
        <x:v>TR-B</x:v>
      </x:c>
      <x:c r="G385" s="7" t="str">
        <x:v>QE-02</x:v>
      </x:c>
      <x:c r="H385" s="7" t="str">
        <x:v>P19</x:v>
      </x:c>
      <x:c r="I385" s="7" t="str">
        <x:v>T+30min</x:v>
      </x:c>
      <x:c r="J385" s="10" t="str">
        <x:v>public intervention classification</x:v>
      </x:c>
      <x:c r="K385" s="7" t="str"/>
      <x:c r="L385" s="10" t="str"/>
      <x:c r="M385" s="7" t="str">
        <x:v>OPEN</x:v>
      </x:c>
    </x:row>
    <x:row r="386" ht="36" customHeight="1">
      <x:c r="B386" s="7" t="str">
        <x:v>RAE-E-16-P20</x:v>
      </x:c>
      <x:c r="C386" s="7" t="str">
        <x:v>RAE-E-16</x:v>
      </x:c>
      <x:c r="D386" s="7" t="str">
        <x:v>RFP-A2</x:v>
      </x:c>
      <x:c r="E386" s="7" t="str">
        <x:v>AM-06</x:v>
      </x:c>
      <x:c r="F386" s="7" t="str">
        <x:v>TR-B</x:v>
      </x:c>
      <x:c r="G386" s="7" t="str">
        <x:v>QE-02</x:v>
      </x:c>
      <x:c r="H386" s="7" t="str">
        <x:v>P20</x:v>
      </x:c>
      <x:c r="I386" s="7" t="str">
        <x:v>T+60min</x:v>
      </x:c>
      <x:c r="J386" s="10" t="str">
        <x:v>remote-entry classification</x:v>
      </x:c>
      <x:c r="K386" s="7" t="str"/>
      <x:c r="L386" s="10" t="str"/>
      <x:c r="M386" s="7" t="str">
        <x:v>OPEN</x:v>
      </x:c>
    </x:row>
    <x:row r="387" ht="36" customHeight="1">
      <x:c r="B387" s="7" t="str">
        <x:v>RAE-E-16-P21</x:v>
      </x:c>
      <x:c r="C387" s="7" t="str">
        <x:v>RAE-E-16</x:v>
      </x:c>
      <x:c r="D387" s="7" t="str">
        <x:v>RFP-A2</x:v>
      </x:c>
      <x:c r="E387" s="7" t="str">
        <x:v>AM-06</x:v>
      </x:c>
      <x:c r="F387" s="7" t="str">
        <x:v>TR-B</x:v>
      </x:c>
      <x:c r="G387" s="7" t="str">
        <x:v>QE-02</x:v>
      </x:c>
      <x:c r="H387" s="7" t="str">
        <x:v>P21</x:v>
      </x:c>
      <x:c r="I387" s="7" t="str">
        <x:v>T+6h</x:v>
      </x:c>
      <x:c r="J387" s="10" t="str">
        <x:v>evidence tail closure</x:v>
      </x:c>
      <x:c r="K387" s="7" t="str"/>
      <x:c r="L387" s="10" t="str"/>
      <x:c r="M387" s="7" t="str">
        <x:v>OPEN</x:v>
      </x:c>
    </x:row>
    <x:row r="388" ht="36" customHeight="1">
      <x:c r="B388" s="7" t="str">
        <x:v>RAE-E-16-P22</x:v>
      </x:c>
      <x:c r="C388" s="7" t="str">
        <x:v>RAE-E-16</x:v>
      </x:c>
      <x:c r="D388" s="7" t="str">
        <x:v>RFP-A2</x:v>
      </x:c>
      <x:c r="E388" s="7" t="str">
        <x:v>AM-06</x:v>
      </x:c>
      <x:c r="F388" s="7" t="str">
        <x:v>TR-B</x:v>
      </x:c>
      <x:c r="G388" s="7" t="str">
        <x:v>QE-02</x:v>
      </x:c>
      <x:c r="H388" s="7" t="str">
        <x:v>P22</x:v>
      </x:c>
      <x:c r="I388" s="7" t="str">
        <x:v>T+24h</x:v>
      </x:c>
      <x:c r="J388" s="10" t="str">
        <x:v>physical ledger closure</x:v>
      </x:c>
      <x:c r="K388" s="7" t="str"/>
      <x:c r="L388" s="10" t="str"/>
      <x:c r="M388" s="7" t="str">
        <x:v>OPEN</x:v>
      </x:c>
    </x:row>
    <x:row r="389" ht="36" customHeight="1">
      <x:c r="B389" s="7" t="str">
        <x:v>RAE-E-16-P23</x:v>
      </x:c>
      <x:c r="C389" s="7" t="str">
        <x:v>RAE-E-16</x:v>
      </x:c>
      <x:c r="D389" s="7" t="str">
        <x:v>RFP-A2</x:v>
      </x:c>
      <x:c r="E389" s="7" t="str">
        <x:v>AM-06</x:v>
      </x:c>
      <x:c r="F389" s="7" t="str">
        <x:v>TR-B</x:v>
      </x:c>
      <x:c r="G389" s="7" t="str">
        <x:v>QE-02</x:v>
      </x:c>
      <x:c r="H389" s="7" t="str">
        <x:v>P23</x:v>
      </x:c>
      <x:c r="I389" s="7" t="str">
        <x:v>T+72h</x:v>
      </x:c>
      <x:c r="J389" s="10" t="str">
        <x:v>immutable packet freeze</x:v>
      </x:c>
      <x:c r="K389" s="7" t="str"/>
      <x:c r="L389" s="10" t="str"/>
      <x:c r="M389" s="7" t="str">
        <x:v>OPEN</x:v>
      </x:c>
    </x:row>
    <x:row r="390" ht="36" customHeight="1">
      <x:c r="B390" s="7" t="str">
        <x:v>RAE-E-16-P24</x:v>
      </x:c>
      <x:c r="C390" s="7" t="str">
        <x:v>RAE-E-16</x:v>
      </x:c>
      <x:c r="D390" s="7" t="str">
        <x:v>RFP-A2</x:v>
      </x:c>
      <x:c r="E390" s="7" t="str">
        <x:v>AM-06</x:v>
      </x:c>
      <x:c r="F390" s="7" t="str">
        <x:v>TR-B</x:v>
      </x:c>
      <x:c r="G390" s="7" t="str">
        <x:v>QE-02</x:v>
      </x:c>
      <x:c r="H390" s="7" t="str">
        <x:v>P24</x:v>
      </x:c>
      <x:c r="I390" s="7" t="str">
        <x:v>day 7</x:v>
      </x:c>
      <x:c r="J390" s="10" t="str">
        <x:v>validity and outcome board</x:v>
      </x:c>
      <x:c r="K390" s="7" t="str"/>
      <x:c r="L390" s="10" t="str"/>
      <x:c r="M390" s="7" t="str">
        <x:v>OPEN</x:v>
      </x:c>
    </x:row>
    <x:row r="391" ht="36" customHeight="1">
      <x:c r="B391" s="7" t="str">
        <x:v>RAE-E-17-P01</x:v>
      </x:c>
      <x:c r="C391" s="7" t="str">
        <x:v>RAE-E-17</x:v>
      </x:c>
      <x:c r="D391" s="7" t="str">
        <x:v>RFP-B1</x:v>
      </x:c>
      <x:c r="E391" s="7" t="str">
        <x:v>AM-05</x:v>
      </x:c>
      <x:c r="F391" s="7" t="str">
        <x:v>TR-A</x:v>
      </x:c>
      <x:c r="G391" s="7" t="str">
        <x:v>QE-01</x:v>
      </x:c>
      <x:c r="H391" s="7" t="str">
        <x:v>P01</x:v>
      </x:c>
      <x:c r="I391" s="7" t="str">
        <x:v>T-96h</x:v>
      </x:c>
      <x:c r="J391" s="10" t="str">
        <x:v>baseline freeze</x:v>
      </x:c>
      <x:c r="K391" s="7" t="str"/>
      <x:c r="L391" s="10" t="str"/>
      <x:c r="M391" s="7" t="str">
        <x:v>OPEN</x:v>
      </x:c>
    </x:row>
    <x:row r="392" ht="36" customHeight="1">
      <x:c r="B392" s="7" t="str">
        <x:v>RAE-E-17-P02</x:v>
      </x:c>
      <x:c r="C392" s="7" t="str">
        <x:v>RAE-E-17</x:v>
      </x:c>
      <x:c r="D392" s="7" t="str">
        <x:v>RFP-B1</x:v>
      </x:c>
      <x:c r="E392" s="7" t="str">
        <x:v>AM-05</x:v>
      </x:c>
      <x:c r="F392" s="7" t="str">
        <x:v>TR-A</x:v>
      </x:c>
      <x:c r="G392" s="7" t="str">
        <x:v>QE-01</x:v>
      </x:c>
      <x:c r="H392" s="7" t="str">
        <x:v>P02</x:v>
      </x:c>
      <x:c r="I392" s="7" t="str">
        <x:v>T-72h</x:v>
      </x:c>
      <x:c r="J392" s="10" t="str">
        <x:v>source and water custody freeze</x:v>
      </x:c>
      <x:c r="K392" s="7" t="str"/>
      <x:c r="L392" s="10" t="str"/>
      <x:c r="M392" s="7" t="str">
        <x:v>OPEN</x:v>
      </x:c>
    </x:row>
    <x:row r="393" ht="36" customHeight="1">
      <x:c r="B393" s="7" t="str">
        <x:v>RAE-E-17-P03</x:v>
      </x:c>
      <x:c r="C393" s="7" t="str">
        <x:v>RAE-E-17</x:v>
      </x:c>
      <x:c r="D393" s="7" t="str">
        <x:v>RFP-B1</x:v>
      </x:c>
      <x:c r="E393" s="7" t="str">
        <x:v>AM-05</x:v>
      </x:c>
      <x:c r="F393" s="7" t="str">
        <x:v>TR-A</x:v>
      </x:c>
      <x:c r="G393" s="7" t="str">
        <x:v>QE-01</x:v>
      </x:c>
      <x:c r="H393" s="7" t="str">
        <x:v>P03</x:v>
      </x:c>
      <x:c r="I393" s="7" t="str">
        <x:v>T-48h</x:v>
      </x:c>
      <x:c r="J393" s="10" t="str">
        <x:v>article and configuration identity</x:v>
      </x:c>
      <x:c r="K393" s="7" t="str"/>
      <x:c r="L393" s="10" t="str"/>
      <x:c r="M393" s="7" t="str">
        <x:v>OPEN</x:v>
      </x:c>
    </x:row>
    <x:row r="394" ht="36" customHeight="1">
      <x:c r="B394" s="7" t="str">
        <x:v>RAE-E-17-P04</x:v>
      </x:c>
      <x:c r="C394" s="7" t="str">
        <x:v>RAE-E-17</x:v>
      </x:c>
      <x:c r="D394" s="7" t="str">
        <x:v>RFP-B1</x:v>
      </x:c>
      <x:c r="E394" s="7" t="str">
        <x:v>AM-05</x:v>
      </x:c>
      <x:c r="F394" s="7" t="str">
        <x:v>TR-A</x:v>
      </x:c>
      <x:c r="G394" s="7" t="str">
        <x:v>QE-01</x:v>
      </x:c>
      <x:c r="H394" s="7" t="str">
        <x:v>P04</x:v>
      </x:c>
      <x:c r="I394" s="7" t="str">
        <x:v>T-24h</x:v>
      </x:c>
      <x:c r="J394" s="10" t="str">
        <x:v>environment and recovery readiness</x:v>
      </x:c>
      <x:c r="K394" s="7" t="str"/>
      <x:c r="L394" s="10" t="str"/>
      <x:c r="M394" s="7" t="str">
        <x:v>OPEN</x:v>
      </x:c>
    </x:row>
    <x:row r="395" ht="36" customHeight="1">
      <x:c r="B395" s="7" t="str">
        <x:v>RAE-E-17-P05</x:v>
      </x:c>
      <x:c r="C395" s="7" t="str">
        <x:v>RAE-E-17</x:v>
      </x:c>
      <x:c r="D395" s="7" t="str">
        <x:v>RFP-B1</x:v>
      </x:c>
      <x:c r="E395" s="7" t="str">
        <x:v>AM-05</x:v>
      </x:c>
      <x:c r="F395" s="7" t="str">
        <x:v>TR-A</x:v>
      </x:c>
      <x:c r="G395" s="7" t="str">
        <x:v>QE-01</x:v>
      </x:c>
      <x:c r="H395" s="7" t="str">
        <x:v>P05</x:v>
      </x:c>
      <x:c r="I395" s="7" t="str">
        <x:v>T-12h</x:v>
      </x:c>
      <x:c r="J395" s="10" t="str">
        <x:v>rescue posture</x:v>
      </x:c>
      <x:c r="K395" s="7" t="str"/>
      <x:c r="L395" s="10" t="str"/>
      <x:c r="M395" s="7" t="str">
        <x:v>OPEN</x:v>
      </x:c>
    </x:row>
    <x:row r="396" ht="36" customHeight="1">
      <x:c r="B396" s="7" t="str">
        <x:v>RAE-E-17-P06</x:v>
      </x:c>
      <x:c r="C396" s="7" t="str">
        <x:v>RAE-E-17</x:v>
      </x:c>
      <x:c r="D396" s="7" t="str">
        <x:v>RFP-B1</x:v>
      </x:c>
      <x:c r="E396" s="7" t="str">
        <x:v>AM-05</x:v>
      </x:c>
      <x:c r="F396" s="7" t="str">
        <x:v>TR-A</x:v>
      </x:c>
      <x:c r="G396" s="7" t="str">
        <x:v>QE-01</x:v>
      </x:c>
      <x:c r="H396" s="7" t="str">
        <x:v>P06</x:v>
      </x:c>
      <x:c r="I396" s="7" t="str">
        <x:v>T-6h</x:v>
      </x:c>
      <x:c r="J396" s="10" t="str">
        <x:v>calibration before state</x:v>
      </x:c>
      <x:c r="K396" s="7" t="str"/>
      <x:c r="L396" s="10" t="str"/>
      <x:c r="M396" s="7" t="str">
        <x:v>OPEN</x:v>
      </x:c>
    </x:row>
    <x:row r="397" ht="36" customHeight="1">
      <x:c r="B397" s="7" t="str">
        <x:v>RAE-E-17-P07</x:v>
      </x:c>
      <x:c r="C397" s="7" t="str">
        <x:v>RAE-E-17</x:v>
      </x:c>
      <x:c r="D397" s="7" t="str">
        <x:v>RFP-B1</x:v>
      </x:c>
      <x:c r="E397" s="7" t="str">
        <x:v>AM-05</x:v>
      </x:c>
      <x:c r="F397" s="7" t="str">
        <x:v>TR-A</x:v>
      </x:c>
      <x:c r="G397" s="7" t="str">
        <x:v>QE-01</x:v>
      </x:c>
      <x:c r="H397" s="7" t="str">
        <x:v>P07</x:v>
      </x:c>
      <x:c r="I397" s="7" t="str">
        <x:v>T-2h</x:v>
      </x:c>
      <x:c r="J397" s="10" t="str">
        <x:v>receiver initial-volume proof</x:v>
      </x:c>
      <x:c r="K397" s="7" t="str"/>
      <x:c r="L397" s="10" t="str"/>
      <x:c r="M397" s="7" t="str">
        <x:v>OPEN</x:v>
      </x:c>
    </x:row>
    <x:row r="398" ht="36" customHeight="1">
      <x:c r="B398" s="7" t="str">
        <x:v>RAE-E-17-P08</x:v>
      </x:c>
      <x:c r="C398" s="7" t="str">
        <x:v>RAE-E-17</x:v>
      </x:c>
      <x:c r="D398" s="7" t="str">
        <x:v>RFP-B1</x:v>
      </x:c>
      <x:c r="E398" s="7" t="str">
        <x:v>AM-05</x:v>
      </x:c>
      <x:c r="F398" s="7" t="str">
        <x:v>TR-A</x:v>
      </x:c>
      <x:c r="G398" s="7" t="str">
        <x:v>QE-01</x:v>
      </x:c>
      <x:c r="H398" s="7" t="str">
        <x:v>P08</x:v>
      </x:c>
      <x:c r="I398" s="7" t="str">
        <x:v>T-60min</x:v>
      </x:c>
      <x:c r="J398" s="10" t="str">
        <x:v>neighbor inert-state proof</x:v>
      </x:c>
      <x:c r="K398" s="7" t="str"/>
      <x:c r="L398" s="10" t="str"/>
      <x:c r="M398" s="7" t="str">
        <x:v>OPEN</x:v>
      </x:c>
    </x:row>
    <x:row r="399" ht="36" customHeight="1">
      <x:c r="B399" s="7" t="str">
        <x:v>RAE-E-17-P09</x:v>
      </x:c>
      <x:c r="C399" s="7" t="str">
        <x:v>RAE-E-17</x:v>
      </x:c>
      <x:c r="D399" s="7" t="str">
        <x:v>RFP-B1</x:v>
      </x:c>
      <x:c r="E399" s="7" t="str">
        <x:v>AM-05</x:v>
      </x:c>
      <x:c r="F399" s="7" t="str">
        <x:v>TR-A</x:v>
      </x:c>
      <x:c r="G399" s="7" t="str">
        <x:v>QE-01</x:v>
      </x:c>
      <x:c r="H399" s="7" t="str">
        <x:v>P09</x:v>
      </x:c>
      <x:c r="I399" s="7" t="str">
        <x:v>T-30min</x:v>
      </x:c>
      <x:c r="J399" s="10" t="str">
        <x:v>native evidence armed</x:v>
      </x:c>
      <x:c r="K399" s="7" t="str"/>
      <x:c r="L399" s="10" t="str"/>
      <x:c r="M399" s="7" t="str">
        <x:v>OPEN</x:v>
      </x:c>
    </x:row>
    <x:row r="400" ht="36" customHeight="1">
      <x:c r="B400" s="7" t="str">
        <x:v>RAE-E-17-P10</x:v>
      </x:c>
      <x:c r="C400" s="7" t="str">
        <x:v>RAE-E-17</x:v>
      </x:c>
      <x:c r="D400" s="7" t="str">
        <x:v>RFP-B1</x:v>
      </x:c>
      <x:c r="E400" s="7" t="str">
        <x:v>AM-05</x:v>
      </x:c>
      <x:c r="F400" s="7" t="str">
        <x:v>TR-A</x:v>
      </x:c>
      <x:c r="G400" s="7" t="str">
        <x:v>QE-01</x:v>
      </x:c>
      <x:c r="H400" s="7" t="str">
        <x:v>P10</x:v>
      </x:c>
      <x:c r="I400" s="7" t="str">
        <x:v>T-10min</x:v>
      </x:c>
      <x:c r="J400" s="10" t="str">
        <x:v>final control poll</x:v>
      </x:c>
      <x:c r="K400" s="7" t="str"/>
      <x:c r="L400" s="10" t="str"/>
      <x:c r="M400" s="7" t="str">
        <x:v>OPEN</x:v>
      </x:c>
    </x:row>
    <x:row r="401" ht="36" customHeight="1">
      <x:c r="B401" s="7" t="str">
        <x:v>RAE-E-17-P11</x:v>
      </x:c>
      <x:c r="C401" s="7" t="str">
        <x:v>RAE-E-17</x:v>
      </x:c>
      <x:c r="D401" s="7" t="str">
        <x:v>RFP-B1</x:v>
      </x:c>
      <x:c r="E401" s="7" t="str">
        <x:v>AM-05</x:v>
      </x:c>
      <x:c r="F401" s="7" t="str">
        <x:v>TR-A</x:v>
      </x:c>
      <x:c r="G401" s="7" t="str">
        <x:v>QE-01</x:v>
      </x:c>
      <x:c r="H401" s="7" t="str">
        <x:v>P11</x:v>
      </x:c>
      <x:c r="I401" s="7" t="str">
        <x:v>T-60s</x:v>
      </x:c>
      <x:c r="J401" s="10" t="str">
        <x:v>full-rate capture</x:v>
      </x:c>
      <x:c r="K401" s="7" t="str"/>
      <x:c r="L401" s="10" t="str"/>
      <x:c r="M401" s="7" t="str">
        <x:v>OPEN</x:v>
      </x:c>
    </x:row>
    <x:row r="402" ht="36" customHeight="1">
      <x:c r="B402" s="7" t="str">
        <x:v>RAE-E-17-P12</x:v>
      </x:c>
      <x:c r="C402" s="7" t="str">
        <x:v>RAE-E-17</x:v>
      </x:c>
      <x:c r="D402" s="7" t="str">
        <x:v>RFP-B1</x:v>
      </x:c>
      <x:c r="E402" s="7" t="str">
        <x:v>AM-05</x:v>
      </x:c>
      <x:c r="F402" s="7" t="str">
        <x:v>TR-A</x:v>
      </x:c>
      <x:c r="G402" s="7" t="str">
        <x:v>QE-01</x:v>
      </x:c>
      <x:c r="H402" s="7" t="str">
        <x:v>P12</x:v>
      </x:c>
      <x:c r="I402" s="7" t="str">
        <x:v>T-10s</x:v>
      </x:c>
      <x:c r="J402" s="10" t="str">
        <x:v>registered challenge state</x:v>
      </x:c>
      <x:c r="K402" s="7" t="str"/>
      <x:c r="L402" s="10" t="str"/>
      <x:c r="M402" s="7" t="str">
        <x:v>OPEN</x:v>
      </x:c>
    </x:row>
    <x:row r="403" ht="36" customHeight="1">
      <x:c r="B403" s="7" t="str">
        <x:v>RAE-E-17-P13</x:v>
      </x:c>
      <x:c r="C403" s="7" t="str">
        <x:v>RAE-E-17</x:v>
      </x:c>
      <x:c r="D403" s="7" t="str">
        <x:v>RFP-B1</x:v>
      </x:c>
      <x:c r="E403" s="7" t="str">
        <x:v>AM-05</x:v>
      </x:c>
      <x:c r="F403" s="7" t="str">
        <x:v>TR-A</x:v>
      </x:c>
      <x:c r="G403" s="7" t="str">
        <x:v>QE-01</x:v>
      </x:c>
      <x:c r="H403" s="7" t="str">
        <x:v>P13</x:v>
      </x:c>
      <x:c r="I403" s="7" t="str">
        <x:v>T0</x:v>
      </x:c>
      <x:c r="J403" s="10" t="str">
        <x:v>source command or zero-source marker</x:v>
      </x:c>
      <x:c r="K403" s="7" t="str"/>
      <x:c r="L403" s="10" t="str"/>
      <x:c r="M403" s="7" t="str">
        <x:v>OPEN</x:v>
      </x:c>
    </x:row>
    <x:row r="404" ht="36" customHeight="1">
      <x:c r="B404" s="7" t="str">
        <x:v>RAE-E-17-P14</x:v>
      </x:c>
      <x:c r="C404" s="7" t="str">
        <x:v>RAE-E-17</x:v>
      </x:c>
      <x:c r="D404" s="7" t="str">
        <x:v>RFP-B1</x:v>
      </x:c>
      <x:c r="E404" s="7" t="str">
        <x:v>AM-05</x:v>
      </x:c>
      <x:c r="F404" s="7" t="str">
        <x:v>TR-A</x:v>
      </x:c>
      <x:c r="G404" s="7" t="str">
        <x:v>QE-01</x:v>
      </x:c>
      <x:c r="H404" s="7" t="str">
        <x:v>P14</x:v>
      </x:c>
      <x:c r="I404" s="7" t="str">
        <x:v>T+2s</x:v>
      </x:c>
      <x:c r="J404" s="10" t="str">
        <x:v>inlet and dispenser final state</x:v>
      </x:c>
      <x:c r="K404" s="7" t="str"/>
      <x:c r="L404" s="10" t="str"/>
      <x:c r="M404" s="7" t="str">
        <x:v>OPEN</x:v>
      </x:c>
    </x:row>
    <x:row r="405" ht="36" customHeight="1">
      <x:c r="B405" s="7" t="str">
        <x:v>RAE-E-17-P15</x:v>
      </x:c>
      <x:c r="C405" s="7" t="str">
        <x:v>RAE-E-17</x:v>
      </x:c>
      <x:c r="D405" s="7" t="str">
        <x:v>RFP-B1</x:v>
      </x:c>
      <x:c r="E405" s="7" t="str">
        <x:v>AM-05</x:v>
      </x:c>
      <x:c r="F405" s="7" t="str">
        <x:v>TR-A</x:v>
      </x:c>
      <x:c r="G405" s="7" t="str">
        <x:v>QE-01</x:v>
      </x:c>
      <x:c r="H405" s="7" t="str">
        <x:v>P15</x:v>
      </x:c>
      <x:c r="I405" s="7" t="str">
        <x:v>T+15s</x:v>
      </x:c>
      <x:c r="J405" s="10" t="str">
        <x:v>AM-06 QE-02 ignition opportunity</x:v>
      </x:c>
      <x:c r="K405" s="7" t="str"/>
      <x:c r="L405" s="10" t="str"/>
      <x:c r="M405" s="7" t="str">
        <x:v>OPEN</x:v>
      </x:c>
    </x:row>
    <x:row r="406" ht="36" customHeight="1">
      <x:c r="B406" s="7" t="str">
        <x:v>RAE-E-17-P16</x:v>
      </x:c>
      <x:c r="C406" s="7" t="str">
        <x:v>RAE-E-17</x:v>
      </x:c>
      <x:c r="D406" s="7" t="str">
        <x:v>RFP-B1</x:v>
      </x:c>
      <x:c r="E406" s="7" t="str">
        <x:v>AM-05</x:v>
      </x:c>
      <x:c r="F406" s="7" t="str">
        <x:v>TR-A</x:v>
      </x:c>
      <x:c r="G406" s="7" t="str">
        <x:v>QE-01</x:v>
      </x:c>
      <x:c r="H406" s="7" t="str">
        <x:v>P16</x:v>
      </x:c>
      <x:c r="I406" s="7" t="str">
        <x:v>T+30s</x:v>
      </x:c>
      <x:c r="J406" s="10" t="str">
        <x:v>terminal-source decision</x:v>
      </x:c>
      <x:c r="K406" s="7" t="str"/>
      <x:c r="L406" s="10" t="str"/>
      <x:c r="M406" s="7" t="str">
        <x:v>OPEN</x:v>
      </x:c>
    </x:row>
    <x:row r="407" ht="36" customHeight="1">
      <x:c r="B407" s="7" t="str">
        <x:v>RAE-E-17-P17</x:v>
      </x:c>
      <x:c r="C407" s="7" t="str">
        <x:v>RAE-E-17</x:v>
      </x:c>
      <x:c r="D407" s="7" t="str">
        <x:v>RFP-B1</x:v>
      </x:c>
      <x:c r="E407" s="7" t="str">
        <x:v>AM-05</x:v>
      </x:c>
      <x:c r="F407" s="7" t="str">
        <x:v>TR-A</x:v>
      </x:c>
      <x:c r="G407" s="7" t="str">
        <x:v>QE-01</x:v>
      </x:c>
      <x:c r="H407" s="7" t="str">
        <x:v>P17</x:v>
      </x:c>
      <x:c r="I407" s="7" t="str">
        <x:v>T+120s</x:v>
      </x:c>
      <x:c r="J407" s="10" t="str">
        <x:v>public schedule end</x:v>
      </x:c>
      <x:c r="K407" s="7" t="str"/>
      <x:c r="L407" s="10" t="str"/>
      <x:c r="M407" s="7" t="str">
        <x:v>OPEN</x:v>
      </x:c>
    </x:row>
    <x:row r="408" ht="36" customHeight="1">
      <x:c r="B408" s="7" t="str">
        <x:v>RAE-E-17-P18</x:v>
      </x:c>
      <x:c r="C408" s="7" t="str">
        <x:v>RAE-E-17</x:v>
      </x:c>
      <x:c r="D408" s="7" t="str">
        <x:v>RFP-B1</x:v>
      </x:c>
      <x:c r="E408" s="7" t="str">
        <x:v>AM-05</x:v>
      </x:c>
      <x:c r="F408" s="7" t="str">
        <x:v>TR-A</x:v>
      </x:c>
      <x:c r="G408" s="7" t="str">
        <x:v>QE-01</x:v>
      </x:c>
      <x:c r="H408" s="7" t="str">
        <x:v>P18</x:v>
      </x:c>
      <x:c r="I408" s="7" t="str">
        <x:v>T+15min</x:v>
      </x:c>
      <x:c r="J408" s="10" t="str">
        <x:v>thermal and water classification</x:v>
      </x:c>
      <x:c r="K408" s="7" t="str"/>
      <x:c r="L408" s="10" t="str"/>
      <x:c r="M408" s="7" t="str">
        <x:v>OPEN</x:v>
      </x:c>
    </x:row>
    <x:row r="409" ht="36" customHeight="1">
      <x:c r="B409" s="7" t="str">
        <x:v>RAE-E-17-P19</x:v>
      </x:c>
      <x:c r="C409" s="7" t="str">
        <x:v>RAE-E-17</x:v>
      </x:c>
      <x:c r="D409" s="7" t="str">
        <x:v>RFP-B1</x:v>
      </x:c>
      <x:c r="E409" s="7" t="str">
        <x:v>AM-05</x:v>
      </x:c>
      <x:c r="F409" s="7" t="str">
        <x:v>TR-A</x:v>
      </x:c>
      <x:c r="G409" s="7" t="str">
        <x:v>QE-01</x:v>
      </x:c>
      <x:c r="H409" s="7" t="str">
        <x:v>P19</x:v>
      </x:c>
      <x:c r="I409" s="7" t="str">
        <x:v>T+30min</x:v>
      </x:c>
      <x:c r="J409" s="10" t="str">
        <x:v>public intervention classification</x:v>
      </x:c>
      <x:c r="K409" s="7" t="str"/>
      <x:c r="L409" s="10" t="str"/>
      <x:c r="M409" s="7" t="str">
        <x:v>OPEN</x:v>
      </x:c>
    </x:row>
    <x:row r="410" ht="36" customHeight="1">
      <x:c r="B410" s="7" t="str">
        <x:v>RAE-E-17-P20</x:v>
      </x:c>
      <x:c r="C410" s="7" t="str">
        <x:v>RAE-E-17</x:v>
      </x:c>
      <x:c r="D410" s="7" t="str">
        <x:v>RFP-B1</x:v>
      </x:c>
      <x:c r="E410" s="7" t="str">
        <x:v>AM-05</x:v>
      </x:c>
      <x:c r="F410" s="7" t="str">
        <x:v>TR-A</x:v>
      </x:c>
      <x:c r="G410" s="7" t="str">
        <x:v>QE-01</x:v>
      </x:c>
      <x:c r="H410" s="7" t="str">
        <x:v>P20</x:v>
      </x:c>
      <x:c r="I410" s="7" t="str">
        <x:v>T+60min</x:v>
      </x:c>
      <x:c r="J410" s="10" t="str">
        <x:v>remote-entry classification</x:v>
      </x:c>
      <x:c r="K410" s="7" t="str"/>
      <x:c r="L410" s="10" t="str"/>
      <x:c r="M410" s="7" t="str">
        <x:v>OPEN</x:v>
      </x:c>
    </x:row>
    <x:row r="411" ht="36" customHeight="1">
      <x:c r="B411" s="7" t="str">
        <x:v>RAE-E-17-P21</x:v>
      </x:c>
      <x:c r="C411" s="7" t="str">
        <x:v>RAE-E-17</x:v>
      </x:c>
      <x:c r="D411" s="7" t="str">
        <x:v>RFP-B1</x:v>
      </x:c>
      <x:c r="E411" s="7" t="str">
        <x:v>AM-05</x:v>
      </x:c>
      <x:c r="F411" s="7" t="str">
        <x:v>TR-A</x:v>
      </x:c>
      <x:c r="G411" s="7" t="str">
        <x:v>QE-01</x:v>
      </x:c>
      <x:c r="H411" s="7" t="str">
        <x:v>P21</x:v>
      </x:c>
      <x:c r="I411" s="7" t="str">
        <x:v>T+6h</x:v>
      </x:c>
      <x:c r="J411" s="10" t="str">
        <x:v>evidence tail closure</x:v>
      </x:c>
      <x:c r="K411" s="7" t="str"/>
      <x:c r="L411" s="10" t="str"/>
      <x:c r="M411" s="7" t="str">
        <x:v>OPEN</x:v>
      </x:c>
    </x:row>
    <x:row r="412" ht="36" customHeight="1">
      <x:c r="B412" s="7" t="str">
        <x:v>RAE-E-17-P22</x:v>
      </x:c>
      <x:c r="C412" s="7" t="str">
        <x:v>RAE-E-17</x:v>
      </x:c>
      <x:c r="D412" s="7" t="str">
        <x:v>RFP-B1</x:v>
      </x:c>
      <x:c r="E412" s="7" t="str">
        <x:v>AM-05</x:v>
      </x:c>
      <x:c r="F412" s="7" t="str">
        <x:v>TR-A</x:v>
      </x:c>
      <x:c r="G412" s="7" t="str">
        <x:v>QE-01</x:v>
      </x:c>
      <x:c r="H412" s="7" t="str">
        <x:v>P22</x:v>
      </x:c>
      <x:c r="I412" s="7" t="str">
        <x:v>T+24h</x:v>
      </x:c>
      <x:c r="J412" s="10" t="str">
        <x:v>physical ledger closure</x:v>
      </x:c>
      <x:c r="K412" s="7" t="str"/>
      <x:c r="L412" s="10" t="str"/>
      <x:c r="M412" s="7" t="str">
        <x:v>OPEN</x:v>
      </x:c>
    </x:row>
    <x:row r="413" ht="36" customHeight="1">
      <x:c r="B413" s="7" t="str">
        <x:v>RAE-E-17-P23</x:v>
      </x:c>
      <x:c r="C413" s="7" t="str">
        <x:v>RAE-E-17</x:v>
      </x:c>
      <x:c r="D413" s="7" t="str">
        <x:v>RFP-B1</x:v>
      </x:c>
      <x:c r="E413" s="7" t="str">
        <x:v>AM-05</x:v>
      </x:c>
      <x:c r="F413" s="7" t="str">
        <x:v>TR-A</x:v>
      </x:c>
      <x:c r="G413" s="7" t="str">
        <x:v>QE-01</x:v>
      </x:c>
      <x:c r="H413" s="7" t="str">
        <x:v>P23</x:v>
      </x:c>
      <x:c r="I413" s="7" t="str">
        <x:v>T+72h</x:v>
      </x:c>
      <x:c r="J413" s="10" t="str">
        <x:v>immutable packet freeze</x:v>
      </x:c>
      <x:c r="K413" s="7" t="str"/>
      <x:c r="L413" s="10" t="str"/>
      <x:c r="M413" s="7" t="str">
        <x:v>OPEN</x:v>
      </x:c>
    </x:row>
    <x:row r="414" ht="36" customHeight="1">
      <x:c r="B414" s="7" t="str">
        <x:v>RAE-E-17-P24</x:v>
      </x:c>
      <x:c r="C414" s="7" t="str">
        <x:v>RAE-E-17</x:v>
      </x:c>
      <x:c r="D414" s="7" t="str">
        <x:v>RFP-B1</x:v>
      </x:c>
      <x:c r="E414" s="7" t="str">
        <x:v>AM-05</x:v>
      </x:c>
      <x:c r="F414" s="7" t="str">
        <x:v>TR-A</x:v>
      </x:c>
      <x:c r="G414" s="7" t="str">
        <x:v>QE-01</x:v>
      </x:c>
      <x:c r="H414" s="7" t="str">
        <x:v>P24</x:v>
      </x:c>
      <x:c r="I414" s="7" t="str">
        <x:v>day 7</x:v>
      </x:c>
      <x:c r="J414" s="10" t="str">
        <x:v>validity and outcome board</x:v>
      </x:c>
      <x:c r="K414" s="7" t="str"/>
      <x:c r="L414" s="10" t="str"/>
      <x:c r="M414" s="7" t="str">
        <x:v>OPEN</x:v>
      </x:c>
    </x:row>
    <x:row r="415" ht="36" customHeight="1">
      <x:c r="B415" s="7" t="str">
        <x:v>RAE-E-18-P01</x:v>
      </x:c>
      <x:c r="C415" s="7" t="str">
        <x:v>RAE-E-18</x:v>
      </x:c>
      <x:c r="D415" s="7" t="str">
        <x:v>RFP-B1</x:v>
      </x:c>
      <x:c r="E415" s="7" t="str">
        <x:v>AM-05</x:v>
      </x:c>
      <x:c r="F415" s="7" t="str">
        <x:v>TR-A</x:v>
      </x:c>
      <x:c r="G415" s="7" t="str">
        <x:v>QE-02</x:v>
      </x:c>
      <x:c r="H415" s="7" t="str">
        <x:v>P01</x:v>
      </x:c>
      <x:c r="I415" s="7" t="str">
        <x:v>T-96h</x:v>
      </x:c>
      <x:c r="J415" s="10" t="str">
        <x:v>baseline freeze</x:v>
      </x:c>
      <x:c r="K415" s="7" t="str"/>
      <x:c r="L415" s="10" t="str"/>
      <x:c r="M415" s="7" t="str">
        <x:v>OPEN</x:v>
      </x:c>
    </x:row>
    <x:row r="416" ht="36" customHeight="1">
      <x:c r="B416" s="7" t="str">
        <x:v>RAE-E-18-P02</x:v>
      </x:c>
      <x:c r="C416" s="7" t="str">
        <x:v>RAE-E-18</x:v>
      </x:c>
      <x:c r="D416" s="7" t="str">
        <x:v>RFP-B1</x:v>
      </x:c>
      <x:c r="E416" s="7" t="str">
        <x:v>AM-05</x:v>
      </x:c>
      <x:c r="F416" s="7" t="str">
        <x:v>TR-A</x:v>
      </x:c>
      <x:c r="G416" s="7" t="str">
        <x:v>QE-02</x:v>
      </x:c>
      <x:c r="H416" s="7" t="str">
        <x:v>P02</x:v>
      </x:c>
      <x:c r="I416" s="7" t="str">
        <x:v>T-72h</x:v>
      </x:c>
      <x:c r="J416" s="10" t="str">
        <x:v>source and water custody freeze</x:v>
      </x:c>
      <x:c r="K416" s="7" t="str"/>
      <x:c r="L416" s="10" t="str"/>
      <x:c r="M416" s="7" t="str">
        <x:v>OPEN</x:v>
      </x:c>
    </x:row>
    <x:row r="417" ht="36" customHeight="1">
      <x:c r="B417" s="7" t="str">
        <x:v>RAE-E-18-P03</x:v>
      </x:c>
      <x:c r="C417" s="7" t="str">
        <x:v>RAE-E-18</x:v>
      </x:c>
      <x:c r="D417" s="7" t="str">
        <x:v>RFP-B1</x:v>
      </x:c>
      <x:c r="E417" s="7" t="str">
        <x:v>AM-05</x:v>
      </x:c>
      <x:c r="F417" s="7" t="str">
        <x:v>TR-A</x:v>
      </x:c>
      <x:c r="G417" s="7" t="str">
        <x:v>QE-02</x:v>
      </x:c>
      <x:c r="H417" s="7" t="str">
        <x:v>P03</x:v>
      </x:c>
      <x:c r="I417" s="7" t="str">
        <x:v>T-48h</x:v>
      </x:c>
      <x:c r="J417" s="10" t="str">
        <x:v>article and configuration identity</x:v>
      </x:c>
      <x:c r="K417" s="7" t="str"/>
      <x:c r="L417" s="10" t="str"/>
      <x:c r="M417" s="7" t="str">
        <x:v>OPEN</x:v>
      </x:c>
    </x:row>
    <x:row r="418" ht="36" customHeight="1">
      <x:c r="B418" s="7" t="str">
        <x:v>RAE-E-18-P04</x:v>
      </x:c>
      <x:c r="C418" s="7" t="str">
        <x:v>RAE-E-18</x:v>
      </x:c>
      <x:c r="D418" s="7" t="str">
        <x:v>RFP-B1</x:v>
      </x:c>
      <x:c r="E418" s="7" t="str">
        <x:v>AM-05</x:v>
      </x:c>
      <x:c r="F418" s="7" t="str">
        <x:v>TR-A</x:v>
      </x:c>
      <x:c r="G418" s="7" t="str">
        <x:v>QE-02</x:v>
      </x:c>
      <x:c r="H418" s="7" t="str">
        <x:v>P04</x:v>
      </x:c>
      <x:c r="I418" s="7" t="str">
        <x:v>T-24h</x:v>
      </x:c>
      <x:c r="J418" s="10" t="str">
        <x:v>environment and recovery readiness</x:v>
      </x:c>
      <x:c r="K418" s="7" t="str"/>
      <x:c r="L418" s="10" t="str"/>
      <x:c r="M418" s="7" t="str">
        <x:v>OPEN</x:v>
      </x:c>
    </x:row>
    <x:row r="419" ht="36" customHeight="1">
      <x:c r="B419" s="7" t="str">
        <x:v>RAE-E-18-P05</x:v>
      </x:c>
      <x:c r="C419" s="7" t="str">
        <x:v>RAE-E-18</x:v>
      </x:c>
      <x:c r="D419" s="7" t="str">
        <x:v>RFP-B1</x:v>
      </x:c>
      <x:c r="E419" s="7" t="str">
        <x:v>AM-05</x:v>
      </x:c>
      <x:c r="F419" s="7" t="str">
        <x:v>TR-A</x:v>
      </x:c>
      <x:c r="G419" s="7" t="str">
        <x:v>QE-02</x:v>
      </x:c>
      <x:c r="H419" s="7" t="str">
        <x:v>P05</x:v>
      </x:c>
      <x:c r="I419" s="7" t="str">
        <x:v>T-12h</x:v>
      </x:c>
      <x:c r="J419" s="10" t="str">
        <x:v>rescue posture</x:v>
      </x:c>
      <x:c r="K419" s="7" t="str"/>
      <x:c r="L419" s="10" t="str"/>
      <x:c r="M419" s="7" t="str">
        <x:v>OPEN</x:v>
      </x:c>
    </x:row>
    <x:row r="420" ht="36" customHeight="1">
      <x:c r="B420" s="7" t="str">
        <x:v>RAE-E-18-P06</x:v>
      </x:c>
      <x:c r="C420" s="7" t="str">
        <x:v>RAE-E-18</x:v>
      </x:c>
      <x:c r="D420" s="7" t="str">
        <x:v>RFP-B1</x:v>
      </x:c>
      <x:c r="E420" s="7" t="str">
        <x:v>AM-05</x:v>
      </x:c>
      <x:c r="F420" s="7" t="str">
        <x:v>TR-A</x:v>
      </x:c>
      <x:c r="G420" s="7" t="str">
        <x:v>QE-02</x:v>
      </x:c>
      <x:c r="H420" s="7" t="str">
        <x:v>P06</x:v>
      </x:c>
      <x:c r="I420" s="7" t="str">
        <x:v>T-6h</x:v>
      </x:c>
      <x:c r="J420" s="10" t="str">
        <x:v>calibration before state</x:v>
      </x:c>
      <x:c r="K420" s="7" t="str"/>
      <x:c r="L420" s="10" t="str"/>
      <x:c r="M420" s="7" t="str">
        <x:v>OPEN</x:v>
      </x:c>
    </x:row>
    <x:row r="421" ht="36" customHeight="1">
      <x:c r="B421" s="7" t="str">
        <x:v>RAE-E-18-P07</x:v>
      </x:c>
      <x:c r="C421" s="7" t="str">
        <x:v>RAE-E-18</x:v>
      </x:c>
      <x:c r="D421" s="7" t="str">
        <x:v>RFP-B1</x:v>
      </x:c>
      <x:c r="E421" s="7" t="str">
        <x:v>AM-05</x:v>
      </x:c>
      <x:c r="F421" s="7" t="str">
        <x:v>TR-A</x:v>
      </x:c>
      <x:c r="G421" s="7" t="str">
        <x:v>QE-02</x:v>
      </x:c>
      <x:c r="H421" s="7" t="str">
        <x:v>P07</x:v>
      </x:c>
      <x:c r="I421" s="7" t="str">
        <x:v>T-2h</x:v>
      </x:c>
      <x:c r="J421" s="10" t="str">
        <x:v>receiver initial-volume proof</x:v>
      </x:c>
      <x:c r="K421" s="7" t="str"/>
      <x:c r="L421" s="10" t="str"/>
      <x:c r="M421" s="7" t="str">
        <x:v>OPEN</x:v>
      </x:c>
    </x:row>
    <x:row r="422" ht="36" customHeight="1">
      <x:c r="B422" s="7" t="str">
        <x:v>RAE-E-18-P08</x:v>
      </x:c>
      <x:c r="C422" s="7" t="str">
        <x:v>RAE-E-18</x:v>
      </x:c>
      <x:c r="D422" s="7" t="str">
        <x:v>RFP-B1</x:v>
      </x:c>
      <x:c r="E422" s="7" t="str">
        <x:v>AM-05</x:v>
      </x:c>
      <x:c r="F422" s="7" t="str">
        <x:v>TR-A</x:v>
      </x:c>
      <x:c r="G422" s="7" t="str">
        <x:v>QE-02</x:v>
      </x:c>
      <x:c r="H422" s="7" t="str">
        <x:v>P08</x:v>
      </x:c>
      <x:c r="I422" s="7" t="str">
        <x:v>T-60min</x:v>
      </x:c>
      <x:c r="J422" s="10" t="str">
        <x:v>neighbor inert-state proof</x:v>
      </x:c>
      <x:c r="K422" s="7" t="str"/>
      <x:c r="L422" s="10" t="str"/>
      <x:c r="M422" s="7" t="str">
        <x:v>OPEN</x:v>
      </x:c>
    </x:row>
    <x:row r="423" ht="36" customHeight="1">
      <x:c r="B423" s="7" t="str">
        <x:v>RAE-E-18-P09</x:v>
      </x:c>
      <x:c r="C423" s="7" t="str">
        <x:v>RAE-E-18</x:v>
      </x:c>
      <x:c r="D423" s="7" t="str">
        <x:v>RFP-B1</x:v>
      </x:c>
      <x:c r="E423" s="7" t="str">
        <x:v>AM-05</x:v>
      </x:c>
      <x:c r="F423" s="7" t="str">
        <x:v>TR-A</x:v>
      </x:c>
      <x:c r="G423" s="7" t="str">
        <x:v>QE-02</x:v>
      </x:c>
      <x:c r="H423" s="7" t="str">
        <x:v>P09</x:v>
      </x:c>
      <x:c r="I423" s="7" t="str">
        <x:v>T-30min</x:v>
      </x:c>
      <x:c r="J423" s="10" t="str">
        <x:v>native evidence armed</x:v>
      </x:c>
      <x:c r="K423" s="7" t="str"/>
      <x:c r="L423" s="10" t="str"/>
      <x:c r="M423" s="7" t="str">
        <x:v>OPEN</x:v>
      </x:c>
    </x:row>
    <x:row r="424" ht="36" customHeight="1">
      <x:c r="B424" s="7" t="str">
        <x:v>RAE-E-18-P10</x:v>
      </x:c>
      <x:c r="C424" s="7" t="str">
        <x:v>RAE-E-18</x:v>
      </x:c>
      <x:c r="D424" s="7" t="str">
        <x:v>RFP-B1</x:v>
      </x:c>
      <x:c r="E424" s="7" t="str">
        <x:v>AM-05</x:v>
      </x:c>
      <x:c r="F424" s="7" t="str">
        <x:v>TR-A</x:v>
      </x:c>
      <x:c r="G424" s="7" t="str">
        <x:v>QE-02</x:v>
      </x:c>
      <x:c r="H424" s="7" t="str">
        <x:v>P10</x:v>
      </x:c>
      <x:c r="I424" s="7" t="str">
        <x:v>T-10min</x:v>
      </x:c>
      <x:c r="J424" s="10" t="str">
        <x:v>final control poll</x:v>
      </x:c>
      <x:c r="K424" s="7" t="str"/>
      <x:c r="L424" s="10" t="str"/>
      <x:c r="M424" s="7" t="str">
        <x:v>OPEN</x:v>
      </x:c>
    </x:row>
    <x:row r="425" ht="36" customHeight="1">
      <x:c r="B425" s="7" t="str">
        <x:v>RAE-E-18-P11</x:v>
      </x:c>
      <x:c r="C425" s="7" t="str">
        <x:v>RAE-E-18</x:v>
      </x:c>
      <x:c r="D425" s="7" t="str">
        <x:v>RFP-B1</x:v>
      </x:c>
      <x:c r="E425" s="7" t="str">
        <x:v>AM-05</x:v>
      </x:c>
      <x:c r="F425" s="7" t="str">
        <x:v>TR-A</x:v>
      </x:c>
      <x:c r="G425" s="7" t="str">
        <x:v>QE-02</x:v>
      </x:c>
      <x:c r="H425" s="7" t="str">
        <x:v>P11</x:v>
      </x:c>
      <x:c r="I425" s="7" t="str">
        <x:v>T-60s</x:v>
      </x:c>
      <x:c r="J425" s="10" t="str">
        <x:v>full-rate capture</x:v>
      </x:c>
      <x:c r="K425" s="7" t="str"/>
      <x:c r="L425" s="10" t="str"/>
      <x:c r="M425" s="7" t="str">
        <x:v>OPEN</x:v>
      </x:c>
    </x:row>
    <x:row r="426" ht="36" customHeight="1">
      <x:c r="B426" s="7" t="str">
        <x:v>RAE-E-18-P12</x:v>
      </x:c>
      <x:c r="C426" s="7" t="str">
        <x:v>RAE-E-18</x:v>
      </x:c>
      <x:c r="D426" s="7" t="str">
        <x:v>RFP-B1</x:v>
      </x:c>
      <x:c r="E426" s="7" t="str">
        <x:v>AM-05</x:v>
      </x:c>
      <x:c r="F426" s="7" t="str">
        <x:v>TR-A</x:v>
      </x:c>
      <x:c r="G426" s="7" t="str">
        <x:v>QE-02</x:v>
      </x:c>
      <x:c r="H426" s="7" t="str">
        <x:v>P12</x:v>
      </x:c>
      <x:c r="I426" s="7" t="str">
        <x:v>T-10s</x:v>
      </x:c>
      <x:c r="J426" s="10" t="str">
        <x:v>registered challenge state</x:v>
      </x:c>
      <x:c r="K426" s="7" t="str"/>
      <x:c r="L426" s="10" t="str"/>
      <x:c r="M426" s="7" t="str">
        <x:v>OPEN</x:v>
      </x:c>
    </x:row>
    <x:row r="427" ht="36" customHeight="1">
      <x:c r="B427" s="7" t="str">
        <x:v>RAE-E-18-P13</x:v>
      </x:c>
      <x:c r="C427" s="7" t="str">
        <x:v>RAE-E-18</x:v>
      </x:c>
      <x:c r="D427" s="7" t="str">
        <x:v>RFP-B1</x:v>
      </x:c>
      <x:c r="E427" s="7" t="str">
        <x:v>AM-05</x:v>
      </x:c>
      <x:c r="F427" s="7" t="str">
        <x:v>TR-A</x:v>
      </x:c>
      <x:c r="G427" s="7" t="str">
        <x:v>QE-02</x:v>
      </x:c>
      <x:c r="H427" s="7" t="str">
        <x:v>P13</x:v>
      </x:c>
      <x:c r="I427" s="7" t="str">
        <x:v>T0</x:v>
      </x:c>
      <x:c r="J427" s="10" t="str">
        <x:v>source command or zero-source marker</x:v>
      </x:c>
      <x:c r="K427" s="7" t="str"/>
      <x:c r="L427" s="10" t="str"/>
      <x:c r="M427" s="7" t="str">
        <x:v>OPEN</x:v>
      </x:c>
    </x:row>
    <x:row r="428" ht="36" customHeight="1">
      <x:c r="B428" s="7" t="str">
        <x:v>RAE-E-18-P14</x:v>
      </x:c>
      <x:c r="C428" s="7" t="str">
        <x:v>RAE-E-18</x:v>
      </x:c>
      <x:c r="D428" s="7" t="str">
        <x:v>RFP-B1</x:v>
      </x:c>
      <x:c r="E428" s="7" t="str">
        <x:v>AM-05</x:v>
      </x:c>
      <x:c r="F428" s="7" t="str">
        <x:v>TR-A</x:v>
      </x:c>
      <x:c r="G428" s="7" t="str">
        <x:v>QE-02</x:v>
      </x:c>
      <x:c r="H428" s="7" t="str">
        <x:v>P14</x:v>
      </x:c>
      <x:c r="I428" s="7" t="str">
        <x:v>T+2s</x:v>
      </x:c>
      <x:c r="J428" s="10" t="str">
        <x:v>inlet and dispenser final state</x:v>
      </x:c>
      <x:c r="K428" s="7" t="str"/>
      <x:c r="L428" s="10" t="str"/>
      <x:c r="M428" s="7" t="str">
        <x:v>OPEN</x:v>
      </x:c>
    </x:row>
    <x:row r="429" ht="36" customHeight="1">
      <x:c r="B429" s="7" t="str">
        <x:v>RAE-E-18-P15</x:v>
      </x:c>
      <x:c r="C429" s="7" t="str">
        <x:v>RAE-E-18</x:v>
      </x:c>
      <x:c r="D429" s="7" t="str">
        <x:v>RFP-B1</x:v>
      </x:c>
      <x:c r="E429" s="7" t="str">
        <x:v>AM-05</x:v>
      </x:c>
      <x:c r="F429" s="7" t="str">
        <x:v>TR-A</x:v>
      </x:c>
      <x:c r="G429" s="7" t="str">
        <x:v>QE-02</x:v>
      </x:c>
      <x:c r="H429" s="7" t="str">
        <x:v>P15</x:v>
      </x:c>
      <x:c r="I429" s="7" t="str">
        <x:v>T+15s</x:v>
      </x:c>
      <x:c r="J429" s="10" t="str">
        <x:v>AM-06 QE-02 ignition opportunity</x:v>
      </x:c>
      <x:c r="K429" s="7" t="str"/>
      <x:c r="L429" s="10" t="str"/>
      <x:c r="M429" s="7" t="str">
        <x:v>OPEN</x:v>
      </x:c>
    </x:row>
    <x:row r="430" ht="36" customHeight="1">
      <x:c r="B430" s="7" t="str">
        <x:v>RAE-E-18-P16</x:v>
      </x:c>
      <x:c r="C430" s="7" t="str">
        <x:v>RAE-E-18</x:v>
      </x:c>
      <x:c r="D430" s="7" t="str">
        <x:v>RFP-B1</x:v>
      </x:c>
      <x:c r="E430" s="7" t="str">
        <x:v>AM-05</x:v>
      </x:c>
      <x:c r="F430" s="7" t="str">
        <x:v>TR-A</x:v>
      </x:c>
      <x:c r="G430" s="7" t="str">
        <x:v>QE-02</x:v>
      </x:c>
      <x:c r="H430" s="7" t="str">
        <x:v>P16</x:v>
      </x:c>
      <x:c r="I430" s="7" t="str">
        <x:v>T+30s</x:v>
      </x:c>
      <x:c r="J430" s="10" t="str">
        <x:v>terminal-source decision</x:v>
      </x:c>
      <x:c r="K430" s="7" t="str"/>
      <x:c r="L430" s="10" t="str"/>
      <x:c r="M430" s="7" t="str">
        <x:v>OPEN</x:v>
      </x:c>
    </x:row>
    <x:row r="431" ht="36" customHeight="1">
      <x:c r="B431" s="7" t="str">
        <x:v>RAE-E-18-P17</x:v>
      </x:c>
      <x:c r="C431" s="7" t="str">
        <x:v>RAE-E-18</x:v>
      </x:c>
      <x:c r="D431" s="7" t="str">
        <x:v>RFP-B1</x:v>
      </x:c>
      <x:c r="E431" s="7" t="str">
        <x:v>AM-05</x:v>
      </x:c>
      <x:c r="F431" s="7" t="str">
        <x:v>TR-A</x:v>
      </x:c>
      <x:c r="G431" s="7" t="str">
        <x:v>QE-02</x:v>
      </x:c>
      <x:c r="H431" s="7" t="str">
        <x:v>P17</x:v>
      </x:c>
      <x:c r="I431" s="7" t="str">
        <x:v>T+120s</x:v>
      </x:c>
      <x:c r="J431" s="10" t="str">
        <x:v>public schedule end</x:v>
      </x:c>
      <x:c r="K431" s="7" t="str"/>
      <x:c r="L431" s="10" t="str"/>
      <x:c r="M431" s="7" t="str">
        <x:v>OPEN</x:v>
      </x:c>
    </x:row>
    <x:row r="432" ht="36" customHeight="1">
      <x:c r="B432" s="7" t="str">
        <x:v>RAE-E-18-P18</x:v>
      </x:c>
      <x:c r="C432" s="7" t="str">
        <x:v>RAE-E-18</x:v>
      </x:c>
      <x:c r="D432" s="7" t="str">
        <x:v>RFP-B1</x:v>
      </x:c>
      <x:c r="E432" s="7" t="str">
        <x:v>AM-05</x:v>
      </x:c>
      <x:c r="F432" s="7" t="str">
        <x:v>TR-A</x:v>
      </x:c>
      <x:c r="G432" s="7" t="str">
        <x:v>QE-02</x:v>
      </x:c>
      <x:c r="H432" s="7" t="str">
        <x:v>P18</x:v>
      </x:c>
      <x:c r="I432" s="7" t="str">
        <x:v>T+15min</x:v>
      </x:c>
      <x:c r="J432" s="10" t="str">
        <x:v>thermal and water classification</x:v>
      </x:c>
      <x:c r="K432" s="7" t="str"/>
      <x:c r="L432" s="10" t="str"/>
      <x:c r="M432" s="7" t="str">
        <x:v>OPEN</x:v>
      </x:c>
    </x:row>
    <x:row r="433" ht="36" customHeight="1">
      <x:c r="B433" s="7" t="str">
        <x:v>RAE-E-18-P19</x:v>
      </x:c>
      <x:c r="C433" s="7" t="str">
        <x:v>RAE-E-18</x:v>
      </x:c>
      <x:c r="D433" s="7" t="str">
        <x:v>RFP-B1</x:v>
      </x:c>
      <x:c r="E433" s="7" t="str">
        <x:v>AM-05</x:v>
      </x:c>
      <x:c r="F433" s="7" t="str">
        <x:v>TR-A</x:v>
      </x:c>
      <x:c r="G433" s="7" t="str">
        <x:v>QE-02</x:v>
      </x:c>
      <x:c r="H433" s="7" t="str">
        <x:v>P19</x:v>
      </x:c>
      <x:c r="I433" s="7" t="str">
        <x:v>T+30min</x:v>
      </x:c>
      <x:c r="J433" s="10" t="str">
        <x:v>public intervention classification</x:v>
      </x:c>
      <x:c r="K433" s="7" t="str"/>
      <x:c r="L433" s="10" t="str"/>
      <x:c r="M433" s="7" t="str">
        <x:v>OPEN</x:v>
      </x:c>
    </x:row>
    <x:row r="434" ht="36" customHeight="1">
      <x:c r="B434" s="7" t="str">
        <x:v>RAE-E-18-P20</x:v>
      </x:c>
      <x:c r="C434" s="7" t="str">
        <x:v>RAE-E-18</x:v>
      </x:c>
      <x:c r="D434" s="7" t="str">
        <x:v>RFP-B1</x:v>
      </x:c>
      <x:c r="E434" s="7" t="str">
        <x:v>AM-05</x:v>
      </x:c>
      <x:c r="F434" s="7" t="str">
        <x:v>TR-A</x:v>
      </x:c>
      <x:c r="G434" s="7" t="str">
        <x:v>QE-02</x:v>
      </x:c>
      <x:c r="H434" s="7" t="str">
        <x:v>P20</x:v>
      </x:c>
      <x:c r="I434" s="7" t="str">
        <x:v>T+60min</x:v>
      </x:c>
      <x:c r="J434" s="10" t="str">
        <x:v>remote-entry classification</x:v>
      </x:c>
      <x:c r="K434" s="7" t="str"/>
      <x:c r="L434" s="10" t="str"/>
      <x:c r="M434" s="7" t="str">
        <x:v>OPEN</x:v>
      </x:c>
    </x:row>
    <x:row r="435" ht="36" customHeight="1">
      <x:c r="B435" s="7" t="str">
        <x:v>RAE-E-18-P21</x:v>
      </x:c>
      <x:c r="C435" s="7" t="str">
        <x:v>RAE-E-18</x:v>
      </x:c>
      <x:c r="D435" s="7" t="str">
        <x:v>RFP-B1</x:v>
      </x:c>
      <x:c r="E435" s="7" t="str">
        <x:v>AM-05</x:v>
      </x:c>
      <x:c r="F435" s="7" t="str">
        <x:v>TR-A</x:v>
      </x:c>
      <x:c r="G435" s="7" t="str">
        <x:v>QE-02</x:v>
      </x:c>
      <x:c r="H435" s="7" t="str">
        <x:v>P21</x:v>
      </x:c>
      <x:c r="I435" s="7" t="str">
        <x:v>T+6h</x:v>
      </x:c>
      <x:c r="J435" s="10" t="str">
        <x:v>evidence tail closure</x:v>
      </x:c>
      <x:c r="K435" s="7" t="str"/>
      <x:c r="L435" s="10" t="str"/>
      <x:c r="M435" s="7" t="str">
        <x:v>OPEN</x:v>
      </x:c>
    </x:row>
    <x:row r="436" ht="36" customHeight="1">
      <x:c r="B436" s="7" t="str">
        <x:v>RAE-E-18-P22</x:v>
      </x:c>
      <x:c r="C436" s="7" t="str">
        <x:v>RAE-E-18</x:v>
      </x:c>
      <x:c r="D436" s="7" t="str">
        <x:v>RFP-B1</x:v>
      </x:c>
      <x:c r="E436" s="7" t="str">
        <x:v>AM-05</x:v>
      </x:c>
      <x:c r="F436" s="7" t="str">
        <x:v>TR-A</x:v>
      </x:c>
      <x:c r="G436" s="7" t="str">
        <x:v>QE-02</x:v>
      </x:c>
      <x:c r="H436" s="7" t="str">
        <x:v>P22</x:v>
      </x:c>
      <x:c r="I436" s="7" t="str">
        <x:v>T+24h</x:v>
      </x:c>
      <x:c r="J436" s="10" t="str">
        <x:v>physical ledger closure</x:v>
      </x:c>
      <x:c r="K436" s="7" t="str"/>
      <x:c r="L436" s="10" t="str"/>
      <x:c r="M436" s="7" t="str">
        <x:v>OPEN</x:v>
      </x:c>
    </x:row>
    <x:row r="437" ht="36" customHeight="1">
      <x:c r="B437" s="7" t="str">
        <x:v>RAE-E-18-P23</x:v>
      </x:c>
      <x:c r="C437" s="7" t="str">
        <x:v>RAE-E-18</x:v>
      </x:c>
      <x:c r="D437" s="7" t="str">
        <x:v>RFP-B1</x:v>
      </x:c>
      <x:c r="E437" s="7" t="str">
        <x:v>AM-05</x:v>
      </x:c>
      <x:c r="F437" s="7" t="str">
        <x:v>TR-A</x:v>
      </x:c>
      <x:c r="G437" s="7" t="str">
        <x:v>QE-02</x:v>
      </x:c>
      <x:c r="H437" s="7" t="str">
        <x:v>P23</x:v>
      </x:c>
      <x:c r="I437" s="7" t="str">
        <x:v>T+72h</x:v>
      </x:c>
      <x:c r="J437" s="10" t="str">
        <x:v>immutable packet freeze</x:v>
      </x:c>
      <x:c r="K437" s="7" t="str"/>
      <x:c r="L437" s="10" t="str"/>
      <x:c r="M437" s="7" t="str">
        <x:v>OPEN</x:v>
      </x:c>
    </x:row>
    <x:row r="438" ht="36" customHeight="1">
      <x:c r="B438" s="7" t="str">
        <x:v>RAE-E-18-P24</x:v>
      </x:c>
      <x:c r="C438" s="7" t="str">
        <x:v>RAE-E-18</x:v>
      </x:c>
      <x:c r="D438" s="7" t="str">
        <x:v>RFP-B1</x:v>
      </x:c>
      <x:c r="E438" s="7" t="str">
        <x:v>AM-05</x:v>
      </x:c>
      <x:c r="F438" s="7" t="str">
        <x:v>TR-A</x:v>
      </x:c>
      <x:c r="G438" s="7" t="str">
        <x:v>QE-02</x:v>
      </x:c>
      <x:c r="H438" s="7" t="str">
        <x:v>P24</x:v>
      </x:c>
      <x:c r="I438" s="7" t="str">
        <x:v>day 7</x:v>
      </x:c>
      <x:c r="J438" s="10" t="str">
        <x:v>validity and outcome board</x:v>
      </x:c>
      <x:c r="K438" s="7" t="str"/>
      <x:c r="L438" s="10" t="str"/>
      <x:c r="M438" s="7" t="str">
        <x:v>OPEN</x:v>
      </x:c>
    </x:row>
    <x:row r="439" ht="36" customHeight="1">
      <x:c r="B439" s="7" t="str">
        <x:v>RAE-E-19-P01</x:v>
      </x:c>
      <x:c r="C439" s="7" t="str">
        <x:v>RAE-E-19</x:v>
      </x:c>
      <x:c r="D439" s="7" t="str">
        <x:v>RFP-B1</x:v>
      </x:c>
      <x:c r="E439" s="7" t="str">
        <x:v>AM-05</x:v>
      </x:c>
      <x:c r="F439" s="7" t="str">
        <x:v>TR-B</x:v>
      </x:c>
      <x:c r="G439" s="7" t="str">
        <x:v>QE-01</x:v>
      </x:c>
      <x:c r="H439" s="7" t="str">
        <x:v>P01</x:v>
      </x:c>
      <x:c r="I439" s="7" t="str">
        <x:v>T-96h</x:v>
      </x:c>
      <x:c r="J439" s="10" t="str">
        <x:v>baseline freeze</x:v>
      </x:c>
      <x:c r="K439" s="7" t="str"/>
      <x:c r="L439" s="10" t="str"/>
      <x:c r="M439" s="7" t="str">
        <x:v>OPEN</x:v>
      </x:c>
    </x:row>
    <x:row r="440" ht="36" customHeight="1">
      <x:c r="B440" s="7" t="str">
        <x:v>RAE-E-19-P02</x:v>
      </x:c>
      <x:c r="C440" s="7" t="str">
        <x:v>RAE-E-19</x:v>
      </x:c>
      <x:c r="D440" s="7" t="str">
        <x:v>RFP-B1</x:v>
      </x:c>
      <x:c r="E440" s="7" t="str">
        <x:v>AM-05</x:v>
      </x:c>
      <x:c r="F440" s="7" t="str">
        <x:v>TR-B</x:v>
      </x:c>
      <x:c r="G440" s="7" t="str">
        <x:v>QE-01</x:v>
      </x:c>
      <x:c r="H440" s="7" t="str">
        <x:v>P02</x:v>
      </x:c>
      <x:c r="I440" s="7" t="str">
        <x:v>T-72h</x:v>
      </x:c>
      <x:c r="J440" s="10" t="str">
        <x:v>source and water custody freeze</x:v>
      </x:c>
      <x:c r="K440" s="7" t="str"/>
      <x:c r="L440" s="10" t="str"/>
      <x:c r="M440" s="7" t="str">
        <x:v>OPEN</x:v>
      </x:c>
    </x:row>
    <x:row r="441" ht="36" customHeight="1">
      <x:c r="B441" s="7" t="str">
        <x:v>RAE-E-19-P03</x:v>
      </x:c>
      <x:c r="C441" s="7" t="str">
        <x:v>RAE-E-19</x:v>
      </x:c>
      <x:c r="D441" s="7" t="str">
        <x:v>RFP-B1</x:v>
      </x:c>
      <x:c r="E441" s="7" t="str">
        <x:v>AM-05</x:v>
      </x:c>
      <x:c r="F441" s="7" t="str">
        <x:v>TR-B</x:v>
      </x:c>
      <x:c r="G441" s="7" t="str">
        <x:v>QE-01</x:v>
      </x:c>
      <x:c r="H441" s="7" t="str">
        <x:v>P03</x:v>
      </x:c>
      <x:c r="I441" s="7" t="str">
        <x:v>T-48h</x:v>
      </x:c>
      <x:c r="J441" s="10" t="str">
        <x:v>article and configuration identity</x:v>
      </x:c>
      <x:c r="K441" s="7" t="str"/>
      <x:c r="L441" s="10" t="str"/>
      <x:c r="M441" s="7" t="str">
        <x:v>OPEN</x:v>
      </x:c>
    </x:row>
    <x:row r="442" ht="36" customHeight="1">
      <x:c r="B442" s="7" t="str">
        <x:v>RAE-E-19-P04</x:v>
      </x:c>
      <x:c r="C442" s="7" t="str">
        <x:v>RAE-E-19</x:v>
      </x:c>
      <x:c r="D442" s="7" t="str">
        <x:v>RFP-B1</x:v>
      </x:c>
      <x:c r="E442" s="7" t="str">
        <x:v>AM-05</x:v>
      </x:c>
      <x:c r="F442" s="7" t="str">
        <x:v>TR-B</x:v>
      </x:c>
      <x:c r="G442" s="7" t="str">
        <x:v>QE-01</x:v>
      </x:c>
      <x:c r="H442" s="7" t="str">
        <x:v>P04</x:v>
      </x:c>
      <x:c r="I442" s="7" t="str">
        <x:v>T-24h</x:v>
      </x:c>
      <x:c r="J442" s="10" t="str">
        <x:v>environment and recovery readiness</x:v>
      </x:c>
      <x:c r="K442" s="7" t="str"/>
      <x:c r="L442" s="10" t="str"/>
      <x:c r="M442" s="7" t="str">
        <x:v>OPEN</x:v>
      </x:c>
    </x:row>
    <x:row r="443" ht="36" customHeight="1">
      <x:c r="B443" s="7" t="str">
        <x:v>RAE-E-19-P05</x:v>
      </x:c>
      <x:c r="C443" s="7" t="str">
        <x:v>RAE-E-19</x:v>
      </x:c>
      <x:c r="D443" s="7" t="str">
        <x:v>RFP-B1</x:v>
      </x:c>
      <x:c r="E443" s="7" t="str">
        <x:v>AM-05</x:v>
      </x:c>
      <x:c r="F443" s="7" t="str">
        <x:v>TR-B</x:v>
      </x:c>
      <x:c r="G443" s="7" t="str">
        <x:v>QE-01</x:v>
      </x:c>
      <x:c r="H443" s="7" t="str">
        <x:v>P05</x:v>
      </x:c>
      <x:c r="I443" s="7" t="str">
        <x:v>T-12h</x:v>
      </x:c>
      <x:c r="J443" s="10" t="str">
        <x:v>rescue posture</x:v>
      </x:c>
      <x:c r="K443" s="7" t="str"/>
      <x:c r="L443" s="10" t="str"/>
      <x:c r="M443" s="7" t="str">
        <x:v>OPEN</x:v>
      </x:c>
    </x:row>
    <x:row r="444" ht="36" customHeight="1">
      <x:c r="B444" s="7" t="str">
        <x:v>RAE-E-19-P06</x:v>
      </x:c>
      <x:c r="C444" s="7" t="str">
        <x:v>RAE-E-19</x:v>
      </x:c>
      <x:c r="D444" s="7" t="str">
        <x:v>RFP-B1</x:v>
      </x:c>
      <x:c r="E444" s="7" t="str">
        <x:v>AM-05</x:v>
      </x:c>
      <x:c r="F444" s="7" t="str">
        <x:v>TR-B</x:v>
      </x:c>
      <x:c r="G444" s="7" t="str">
        <x:v>QE-01</x:v>
      </x:c>
      <x:c r="H444" s="7" t="str">
        <x:v>P06</x:v>
      </x:c>
      <x:c r="I444" s="7" t="str">
        <x:v>T-6h</x:v>
      </x:c>
      <x:c r="J444" s="10" t="str">
        <x:v>calibration before state</x:v>
      </x:c>
      <x:c r="K444" s="7" t="str"/>
      <x:c r="L444" s="10" t="str"/>
      <x:c r="M444" s="7" t="str">
        <x:v>OPEN</x:v>
      </x:c>
    </x:row>
    <x:row r="445" ht="36" customHeight="1">
      <x:c r="B445" s="7" t="str">
        <x:v>RAE-E-19-P07</x:v>
      </x:c>
      <x:c r="C445" s="7" t="str">
        <x:v>RAE-E-19</x:v>
      </x:c>
      <x:c r="D445" s="7" t="str">
        <x:v>RFP-B1</x:v>
      </x:c>
      <x:c r="E445" s="7" t="str">
        <x:v>AM-05</x:v>
      </x:c>
      <x:c r="F445" s="7" t="str">
        <x:v>TR-B</x:v>
      </x:c>
      <x:c r="G445" s="7" t="str">
        <x:v>QE-01</x:v>
      </x:c>
      <x:c r="H445" s="7" t="str">
        <x:v>P07</x:v>
      </x:c>
      <x:c r="I445" s="7" t="str">
        <x:v>T-2h</x:v>
      </x:c>
      <x:c r="J445" s="10" t="str">
        <x:v>receiver initial-volume proof</x:v>
      </x:c>
      <x:c r="K445" s="7" t="str"/>
      <x:c r="L445" s="10" t="str"/>
      <x:c r="M445" s="7" t="str">
        <x:v>OPEN</x:v>
      </x:c>
    </x:row>
    <x:row r="446" ht="36" customHeight="1">
      <x:c r="B446" s="7" t="str">
        <x:v>RAE-E-19-P08</x:v>
      </x:c>
      <x:c r="C446" s="7" t="str">
        <x:v>RAE-E-19</x:v>
      </x:c>
      <x:c r="D446" s="7" t="str">
        <x:v>RFP-B1</x:v>
      </x:c>
      <x:c r="E446" s="7" t="str">
        <x:v>AM-05</x:v>
      </x:c>
      <x:c r="F446" s="7" t="str">
        <x:v>TR-B</x:v>
      </x:c>
      <x:c r="G446" s="7" t="str">
        <x:v>QE-01</x:v>
      </x:c>
      <x:c r="H446" s="7" t="str">
        <x:v>P08</x:v>
      </x:c>
      <x:c r="I446" s="7" t="str">
        <x:v>T-60min</x:v>
      </x:c>
      <x:c r="J446" s="10" t="str">
        <x:v>neighbor inert-state proof</x:v>
      </x:c>
      <x:c r="K446" s="7" t="str"/>
      <x:c r="L446" s="10" t="str"/>
      <x:c r="M446" s="7" t="str">
        <x:v>OPEN</x:v>
      </x:c>
    </x:row>
    <x:row r="447" ht="36" customHeight="1">
      <x:c r="B447" s="7" t="str">
        <x:v>RAE-E-19-P09</x:v>
      </x:c>
      <x:c r="C447" s="7" t="str">
        <x:v>RAE-E-19</x:v>
      </x:c>
      <x:c r="D447" s="7" t="str">
        <x:v>RFP-B1</x:v>
      </x:c>
      <x:c r="E447" s="7" t="str">
        <x:v>AM-05</x:v>
      </x:c>
      <x:c r="F447" s="7" t="str">
        <x:v>TR-B</x:v>
      </x:c>
      <x:c r="G447" s="7" t="str">
        <x:v>QE-01</x:v>
      </x:c>
      <x:c r="H447" s="7" t="str">
        <x:v>P09</x:v>
      </x:c>
      <x:c r="I447" s="7" t="str">
        <x:v>T-30min</x:v>
      </x:c>
      <x:c r="J447" s="10" t="str">
        <x:v>native evidence armed</x:v>
      </x:c>
      <x:c r="K447" s="7" t="str"/>
      <x:c r="L447" s="10" t="str"/>
      <x:c r="M447" s="7" t="str">
        <x:v>OPEN</x:v>
      </x:c>
    </x:row>
    <x:row r="448" ht="36" customHeight="1">
      <x:c r="B448" s="7" t="str">
        <x:v>RAE-E-19-P10</x:v>
      </x:c>
      <x:c r="C448" s="7" t="str">
        <x:v>RAE-E-19</x:v>
      </x:c>
      <x:c r="D448" s="7" t="str">
        <x:v>RFP-B1</x:v>
      </x:c>
      <x:c r="E448" s="7" t="str">
        <x:v>AM-05</x:v>
      </x:c>
      <x:c r="F448" s="7" t="str">
        <x:v>TR-B</x:v>
      </x:c>
      <x:c r="G448" s="7" t="str">
        <x:v>QE-01</x:v>
      </x:c>
      <x:c r="H448" s="7" t="str">
        <x:v>P10</x:v>
      </x:c>
      <x:c r="I448" s="7" t="str">
        <x:v>T-10min</x:v>
      </x:c>
      <x:c r="J448" s="10" t="str">
        <x:v>final control poll</x:v>
      </x:c>
      <x:c r="K448" s="7" t="str"/>
      <x:c r="L448" s="10" t="str"/>
      <x:c r="M448" s="7" t="str">
        <x:v>OPEN</x:v>
      </x:c>
    </x:row>
    <x:row r="449" ht="36" customHeight="1">
      <x:c r="B449" s="7" t="str">
        <x:v>RAE-E-19-P11</x:v>
      </x:c>
      <x:c r="C449" s="7" t="str">
        <x:v>RAE-E-19</x:v>
      </x:c>
      <x:c r="D449" s="7" t="str">
        <x:v>RFP-B1</x:v>
      </x:c>
      <x:c r="E449" s="7" t="str">
        <x:v>AM-05</x:v>
      </x:c>
      <x:c r="F449" s="7" t="str">
        <x:v>TR-B</x:v>
      </x:c>
      <x:c r="G449" s="7" t="str">
        <x:v>QE-01</x:v>
      </x:c>
      <x:c r="H449" s="7" t="str">
        <x:v>P11</x:v>
      </x:c>
      <x:c r="I449" s="7" t="str">
        <x:v>T-60s</x:v>
      </x:c>
      <x:c r="J449" s="10" t="str">
        <x:v>full-rate capture</x:v>
      </x:c>
      <x:c r="K449" s="7" t="str"/>
      <x:c r="L449" s="10" t="str"/>
      <x:c r="M449" s="7" t="str">
        <x:v>OPEN</x:v>
      </x:c>
    </x:row>
    <x:row r="450" ht="36" customHeight="1">
      <x:c r="B450" s="7" t="str">
        <x:v>RAE-E-19-P12</x:v>
      </x:c>
      <x:c r="C450" s="7" t="str">
        <x:v>RAE-E-19</x:v>
      </x:c>
      <x:c r="D450" s="7" t="str">
        <x:v>RFP-B1</x:v>
      </x:c>
      <x:c r="E450" s="7" t="str">
        <x:v>AM-05</x:v>
      </x:c>
      <x:c r="F450" s="7" t="str">
        <x:v>TR-B</x:v>
      </x:c>
      <x:c r="G450" s="7" t="str">
        <x:v>QE-01</x:v>
      </x:c>
      <x:c r="H450" s="7" t="str">
        <x:v>P12</x:v>
      </x:c>
      <x:c r="I450" s="7" t="str">
        <x:v>T-10s</x:v>
      </x:c>
      <x:c r="J450" s="10" t="str">
        <x:v>registered challenge state</x:v>
      </x:c>
      <x:c r="K450" s="7" t="str"/>
      <x:c r="L450" s="10" t="str"/>
      <x:c r="M450" s="7" t="str">
        <x:v>OPEN</x:v>
      </x:c>
    </x:row>
    <x:row r="451" ht="36" customHeight="1">
      <x:c r="B451" s="7" t="str">
        <x:v>RAE-E-19-P13</x:v>
      </x:c>
      <x:c r="C451" s="7" t="str">
        <x:v>RAE-E-19</x:v>
      </x:c>
      <x:c r="D451" s="7" t="str">
        <x:v>RFP-B1</x:v>
      </x:c>
      <x:c r="E451" s="7" t="str">
        <x:v>AM-05</x:v>
      </x:c>
      <x:c r="F451" s="7" t="str">
        <x:v>TR-B</x:v>
      </x:c>
      <x:c r="G451" s="7" t="str">
        <x:v>QE-01</x:v>
      </x:c>
      <x:c r="H451" s="7" t="str">
        <x:v>P13</x:v>
      </x:c>
      <x:c r="I451" s="7" t="str">
        <x:v>T0</x:v>
      </x:c>
      <x:c r="J451" s="10" t="str">
        <x:v>source command or zero-source marker</x:v>
      </x:c>
      <x:c r="K451" s="7" t="str"/>
      <x:c r="L451" s="10" t="str"/>
      <x:c r="M451" s="7" t="str">
        <x:v>OPEN</x:v>
      </x:c>
    </x:row>
    <x:row r="452" ht="36" customHeight="1">
      <x:c r="B452" s="7" t="str">
        <x:v>RAE-E-19-P14</x:v>
      </x:c>
      <x:c r="C452" s="7" t="str">
        <x:v>RAE-E-19</x:v>
      </x:c>
      <x:c r="D452" s="7" t="str">
        <x:v>RFP-B1</x:v>
      </x:c>
      <x:c r="E452" s="7" t="str">
        <x:v>AM-05</x:v>
      </x:c>
      <x:c r="F452" s="7" t="str">
        <x:v>TR-B</x:v>
      </x:c>
      <x:c r="G452" s="7" t="str">
        <x:v>QE-01</x:v>
      </x:c>
      <x:c r="H452" s="7" t="str">
        <x:v>P14</x:v>
      </x:c>
      <x:c r="I452" s="7" t="str">
        <x:v>T+2s</x:v>
      </x:c>
      <x:c r="J452" s="10" t="str">
        <x:v>inlet and dispenser final state</x:v>
      </x:c>
      <x:c r="K452" s="7" t="str"/>
      <x:c r="L452" s="10" t="str"/>
      <x:c r="M452" s="7" t="str">
        <x:v>OPEN</x:v>
      </x:c>
    </x:row>
    <x:row r="453" ht="36" customHeight="1">
      <x:c r="B453" s="7" t="str">
        <x:v>RAE-E-19-P15</x:v>
      </x:c>
      <x:c r="C453" s="7" t="str">
        <x:v>RAE-E-19</x:v>
      </x:c>
      <x:c r="D453" s="7" t="str">
        <x:v>RFP-B1</x:v>
      </x:c>
      <x:c r="E453" s="7" t="str">
        <x:v>AM-05</x:v>
      </x:c>
      <x:c r="F453" s="7" t="str">
        <x:v>TR-B</x:v>
      </x:c>
      <x:c r="G453" s="7" t="str">
        <x:v>QE-01</x:v>
      </x:c>
      <x:c r="H453" s="7" t="str">
        <x:v>P15</x:v>
      </x:c>
      <x:c r="I453" s="7" t="str">
        <x:v>T+15s</x:v>
      </x:c>
      <x:c r="J453" s="10" t="str">
        <x:v>AM-06 QE-02 ignition opportunity</x:v>
      </x:c>
      <x:c r="K453" s="7" t="str"/>
      <x:c r="L453" s="10" t="str"/>
      <x:c r="M453" s="7" t="str">
        <x:v>OPEN</x:v>
      </x:c>
    </x:row>
    <x:row r="454" ht="36" customHeight="1">
      <x:c r="B454" s="7" t="str">
        <x:v>RAE-E-19-P16</x:v>
      </x:c>
      <x:c r="C454" s="7" t="str">
        <x:v>RAE-E-19</x:v>
      </x:c>
      <x:c r="D454" s="7" t="str">
        <x:v>RFP-B1</x:v>
      </x:c>
      <x:c r="E454" s="7" t="str">
        <x:v>AM-05</x:v>
      </x:c>
      <x:c r="F454" s="7" t="str">
        <x:v>TR-B</x:v>
      </x:c>
      <x:c r="G454" s="7" t="str">
        <x:v>QE-01</x:v>
      </x:c>
      <x:c r="H454" s="7" t="str">
        <x:v>P16</x:v>
      </x:c>
      <x:c r="I454" s="7" t="str">
        <x:v>T+30s</x:v>
      </x:c>
      <x:c r="J454" s="10" t="str">
        <x:v>terminal-source decision</x:v>
      </x:c>
      <x:c r="K454" s="7" t="str"/>
      <x:c r="L454" s="10" t="str"/>
      <x:c r="M454" s="7" t="str">
        <x:v>OPEN</x:v>
      </x:c>
    </x:row>
    <x:row r="455" ht="36" customHeight="1">
      <x:c r="B455" s="7" t="str">
        <x:v>RAE-E-19-P17</x:v>
      </x:c>
      <x:c r="C455" s="7" t="str">
        <x:v>RAE-E-19</x:v>
      </x:c>
      <x:c r="D455" s="7" t="str">
        <x:v>RFP-B1</x:v>
      </x:c>
      <x:c r="E455" s="7" t="str">
        <x:v>AM-05</x:v>
      </x:c>
      <x:c r="F455" s="7" t="str">
        <x:v>TR-B</x:v>
      </x:c>
      <x:c r="G455" s="7" t="str">
        <x:v>QE-01</x:v>
      </x:c>
      <x:c r="H455" s="7" t="str">
        <x:v>P17</x:v>
      </x:c>
      <x:c r="I455" s="7" t="str">
        <x:v>T+120s</x:v>
      </x:c>
      <x:c r="J455" s="10" t="str">
        <x:v>public schedule end</x:v>
      </x:c>
      <x:c r="K455" s="7" t="str"/>
      <x:c r="L455" s="10" t="str"/>
      <x:c r="M455" s="7" t="str">
        <x:v>OPEN</x:v>
      </x:c>
    </x:row>
    <x:row r="456" ht="36" customHeight="1">
      <x:c r="B456" s="7" t="str">
        <x:v>RAE-E-19-P18</x:v>
      </x:c>
      <x:c r="C456" s="7" t="str">
        <x:v>RAE-E-19</x:v>
      </x:c>
      <x:c r="D456" s="7" t="str">
        <x:v>RFP-B1</x:v>
      </x:c>
      <x:c r="E456" s="7" t="str">
        <x:v>AM-05</x:v>
      </x:c>
      <x:c r="F456" s="7" t="str">
        <x:v>TR-B</x:v>
      </x:c>
      <x:c r="G456" s="7" t="str">
        <x:v>QE-01</x:v>
      </x:c>
      <x:c r="H456" s="7" t="str">
        <x:v>P18</x:v>
      </x:c>
      <x:c r="I456" s="7" t="str">
        <x:v>T+15min</x:v>
      </x:c>
      <x:c r="J456" s="10" t="str">
        <x:v>thermal and water classification</x:v>
      </x:c>
      <x:c r="K456" s="7" t="str"/>
      <x:c r="L456" s="10" t="str"/>
      <x:c r="M456" s="7" t="str">
        <x:v>OPEN</x:v>
      </x:c>
    </x:row>
    <x:row r="457" ht="36" customHeight="1">
      <x:c r="B457" s="7" t="str">
        <x:v>RAE-E-19-P19</x:v>
      </x:c>
      <x:c r="C457" s="7" t="str">
        <x:v>RAE-E-19</x:v>
      </x:c>
      <x:c r="D457" s="7" t="str">
        <x:v>RFP-B1</x:v>
      </x:c>
      <x:c r="E457" s="7" t="str">
        <x:v>AM-05</x:v>
      </x:c>
      <x:c r="F457" s="7" t="str">
        <x:v>TR-B</x:v>
      </x:c>
      <x:c r="G457" s="7" t="str">
        <x:v>QE-01</x:v>
      </x:c>
      <x:c r="H457" s="7" t="str">
        <x:v>P19</x:v>
      </x:c>
      <x:c r="I457" s="7" t="str">
        <x:v>T+30min</x:v>
      </x:c>
      <x:c r="J457" s="10" t="str">
        <x:v>public intervention classification</x:v>
      </x:c>
      <x:c r="K457" s="7" t="str"/>
      <x:c r="L457" s="10" t="str"/>
      <x:c r="M457" s="7" t="str">
        <x:v>OPEN</x:v>
      </x:c>
    </x:row>
    <x:row r="458" ht="36" customHeight="1">
      <x:c r="B458" s="7" t="str">
        <x:v>RAE-E-19-P20</x:v>
      </x:c>
      <x:c r="C458" s="7" t="str">
        <x:v>RAE-E-19</x:v>
      </x:c>
      <x:c r="D458" s="7" t="str">
        <x:v>RFP-B1</x:v>
      </x:c>
      <x:c r="E458" s="7" t="str">
        <x:v>AM-05</x:v>
      </x:c>
      <x:c r="F458" s="7" t="str">
        <x:v>TR-B</x:v>
      </x:c>
      <x:c r="G458" s="7" t="str">
        <x:v>QE-01</x:v>
      </x:c>
      <x:c r="H458" s="7" t="str">
        <x:v>P20</x:v>
      </x:c>
      <x:c r="I458" s="7" t="str">
        <x:v>T+60min</x:v>
      </x:c>
      <x:c r="J458" s="10" t="str">
        <x:v>remote-entry classification</x:v>
      </x:c>
      <x:c r="K458" s="7" t="str"/>
      <x:c r="L458" s="10" t="str"/>
      <x:c r="M458" s="7" t="str">
        <x:v>OPEN</x:v>
      </x:c>
    </x:row>
    <x:row r="459" ht="36" customHeight="1">
      <x:c r="B459" s="7" t="str">
        <x:v>RAE-E-19-P21</x:v>
      </x:c>
      <x:c r="C459" s="7" t="str">
        <x:v>RAE-E-19</x:v>
      </x:c>
      <x:c r="D459" s="7" t="str">
        <x:v>RFP-B1</x:v>
      </x:c>
      <x:c r="E459" s="7" t="str">
        <x:v>AM-05</x:v>
      </x:c>
      <x:c r="F459" s="7" t="str">
        <x:v>TR-B</x:v>
      </x:c>
      <x:c r="G459" s="7" t="str">
        <x:v>QE-01</x:v>
      </x:c>
      <x:c r="H459" s="7" t="str">
        <x:v>P21</x:v>
      </x:c>
      <x:c r="I459" s="7" t="str">
        <x:v>T+6h</x:v>
      </x:c>
      <x:c r="J459" s="10" t="str">
        <x:v>evidence tail closure</x:v>
      </x:c>
      <x:c r="K459" s="7" t="str"/>
      <x:c r="L459" s="10" t="str"/>
      <x:c r="M459" s="7" t="str">
        <x:v>OPEN</x:v>
      </x:c>
    </x:row>
    <x:row r="460" ht="36" customHeight="1">
      <x:c r="B460" s="7" t="str">
        <x:v>RAE-E-19-P22</x:v>
      </x:c>
      <x:c r="C460" s="7" t="str">
        <x:v>RAE-E-19</x:v>
      </x:c>
      <x:c r="D460" s="7" t="str">
        <x:v>RFP-B1</x:v>
      </x:c>
      <x:c r="E460" s="7" t="str">
        <x:v>AM-05</x:v>
      </x:c>
      <x:c r="F460" s="7" t="str">
        <x:v>TR-B</x:v>
      </x:c>
      <x:c r="G460" s="7" t="str">
        <x:v>QE-01</x:v>
      </x:c>
      <x:c r="H460" s="7" t="str">
        <x:v>P22</x:v>
      </x:c>
      <x:c r="I460" s="7" t="str">
        <x:v>T+24h</x:v>
      </x:c>
      <x:c r="J460" s="10" t="str">
        <x:v>physical ledger closure</x:v>
      </x:c>
      <x:c r="K460" s="7" t="str"/>
      <x:c r="L460" s="10" t="str"/>
      <x:c r="M460" s="7" t="str">
        <x:v>OPEN</x:v>
      </x:c>
    </x:row>
    <x:row r="461" ht="36" customHeight="1">
      <x:c r="B461" s="7" t="str">
        <x:v>RAE-E-19-P23</x:v>
      </x:c>
      <x:c r="C461" s="7" t="str">
        <x:v>RAE-E-19</x:v>
      </x:c>
      <x:c r="D461" s="7" t="str">
        <x:v>RFP-B1</x:v>
      </x:c>
      <x:c r="E461" s="7" t="str">
        <x:v>AM-05</x:v>
      </x:c>
      <x:c r="F461" s="7" t="str">
        <x:v>TR-B</x:v>
      </x:c>
      <x:c r="G461" s="7" t="str">
        <x:v>QE-01</x:v>
      </x:c>
      <x:c r="H461" s="7" t="str">
        <x:v>P23</x:v>
      </x:c>
      <x:c r="I461" s="7" t="str">
        <x:v>T+72h</x:v>
      </x:c>
      <x:c r="J461" s="10" t="str">
        <x:v>immutable packet freeze</x:v>
      </x:c>
      <x:c r="K461" s="7" t="str"/>
      <x:c r="L461" s="10" t="str"/>
      <x:c r="M461" s="7" t="str">
        <x:v>OPEN</x:v>
      </x:c>
    </x:row>
    <x:row r="462" ht="36" customHeight="1">
      <x:c r="B462" s="7" t="str">
        <x:v>RAE-E-19-P24</x:v>
      </x:c>
      <x:c r="C462" s="7" t="str">
        <x:v>RAE-E-19</x:v>
      </x:c>
      <x:c r="D462" s="7" t="str">
        <x:v>RFP-B1</x:v>
      </x:c>
      <x:c r="E462" s="7" t="str">
        <x:v>AM-05</x:v>
      </x:c>
      <x:c r="F462" s="7" t="str">
        <x:v>TR-B</x:v>
      </x:c>
      <x:c r="G462" s="7" t="str">
        <x:v>QE-01</x:v>
      </x:c>
      <x:c r="H462" s="7" t="str">
        <x:v>P24</x:v>
      </x:c>
      <x:c r="I462" s="7" t="str">
        <x:v>day 7</x:v>
      </x:c>
      <x:c r="J462" s="10" t="str">
        <x:v>validity and outcome board</x:v>
      </x:c>
      <x:c r="K462" s="7" t="str"/>
      <x:c r="L462" s="10" t="str"/>
      <x:c r="M462" s="7" t="str">
        <x:v>OPEN</x:v>
      </x:c>
    </x:row>
    <x:row r="463" ht="36" customHeight="1">
      <x:c r="B463" s="7" t="str">
        <x:v>RAE-E-20-P01</x:v>
      </x:c>
      <x:c r="C463" s="7" t="str">
        <x:v>RAE-E-20</x:v>
      </x:c>
      <x:c r="D463" s="7" t="str">
        <x:v>RFP-B1</x:v>
      </x:c>
      <x:c r="E463" s="7" t="str">
        <x:v>AM-05</x:v>
      </x:c>
      <x:c r="F463" s="7" t="str">
        <x:v>TR-B</x:v>
      </x:c>
      <x:c r="G463" s="7" t="str">
        <x:v>QE-02</x:v>
      </x:c>
      <x:c r="H463" s="7" t="str">
        <x:v>P01</x:v>
      </x:c>
      <x:c r="I463" s="7" t="str">
        <x:v>T-96h</x:v>
      </x:c>
      <x:c r="J463" s="10" t="str">
        <x:v>baseline freeze</x:v>
      </x:c>
      <x:c r="K463" s="7" t="str"/>
      <x:c r="L463" s="10" t="str"/>
      <x:c r="M463" s="7" t="str">
        <x:v>OPEN</x:v>
      </x:c>
    </x:row>
    <x:row r="464" ht="36" customHeight="1">
      <x:c r="B464" s="7" t="str">
        <x:v>RAE-E-20-P02</x:v>
      </x:c>
      <x:c r="C464" s="7" t="str">
        <x:v>RAE-E-20</x:v>
      </x:c>
      <x:c r="D464" s="7" t="str">
        <x:v>RFP-B1</x:v>
      </x:c>
      <x:c r="E464" s="7" t="str">
        <x:v>AM-05</x:v>
      </x:c>
      <x:c r="F464" s="7" t="str">
        <x:v>TR-B</x:v>
      </x:c>
      <x:c r="G464" s="7" t="str">
        <x:v>QE-02</x:v>
      </x:c>
      <x:c r="H464" s="7" t="str">
        <x:v>P02</x:v>
      </x:c>
      <x:c r="I464" s="7" t="str">
        <x:v>T-72h</x:v>
      </x:c>
      <x:c r="J464" s="10" t="str">
        <x:v>source and water custody freeze</x:v>
      </x:c>
      <x:c r="K464" s="7" t="str"/>
      <x:c r="L464" s="10" t="str"/>
      <x:c r="M464" s="7" t="str">
        <x:v>OPEN</x:v>
      </x:c>
    </x:row>
    <x:row r="465" ht="36" customHeight="1">
      <x:c r="B465" s="7" t="str">
        <x:v>RAE-E-20-P03</x:v>
      </x:c>
      <x:c r="C465" s="7" t="str">
        <x:v>RAE-E-20</x:v>
      </x:c>
      <x:c r="D465" s="7" t="str">
        <x:v>RFP-B1</x:v>
      </x:c>
      <x:c r="E465" s="7" t="str">
        <x:v>AM-05</x:v>
      </x:c>
      <x:c r="F465" s="7" t="str">
        <x:v>TR-B</x:v>
      </x:c>
      <x:c r="G465" s="7" t="str">
        <x:v>QE-02</x:v>
      </x:c>
      <x:c r="H465" s="7" t="str">
        <x:v>P03</x:v>
      </x:c>
      <x:c r="I465" s="7" t="str">
        <x:v>T-48h</x:v>
      </x:c>
      <x:c r="J465" s="10" t="str">
        <x:v>article and configuration identity</x:v>
      </x:c>
      <x:c r="K465" s="7" t="str"/>
      <x:c r="L465" s="10" t="str"/>
      <x:c r="M465" s="7" t="str">
        <x:v>OPEN</x:v>
      </x:c>
    </x:row>
    <x:row r="466" ht="36" customHeight="1">
      <x:c r="B466" s="7" t="str">
        <x:v>RAE-E-20-P04</x:v>
      </x:c>
      <x:c r="C466" s="7" t="str">
        <x:v>RAE-E-20</x:v>
      </x:c>
      <x:c r="D466" s="7" t="str">
        <x:v>RFP-B1</x:v>
      </x:c>
      <x:c r="E466" s="7" t="str">
        <x:v>AM-05</x:v>
      </x:c>
      <x:c r="F466" s="7" t="str">
        <x:v>TR-B</x:v>
      </x:c>
      <x:c r="G466" s="7" t="str">
        <x:v>QE-02</x:v>
      </x:c>
      <x:c r="H466" s="7" t="str">
        <x:v>P04</x:v>
      </x:c>
      <x:c r="I466" s="7" t="str">
        <x:v>T-24h</x:v>
      </x:c>
      <x:c r="J466" s="10" t="str">
        <x:v>environment and recovery readiness</x:v>
      </x:c>
      <x:c r="K466" s="7" t="str"/>
      <x:c r="L466" s="10" t="str"/>
      <x:c r="M466" s="7" t="str">
        <x:v>OPEN</x:v>
      </x:c>
    </x:row>
    <x:row r="467" ht="36" customHeight="1">
      <x:c r="B467" s="7" t="str">
        <x:v>RAE-E-20-P05</x:v>
      </x:c>
      <x:c r="C467" s="7" t="str">
        <x:v>RAE-E-20</x:v>
      </x:c>
      <x:c r="D467" s="7" t="str">
        <x:v>RFP-B1</x:v>
      </x:c>
      <x:c r="E467" s="7" t="str">
        <x:v>AM-05</x:v>
      </x:c>
      <x:c r="F467" s="7" t="str">
        <x:v>TR-B</x:v>
      </x:c>
      <x:c r="G467" s="7" t="str">
        <x:v>QE-02</x:v>
      </x:c>
      <x:c r="H467" s="7" t="str">
        <x:v>P05</x:v>
      </x:c>
      <x:c r="I467" s="7" t="str">
        <x:v>T-12h</x:v>
      </x:c>
      <x:c r="J467" s="10" t="str">
        <x:v>rescue posture</x:v>
      </x:c>
      <x:c r="K467" s="7" t="str"/>
      <x:c r="L467" s="10" t="str"/>
      <x:c r="M467" s="7" t="str">
        <x:v>OPEN</x:v>
      </x:c>
    </x:row>
    <x:row r="468" ht="36" customHeight="1">
      <x:c r="B468" s="7" t="str">
        <x:v>RAE-E-20-P06</x:v>
      </x:c>
      <x:c r="C468" s="7" t="str">
        <x:v>RAE-E-20</x:v>
      </x:c>
      <x:c r="D468" s="7" t="str">
        <x:v>RFP-B1</x:v>
      </x:c>
      <x:c r="E468" s="7" t="str">
        <x:v>AM-05</x:v>
      </x:c>
      <x:c r="F468" s="7" t="str">
        <x:v>TR-B</x:v>
      </x:c>
      <x:c r="G468" s="7" t="str">
        <x:v>QE-02</x:v>
      </x:c>
      <x:c r="H468" s="7" t="str">
        <x:v>P06</x:v>
      </x:c>
      <x:c r="I468" s="7" t="str">
        <x:v>T-6h</x:v>
      </x:c>
      <x:c r="J468" s="10" t="str">
        <x:v>calibration before state</x:v>
      </x:c>
      <x:c r="K468" s="7" t="str"/>
      <x:c r="L468" s="10" t="str"/>
      <x:c r="M468" s="7" t="str">
        <x:v>OPEN</x:v>
      </x:c>
    </x:row>
    <x:row r="469" ht="36" customHeight="1">
      <x:c r="B469" s="7" t="str">
        <x:v>RAE-E-20-P07</x:v>
      </x:c>
      <x:c r="C469" s="7" t="str">
        <x:v>RAE-E-20</x:v>
      </x:c>
      <x:c r="D469" s="7" t="str">
        <x:v>RFP-B1</x:v>
      </x:c>
      <x:c r="E469" s="7" t="str">
        <x:v>AM-05</x:v>
      </x:c>
      <x:c r="F469" s="7" t="str">
        <x:v>TR-B</x:v>
      </x:c>
      <x:c r="G469" s="7" t="str">
        <x:v>QE-02</x:v>
      </x:c>
      <x:c r="H469" s="7" t="str">
        <x:v>P07</x:v>
      </x:c>
      <x:c r="I469" s="7" t="str">
        <x:v>T-2h</x:v>
      </x:c>
      <x:c r="J469" s="10" t="str">
        <x:v>receiver initial-volume proof</x:v>
      </x:c>
      <x:c r="K469" s="7" t="str"/>
      <x:c r="L469" s="10" t="str"/>
      <x:c r="M469" s="7" t="str">
        <x:v>OPEN</x:v>
      </x:c>
    </x:row>
    <x:row r="470" ht="36" customHeight="1">
      <x:c r="B470" s="7" t="str">
        <x:v>RAE-E-20-P08</x:v>
      </x:c>
      <x:c r="C470" s="7" t="str">
        <x:v>RAE-E-20</x:v>
      </x:c>
      <x:c r="D470" s="7" t="str">
        <x:v>RFP-B1</x:v>
      </x:c>
      <x:c r="E470" s="7" t="str">
        <x:v>AM-05</x:v>
      </x:c>
      <x:c r="F470" s="7" t="str">
        <x:v>TR-B</x:v>
      </x:c>
      <x:c r="G470" s="7" t="str">
        <x:v>QE-02</x:v>
      </x:c>
      <x:c r="H470" s="7" t="str">
        <x:v>P08</x:v>
      </x:c>
      <x:c r="I470" s="7" t="str">
        <x:v>T-60min</x:v>
      </x:c>
      <x:c r="J470" s="10" t="str">
        <x:v>neighbor inert-state proof</x:v>
      </x:c>
      <x:c r="K470" s="7" t="str"/>
      <x:c r="L470" s="10" t="str"/>
      <x:c r="M470" s="7" t="str">
        <x:v>OPEN</x:v>
      </x:c>
    </x:row>
    <x:row r="471" ht="36" customHeight="1">
      <x:c r="B471" s="7" t="str">
        <x:v>RAE-E-20-P09</x:v>
      </x:c>
      <x:c r="C471" s="7" t="str">
        <x:v>RAE-E-20</x:v>
      </x:c>
      <x:c r="D471" s="7" t="str">
        <x:v>RFP-B1</x:v>
      </x:c>
      <x:c r="E471" s="7" t="str">
        <x:v>AM-05</x:v>
      </x:c>
      <x:c r="F471" s="7" t="str">
        <x:v>TR-B</x:v>
      </x:c>
      <x:c r="G471" s="7" t="str">
        <x:v>QE-02</x:v>
      </x:c>
      <x:c r="H471" s="7" t="str">
        <x:v>P09</x:v>
      </x:c>
      <x:c r="I471" s="7" t="str">
        <x:v>T-30min</x:v>
      </x:c>
      <x:c r="J471" s="10" t="str">
        <x:v>native evidence armed</x:v>
      </x:c>
      <x:c r="K471" s="7" t="str"/>
      <x:c r="L471" s="10" t="str"/>
      <x:c r="M471" s="7" t="str">
        <x:v>OPEN</x:v>
      </x:c>
    </x:row>
    <x:row r="472" ht="36" customHeight="1">
      <x:c r="B472" s="7" t="str">
        <x:v>RAE-E-20-P10</x:v>
      </x:c>
      <x:c r="C472" s="7" t="str">
        <x:v>RAE-E-20</x:v>
      </x:c>
      <x:c r="D472" s="7" t="str">
        <x:v>RFP-B1</x:v>
      </x:c>
      <x:c r="E472" s="7" t="str">
        <x:v>AM-05</x:v>
      </x:c>
      <x:c r="F472" s="7" t="str">
        <x:v>TR-B</x:v>
      </x:c>
      <x:c r="G472" s="7" t="str">
        <x:v>QE-02</x:v>
      </x:c>
      <x:c r="H472" s="7" t="str">
        <x:v>P10</x:v>
      </x:c>
      <x:c r="I472" s="7" t="str">
        <x:v>T-10min</x:v>
      </x:c>
      <x:c r="J472" s="10" t="str">
        <x:v>final control poll</x:v>
      </x:c>
      <x:c r="K472" s="7" t="str"/>
      <x:c r="L472" s="10" t="str"/>
      <x:c r="M472" s="7" t="str">
        <x:v>OPEN</x:v>
      </x:c>
    </x:row>
    <x:row r="473" ht="36" customHeight="1">
      <x:c r="B473" s="7" t="str">
        <x:v>RAE-E-20-P11</x:v>
      </x:c>
      <x:c r="C473" s="7" t="str">
        <x:v>RAE-E-20</x:v>
      </x:c>
      <x:c r="D473" s="7" t="str">
        <x:v>RFP-B1</x:v>
      </x:c>
      <x:c r="E473" s="7" t="str">
        <x:v>AM-05</x:v>
      </x:c>
      <x:c r="F473" s="7" t="str">
        <x:v>TR-B</x:v>
      </x:c>
      <x:c r="G473" s="7" t="str">
        <x:v>QE-02</x:v>
      </x:c>
      <x:c r="H473" s="7" t="str">
        <x:v>P11</x:v>
      </x:c>
      <x:c r="I473" s="7" t="str">
        <x:v>T-60s</x:v>
      </x:c>
      <x:c r="J473" s="10" t="str">
        <x:v>full-rate capture</x:v>
      </x:c>
      <x:c r="K473" s="7" t="str"/>
      <x:c r="L473" s="10" t="str"/>
      <x:c r="M473" s="7" t="str">
        <x:v>OPEN</x:v>
      </x:c>
    </x:row>
    <x:row r="474" ht="36" customHeight="1">
      <x:c r="B474" s="7" t="str">
        <x:v>RAE-E-20-P12</x:v>
      </x:c>
      <x:c r="C474" s="7" t="str">
        <x:v>RAE-E-20</x:v>
      </x:c>
      <x:c r="D474" s="7" t="str">
        <x:v>RFP-B1</x:v>
      </x:c>
      <x:c r="E474" s="7" t="str">
        <x:v>AM-05</x:v>
      </x:c>
      <x:c r="F474" s="7" t="str">
        <x:v>TR-B</x:v>
      </x:c>
      <x:c r="G474" s="7" t="str">
        <x:v>QE-02</x:v>
      </x:c>
      <x:c r="H474" s="7" t="str">
        <x:v>P12</x:v>
      </x:c>
      <x:c r="I474" s="7" t="str">
        <x:v>T-10s</x:v>
      </x:c>
      <x:c r="J474" s="10" t="str">
        <x:v>registered challenge state</x:v>
      </x:c>
      <x:c r="K474" s="7" t="str"/>
      <x:c r="L474" s="10" t="str"/>
      <x:c r="M474" s="7" t="str">
        <x:v>OPEN</x:v>
      </x:c>
    </x:row>
    <x:row r="475" ht="36" customHeight="1">
      <x:c r="B475" s="7" t="str">
        <x:v>RAE-E-20-P13</x:v>
      </x:c>
      <x:c r="C475" s="7" t="str">
        <x:v>RAE-E-20</x:v>
      </x:c>
      <x:c r="D475" s="7" t="str">
        <x:v>RFP-B1</x:v>
      </x:c>
      <x:c r="E475" s="7" t="str">
        <x:v>AM-05</x:v>
      </x:c>
      <x:c r="F475" s="7" t="str">
        <x:v>TR-B</x:v>
      </x:c>
      <x:c r="G475" s="7" t="str">
        <x:v>QE-02</x:v>
      </x:c>
      <x:c r="H475" s="7" t="str">
        <x:v>P13</x:v>
      </x:c>
      <x:c r="I475" s="7" t="str">
        <x:v>T0</x:v>
      </x:c>
      <x:c r="J475" s="10" t="str">
        <x:v>source command or zero-source marker</x:v>
      </x:c>
      <x:c r="K475" s="7" t="str"/>
      <x:c r="L475" s="10" t="str"/>
      <x:c r="M475" s="7" t="str">
        <x:v>OPEN</x:v>
      </x:c>
    </x:row>
    <x:row r="476" ht="36" customHeight="1">
      <x:c r="B476" s="7" t="str">
        <x:v>RAE-E-20-P14</x:v>
      </x:c>
      <x:c r="C476" s="7" t="str">
        <x:v>RAE-E-20</x:v>
      </x:c>
      <x:c r="D476" s="7" t="str">
        <x:v>RFP-B1</x:v>
      </x:c>
      <x:c r="E476" s="7" t="str">
        <x:v>AM-05</x:v>
      </x:c>
      <x:c r="F476" s="7" t="str">
        <x:v>TR-B</x:v>
      </x:c>
      <x:c r="G476" s="7" t="str">
        <x:v>QE-02</x:v>
      </x:c>
      <x:c r="H476" s="7" t="str">
        <x:v>P14</x:v>
      </x:c>
      <x:c r="I476" s="7" t="str">
        <x:v>T+2s</x:v>
      </x:c>
      <x:c r="J476" s="10" t="str">
        <x:v>inlet and dispenser final state</x:v>
      </x:c>
      <x:c r="K476" s="7" t="str"/>
      <x:c r="L476" s="10" t="str"/>
      <x:c r="M476" s="7" t="str">
        <x:v>OPEN</x:v>
      </x:c>
    </x:row>
    <x:row r="477" ht="36" customHeight="1">
      <x:c r="B477" s="7" t="str">
        <x:v>RAE-E-20-P15</x:v>
      </x:c>
      <x:c r="C477" s="7" t="str">
        <x:v>RAE-E-20</x:v>
      </x:c>
      <x:c r="D477" s="7" t="str">
        <x:v>RFP-B1</x:v>
      </x:c>
      <x:c r="E477" s="7" t="str">
        <x:v>AM-05</x:v>
      </x:c>
      <x:c r="F477" s="7" t="str">
        <x:v>TR-B</x:v>
      </x:c>
      <x:c r="G477" s="7" t="str">
        <x:v>QE-02</x:v>
      </x:c>
      <x:c r="H477" s="7" t="str">
        <x:v>P15</x:v>
      </x:c>
      <x:c r="I477" s="7" t="str">
        <x:v>T+15s</x:v>
      </x:c>
      <x:c r="J477" s="10" t="str">
        <x:v>AM-06 QE-02 ignition opportunity</x:v>
      </x:c>
      <x:c r="K477" s="7" t="str"/>
      <x:c r="L477" s="10" t="str"/>
      <x:c r="M477" s="7" t="str">
        <x:v>OPEN</x:v>
      </x:c>
    </x:row>
    <x:row r="478" ht="36" customHeight="1">
      <x:c r="B478" s="7" t="str">
        <x:v>RAE-E-20-P16</x:v>
      </x:c>
      <x:c r="C478" s="7" t="str">
        <x:v>RAE-E-20</x:v>
      </x:c>
      <x:c r="D478" s="7" t="str">
        <x:v>RFP-B1</x:v>
      </x:c>
      <x:c r="E478" s="7" t="str">
        <x:v>AM-05</x:v>
      </x:c>
      <x:c r="F478" s="7" t="str">
        <x:v>TR-B</x:v>
      </x:c>
      <x:c r="G478" s="7" t="str">
        <x:v>QE-02</x:v>
      </x:c>
      <x:c r="H478" s="7" t="str">
        <x:v>P16</x:v>
      </x:c>
      <x:c r="I478" s="7" t="str">
        <x:v>T+30s</x:v>
      </x:c>
      <x:c r="J478" s="10" t="str">
        <x:v>terminal-source decision</x:v>
      </x:c>
      <x:c r="K478" s="7" t="str"/>
      <x:c r="L478" s="10" t="str"/>
      <x:c r="M478" s="7" t="str">
        <x:v>OPEN</x:v>
      </x:c>
    </x:row>
    <x:row r="479" ht="36" customHeight="1">
      <x:c r="B479" s="7" t="str">
        <x:v>RAE-E-20-P17</x:v>
      </x:c>
      <x:c r="C479" s="7" t="str">
        <x:v>RAE-E-20</x:v>
      </x:c>
      <x:c r="D479" s="7" t="str">
        <x:v>RFP-B1</x:v>
      </x:c>
      <x:c r="E479" s="7" t="str">
        <x:v>AM-05</x:v>
      </x:c>
      <x:c r="F479" s="7" t="str">
        <x:v>TR-B</x:v>
      </x:c>
      <x:c r="G479" s="7" t="str">
        <x:v>QE-02</x:v>
      </x:c>
      <x:c r="H479" s="7" t="str">
        <x:v>P17</x:v>
      </x:c>
      <x:c r="I479" s="7" t="str">
        <x:v>T+120s</x:v>
      </x:c>
      <x:c r="J479" s="10" t="str">
        <x:v>public schedule end</x:v>
      </x:c>
      <x:c r="K479" s="7" t="str"/>
      <x:c r="L479" s="10" t="str"/>
      <x:c r="M479" s="7" t="str">
        <x:v>OPEN</x:v>
      </x:c>
    </x:row>
    <x:row r="480" ht="36" customHeight="1">
      <x:c r="B480" s="7" t="str">
        <x:v>RAE-E-20-P18</x:v>
      </x:c>
      <x:c r="C480" s="7" t="str">
        <x:v>RAE-E-20</x:v>
      </x:c>
      <x:c r="D480" s="7" t="str">
        <x:v>RFP-B1</x:v>
      </x:c>
      <x:c r="E480" s="7" t="str">
        <x:v>AM-05</x:v>
      </x:c>
      <x:c r="F480" s="7" t="str">
        <x:v>TR-B</x:v>
      </x:c>
      <x:c r="G480" s="7" t="str">
        <x:v>QE-02</x:v>
      </x:c>
      <x:c r="H480" s="7" t="str">
        <x:v>P18</x:v>
      </x:c>
      <x:c r="I480" s="7" t="str">
        <x:v>T+15min</x:v>
      </x:c>
      <x:c r="J480" s="10" t="str">
        <x:v>thermal and water classification</x:v>
      </x:c>
      <x:c r="K480" s="7" t="str"/>
      <x:c r="L480" s="10" t="str"/>
      <x:c r="M480" s="7" t="str">
        <x:v>OPEN</x:v>
      </x:c>
    </x:row>
    <x:row r="481" ht="36" customHeight="1">
      <x:c r="B481" s="7" t="str">
        <x:v>RAE-E-20-P19</x:v>
      </x:c>
      <x:c r="C481" s="7" t="str">
        <x:v>RAE-E-20</x:v>
      </x:c>
      <x:c r="D481" s="7" t="str">
        <x:v>RFP-B1</x:v>
      </x:c>
      <x:c r="E481" s="7" t="str">
        <x:v>AM-05</x:v>
      </x:c>
      <x:c r="F481" s="7" t="str">
        <x:v>TR-B</x:v>
      </x:c>
      <x:c r="G481" s="7" t="str">
        <x:v>QE-02</x:v>
      </x:c>
      <x:c r="H481" s="7" t="str">
        <x:v>P19</x:v>
      </x:c>
      <x:c r="I481" s="7" t="str">
        <x:v>T+30min</x:v>
      </x:c>
      <x:c r="J481" s="10" t="str">
        <x:v>public intervention classification</x:v>
      </x:c>
      <x:c r="K481" s="7" t="str"/>
      <x:c r="L481" s="10" t="str"/>
      <x:c r="M481" s="7" t="str">
        <x:v>OPEN</x:v>
      </x:c>
    </x:row>
    <x:row r="482" ht="36" customHeight="1">
      <x:c r="B482" s="7" t="str">
        <x:v>RAE-E-20-P20</x:v>
      </x:c>
      <x:c r="C482" s="7" t="str">
        <x:v>RAE-E-20</x:v>
      </x:c>
      <x:c r="D482" s="7" t="str">
        <x:v>RFP-B1</x:v>
      </x:c>
      <x:c r="E482" s="7" t="str">
        <x:v>AM-05</x:v>
      </x:c>
      <x:c r="F482" s="7" t="str">
        <x:v>TR-B</x:v>
      </x:c>
      <x:c r="G482" s="7" t="str">
        <x:v>QE-02</x:v>
      </x:c>
      <x:c r="H482" s="7" t="str">
        <x:v>P20</x:v>
      </x:c>
      <x:c r="I482" s="7" t="str">
        <x:v>T+60min</x:v>
      </x:c>
      <x:c r="J482" s="10" t="str">
        <x:v>remote-entry classification</x:v>
      </x:c>
      <x:c r="K482" s="7" t="str"/>
      <x:c r="L482" s="10" t="str"/>
      <x:c r="M482" s="7" t="str">
        <x:v>OPEN</x:v>
      </x:c>
    </x:row>
    <x:row r="483" ht="36" customHeight="1">
      <x:c r="B483" s="7" t="str">
        <x:v>RAE-E-20-P21</x:v>
      </x:c>
      <x:c r="C483" s="7" t="str">
        <x:v>RAE-E-20</x:v>
      </x:c>
      <x:c r="D483" s="7" t="str">
        <x:v>RFP-B1</x:v>
      </x:c>
      <x:c r="E483" s="7" t="str">
        <x:v>AM-05</x:v>
      </x:c>
      <x:c r="F483" s="7" t="str">
        <x:v>TR-B</x:v>
      </x:c>
      <x:c r="G483" s="7" t="str">
        <x:v>QE-02</x:v>
      </x:c>
      <x:c r="H483" s="7" t="str">
        <x:v>P21</x:v>
      </x:c>
      <x:c r="I483" s="7" t="str">
        <x:v>T+6h</x:v>
      </x:c>
      <x:c r="J483" s="10" t="str">
        <x:v>evidence tail closure</x:v>
      </x:c>
      <x:c r="K483" s="7" t="str"/>
      <x:c r="L483" s="10" t="str"/>
      <x:c r="M483" s="7" t="str">
        <x:v>OPEN</x:v>
      </x:c>
    </x:row>
    <x:row r="484" ht="36" customHeight="1">
      <x:c r="B484" s="7" t="str">
        <x:v>RAE-E-20-P22</x:v>
      </x:c>
      <x:c r="C484" s="7" t="str">
        <x:v>RAE-E-20</x:v>
      </x:c>
      <x:c r="D484" s="7" t="str">
        <x:v>RFP-B1</x:v>
      </x:c>
      <x:c r="E484" s="7" t="str">
        <x:v>AM-05</x:v>
      </x:c>
      <x:c r="F484" s="7" t="str">
        <x:v>TR-B</x:v>
      </x:c>
      <x:c r="G484" s="7" t="str">
        <x:v>QE-02</x:v>
      </x:c>
      <x:c r="H484" s="7" t="str">
        <x:v>P22</x:v>
      </x:c>
      <x:c r="I484" s="7" t="str">
        <x:v>T+24h</x:v>
      </x:c>
      <x:c r="J484" s="10" t="str">
        <x:v>physical ledger closure</x:v>
      </x:c>
      <x:c r="K484" s="7" t="str"/>
      <x:c r="L484" s="10" t="str"/>
      <x:c r="M484" s="7" t="str">
        <x:v>OPEN</x:v>
      </x:c>
    </x:row>
    <x:row r="485" ht="36" customHeight="1">
      <x:c r="B485" s="7" t="str">
        <x:v>RAE-E-20-P23</x:v>
      </x:c>
      <x:c r="C485" s="7" t="str">
        <x:v>RAE-E-20</x:v>
      </x:c>
      <x:c r="D485" s="7" t="str">
        <x:v>RFP-B1</x:v>
      </x:c>
      <x:c r="E485" s="7" t="str">
        <x:v>AM-05</x:v>
      </x:c>
      <x:c r="F485" s="7" t="str">
        <x:v>TR-B</x:v>
      </x:c>
      <x:c r="G485" s="7" t="str">
        <x:v>QE-02</x:v>
      </x:c>
      <x:c r="H485" s="7" t="str">
        <x:v>P23</x:v>
      </x:c>
      <x:c r="I485" s="7" t="str">
        <x:v>T+72h</x:v>
      </x:c>
      <x:c r="J485" s="10" t="str">
        <x:v>immutable packet freeze</x:v>
      </x:c>
      <x:c r="K485" s="7" t="str"/>
      <x:c r="L485" s="10" t="str"/>
      <x:c r="M485" s="7" t="str">
        <x:v>OPEN</x:v>
      </x:c>
    </x:row>
    <x:row r="486" ht="36" customHeight="1">
      <x:c r="B486" s="7" t="str">
        <x:v>RAE-E-20-P24</x:v>
      </x:c>
      <x:c r="C486" s="7" t="str">
        <x:v>RAE-E-20</x:v>
      </x:c>
      <x:c r="D486" s="7" t="str">
        <x:v>RFP-B1</x:v>
      </x:c>
      <x:c r="E486" s="7" t="str">
        <x:v>AM-05</x:v>
      </x:c>
      <x:c r="F486" s="7" t="str">
        <x:v>TR-B</x:v>
      </x:c>
      <x:c r="G486" s="7" t="str">
        <x:v>QE-02</x:v>
      </x:c>
      <x:c r="H486" s="7" t="str">
        <x:v>P24</x:v>
      </x:c>
      <x:c r="I486" s="7" t="str">
        <x:v>day 7</x:v>
      </x:c>
      <x:c r="J486" s="10" t="str">
        <x:v>validity and outcome board</x:v>
      </x:c>
      <x:c r="K486" s="7" t="str"/>
      <x:c r="L486" s="10" t="str"/>
      <x:c r="M486" s="7" t="str">
        <x:v>OPEN</x:v>
      </x:c>
    </x:row>
    <x:row r="487" ht="36" customHeight="1">
      <x:c r="B487" s="7" t="str">
        <x:v>RAE-E-21-P01</x:v>
      </x:c>
      <x:c r="C487" s="7" t="str">
        <x:v>RAE-E-21</x:v>
      </x:c>
      <x:c r="D487" s="7" t="str">
        <x:v>RFP-B1</x:v>
      </x:c>
      <x:c r="E487" s="7" t="str">
        <x:v>AM-06</x:v>
      </x:c>
      <x:c r="F487" s="7" t="str">
        <x:v>TR-A</x:v>
      </x:c>
      <x:c r="G487" s="7" t="str">
        <x:v>QE-01</x:v>
      </x:c>
      <x:c r="H487" s="7" t="str">
        <x:v>P01</x:v>
      </x:c>
      <x:c r="I487" s="7" t="str">
        <x:v>T-96h</x:v>
      </x:c>
      <x:c r="J487" s="10" t="str">
        <x:v>baseline freeze</x:v>
      </x:c>
      <x:c r="K487" s="7" t="str"/>
      <x:c r="L487" s="10" t="str"/>
      <x:c r="M487" s="7" t="str">
        <x:v>OPEN</x:v>
      </x:c>
    </x:row>
    <x:row r="488" ht="36" customHeight="1">
      <x:c r="B488" s="7" t="str">
        <x:v>RAE-E-21-P02</x:v>
      </x:c>
      <x:c r="C488" s="7" t="str">
        <x:v>RAE-E-21</x:v>
      </x:c>
      <x:c r="D488" s="7" t="str">
        <x:v>RFP-B1</x:v>
      </x:c>
      <x:c r="E488" s="7" t="str">
        <x:v>AM-06</x:v>
      </x:c>
      <x:c r="F488" s="7" t="str">
        <x:v>TR-A</x:v>
      </x:c>
      <x:c r="G488" s="7" t="str">
        <x:v>QE-01</x:v>
      </x:c>
      <x:c r="H488" s="7" t="str">
        <x:v>P02</x:v>
      </x:c>
      <x:c r="I488" s="7" t="str">
        <x:v>T-72h</x:v>
      </x:c>
      <x:c r="J488" s="10" t="str">
        <x:v>source and water custody freeze</x:v>
      </x:c>
      <x:c r="K488" s="7" t="str"/>
      <x:c r="L488" s="10" t="str"/>
      <x:c r="M488" s="7" t="str">
        <x:v>OPEN</x:v>
      </x:c>
    </x:row>
    <x:row r="489" ht="36" customHeight="1">
      <x:c r="B489" s="7" t="str">
        <x:v>RAE-E-21-P03</x:v>
      </x:c>
      <x:c r="C489" s="7" t="str">
        <x:v>RAE-E-21</x:v>
      </x:c>
      <x:c r="D489" s="7" t="str">
        <x:v>RFP-B1</x:v>
      </x:c>
      <x:c r="E489" s="7" t="str">
        <x:v>AM-06</x:v>
      </x:c>
      <x:c r="F489" s="7" t="str">
        <x:v>TR-A</x:v>
      </x:c>
      <x:c r="G489" s="7" t="str">
        <x:v>QE-01</x:v>
      </x:c>
      <x:c r="H489" s="7" t="str">
        <x:v>P03</x:v>
      </x:c>
      <x:c r="I489" s="7" t="str">
        <x:v>T-48h</x:v>
      </x:c>
      <x:c r="J489" s="10" t="str">
        <x:v>article and configuration identity</x:v>
      </x:c>
      <x:c r="K489" s="7" t="str"/>
      <x:c r="L489" s="10" t="str"/>
      <x:c r="M489" s="7" t="str">
        <x:v>OPEN</x:v>
      </x:c>
    </x:row>
    <x:row r="490" ht="36" customHeight="1">
      <x:c r="B490" s="7" t="str">
        <x:v>RAE-E-21-P04</x:v>
      </x:c>
      <x:c r="C490" s="7" t="str">
        <x:v>RAE-E-21</x:v>
      </x:c>
      <x:c r="D490" s="7" t="str">
        <x:v>RFP-B1</x:v>
      </x:c>
      <x:c r="E490" s="7" t="str">
        <x:v>AM-06</x:v>
      </x:c>
      <x:c r="F490" s="7" t="str">
        <x:v>TR-A</x:v>
      </x:c>
      <x:c r="G490" s="7" t="str">
        <x:v>QE-01</x:v>
      </x:c>
      <x:c r="H490" s="7" t="str">
        <x:v>P04</x:v>
      </x:c>
      <x:c r="I490" s="7" t="str">
        <x:v>T-24h</x:v>
      </x:c>
      <x:c r="J490" s="10" t="str">
        <x:v>environment and recovery readiness</x:v>
      </x:c>
      <x:c r="K490" s="7" t="str"/>
      <x:c r="L490" s="10" t="str"/>
      <x:c r="M490" s="7" t="str">
        <x:v>OPEN</x:v>
      </x:c>
    </x:row>
    <x:row r="491" ht="36" customHeight="1">
      <x:c r="B491" s="7" t="str">
        <x:v>RAE-E-21-P05</x:v>
      </x:c>
      <x:c r="C491" s="7" t="str">
        <x:v>RAE-E-21</x:v>
      </x:c>
      <x:c r="D491" s="7" t="str">
        <x:v>RFP-B1</x:v>
      </x:c>
      <x:c r="E491" s="7" t="str">
        <x:v>AM-06</x:v>
      </x:c>
      <x:c r="F491" s="7" t="str">
        <x:v>TR-A</x:v>
      </x:c>
      <x:c r="G491" s="7" t="str">
        <x:v>QE-01</x:v>
      </x:c>
      <x:c r="H491" s="7" t="str">
        <x:v>P05</x:v>
      </x:c>
      <x:c r="I491" s="7" t="str">
        <x:v>T-12h</x:v>
      </x:c>
      <x:c r="J491" s="10" t="str">
        <x:v>rescue posture</x:v>
      </x:c>
      <x:c r="K491" s="7" t="str"/>
      <x:c r="L491" s="10" t="str"/>
      <x:c r="M491" s="7" t="str">
        <x:v>OPEN</x:v>
      </x:c>
    </x:row>
    <x:row r="492" ht="36" customHeight="1">
      <x:c r="B492" s="7" t="str">
        <x:v>RAE-E-21-P06</x:v>
      </x:c>
      <x:c r="C492" s="7" t="str">
        <x:v>RAE-E-21</x:v>
      </x:c>
      <x:c r="D492" s="7" t="str">
        <x:v>RFP-B1</x:v>
      </x:c>
      <x:c r="E492" s="7" t="str">
        <x:v>AM-06</x:v>
      </x:c>
      <x:c r="F492" s="7" t="str">
        <x:v>TR-A</x:v>
      </x:c>
      <x:c r="G492" s="7" t="str">
        <x:v>QE-01</x:v>
      </x:c>
      <x:c r="H492" s="7" t="str">
        <x:v>P06</x:v>
      </x:c>
      <x:c r="I492" s="7" t="str">
        <x:v>T-6h</x:v>
      </x:c>
      <x:c r="J492" s="10" t="str">
        <x:v>calibration before state</x:v>
      </x:c>
      <x:c r="K492" s="7" t="str"/>
      <x:c r="L492" s="10" t="str"/>
      <x:c r="M492" s="7" t="str">
        <x:v>OPEN</x:v>
      </x:c>
    </x:row>
    <x:row r="493" ht="36" customHeight="1">
      <x:c r="B493" s="7" t="str">
        <x:v>RAE-E-21-P07</x:v>
      </x:c>
      <x:c r="C493" s="7" t="str">
        <x:v>RAE-E-21</x:v>
      </x:c>
      <x:c r="D493" s="7" t="str">
        <x:v>RFP-B1</x:v>
      </x:c>
      <x:c r="E493" s="7" t="str">
        <x:v>AM-06</x:v>
      </x:c>
      <x:c r="F493" s="7" t="str">
        <x:v>TR-A</x:v>
      </x:c>
      <x:c r="G493" s="7" t="str">
        <x:v>QE-01</x:v>
      </x:c>
      <x:c r="H493" s="7" t="str">
        <x:v>P07</x:v>
      </x:c>
      <x:c r="I493" s="7" t="str">
        <x:v>T-2h</x:v>
      </x:c>
      <x:c r="J493" s="10" t="str">
        <x:v>receiver initial-volume proof</x:v>
      </x:c>
      <x:c r="K493" s="7" t="str"/>
      <x:c r="L493" s="10" t="str"/>
      <x:c r="M493" s="7" t="str">
        <x:v>OPEN</x:v>
      </x:c>
    </x:row>
    <x:row r="494" ht="36" customHeight="1">
      <x:c r="B494" s="7" t="str">
        <x:v>RAE-E-21-P08</x:v>
      </x:c>
      <x:c r="C494" s="7" t="str">
        <x:v>RAE-E-21</x:v>
      </x:c>
      <x:c r="D494" s="7" t="str">
        <x:v>RFP-B1</x:v>
      </x:c>
      <x:c r="E494" s="7" t="str">
        <x:v>AM-06</x:v>
      </x:c>
      <x:c r="F494" s="7" t="str">
        <x:v>TR-A</x:v>
      </x:c>
      <x:c r="G494" s="7" t="str">
        <x:v>QE-01</x:v>
      </x:c>
      <x:c r="H494" s="7" t="str">
        <x:v>P08</x:v>
      </x:c>
      <x:c r="I494" s="7" t="str">
        <x:v>T-60min</x:v>
      </x:c>
      <x:c r="J494" s="10" t="str">
        <x:v>neighbor inert-state proof</x:v>
      </x:c>
      <x:c r="K494" s="7" t="str"/>
      <x:c r="L494" s="10" t="str"/>
      <x:c r="M494" s="7" t="str">
        <x:v>OPEN</x:v>
      </x:c>
    </x:row>
    <x:row r="495" ht="36" customHeight="1">
      <x:c r="B495" s="7" t="str">
        <x:v>RAE-E-21-P09</x:v>
      </x:c>
      <x:c r="C495" s="7" t="str">
        <x:v>RAE-E-21</x:v>
      </x:c>
      <x:c r="D495" s="7" t="str">
        <x:v>RFP-B1</x:v>
      </x:c>
      <x:c r="E495" s="7" t="str">
        <x:v>AM-06</x:v>
      </x:c>
      <x:c r="F495" s="7" t="str">
        <x:v>TR-A</x:v>
      </x:c>
      <x:c r="G495" s="7" t="str">
        <x:v>QE-01</x:v>
      </x:c>
      <x:c r="H495" s="7" t="str">
        <x:v>P09</x:v>
      </x:c>
      <x:c r="I495" s="7" t="str">
        <x:v>T-30min</x:v>
      </x:c>
      <x:c r="J495" s="10" t="str">
        <x:v>native evidence armed</x:v>
      </x:c>
      <x:c r="K495" s="7" t="str"/>
      <x:c r="L495" s="10" t="str"/>
      <x:c r="M495" s="7" t="str">
        <x:v>OPEN</x:v>
      </x:c>
    </x:row>
    <x:row r="496" ht="36" customHeight="1">
      <x:c r="B496" s="7" t="str">
        <x:v>RAE-E-21-P10</x:v>
      </x:c>
      <x:c r="C496" s="7" t="str">
        <x:v>RAE-E-21</x:v>
      </x:c>
      <x:c r="D496" s="7" t="str">
        <x:v>RFP-B1</x:v>
      </x:c>
      <x:c r="E496" s="7" t="str">
        <x:v>AM-06</x:v>
      </x:c>
      <x:c r="F496" s="7" t="str">
        <x:v>TR-A</x:v>
      </x:c>
      <x:c r="G496" s="7" t="str">
        <x:v>QE-01</x:v>
      </x:c>
      <x:c r="H496" s="7" t="str">
        <x:v>P10</x:v>
      </x:c>
      <x:c r="I496" s="7" t="str">
        <x:v>T-10min</x:v>
      </x:c>
      <x:c r="J496" s="10" t="str">
        <x:v>final control poll</x:v>
      </x:c>
      <x:c r="K496" s="7" t="str"/>
      <x:c r="L496" s="10" t="str"/>
      <x:c r="M496" s="7" t="str">
        <x:v>OPEN</x:v>
      </x:c>
    </x:row>
    <x:row r="497" ht="36" customHeight="1">
      <x:c r="B497" s="7" t="str">
        <x:v>RAE-E-21-P11</x:v>
      </x:c>
      <x:c r="C497" s="7" t="str">
        <x:v>RAE-E-21</x:v>
      </x:c>
      <x:c r="D497" s="7" t="str">
        <x:v>RFP-B1</x:v>
      </x:c>
      <x:c r="E497" s="7" t="str">
        <x:v>AM-06</x:v>
      </x:c>
      <x:c r="F497" s="7" t="str">
        <x:v>TR-A</x:v>
      </x:c>
      <x:c r="G497" s="7" t="str">
        <x:v>QE-01</x:v>
      </x:c>
      <x:c r="H497" s="7" t="str">
        <x:v>P11</x:v>
      </x:c>
      <x:c r="I497" s="7" t="str">
        <x:v>T-60s</x:v>
      </x:c>
      <x:c r="J497" s="10" t="str">
        <x:v>full-rate capture</x:v>
      </x:c>
      <x:c r="K497" s="7" t="str"/>
      <x:c r="L497" s="10" t="str"/>
      <x:c r="M497" s="7" t="str">
        <x:v>OPEN</x:v>
      </x:c>
    </x:row>
    <x:row r="498" ht="36" customHeight="1">
      <x:c r="B498" s="7" t="str">
        <x:v>RAE-E-21-P12</x:v>
      </x:c>
      <x:c r="C498" s="7" t="str">
        <x:v>RAE-E-21</x:v>
      </x:c>
      <x:c r="D498" s="7" t="str">
        <x:v>RFP-B1</x:v>
      </x:c>
      <x:c r="E498" s="7" t="str">
        <x:v>AM-06</x:v>
      </x:c>
      <x:c r="F498" s="7" t="str">
        <x:v>TR-A</x:v>
      </x:c>
      <x:c r="G498" s="7" t="str">
        <x:v>QE-01</x:v>
      </x:c>
      <x:c r="H498" s="7" t="str">
        <x:v>P12</x:v>
      </x:c>
      <x:c r="I498" s="7" t="str">
        <x:v>T-10s</x:v>
      </x:c>
      <x:c r="J498" s="10" t="str">
        <x:v>registered challenge state</x:v>
      </x:c>
      <x:c r="K498" s="7" t="str"/>
      <x:c r="L498" s="10" t="str"/>
      <x:c r="M498" s="7" t="str">
        <x:v>OPEN</x:v>
      </x:c>
    </x:row>
    <x:row r="499" ht="36" customHeight="1">
      <x:c r="B499" s="7" t="str">
        <x:v>RAE-E-21-P13</x:v>
      </x:c>
      <x:c r="C499" s="7" t="str">
        <x:v>RAE-E-21</x:v>
      </x:c>
      <x:c r="D499" s="7" t="str">
        <x:v>RFP-B1</x:v>
      </x:c>
      <x:c r="E499" s="7" t="str">
        <x:v>AM-06</x:v>
      </x:c>
      <x:c r="F499" s="7" t="str">
        <x:v>TR-A</x:v>
      </x:c>
      <x:c r="G499" s="7" t="str">
        <x:v>QE-01</x:v>
      </x:c>
      <x:c r="H499" s="7" t="str">
        <x:v>P13</x:v>
      </x:c>
      <x:c r="I499" s="7" t="str">
        <x:v>T0</x:v>
      </x:c>
      <x:c r="J499" s="10" t="str">
        <x:v>source command or zero-source marker</x:v>
      </x:c>
      <x:c r="K499" s="7" t="str"/>
      <x:c r="L499" s="10" t="str"/>
      <x:c r="M499" s="7" t="str">
        <x:v>OPEN</x:v>
      </x:c>
    </x:row>
    <x:row r="500" ht="36" customHeight="1">
      <x:c r="B500" s="7" t="str">
        <x:v>RAE-E-21-P14</x:v>
      </x:c>
      <x:c r="C500" s="7" t="str">
        <x:v>RAE-E-21</x:v>
      </x:c>
      <x:c r="D500" s="7" t="str">
        <x:v>RFP-B1</x:v>
      </x:c>
      <x:c r="E500" s="7" t="str">
        <x:v>AM-06</x:v>
      </x:c>
      <x:c r="F500" s="7" t="str">
        <x:v>TR-A</x:v>
      </x:c>
      <x:c r="G500" s="7" t="str">
        <x:v>QE-01</x:v>
      </x:c>
      <x:c r="H500" s="7" t="str">
        <x:v>P14</x:v>
      </x:c>
      <x:c r="I500" s="7" t="str">
        <x:v>T+2s</x:v>
      </x:c>
      <x:c r="J500" s="10" t="str">
        <x:v>inlet and dispenser final state</x:v>
      </x:c>
      <x:c r="K500" s="7" t="str"/>
      <x:c r="L500" s="10" t="str"/>
      <x:c r="M500" s="7" t="str">
        <x:v>OPEN</x:v>
      </x:c>
    </x:row>
    <x:row r="501" ht="36" customHeight="1">
      <x:c r="B501" s="7" t="str">
        <x:v>RAE-E-21-P15</x:v>
      </x:c>
      <x:c r="C501" s="7" t="str">
        <x:v>RAE-E-21</x:v>
      </x:c>
      <x:c r="D501" s="7" t="str">
        <x:v>RFP-B1</x:v>
      </x:c>
      <x:c r="E501" s="7" t="str">
        <x:v>AM-06</x:v>
      </x:c>
      <x:c r="F501" s="7" t="str">
        <x:v>TR-A</x:v>
      </x:c>
      <x:c r="G501" s="7" t="str">
        <x:v>QE-01</x:v>
      </x:c>
      <x:c r="H501" s="7" t="str">
        <x:v>P15</x:v>
      </x:c>
      <x:c r="I501" s="7" t="str">
        <x:v>T+15s</x:v>
      </x:c>
      <x:c r="J501" s="10" t="str">
        <x:v>AM-06 QE-02 ignition opportunity</x:v>
      </x:c>
      <x:c r="K501" s="7" t="str"/>
      <x:c r="L501" s="10" t="str"/>
      <x:c r="M501" s="7" t="str">
        <x:v>OPEN</x:v>
      </x:c>
    </x:row>
    <x:row r="502" ht="36" customHeight="1">
      <x:c r="B502" s="7" t="str">
        <x:v>RAE-E-21-P16</x:v>
      </x:c>
      <x:c r="C502" s="7" t="str">
        <x:v>RAE-E-21</x:v>
      </x:c>
      <x:c r="D502" s="7" t="str">
        <x:v>RFP-B1</x:v>
      </x:c>
      <x:c r="E502" s="7" t="str">
        <x:v>AM-06</x:v>
      </x:c>
      <x:c r="F502" s="7" t="str">
        <x:v>TR-A</x:v>
      </x:c>
      <x:c r="G502" s="7" t="str">
        <x:v>QE-01</x:v>
      </x:c>
      <x:c r="H502" s="7" t="str">
        <x:v>P16</x:v>
      </x:c>
      <x:c r="I502" s="7" t="str">
        <x:v>T+30s</x:v>
      </x:c>
      <x:c r="J502" s="10" t="str">
        <x:v>terminal-source decision</x:v>
      </x:c>
      <x:c r="K502" s="7" t="str"/>
      <x:c r="L502" s="10" t="str"/>
      <x:c r="M502" s="7" t="str">
        <x:v>OPEN</x:v>
      </x:c>
    </x:row>
    <x:row r="503" ht="36" customHeight="1">
      <x:c r="B503" s="7" t="str">
        <x:v>RAE-E-21-P17</x:v>
      </x:c>
      <x:c r="C503" s="7" t="str">
        <x:v>RAE-E-21</x:v>
      </x:c>
      <x:c r="D503" s="7" t="str">
        <x:v>RFP-B1</x:v>
      </x:c>
      <x:c r="E503" s="7" t="str">
        <x:v>AM-06</x:v>
      </x:c>
      <x:c r="F503" s="7" t="str">
        <x:v>TR-A</x:v>
      </x:c>
      <x:c r="G503" s="7" t="str">
        <x:v>QE-01</x:v>
      </x:c>
      <x:c r="H503" s="7" t="str">
        <x:v>P17</x:v>
      </x:c>
      <x:c r="I503" s="7" t="str">
        <x:v>T+120s</x:v>
      </x:c>
      <x:c r="J503" s="10" t="str">
        <x:v>public schedule end</x:v>
      </x:c>
      <x:c r="K503" s="7" t="str"/>
      <x:c r="L503" s="10" t="str"/>
      <x:c r="M503" s="7" t="str">
        <x:v>OPEN</x:v>
      </x:c>
    </x:row>
    <x:row r="504" ht="36" customHeight="1">
      <x:c r="B504" s="7" t="str">
        <x:v>RAE-E-21-P18</x:v>
      </x:c>
      <x:c r="C504" s="7" t="str">
        <x:v>RAE-E-21</x:v>
      </x:c>
      <x:c r="D504" s="7" t="str">
        <x:v>RFP-B1</x:v>
      </x:c>
      <x:c r="E504" s="7" t="str">
        <x:v>AM-06</x:v>
      </x:c>
      <x:c r="F504" s="7" t="str">
        <x:v>TR-A</x:v>
      </x:c>
      <x:c r="G504" s="7" t="str">
        <x:v>QE-01</x:v>
      </x:c>
      <x:c r="H504" s="7" t="str">
        <x:v>P18</x:v>
      </x:c>
      <x:c r="I504" s="7" t="str">
        <x:v>T+15min</x:v>
      </x:c>
      <x:c r="J504" s="10" t="str">
        <x:v>thermal and water classification</x:v>
      </x:c>
      <x:c r="K504" s="7" t="str"/>
      <x:c r="L504" s="10" t="str"/>
      <x:c r="M504" s="7" t="str">
        <x:v>OPEN</x:v>
      </x:c>
    </x:row>
    <x:row r="505" ht="36" customHeight="1">
      <x:c r="B505" s="7" t="str">
        <x:v>RAE-E-21-P19</x:v>
      </x:c>
      <x:c r="C505" s="7" t="str">
        <x:v>RAE-E-21</x:v>
      </x:c>
      <x:c r="D505" s="7" t="str">
        <x:v>RFP-B1</x:v>
      </x:c>
      <x:c r="E505" s="7" t="str">
        <x:v>AM-06</x:v>
      </x:c>
      <x:c r="F505" s="7" t="str">
        <x:v>TR-A</x:v>
      </x:c>
      <x:c r="G505" s="7" t="str">
        <x:v>QE-01</x:v>
      </x:c>
      <x:c r="H505" s="7" t="str">
        <x:v>P19</x:v>
      </x:c>
      <x:c r="I505" s="7" t="str">
        <x:v>T+30min</x:v>
      </x:c>
      <x:c r="J505" s="10" t="str">
        <x:v>public intervention classification</x:v>
      </x:c>
      <x:c r="K505" s="7" t="str"/>
      <x:c r="L505" s="10" t="str"/>
      <x:c r="M505" s="7" t="str">
        <x:v>OPEN</x:v>
      </x:c>
    </x:row>
    <x:row r="506" ht="36" customHeight="1">
      <x:c r="B506" s="7" t="str">
        <x:v>RAE-E-21-P20</x:v>
      </x:c>
      <x:c r="C506" s="7" t="str">
        <x:v>RAE-E-21</x:v>
      </x:c>
      <x:c r="D506" s="7" t="str">
        <x:v>RFP-B1</x:v>
      </x:c>
      <x:c r="E506" s="7" t="str">
        <x:v>AM-06</x:v>
      </x:c>
      <x:c r="F506" s="7" t="str">
        <x:v>TR-A</x:v>
      </x:c>
      <x:c r="G506" s="7" t="str">
        <x:v>QE-01</x:v>
      </x:c>
      <x:c r="H506" s="7" t="str">
        <x:v>P20</x:v>
      </x:c>
      <x:c r="I506" s="7" t="str">
        <x:v>T+60min</x:v>
      </x:c>
      <x:c r="J506" s="10" t="str">
        <x:v>remote-entry classification</x:v>
      </x:c>
      <x:c r="K506" s="7" t="str"/>
      <x:c r="L506" s="10" t="str"/>
      <x:c r="M506" s="7" t="str">
        <x:v>OPEN</x:v>
      </x:c>
    </x:row>
    <x:row r="507" ht="36" customHeight="1">
      <x:c r="B507" s="7" t="str">
        <x:v>RAE-E-21-P21</x:v>
      </x:c>
      <x:c r="C507" s="7" t="str">
        <x:v>RAE-E-21</x:v>
      </x:c>
      <x:c r="D507" s="7" t="str">
        <x:v>RFP-B1</x:v>
      </x:c>
      <x:c r="E507" s="7" t="str">
        <x:v>AM-06</x:v>
      </x:c>
      <x:c r="F507" s="7" t="str">
        <x:v>TR-A</x:v>
      </x:c>
      <x:c r="G507" s="7" t="str">
        <x:v>QE-01</x:v>
      </x:c>
      <x:c r="H507" s="7" t="str">
        <x:v>P21</x:v>
      </x:c>
      <x:c r="I507" s="7" t="str">
        <x:v>T+6h</x:v>
      </x:c>
      <x:c r="J507" s="10" t="str">
        <x:v>evidence tail closure</x:v>
      </x:c>
      <x:c r="K507" s="7" t="str"/>
      <x:c r="L507" s="10" t="str"/>
      <x:c r="M507" s="7" t="str">
        <x:v>OPEN</x:v>
      </x:c>
    </x:row>
    <x:row r="508" ht="36" customHeight="1">
      <x:c r="B508" s="7" t="str">
        <x:v>RAE-E-21-P22</x:v>
      </x:c>
      <x:c r="C508" s="7" t="str">
        <x:v>RAE-E-21</x:v>
      </x:c>
      <x:c r="D508" s="7" t="str">
        <x:v>RFP-B1</x:v>
      </x:c>
      <x:c r="E508" s="7" t="str">
        <x:v>AM-06</x:v>
      </x:c>
      <x:c r="F508" s="7" t="str">
        <x:v>TR-A</x:v>
      </x:c>
      <x:c r="G508" s="7" t="str">
        <x:v>QE-01</x:v>
      </x:c>
      <x:c r="H508" s="7" t="str">
        <x:v>P22</x:v>
      </x:c>
      <x:c r="I508" s="7" t="str">
        <x:v>T+24h</x:v>
      </x:c>
      <x:c r="J508" s="10" t="str">
        <x:v>physical ledger closure</x:v>
      </x:c>
      <x:c r="K508" s="7" t="str"/>
      <x:c r="L508" s="10" t="str"/>
      <x:c r="M508" s="7" t="str">
        <x:v>OPEN</x:v>
      </x:c>
    </x:row>
    <x:row r="509" ht="36" customHeight="1">
      <x:c r="B509" s="7" t="str">
        <x:v>RAE-E-21-P23</x:v>
      </x:c>
      <x:c r="C509" s="7" t="str">
        <x:v>RAE-E-21</x:v>
      </x:c>
      <x:c r="D509" s="7" t="str">
        <x:v>RFP-B1</x:v>
      </x:c>
      <x:c r="E509" s="7" t="str">
        <x:v>AM-06</x:v>
      </x:c>
      <x:c r="F509" s="7" t="str">
        <x:v>TR-A</x:v>
      </x:c>
      <x:c r="G509" s="7" t="str">
        <x:v>QE-01</x:v>
      </x:c>
      <x:c r="H509" s="7" t="str">
        <x:v>P23</x:v>
      </x:c>
      <x:c r="I509" s="7" t="str">
        <x:v>T+72h</x:v>
      </x:c>
      <x:c r="J509" s="10" t="str">
        <x:v>immutable packet freeze</x:v>
      </x:c>
      <x:c r="K509" s="7" t="str"/>
      <x:c r="L509" s="10" t="str"/>
      <x:c r="M509" s="7" t="str">
        <x:v>OPEN</x:v>
      </x:c>
    </x:row>
    <x:row r="510" ht="36" customHeight="1">
      <x:c r="B510" s="7" t="str">
        <x:v>RAE-E-21-P24</x:v>
      </x:c>
      <x:c r="C510" s="7" t="str">
        <x:v>RAE-E-21</x:v>
      </x:c>
      <x:c r="D510" s="7" t="str">
        <x:v>RFP-B1</x:v>
      </x:c>
      <x:c r="E510" s="7" t="str">
        <x:v>AM-06</x:v>
      </x:c>
      <x:c r="F510" s="7" t="str">
        <x:v>TR-A</x:v>
      </x:c>
      <x:c r="G510" s="7" t="str">
        <x:v>QE-01</x:v>
      </x:c>
      <x:c r="H510" s="7" t="str">
        <x:v>P24</x:v>
      </x:c>
      <x:c r="I510" s="7" t="str">
        <x:v>day 7</x:v>
      </x:c>
      <x:c r="J510" s="10" t="str">
        <x:v>validity and outcome board</x:v>
      </x:c>
      <x:c r="K510" s="7" t="str"/>
      <x:c r="L510" s="10" t="str"/>
      <x:c r="M510" s="7" t="str">
        <x:v>OPEN</x:v>
      </x:c>
    </x:row>
    <x:row r="511" ht="36" customHeight="1">
      <x:c r="B511" s="7" t="str">
        <x:v>RAE-E-22-P01</x:v>
      </x:c>
      <x:c r="C511" s="7" t="str">
        <x:v>RAE-E-22</x:v>
      </x:c>
      <x:c r="D511" s="7" t="str">
        <x:v>RFP-B1</x:v>
      </x:c>
      <x:c r="E511" s="7" t="str">
        <x:v>AM-06</x:v>
      </x:c>
      <x:c r="F511" s="7" t="str">
        <x:v>TR-A</x:v>
      </x:c>
      <x:c r="G511" s="7" t="str">
        <x:v>QE-02</x:v>
      </x:c>
      <x:c r="H511" s="7" t="str">
        <x:v>P01</x:v>
      </x:c>
      <x:c r="I511" s="7" t="str">
        <x:v>T-96h</x:v>
      </x:c>
      <x:c r="J511" s="10" t="str">
        <x:v>baseline freeze</x:v>
      </x:c>
      <x:c r="K511" s="7" t="str"/>
      <x:c r="L511" s="10" t="str"/>
      <x:c r="M511" s="7" t="str">
        <x:v>OPEN</x:v>
      </x:c>
    </x:row>
    <x:row r="512" ht="36" customHeight="1">
      <x:c r="B512" s="7" t="str">
        <x:v>RAE-E-22-P02</x:v>
      </x:c>
      <x:c r="C512" s="7" t="str">
        <x:v>RAE-E-22</x:v>
      </x:c>
      <x:c r="D512" s="7" t="str">
        <x:v>RFP-B1</x:v>
      </x:c>
      <x:c r="E512" s="7" t="str">
        <x:v>AM-06</x:v>
      </x:c>
      <x:c r="F512" s="7" t="str">
        <x:v>TR-A</x:v>
      </x:c>
      <x:c r="G512" s="7" t="str">
        <x:v>QE-02</x:v>
      </x:c>
      <x:c r="H512" s="7" t="str">
        <x:v>P02</x:v>
      </x:c>
      <x:c r="I512" s="7" t="str">
        <x:v>T-72h</x:v>
      </x:c>
      <x:c r="J512" s="10" t="str">
        <x:v>source and water custody freeze</x:v>
      </x:c>
      <x:c r="K512" s="7" t="str"/>
      <x:c r="L512" s="10" t="str"/>
      <x:c r="M512" s="7" t="str">
        <x:v>OPEN</x:v>
      </x:c>
    </x:row>
    <x:row r="513" ht="36" customHeight="1">
      <x:c r="B513" s="7" t="str">
        <x:v>RAE-E-22-P03</x:v>
      </x:c>
      <x:c r="C513" s="7" t="str">
        <x:v>RAE-E-22</x:v>
      </x:c>
      <x:c r="D513" s="7" t="str">
        <x:v>RFP-B1</x:v>
      </x:c>
      <x:c r="E513" s="7" t="str">
        <x:v>AM-06</x:v>
      </x:c>
      <x:c r="F513" s="7" t="str">
        <x:v>TR-A</x:v>
      </x:c>
      <x:c r="G513" s="7" t="str">
        <x:v>QE-02</x:v>
      </x:c>
      <x:c r="H513" s="7" t="str">
        <x:v>P03</x:v>
      </x:c>
      <x:c r="I513" s="7" t="str">
        <x:v>T-48h</x:v>
      </x:c>
      <x:c r="J513" s="10" t="str">
        <x:v>article and configuration identity</x:v>
      </x:c>
      <x:c r="K513" s="7" t="str"/>
      <x:c r="L513" s="10" t="str"/>
      <x:c r="M513" s="7" t="str">
        <x:v>OPEN</x:v>
      </x:c>
    </x:row>
    <x:row r="514" ht="36" customHeight="1">
      <x:c r="B514" s="7" t="str">
        <x:v>RAE-E-22-P04</x:v>
      </x:c>
      <x:c r="C514" s="7" t="str">
        <x:v>RAE-E-22</x:v>
      </x:c>
      <x:c r="D514" s="7" t="str">
        <x:v>RFP-B1</x:v>
      </x:c>
      <x:c r="E514" s="7" t="str">
        <x:v>AM-06</x:v>
      </x:c>
      <x:c r="F514" s="7" t="str">
        <x:v>TR-A</x:v>
      </x:c>
      <x:c r="G514" s="7" t="str">
        <x:v>QE-02</x:v>
      </x:c>
      <x:c r="H514" s="7" t="str">
        <x:v>P04</x:v>
      </x:c>
      <x:c r="I514" s="7" t="str">
        <x:v>T-24h</x:v>
      </x:c>
      <x:c r="J514" s="10" t="str">
        <x:v>environment and recovery readiness</x:v>
      </x:c>
      <x:c r="K514" s="7" t="str"/>
      <x:c r="L514" s="10" t="str"/>
      <x:c r="M514" s="7" t="str">
        <x:v>OPEN</x:v>
      </x:c>
    </x:row>
    <x:row r="515" ht="36" customHeight="1">
      <x:c r="B515" s="7" t="str">
        <x:v>RAE-E-22-P05</x:v>
      </x:c>
      <x:c r="C515" s="7" t="str">
        <x:v>RAE-E-22</x:v>
      </x:c>
      <x:c r="D515" s="7" t="str">
        <x:v>RFP-B1</x:v>
      </x:c>
      <x:c r="E515" s="7" t="str">
        <x:v>AM-06</x:v>
      </x:c>
      <x:c r="F515" s="7" t="str">
        <x:v>TR-A</x:v>
      </x:c>
      <x:c r="G515" s="7" t="str">
        <x:v>QE-02</x:v>
      </x:c>
      <x:c r="H515" s="7" t="str">
        <x:v>P05</x:v>
      </x:c>
      <x:c r="I515" s="7" t="str">
        <x:v>T-12h</x:v>
      </x:c>
      <x:c r="J515" s="10" t="str">
        <x:v>rescue posture</x:v>
      </x:c>
      <x:c r="K515" s="7" t="str"/>
      <x:c r="L515" s="10" t="str"/>
      <x:c r="M515" s="7" t="str">
        <x:v>OPEN</x:v>
      </x:c>
    </x:row>
    <x:row r="516" ht="36" customHeight="1">
      <x:c r="B516" s="7" t="str">
        <x:v>RAE-E-22-P06</x:v>
      </x:c>
      <x:c r="C516" s="7" t="str">
        <x:v>RAE-E-22</x:v>
      </x:c>
      <x:c r="D516" s="7" t="str">
        <x:v>RFP-B1</x:v>
      </x:c>
      <x:c r="E516" s="7" t="str">
        <x:v>AM-06</x:v>
      </x:c>
      <x:c r="F516" s="7" t="str">
        <x:v>TR-A</x:v>
      </x:c>
      <x:c r="G516" s="7" t="str">
        <x:v>QE-02</x:v>
      </x:c>
      <x:c r="H516" s="7" t="str">
        <x:v>P06</x:v>
      </x:c>
      <x:c r="I516" s="7" t="str">
        <x:v>T-6h</x:v>
      </x:c>
      <x:c r="J516" s="10" t="str">
        <x:v>calibration before state</x:v>
      </x:c>
      <x:c r="K516" s="7" t="str"/>
      <x:c r="L516" s="10" t="str"/>
      <x:c r="M516" s="7" t="str">
        <x:v>OPEN</x:v>
      </x:c>
    </x:row>
    <x:row r="517" ht="36" customHeight="1">
      <x:c r="B517" s="7" t="str">
        <x:v>RAE-E-22-P07</x:v>
      </x:c>
      <x:c r="C517" s="7" t="str">
        <x:v>RAE-E-22</x:v>
      </x:c>
      <x:c r="D517" s="7" t="str">
        <x:v>RFP-B1</x:v>
      </x:c>
      <x:c r="E517" s="7" t="str">
        <x:v>AM-06</x:v>
      </x:c>
      <x:c r="F517" s="7" t="str">
        <x:v>TR-A</x:v>
      </x:c>
      <x:c r="G517" s="7" t="str">
        <x:v>QE-02</x:v>
      </x:c>
      <x:c r="H517" s="7" t="str">
        <x:v>P07</x:v>
      </x:c>
      <x:c r="I517" s="7" t="str">
        <x:v>T-2h</x:v>
      </x:c>
      <x:c r="J517" s="10" t="str">
        <x:v>receiver initial-volume proof</x:v>
      </x:c>
      <x:c r="K517" s="7" t="str"/>
      <x:c r="L517" s="10" t="str"/>
      <x:c r="M517" s="7" t="str">
        <x:v>OPEN</x:v>
      </x:c>
    </x:row>
    <x:row r="518" ht="36" customHeight="1">
      <x:c r="B518" s="7" t="str">
        <x:v>RAE-E-22-P08</x:v>
      </x:c>
      <x:c r="C518" s="7" t="str">
        <x:v>RAE-E-22</x:v>
      </x:c>
      <x:c r="D518" s="7" t="str">
        <x:v>RFP-B1</x:v>
      </x:c>
      <x:c r="E518" s="7" t="str">
        <x:v>AM-06</x:v>
      </x:c>
      <x:c r="F518" s="7" t="str">
        <x:v>TR-A</x:v>
      </x:c>
      <x:c r="G518" s="7" t="str">
        <x:v>QE-02</x:v>
      </x:c>
      <x:c r="H518" s="7" t="str">
        <x:v>P08</x:v>
      </x:c>
      <x:c r="I518" s="7" t="str">
        <x:v>T-60min</x:v>
      </x:c>
      <x:c r="J518" s="10" t="str">
        <x:v>neighbor inert-state proof</x:v>
      </x:c>
      <x:c r="K518" s="7" t="str"/>
      <x:c r="L518" s="10" t="str"/>
      <x:c r="M518" s="7" t="str">
        <x:v>OPEN</x:v>
      </x:c>
    </x:row>
    <x:row r="519" ht="36" customHeight="1">
      <x:c r="B519" s="7" t="str">
        <x:v>RAE-E-22-P09</x:v>
      </x:c>
      <x:c r="C519" s="7" t="str">
        <x:v>RAE-E-22</x:v>
      </x:c>
      <x:c r="D519" s="7" t="str">
        <x:v>RFP-B1</x:v>
      </x:c>
      <x:c r="E519" s="7" t="str">
        <x:v>AM-06</x:v>
      </x:c>
      <x:c r="F519" s="7" t="str">
        <x:v>TR-A</x:v>
      </x:c>
      <x:c r="G519" s="7" t="str">
        <x:v>QE-02</x:v>
      </x:c>
      <x:c r="H519" s="7" t="str">
        <x:v>P09</x:v>
      </x:c>
      <x:c r="I519" s="7" t="str">
        <x:v>T-30min</x:v>
      </x:c>
      <x:c r="J519" s="10" t="str">
        <x:v>native evidence armed</x:v>
      </x:c>
      <x:c r="K519" s="7" t="str"/>
      <x:c r="L519" s="10" t="str"/>
      <x:c r="M519" s="7" t="str">
        <x:v>OPEN</x:v>
      </x:c>
    </x:row>
    <x:row r="520" ht="36" customHeight="1">
      <x:c r="B520" s="7" t="str">
        <x:v>RAE-E-22-P10</x:v>
      </x:c>
      <x:c r="C520" s="7" t="str">
        <x:v>RAE-E-22</x:v>
      </x:c>
      <x:c r="D520" s="7" t="str">
        <x:v>RFP-B1</x:v>
      </x:c>
      <x:c r="E520" s="7" t="str">
        <x:v>AM-06</x:v>
      </x:c>
      <x:c r="F520" s="7" t="str">
        <x:v>TR-A</x:v>
      </x:c>
      <x:c r="G520" s="7" t="str">
        <x:v>QE-02</x:v>
      </x:c>
      <x:c r="H520" s="7" t="str">
        <x:v>P10</x:v>
      </x:c>
      <x:c r="I520" s="7" t="str">
        <x:v>T-10min</x:v>
      </x:c>
      <x:c r="J520" s="10" t="str">
        <x:v>final control poll</x:v>
      </x:c>
      <x:c r="K520" s="7" t="str"/>
      <x:c r="L520" s="10" t="str"/>
      <x:c r="M520" s="7" t="str">
        <x:v>OPEN</x:v>
      </x:c>
    </x:row>
    <x:row r="521" ht="36" customHeight="1">
      <x:c r="B521" s="7" t="str">
        <x:v>RAE-E-22-P11</x:v>
      </x:c>
      <x:c r="C521" s="7" t="str">
        <x:v>RAE-E-22</x:v>
      </x:c>
      <x:c r="D521" s="7" t="str">
        <x:v>RFP-B1</x:v>
      </x:c>
      <x:c r="E521" s="7" t="str">
        <x:v>AM-06</x:v>
      </x:c>
      <x:c r="F521" s="7" t="str">
        <x:v>TR-A</x:v>
      </x:c>
      <x:c r="G521" s="7" t="str">
        <x:v>QE-02</x:v>
      </x:c>
      <x:c r="H521" s="7" t="str">
        <x:v>P11</x:v>
      </x:c>
      <x:c r="I521" s="7" t="str">
        <x:v>T-60s</x:v>
      </x:c>
      <x:c r="J521" s="10" t="str">
        <x:v>full-rate capture</x:v>
      </x:c>
      <x:c r="K521" s="7" t="str"/>
      <x:c r="L521" s="10" t="str"/>
      <x:c r="M521" s="7" t="str">
        <x:v>OPEN</x:v>
      </x:c>
    </x:row>
    <x:row r="522" ht="36" customHeight="1">
      <x:c r="B522" s="7" t="str">
        <x:v>RAE-E-22-P12</x:v>
      </x:c>
      <x:c r="C522" s="7" t="str">
        <x:v>RAE-E-22</x:v>
      </x:c>
      <x:c r="D522" s="7" t="str">
        <x:v>RFP-B1</x:v>
      </x:c>
      <x:c r="E522" s="7" t="str">
        <x:v>AM-06</x:v>
      </x:c>
      <x:c r="F522" s="7" t="str">
        <x:v>TR-A</x:v>
      </x:c>
      <x:c r="G522" s="7" t="str">
        <x:v>QE-02</x:v>
      </x:c>
      <x:c r="H522" s="7" t="str">
        <x:v>P12</x:v>
      </x:c>
      <x:c r="I522" s="7" t="str">
        <x:v>T-10s</x:v>
      </x:c>
      <x:c r="J522" s="10" t="str">
        <x:v>registered challenge state</x:v>
      </x:c>
      <x:c r="K522" s="7" t="str"/>
      <x:c r="L522" s="10" t="str"/>
      <x:c r="M522" s="7" t="str">
        <x:v>OPEN</x:v>
      </x:c>
    </x:row>
    <x:row r="523" ht="36" customHeight="1">
      <x:c r="B523" s="7" t="str">
        <x:v>RAE-E-22-P13</x:v>
      </x:c>
      <x:c r="C523" s="7" t="str">
        <x:v>RAE-E-22</x:v>
      </x:c>
      <x:c r="D523" s="7" t="str">
        <x:v>RFP-B1</x:v>
      </x:c>
      <x:c r="E523" s="7" t="str">
        <x:v>AM-06</x:v>
      </x:c>
      <x:c r="F523" s="7" t="str">
        <x:v>TR-A</x:v>
      </x:c>
      <x:c r="G523" s="7" t="str">
        <x:v>QE-02</x:v>
      </x:c>
      <x:c r="H523" s="7" t="str">
        <x:v>P13</x:v>
      </x:c>
      <x:c r="I523" s="7" t="str">
        <x:v>T0</x:v>
      </x:c>
      <x:c r="J523" s="10" t="str">
        <x:v>source command or zero-source marker</x:v>
      </x:c>
      <x:c r="K523" s="7" t="str"/>
      <x:c r="L523" s="10" t="str"/>
      <x:c r="M523" s="7" t="str">
        <x:v>OPEN</x:v>
      </x:c>
    </x:row>
    <x:row r="524" ht="36" customHeight="1">
      <x:c r="B524" s="7" t="str">
        <x:v>RAE-E-22-P14</x:v>
      </x:c>
      <x:c r="C524" s="7" t="str">
        <x:v>RAE-E-22</x:v>
      </x:c>
      <x:c r="D524" s="7" t="str">
        <x:v>RFP-B1</x:v>
      </x:c>
      <x:c r="E524" s="7" t="str">
        <x:v>AM-06</x:v>
      </x:c>
      <x:c r="F524" s="7" t="str">
        <x:v>TR-A</x:v>
      </x:c>
      <x:c r="G524" s="7" t="str">
        <x:v>QE-02</x:v>
      </x:c>
      <x:c r="H524" s="7" t="str">
        <x:v>P14</x:v>
      </x:c>
      <x:c r="I524" s="7" t="str">
        <x:v>T+2s</x:v>
      </x:c>
      <x:c r="J524" s="10" t="str">
        <x:v>inlet and dispenser final state</x:v>
      </x:c>
      <x:c r="K524" s="7" t="str"/>
      <x:c r="L524" s="10" t="str"/>
      <x:c r="M524" s="7" t="str">
        <x:v>OPEN</x:v>
      </x:c>
    </x:row>
    <x:row r="525" ht="36" customHeight="1">
      <x:c r="B525" s="7" t="str">
        <x:v>RAE-E-22-P15</x:v>
      </x:c>
      <x:c r="C525" s="7" t="str">
        <x:v>RAE-E-22</x:v>
      </x:c>
      <x:c r="D525" s="7" t="str">
        <x:v>RFP-B1</x:v>
      </x:c>
      <x:c r="E525" s="7" t="str">
        <x:v>AM-06</x:v>
      </x:c>
      <x:c r="F525" s="7" t="str">
        <x:v>TR-A</x:v>
      </x:c>
      <x:c r="G525" s="7" t="str">
        <x:v>QE-02</x:v>
      </x:c>
      <x:c r="H525" s="7" t="str">
        <x:v>P15</x:v>
      </x:c>
      <x:c r="I525" s="7" t="str">
        <x:v>T+15s</x:v>
      </x:c>
      <x:c r="J525" s="10" t="str">
        <x:v>AM-06 QE-02 ignition opportunity</x:v>
      </x:c>
      <x:c r="K525" s="7" t="str"/>
      <x:c r="L525" s="10" t="str"/>
      <x:c r="M525" s="7" t="str">
        <x:v>OPEN</x:v>
      </x:c>
    </x:row>
    <x:row r="526" ht="36" customHeight="1">
      <x:c r="B526" s="7" t="str">
        <x:v>RAE-E-22-P16</x:v>
      </x:c>
      <x:c r="C526" s="7" t="str">
        <x:v>RAE-E-22</x:v>
      </x:c>
      <x:c r="D526" s="7" t="str">
        <x:v>RFP-B1</x:v>
      </x:c>
      <x:c r="E526" s="7" t="str">
        <x:v>AM-06</x:v>
      </x:c>
      <x:c r="F526" s="7" t="str">
        <x:v>TR-A</x:v>
      </x:c>
      <x:c r="G526" s="7" t="str">
        <x:v>QE-02</x:v>
      </x:c>
      <x:c r="H526" s="7" t="str">
        <x:v>P16</x:v>
      </x:c>
      <x:c r="I526" s="7" t="str">
        <x:v>T+30s</x:v>
      </x:c>
      <x:c r="J526" s="10" t="str">
        <x:v>terminal-source decision</x:v>
      </x:c>
      <x:c r="K526" s="7" t="str"/>
      <x:c r="L526" s="10" t="str"/>
      <x:c r="M526" s="7" t="str">
        <x:v>OPEN</x:v>
      </x:c>
    </x:row>
    <x:row r="527" ht="36" customHeight="1">
      <x:c r="B527" s="7" t="str">
        <x:v>RAE-E-22-P17</x:v>
      </x:c>
      <x:c r="C527" s="7" t="str">
        <x:v>RAE-E-22</x:v>
      </x:c>
      <x:c r="D527" s="7" t="str">
        <x:v>RFP-B1</x:v>
      </x:c>
      <x:c r="E527" s="7" t="str">
        <x:v>AM-06</x:v>
      </x:c>
      <x:c r="F527" s="7" t="str">
        <x:v>TR-A</x:v>
      </x:c>
      <x:c r="G527" s="7" t="str">
        <x:v>QE-02</x:v>
      </x:c>
      <x:c r="H527" s="7" t="str">
        <x:v>P17</x:v>
      </x:c>
      <x:c r="I527" s="7" t="str">
        <x:v>T+120s</x:v>
      </x:c>
      <x:c r="J527" s="10" t="str">
        <x:v>public schedule end</x:v>
      </x:c>
      <x:c r="K527" s="7" t="str"/>
      <x:c r="L527" s="10" t="str"/>
      <x:c r="M527" s="7" t="str">
        <x:v>OPEN</x:v>
      </x:c>
    </x:row>
    <x:row r="528" ht="36" customHeight="1">
      <x:c r="B528" s="7" t="str">
        <x:v>RAE-E-22-P18</x:v>
      </x:c>
      <x:c r="C528" s="7" t="str">
        <x:v>RAE-E-22</x:v>
      </x:c>
      <x:c r="D528" s="7" t="str">
        <x:v>RFP-B1</x:v>
      </x:c>
      <x:c r="E528" s="7" t="str">
        <x:v>AM-06</x:v>
      </x:c>
      <x:c r="F528" s="7" t="str">
        <x:v>TR-A</x:v>
      </x:c>
      <x:c r="G528" s="7" t="str">
        <x:v>QE-02</x:v>
      </x:c>
      <x:c r="H528" s="7" t="str">
        <x:v>P18</x:v>
      </x:c>
      <x:c r="I528" s="7" t="str">
        <x:v>T+15min</x:v>
      </x:c>
      <x:c r="J528" s="10" t="str">
        <x:v>thermal and water classification</x:v>
      </x:c>
      <x:c r="K528" s="7" t="str"/>
      <x:c r="L528" s="10" t="str"/>
      <x:c r="M528" s="7" t="str">
        <x:v>OPEN</x:v>
      </x:c>
    </x:row>
    <x:row r="529" ht="36" customHeight="1">
      <x:c r="B529" s="7" t="str">
        <x:v>RAE-E-22-P19</x:v>
      </x:c>
      <x:c r="C529" s="7" t="str">
        <x:v>RAE-E-22</x:v>
      </x:c>
      <x:c r="D529" s="7" t="str">
        <x:v>RFP-B1</x:v>
      </x:c>
      <x:c r="E529" s="7" t="str">
        <x:v>AM-06</x:v>
      </x:c>
      <x:c r="F529" s="7" t="str">
        <x:v>TR-A</x:v>
      </x:c>
      <x:c r="G529" s="7" t="str">
        <x:v>QE-02</x:v>
      </x:c>
      <x:c r="H529" s="7" t="str">
        <x:v>P19</x:v>
      </x:c>
      <x:c r="I529" s="7" t="str">
        <x:v>T+30min</x:v>
      </x:c>
      <x:c r="J529" s="10" t="str">
        <x:v>public intervention classification</x:v>
      </x:c>
      <x:c r="K529" s="7" t="str"/>
      <x:c r="L529" s="10" t="str"/>
      <x:c r="M529" s="7" t="str">
        <x:v>OPEN</x:v>
      </x:c>
    </x:row>
    <x:row r="530" ht="36" customHeight="1">
      <x:c r="B530" s="7" t="str">
        <x:v>RAE-E-22-P20</x:v>
      </x:c>
      <x:c r="C530" s="7" t="str">
        <x:v>RAE-E-22</x:v>
      </x:c>
      <x:c r="D530" s="7" t="str">
        <x:v>RFP-B1</x:v>
      </x:c>
      <x:c r="E530" s="7" t="str">
        <x:v>AM-06</x:v>
      </x:c>
      <x:c r="F530" s="7" t="str">
        <x:v>TR-A</x:v>
      </x:c>
      <x:c r="G530" s="7" t="str">
        <x:v>QE-02</x:v>
      </x:c>
      <x:c r="H530" s="7" t="str">
        <x:v>P20</x:v>
      </x:c>
      <x:c r="I530" s="7" t="str">
        <x:v>T+60min</x:v>
      </x:c>
      <x:c r="J530" s="10" t="str">
        <x:v>remote-entry classification</x:v>
      </x:c>
      <x:c r="K530" s="7" t="str"/>
      <x:c r="L530" s="10" t="str"/>
      <x:c r="M530" s="7" t="str">
        <x:v>OPEN</x:v>
      </x:c>
    </x:row>
    <x:row r="531" ht="36" customHeight="1">
      <x:c r="B531" s="7" t="str">
        <x:v>RAE-E-22-P21</x:v>
      </x:c>
      <x:c r="C531" s="7" t="str">
        <x:v>RAE-E-22</x:v>
      </x:c>
      <x:c r="D531" s="7" t="str">
        <x:v>RFP-B1</x:v>
      </x:c>
      <x:c r="E531" s="7" t="str">
        <x:v>AM-06</x:v>
      </x:c>
      <x:c r="F531" s="7" t="str">
        <x:v>TR-A</x:v>
      </x:c>
      <x:c r="G531" s="7" t="str">
        <x:v>QE-02</x:v>
      </x:c>
      <x:c r="H531" s="7" t="str">
        <x:v>P21</x:v>
      </x:c>
      <x:c r="I531" s="7" t="str">
        <x:v>T+6h</x:v>
      </x:c>
      <x:c r="J531" s="10" t="str">
        <x:v>evidence tail closure</x:v>
      </x:c>
      <x:c r="K531" s="7" t="str"/>
      <x:c r="L531" s="10" t="str"/>
      <x:c r="M531" s="7" t="str">
        <x:v>OPEN</x:v>
      </x:c>
    </x:row>
    <x:row r="532" ht="36" customHeight="1">
      <x:c r="B532" s="7" t="str">
        <x:v>RAE-E-22-P22</x:v>
      </x:c>
      <x:c r="C532" s="7" t="str">
        <x:v>RAE-E-22</x:v>
      </x:c>
      <x:c r="D532" s="7" t="str">
        <x:v>RFP-B1</x:v>
      </x:c>
      <x:c r="E532" s="7" t="str">
        <x:v>AM-06</x:v>
      </x:c>
      <x:c r="F532" s="7" t="str">
        <x:v>TR-A</x:v>
      </x:c>
      <x:c r="G532" s="7" t="str">
        <x:v>QE-02</x:v>
      </x:c>
      <x:c r="H532" s="7" t="str">
        <x:v>P22</x:v>
      </x:c>
      <x:c r="I532" s="7" t="str">
        <x:v>T+24h</x:v>
      </x:c>
      <x:c r="J532" s="10" t="str">
        <x:v>physical ledger closure</x:v>
      </x:c>
      <x:c r="K532" s="7" t="str"/>
      <x:c r="L532" s="10" t="str"/>
      <x:c r="M532" s="7" t="str">
        <x:v>OPEN</x:v>
      </x:c>
    </x:row>
    <x:row r="533" ht="36" customHeight="1">
      <x:c r="B533" s="7" t="str">
        <x:v>RAE-E-22-P23</x:v>
      </x:c>
      <x:c r="C533" s="7" t="str">
        <x:v>RAE-E-22</x:v>
      </x:c>
      <x:c r="D533" s="7" t="str">
        <x:v>RFP-B1</x:v>
      </x:c>
      <x:c r="E533" s="7" t="str">
        <x:v>AM-06</x:v>
      </x:c>
      <x:c r="F533" s="7" t="str">
        <x:v>TR-A</x:v>
      </x:c>
      <x:c r="G533" s="7" t="str">
        <x:v>QE-02</x:v>
      </x:c>
      <x:c r="H533" s="7" t="str">
        <x:v>P23</x:v>
      </x:c>
      <x:c r="I533" s="7" t="str">
        <x:v>T+72h</x:v>
      </x:c>
      <x:c r="J533" s="10" t="str">
        <x:v>immutable packet freeze</x:v>
      </x:c>
      <x:c r="K533" s="7" t="str"/>
      <x:c r="L533" s="10" t="str"/>
      <x:c r="M533" s="7" t="str">
        <x:v>OPEN</x:v>
      </x:c>
    </x:row>
    <x:row r="534" ht="36" customHeight="1">
      <x:c r="B534" s="7" t="str">
        <x:v>RAE-E-22-P24</x:v>
      </x:c>
      <x:c r="C534" s="7" t="str">
        <x:v>RAE-E-22</x:v>
      </x:c>
      <x:c r="D534" s="7" t="str">
        <x:v>RFP-B1</x:v>
      </x:c>
      <x:c r="E534" s="7" t="str">
        <x:v>AM-06</x:v>
      </x:c>
      <x:c r="F534" s="7" t="str">
        <x:v>TR-A</x:v>
      </x:c>
      <x:c r="G534" s="7" t="str">
        <x:v>QE-02</x:v>
      </x:c>
      <x:c r="H534" s="7" t="str">
        <x:v>P24</x:v>
      </x:c>
      <x:c r="I534" s="7" t="str">
        <x:v>day 7</x:v>
      </x:c>
      <x:c r="J534" s="10" t="str">
        <x:v>validity and outcome board</x:v>
      </x:c>
      <x:c r="K534" s="7" t="str"/>
      <x:c r="L534" s="10" t="str"/>
      <x:c r="M534" s="7" t="str">
        <x:v>OPEN</x:v>
      </x:c>
    </x:row>
    <x:row r="535" ht="36" customHeight="1">
      <x:c r="B535" s="7" t="str">
        <x:v>RAE-E-23-P01</x:v>
      </x:c>
      <x:c r="C535" s="7" t="str">
        <x:v>RAE-E-23</x:v>
      </x:c>
      <x:c r="D535" s="7" t="str">
        <x:v>RFP-B1</x:v>
      </x:c>
      <x:c r="E535" s="7" t="str">
        <x:v>AM-06</x:v>
      </x:c>
      <x:c r="F535" s="7" t="str">
        <x:v>TR-B</x:v>
      </x:c>
      <x:c r="G535" s="7" t="str">
        <x:v>QE-01</x:v>
      </x:c>
      <x:c r="H535" s="7" t="str">
        <x:v>P01</x:v>
      </x:c>
      <x:c r="I535" s="7" t="str">
        <x:v>T-96h</x:v>
      </x:c>
      <x:c r="J535" s="10" t="str">
        <x:v>baseline freeze</x:v>
      </x:c>
      <x:c r="K535" s="7" t="str"/>
      <x:c r="L535" s="10" t="str"/>
      <x:c r="M535" s="7" t="str">
        <x:v>OPEN</x:v>
      </x:c>
    </x:row>
    <x:row r="536" ht="36" customHeight="1">
      <x:c r="B536" s="7" t="str">
        <x:v>RAE-E-23-P02</x:v>
      </x:c>
      <x:c r="C536" s="7" t="str">
        <x:v>RAE-E-23</x:v>
      </x:c>
      <x:c r="D536" s="7" t="str">
        <x:v>RFP-B1</x:v>
      </x:c>
      <x:c r="E536" s="7" t="str">
        <x:v>AM-06</x:v>
      </x:c>
      <x:c r="F536" s="7" t="str">
        <x:v>TR-B</x:v>
      </x:c>
      <x:c r="G536" s="7" t="str">
        <x:v>QE-01</x:v>
      </x:c>
      <x:c r="H536" s="7" t="str">
        <x:v>P02</x:v>
      </x:c>
      <x:c r="I536" s="7" t="str">
        <x:v>T-72h</x:v>
      </x:c>
      <x:c r="J536" s="10" t="str">
        <x:v>source and water custody freeze</x:v>
      </x:c>
      <x:c r="K536" s="7" t="str"/>
      <x:c r="L536" s="10" t="str"/>
      <x:c r="M536" s="7" t="str">
        <x:v>OPEN</x:v>
      </x:c>
    </x:row>
    <x:row r="537" ht="36" customHeight="1">
      <x:c r="B537" s="7" t="str">
        <x:v>RAE-E-23-P03</x:v>
      </x:c>
      <x:c r="C537" s="7" t="str">
        <x:v>RAE-E-23</x:v>
      </x:c>
      <x:c r="D537" s="7" t="str">
        <x:v>RFP-B1</x:v>
      </x:c>
      <x:c r="E537" s="7" t="str">
        <x:v>AM-06</x:v>
      </x:c>
      <x:c r="F537" s="7" t="str">
        <x:v>TR-B</x:v>
      </x:c>
      <x:c r="G537" s="7" t="str">
        <x:v>QE-01</x:v>
      </x:c>
      <x:c r="H537" s="7" t="str">
        <x:v>P03</x:v>
      </x:c>
      <x:c r="I537" s="7" t="str">
        <x:v>T-48h</x:v>
      </x:c>
      <x:c r="J537" s="10" t="str">
        <x:v>article and configuration identity</x:v>
      </x:c>
      <x:c r="K537" s="7" t="str"/>
      <x:c r="L537" s="10" t="str"/>
      <x:c r="M537" s="7" t="str">
        <x:v>OPEN</x:v>
      </x:c>
    </x:row>
    <x:row r="538" ht="36" customHeight="1">
      <x:c r="B538" s="7" t="str">
        <x:v>RAE-E-23-P04</x:v>
      </x:c>
      <x:c r="C538" s="7" t="str">
        <x:v>RAE-E-23</x:v>
      </x:c>
      <x:c r="D538" s="7" t="str">
        <x:v>RFP-B1</x:v>
      </x:c>
      <x:c r="E538" s="7" t="str">
        <x:v>AM-06</x:v>
      </x:c>
      <x:c r="F538" s="7" t="str">
        <x:v>TR-B</x:v>
      </x:c>
      <x:c r="G538" s="7" t="str">
        <x:v>QE-01</x:v>
      </x:c>
      <x:c r="H538" s="7" t="str">
        <x:v>P04</x:v>
      </x:c>
      <x:c r="I538" s="7" t="str">
        <x:v>T-24h</x:v>
      </x:c>
      <x:c r="J538" s="10" t="str">
        <x:v>environment and recovery readiness</x:v>
      </x:c>
      <x:c r="K538" s="7" t="str"/>
      <x:c r="L538" s="10" t="str"/>
      <x:c r="M538" s="7" t="str">
        <x:v>OPEN</x:v>
      </x:c>
    </x:row>
    <x:row r="539" ht="36" customHeight="1">
      <x:c r="B539" s="7" t="str">
        <x:v>RAE-E-23-P05</x:v>
      </x:c>
      <x:c r="C539" s="7" t="str">
        <x:v>RAE-E-23</x:v>
      </x:c>
      <x:c r="D539" s="7" t="str">
        <x:v>RFP-B1</x:v>
      </x:c>
      <x:c r="E539" s="7" t="str">
        <x:v>AM-06</x:v>
      </x:c>
      <x:c r="F539" s="7" t="str">
        <x:v>TR-B</x:v>
      </x:c>
      <x:c r="G539" s="7" t="str">
        <x:v>QE-01</x:v>
      </x:c>
      <x:c r="H539" s="7" t="str">
        <x:v>P05</x:v>
      </x:c>
      <x:c r="I539" s="7" t="str">
        <x:v>T-12h</x:v>
      </x:c>
      <x:c r="J539" s="10" t="str">
        <x:v>rescue posture</x:v>
      </x:c>
      <x:c r="K539" s="7" t="str"/>
      <x:c r="L539" s="10" t="str"/>
      <x:c r="M539" s="7" t="str">
        <x:v>OPEN</x:v>
      </x:c>
    </x:row>
    <x:row r="540" ht="36" customHeight="1">
      <x:c r="B540" s="7" t="str">
        <x:v>RAE-E-23-P06</x:v>
      </x:c>
      <x:c r="C540" s="7" t="str">
        <x:v>RAE-E-23</x:v>
      </x:c>
      <x:c r="D540" s="7" t="str">
        <x:v>RFP-B1</x:v>
      </x:c>
      <x:c r="E540" s="7" t="str">
        <x:v>AM-06</x:v>
      </x:c>
      <x:c r="F540" s="7" t="str">
        <x:v>TR-B</x:v>
      </x:c>
      <x:c r="G540" s="7" t="str">
        <x:v>QE-01</x:v>
      </x:c>
      <x:c r="H540" s="7" t="str">
        <x:v>P06</x:v>
      </x:c>
      <x:c r="I540" s="7" t="str">
        <x:v>T-6h</x:v>
      </x:c>
      <x:c r="J540" s="10" t="str">
        <x:v>calibration before state</x:v>
      </x:c>
      <x:c r="K540" s="7" t="str"/>
      <x:c r="L540" s="10" t="str"/>
      <x:c r="M540" s="7" t="str">
        <x:v>OPEN</x:v>
      </x:c>
    </x:row>
    <x:row r="541" ht="36" customHeight="1">
      <x:c r="B541" s="7" t="str">
        <x:v>RAE-E-23-P07</x:v>
      </x:c>
      <x:c r="C541" s="7" t="str">
        <x:v>RAE-E-23</x:v>
      </x:c>
      <x:c r="D541" s="7" t="str">
        <x:v>RFP-B1</x:v>
      </x:c>
      <x:c r="E541" s="7" t="str">
        <x:v>AM-06</x:v>
      </x:c>
      <x:c r="F541" s="7" t="str">
        <x:v>TR-B</x:v>
      </x:c>
      <x:c r="G541" s="7" t="str">
        <x:v>QE-01</x:v>
      </x:c>
      <x:c r="H541" s="7" t="str">
        <x:v>P07</x:v>
      </x:c>
      <x:c r="I541" s="7" t="str">
        <x:v>T-2h</x:v>
      </x:c>
      <x:c r="J541" s="10" t="str">
        <x:v>receiver initial-volume proof</x:v>
      </x:c>
      <x:c r="K541" s="7" t="str"/>
      <x:c r="L541" s="10" t="str"/>
      <x:c r="M541" s="7" t="str">
        <x:v>OPEN</x:v>
      </x:c>
    </x:row>
    <x:row r="542" ht="36" customHeight="1">
      <x:c r="B542" s="7" t="str">
        <x:v>RAE-E-23-P08</x:v>
      </x:c>
      <x:c r="C542" s="7" t="str">
        <x:v>RAE-E-23</x:v>
      </x:c>
      <x:c r="D542" s="7" t="str">
        <x:v>RFP-B1</x:v>
      </x:c>
      <x:c r="E542" s="7" t="str">
        <x:v>AM-06</x:v>
      </x:c>
      <x:c r="F542" s="7" t="str">
        <x:v>TR-B</x:v>
      </x:c>
      <x:c r="G542" s="7" t="str">
        <x:v>QE-01</x:v>
      </x:c>
      <x:c r="H542" s="7" t="str">
        <x:v>P08</x:v>
      </x:c>
      <x:c r="I542" s="7" t="str">
        <x:v>T-60min</x:v>
      </x:c>
      <x:c r="J542" s="10" t="str">
        <x:v>neighbor inert-state proof</x:v>
      </x:c>
      <x:c r="K542" s="7" t="str"/>
      <x:c r="L542" s="10" t="str"/>
      <x:c r="M542" s="7" t="str">
        <x:v>OPEN</x:v>
      </x:c>
    </x:row>
    <x:row r="543" ht="36" customHeight="1">
      <x:c r="B543" s="7" t="str">
        <x:v>RAE-E-23-P09</x:v>
      </x:c>
      <x:c r="C543" s="7" t="str">
        <x:v>RAE-E-23</x:v>
      </x:c>
      <x:c r="D543" s="7" t="str">
        <x:v>RFP-B1</x:v>
      </x:c>
      <x:c r="E543" s="7" t="str">
        <x:v>AM-06</x:v>
      </x:c>
      <x:c r="F543" s="7" t="str">
        <x:v>TR-B</x:v>
      </x:c>
      <x:c r="G543" s="7" t="str">
        <x:v>QE-01</x:v>
      </x:c>
      <x:c r="H543" s="7" t="str">
        <x:v>P09</x:v>
      </x:c>
      <x:c r="I543" s="7" t="str">
        <x:v>T-30min</x:v>
      </x:c>
      <x:c r="J543" s="10" t="str">
        <x:v>native evidence armed</x:v>
      </x:c>
      <x:c r="K543" s="7" t="str"/>
      <x:c r="L543" s="10" t="str"/>
      <x:c r="M543" s="7" t="str">
        <x:v>OPEN</x:v>
      </x:c>
    </x:row>
    <x:row r="544" ht="36" customHeight="1">
      <x:c r="B544" s="7" t="str">
        <x:v>RAE-E-23-P10</x:v>
      </x:c>
      <x:c r="C544" s="7" t="str">
        <x:v>RAE-E-23</x:v>
      </x:c>
      <x:c r="D544" s="7" t="str">
        <x:v>RFP-B1</x:v>
      </x:c>
      <x:c r="E544" s="7" t="str">
        <x:v>AM-06</x:v>
      </x:c>
      <x:c r="F544" s="7" t="str">
        <x:v>TR-B</x:v>
      </x:c>
      <x:c r="G544" s="7" t="str">
        <x:v>QE-01</x:v>
      </x:c>
      <x:c r="H544" s="7" t="str">
        <x:v>P10</x:v>
      </x:c>
      <x:c r="I544" s="7" t="str">
        <x:v>T-10min</x:v>
      </x:c>
      <x:c r="J544" s="10" t="str">
        <x:v>final control poll</x:v>
      </x:c>
      <x:c r="K544" s="7" t="str"/>
      <x:c r="L544" s="10" t="str"/>
      <x:c r="M544" s="7" t="str">
        <x:v>OPEN</x:v>
      </x:c>
    </x:row>
    <x:row r="545" ht="36" customHeight="1">
      <x:c r="B545" s="7" t="str">
        <x:v>RAE-E-23-P11</x:v>
      </x:c>
      <x:c r="C545" s="7" t="str">
        <x:v>RAE-E-23</x:v>
      </x:c>
      <x:c r="D545" s="7" t="str">
        <x:v>RFP-B1</x:v>
      </x:c>
      <x:c r="E545" s="7" t="str">
        <x:v>AM-06</x:v>
      </x:c>
      <x:c r="F545" s="7" t="str">
        <x:v>TR-B</x:v>
      </x:c>
      <x:c r="G545" s="7" t="str">
        <x:v>QE-01</x:v>
      </x:c>
      <x:c r="H545" s="7" t="str">
        <x:v>P11</x:v>
      </x:c>
      <x:c r="I545" s="7" t="str">
        <x:v>T-60s</x:v>
      </x:c>
      <x:c r="J545" s="10" t="str">
        <x:v>full-rate capture</x:v>
      </x:c>
      <x:c r="K545" s="7" t="str"/>
      <x:c r="L545" s="10" t="str"/>
      <x:c r="M545" s="7" t="str">
        <x:v>OPEN</x:v>
      </x:c>
    </x:row>
    <x:row r="546" ht="36" customHeight="1">
      <x:c r="B546" s="7" t="str">
        <x:v>RAE-E-23-P12</x:v>
      </x:c>
      <x:c r="C546" s="7" t="str">
        <x:v>RAE-E-23</x:v>
      </x:c>
      <x:c r="D546" s="7" t="str">
        <x:v>RFP-B1</x:v>
      </x:c>
      <x:c r="E546" s="7" t="str">
        <x:v>AM-06</x:v>
      </x:c>
      <x:c r="F546" s="7" t="str">
        <x:v>TR-B</x:v>
      </x:c>
      <x:c r="G546" s="7" t="str">
        <x:v>QE-01</x:v>
      </x:c>
      <x:c r="H546" s="7" t="str">
        <x:v>P12</x:v>
      </x:c>
      <x:c r="I546" s="7" t="str">
        <x:v>T-10s</x:v>
      </x:c>
      <x:c r="J546" s="10" t="str">
        <x:v>registered challenge state</x:v>
      </x:c>
      <x:c r="K546" s="7" t="str"/>
      <x:c r="L546" s="10" t="str"/>
      <x:c r="M546" s="7" t="str">
        <x:v>OPEN</x:v>
      </x:c>
    </x:row>
    <x:row r="547" ht="36" customHeight="1">
      <x:c r="B547" s="7" t="str">
        <x:v>RAE-E-23-P13</x:v>
      </x:c>
      <x:c r="C547" s="7" t="str">
        <x:v>RAE-E-23</x:v>
      </x:c>
      <x:c r="D547" s="7" t="str">
        <x:v>RFP-B1</x:v>
      </x:c>
      <x:c r="E547" s="7" t="str">
        <x:v>AM-06</x:v>
      </x:c>
      <x:c r="F547" s="7" t="str">
        <x:v>TR-B</x:v>
      </x:c>
      <x:c r="G547" s="7" t="str">
        <x:v>QE-01</x:v>
      </x:c>
      <x:c r="H547" s="7" t="str">
        <x:v>P13</x:v>
      </x:c>
      <x:c r="I547" s="7" t="str">
        <x:v>T0</x:v>
      </x:c>
      <x:c r="J547" s="10" t="str">
        <x:v>source command or zero-source marker</x:v>
      </x:c>
      <x:c r="K547" s="7" t="str"/>
      <x:c r="L547" s="10" t="str"/>
      <x:c r="M547" s="7" t="str">
        <x:v>OPEN</x:v>
      </x:c>
    </x:row>
    <x:row r="548" ht="36" customHeight="1">
      <x:c r="B548" s="7" t="str">
        <x:v>RAE-E-23-P14</x:v>
      </x:c>
      <x:c r="C548" s="7" t="str">
        <x:v>RAE-E-23</x:v>
      </x:c>
      <x:c r="D548" s="7" t="str">
        <x:v>RFP-B1</x:v>
      </x:c>
      <x:c r="E548" s="7" t="str">
        <x:v>AM-06</x:v>
      </x:c>
      <x:c r="F548" s="7" t="str">
        <x:v>TR-B</x:v>
      </x:c>
      <x:c r="G548" s="7" t="str">
        <x:v>QE-01</x:v>
      </x:c>
      <x:c r="H548" s="7" t="str">
        <x:v>P14</x:v>
      </x:c>
      <x:c r="I548" s="7" t="str">
        <x:v>T+2s</x:v>
      </x:c>
      <x:c r="J548" s="10" t="str">
        <x:v>inlet and dispenser final state</x:v>
      </x:c>
      <x:c r="K548" s="7" t="str"/>
      <x:c r="L548" s="10" t="str"/>
      <x:c r="M548" s="7" t="str">
        <x:v>OPEN</x:v>
      </x:c>
    </x:row>
    <x:row r="549" ht="36" customHeight="1">
      <x:c r="B549" s="7" t="str">
        <x:v>RAE-E-23-P15</x:v>
      </x:c>
      <x:c r="C549" s="7" t="str">
        <x:v>RAE-E-23</x:v>
      </x:c>
      <x:c r="D549" s="7" t="str">
        <x:v>RFP-B1</x:v>
      </x:c>
      <x:c r="E549" s="7" t="str">
        <x:v>AM-06</x:v>
      </x:c>
      <x:c r="F549" s="7" t="str">
        <x:v>TR-B</x:v>
      </x:c>
      <x:c r="G549" s="7" t="str">
        <x:v>QE-01</x:v>
      </x:c>
      <x:c r="H549" s="7" t="str">
        <x:v>P15</x:v>
      </x:c>
      <x:c r="I549" s="7" t="str">
        <x:v>T+15s</x:v>
      </x:c>
      <x:c r="J549" s="10" t="str">
        <x:v>AM-06 QE-02 ignition opportunity</x:v>
      </x:c>
      <x:c r="K549" s="7" t="str"/>
      <x:c r="L549" s="10" t="str"/>
      <x:c r="M549" s="7" t="str">
        <x:v>OPEN</x:v>
      </x:c>
    </x:row>
    <x:row r="550" ht="36" customHeight="1">
      <x:c r="B550" s="7" t="str">
        <x:v>RAE-E-23-P16</x:v>
      </x:c>
      <x:c r="C550" s="7" t="str">
        <x:v>RAE-E-23</x:v>
      </x:c>
      <x:c r="D550" s="7" t="str">
        <x:v>RFP-B1</x:v>
      </x:c>
      <x:c r="E550" s="7" t="str">
        <x:v>AM-06</x:v>
      </x:c>
      <x:c r="F550" s="7" t="str">
        <x:v>TR-B</x:v>
      </x:c>
      <x:c r="G550" s="7" t="str">
        <x:v>QE-01</x:v>
      </x:c>
      <x:c r="H550" s="7" t="str">
        <x:v>P16</x:v>
      </x:c>
      <x:c r="I550" s="7" t="str">
        <x:v>T+30s</x:v>
      </x:c>
      <x:c r="J550" s="10" t="str">
        <x:v>terminal-source decision</x:v>
      </x:c>
      <x:c r="K550" s="7" t="str"/>
      <x:c r="L550" s="10" t="str"/>
      <x:c r="M550" s="7" t="str">
        <x:v>OPEN</x:v>
      </x:c>
    </x:row>
    <x:row r="551" ht="36" customHeight="1">
      <x:c r="B551" s="7" t="str">
        <x:v>RAE-E-23-P17</x:v>
      </x:c>
      <x:c r="C551" s="7" t="str">
        <x:v>RAE-E-23</x:v>
      </x:c>
      <x:c r="D551" s="7" t="str">
        <x:v>RFP-B1</x:v>
      </x:c>
      <x:c r="E551" s="7" t="str">
        <x:v>AM-06</x:v>
      </x:c>
      <x:c r="F551" s="7" t="str">
        <x:v>TR-B</x:v>
      </x:c>
      <x:c r="G551" s="7" t="str">
        <x:v>QE-01</x:v>
      </x:c>
      <x:c r="H551" s="7" t="str">
        <x:v>P17</x:v>
      </x:c>
      <x:c r="I551" s="7" t="str">
        <x:v>T+120s</x:v>
      </x:c>
      <x:c r="J551" s="10" t="str">
        <x:v>public schedule end</x:v>
      </x:c>
      <x:c r="K551" s="7" t="str"/>
      <x:c r="L551" s="10" t="str"/>
      <x:c r="M551" s="7" t="str">
        <x:v>OPEN</x:v>
      </x:c>
    </x:row>
    <x:row r="552" ht="36" customHeight="1">
      <x:c r="B552" s="7" t="str">
        <x:v>RAE-E-23-P18</x:v>
      </x:c>
      <x:c r="C552" s="7" t="str">
        <x:v>RAE-E-23</x:v>
      </x:c>
      <x:c r="D552" s="7" t="str">
        <x:v>RFP-B1</x:v>
      </x:c>
      <x:c r="E552" s="7" t="str">
        <x:v>AM-06</x:v>
      </x:c>
      <x:c r="F552" s="7" t="str">
        <x:v>TR-B</x:v>
      </x:c>
      <x:c r="G552" s="7" t="str">
        <x:v>QE-01</x:v>
      </x:c>
      <x:c r="H552" s="7" t="str">
        <x:v>P18</x:v>
      </x:c>
      <x:c r="I552" s="7" t="str">
        <x:v>T+15min</x:v>
      </x:c>
      <x:c r="J552" s="10" t="str">
        <x:v>thermal and water classification</x:v>
      </x:c>
      <x:c r="K552" s="7" t="str"/>
      <x:c r="L552" s="10" t="str"/>
      <x:c r="M552" s="7" t="str">
        <x:v>OPEN</x:v>
      </x:c>
    </x:row>
    <x:row r="553" ht="36" customHeight="1">
      <x:c r="B553" s="7" t="str">
        <x:v>RAE-E-23-P19</x:v>
      </x:c>
      <x:c r="C553" s="7" t="str">
        <x:v>RAE-E-23</x:v>
      </x:c>
      <x:c r="D553" s="7" t="str">
        <x:v>RFP-B1</x:v>
      </x:c>
      <x:c r="E553" s="7" t="str">
        <x:v>AM-06</x:v>
      </x:c>
      <x:c r="F553" s="7" t="str">
        <x:v>TR-B</x:v>
      </x:c>
      <x:c r="G553" s="7" t="str">
        <x:v>QE-01</x:v>
      </x:c>
      <x:c r="H553" s="7" t="str">
        <x:v>P19</x:v>
      </x:c>
      <x:c r="I553" s="7" t="str">
        <x:v>T+30min</x:v>
      </x:c>
      <x:c r="J553" s="10" t="str">
        <x:v>public intervention classification</x:v>
      </x:c>
      <x:c r="K553" s="7" t="str"/>
      <x:c r="L553" s="10" t="str"/>
      <x:c r="M553" s="7" t="str">
        <x:v>OPEN</x:v>
      </x:c>
    </x:row>
    <x:row r="554" ht="36" customHeight="1">
      <x:c r="B554" s="7" t="str">
        <x:v>RAE-E-23-P20</x:v>
      </x:c>
      <x:c r="C554" s="7" t="str">
        <x:v>RAE-E-23</x:v>
      </x:c>
      <x:c r="D554" s="7" t="str">
        <x:v>RFP-B1</x:v>
      </x:c>
      <x:c r="E554" s="7" t="str">
        <x:v>AM-06</x:v>
      </x:c>
      <x:c r="F554" s="7" t="str">
        <x:v>TR-B</x:v>
      </x:c>
      <x:c r="G554" s="7" t="str">
        <x:v>QE-01</x:v>
      </x:c>
      <x:c r="H554" s="7" t="str">
        <x:v>P20</x:v>
      </x:c>
      <x:c r="I554" s="7" t="str">
        <x:v>T+60min</x:v>
      </x:c>
      <x:c r="J554" s="10" t="str">
        <x:v>remote-entry classification</x:v>
      </x:c>
      <x:c r="K554" s="7" t="str"/>
      <x:c r="L554" s="10" t="str"/>
      <x:c r="M554" s="7" t="str">
        <x:v>OPEN</x:v>
      </x:c>
    </x:row>
    <x:row r="555" ht="36" customHeight="1">
      <x:c r="B555" s="7" t="str">
        <x:v>RAE-E-23-P21</x:v>
      </x:c>
      <x:c r="C555" s="7" t="str">
        <x:v>RAE-E-23</x:v>
      </x:c>
      <x:c r="D555" s="7" t="str">
        <x:v>RFP-B1</x:v>
      </x:c>
      <x:c r="E555" s="7" t="str">
        <x:v>AM-06</x:v>
      </x:c>
      <x:c r="F555" s="7" t="str">
        <x:v>TR-B</x:v>
      </x:c>
      <x:c r="G555" s="7" t="str">
        <x:v>QE-01</x:v>
      </x:c>
      <x:c r="H555" s="7" t="str">
        <x:v>P21</x:v>
      </x:c>
      <x:c r="I555" s="7" t="str">
        <x:v>T+6h</x:v>
      </x:c>
      <x:c r="J555" s="10" t="str">
        <x:v>evidence tail closure</x:v>
      </x:c>
      <x:c r="K555" s="7" t="str"/>
      <x:c r="L555" s="10" t="str"/>
      <x:c r="M555" s="7" t="str">
        <x:v>OPEN</x:v>
      </x:c>
    </x:row>
    <x:row r="556" ht="36" customHeight="1">
      <x:c r="B556" s="7" t="str">
        <x:v>RAE-E-23-P22</x:v>
      </x:c>
      <x:c r="C556" s="7" t="str">
        <x:v>RAE-E-23</x:v>
      </x:c>
      <x:c r="D556" s="7" t="str">
        <x:v>RFP-B1</x:v>
      </x:c>
      <x:c r="E556" s="7" t="str">
        <x:v>AM-06</x:v>
      </x:c>
      <x:c r="F556" s="7" t="str">
        <x:v>TR-B</x:v>
      </x:c>
      <x:c r="G556" s="7" t="str">
        <x:v>QE-01</x:v>
      </x:c>
      <x:c r="H556" s="7" t="str">
        <x:v>P22</x:v>
      </x:c>
      <x:c r="I556" s="7" t="str">
        <x:v>T+24h</x:v>
      </x:c>
      <x:c r="J556" s="10" t="str">
        <x:v>physical ledger closure</x:v>
      </x:c>
      <x:c r="K556" s="7" t="str"/>
      <x:c r="L556" s="10" t="str"/>
      <x:c r="M556" s="7" t="str">
        <x:v>OPEN</x:v>
      </x:c>
    </x:row>
    <x:row r="557" ht="36" customHeight="1">
      <x:c r="B557" s="7" t="str">
        <x:v>RAE-E-23-P23</x:v>
      </x:c>
      <x:c r="C557" s="7" t="str">
        <x:v>RAE-E-23</x:v>
      </x:c>
      <x:c r="D557" s="7" t="str">
        <x:v>RFP-B1</x:v>
      </x:c>
      <x:c r="E557" s="7" t="str">
        <x:v>AM-06</x:v>
      </x:c>
      <x:c r="F557" s="7" t="str">
        <x:v>TR-B</x:v>
      </x:c>
      <x:c r="G557" s="7" t="str">
        <x:v>QE-01</x:v>
      </x:c>
      <x:c r="H557" s="7" t="str">
        <x:v>P23</x:v>
      </x:c>
      <x:c r="I557" s="7" t="str">
        <x:v>T+72h</x:v>
      </x:c>
      <x:c r="J557" s="10" t="str">
        <x:v>immutable packet freeze</x:v>
      </x:c>
      <x:c r="K557" s="7" t="str"/>
      <x:c r="L557" s="10" t="str"/>
      <x:c r="M557" s="7" t="str">
        <x:v>OPEN</x:v>
      </x:c>
    </x:row>
    <x:row r="558" ht="36" customHeight="1">
      <x:c r="B558" s="7" t="str">
        <x:v>RAE-E-23-P24</x:v>
      </x:c>
      <x:c r="C558" s="7" t="str">
        <x:v>RAE-E-23</x:v>
      </x:c>
      <x:c r="D558" s="7" t="str">
        <x:v>RFP-B1</x:v>
      </x:c>
      <x:c r="E558" s="7" t="str">
        <x:v>AM-06</x:v>
      </x:c>
      <x:c r="F558" s="7" t="str">
        <x:v>TR-B</x:v>
      </x:c>
      <x:c r="G558" s="7" t="str">
        <x:v>QE-01</x:v>
      </x:c>
      <x:c r="H558" s="7" t="str">
        <x:v>P24</x:v>
      </x:c>
      <x:c r="I558" s="7" t="str">
        <x:v>day 7</x:v>
      </x:c>
      <x:c r="J558" s="10" t="str">
        <x:v>validity and outcome board</x:v>
      </x:c>
      <x:c r="K558" s="7" t="str"/>
      <x:c r="L558" s="10" t="str"/>
      <x:c r="M558" s="7" t="str">
        <x:v>OPEN</x:v>
      </x:c>
    </x:row>
    <x:row r="559" ht="36" customHeight="1">
      <x:c r="B559" s="7" t="str">
        <x:v>RAE-E-24-P01</x:v>
      </x:c>
      <x:c r="C559" s="7" t="str">
        <x:v>RAE-E-24</x:v>
      </x:c>
      <x:c r="D559" s="7" t="str">
        <x:v>RFP-B1</x:v>
      </x:c>
      <x:c r="E559" s="7" t="str">
        <x:v>AM-06</x:v>
      </x:c>
      <x:c r="F559" s="7" t="str">
        <x:v>TR-B</x:v>
      </x:c>
      <x:c r="G559" s="7" t="str">
        <x:v>QE-02</x:v>
      </x:c>
      <x:c r="H559" s="7" t="str">
        <x:v>P01</x:v>
      </x:c>
      <x:c r="I559" s="7" t="str">
        <x:v>T-96h</x:v>
      </x:c>
      <x:c r="J559" s="10" t="str">
        <x:v>baseline freeze</x:v>
      </x:c>
      <x:c r="K559" s="7" t="str"/>
      <x:c r="L559" s="10" t="str"/>
      <x:c r="M559" s="7" t="str">
        <x:v>OPEN</x:v>
      </x:c>
    </x:row>
    <x:row r="560" ht="36" customHeight="1">
      <x:c r="B560" s="7" t="str">
        <x:v>RAE-E-24-P02</x:v>
      </x:c>
      <x:c r="C560" s="7" t="str">
        <x:v>RAE-E-24</x:v>
      </x:c>
      <x:c r="D560" s="7" t="str">
        <x:v>RFP-B1</x:v>
      </x:c>
      <x:c r="E560" s="7" t="str">
        <x:v>AM-06</x:v>
      </x:c>
      <x:c r="F560" s="7" t="str">
        <x:v>TR-B</x:v>
      </x:c>
      <x:c r="G560" s="7" t="str">
        <x:v>QE-02</x:v>
      </x:c>
      <x:c r="H560" s="7" t="str">
        <x:v>P02</x:v>
      </x:c>
      <x:c r="I560" s="7" t="str">
        <x:v>T-72h</x:v>
      </x:c>
      <x:c r="J560" s="10" t="str">
        <x:v>source and water custody freeze</x:v>
      </x:c>
      <x:c r="K560" s="7" t="str"/>
      <x:c r="L560" s="10" t="str"/>
      <x:c r="M560" s="7" t="str">
        <x:v>OPEN</x:v>
      </x:c>
    </x:row>
    <x:row r="561" ht="36" customHeight="1">
      <x:c r="B561" s="7" t="str">
        <x:v>RAE-E-24-P03</x:v>
      </x:c>
      <x:c r="C561" s="7" t="str">
        <x:v>RAE-E-24</x:v>
      </x:c>
      <x:c r="D561" s="7" t="str">
        <x:v>RFP-B1</x:v>
      </x:c>
      <x:c r="E561" s="7" t="str">
        <x:v>AM-06</x:v>
      </x:c>
      <x:c r="F561" s="7" t="str">
        <x:v>TR-B</x:v>
      </x:c>
      <x:c r="G561" s="7" t="str">
        <x:v>QE-02</x:v>
      </x:c>
      <x:c r="H561" s="7" t="str">
        <x:v>P03</x:v>
      </x:c>
      <x:c r="I561" s="7" t="str">
        <x:v>T-48h</x:v>
      </x:c>
      <x:c r="J561" s="10" t="str">
        <x:v>article and configuration identity</x:v>
      </x:c>
      <x:c r="K561" s="7" t="str"/>
      <x:c r="L561" s="10" t="str"/>
      <x:c r="M561" s="7" t="str">
        <x:v>OPEN</x:v>
      </x:c>
    </x:row>
    <x:row r="562" ht="36" customHeight="1">
      <x:c r="B562" s="7" t="str">
        <x:v>RAE-E-24-P04</x:v>
      </x:c>
      <x:c r="C562" s="7" t="str">
        <x:v>RAE-E-24</x:v>
      </x:c>
      <x:c r="D562" s="7" t="str">
        <x:v>RFP-B1</x:v>
      </x:c>
      <x:c r="E562" s="7" t="str">
        <x:v>AM-06</x:v>
      </x:c>
      <x:c r="F562" s="7" t="str">
        <x:v>TR-B</x:v>
      </x:c>
      <x:c r="G562" s="7" t="str">
        <x:v>QE-02</x:v>
      </x:c>
      <x:c r="H562" s="7" t="str">
        <x:v>P04</x:v>
      </x:c>
      <x:c r="I562" s="7" t="str">
        <x:v>T-24h</x:v>
      </x:c>
      <x:c r="J562" s="10" t="str">
        <x:v>environment and recovery readiness</x:v>
      </x:c>
      <x:c r="K562" s="7" t="str"/>
      <x:c r="L562" s="10" t="str"/>
      <x:c r="M562" s="7" t="str">
        <x:v>OPEN</x:v>
      </x:c>
    </x:row>
    <x:row r="563" ht="36" customHeight="1">
      <x:c r="B563" s="7" t="str">
        <x:v>RAE-E-24-P05</x:v>
      </x:c>
      <x:c r="C563" s="7" t="str">
        <x:v>RAE-E-24</x:v>
      </x:c>
      <x:c r="D563" s="7" t="str">
        <x:v>RFP-B1</x:v>
      </x:c>
      <x:c r="E563" s="7" t="str">
        <x:v>AM-06</x:v>
      </x:c>
      <x:c r="F563" s="7" t="str">
        <x:v>TR-B</x:v>
      </x:c>
      <x:c r="G563" s="7" t="str">
        <x:v>QE-02</x:v>
      </x:c>
      <x:c r="H563" s="7" t="str">
        <x:v>P05</x:v>
      </x:c>
      <x:c r="I563" s="7" t="str">
        <x:v>T-12h</x:v>
      </x:c>
      <x:c r="J563" s="10" t="str">
        <x:v>rescue posture</x:v>
      </x:c>
      <x:c r="K563" s="7" t="str"/>
      <x:c r="L563" s="10" t="str"/>
      <x:c r="M563" s="7" t="str">
        <x:v>OPEN</x:v>
      </x:c>
    </x:row>
    <x:row r="564" ht="36" customHeight="1">
      <x:c r="B564" s="7" t="str">
        <x:v>RAE-E-24-P06</x:v>
      </x:c>
      <x:c r="C564" s="7" t="str">
        <x:v>RAE-E-24</x:v>
      </x:c>
      <x:c r="D564" s="7" t="str">
        <x:v>RFP-B1</x:v>
      </x:c>
      <x:c r="E564" s="7" t="str">
        <x:v>AM-06</x:v>
      </x:c>
      <x:c r="F564" s="7" t="str">
        <x:v>TR-B</x:v>
      </x:c>
      <x:c r="G564" s="7" t="str">
        <x:v>QE-02</x:v>
      </x:c>
      <x:c r="H564" s="7" t="str">
        <x:v>P06</x:v>
      </x:c>
      <x:c r="I564" s="7" t="str">
        <x:v>T-6h</x:v>
      </x:c>
      <x:c r="J564" s="10" t="str">
        <x:v>calibration before state</x:v>
      </x:c>
      <x:c r="K564" s="7" t="str"/>
      <x:c r="L564" s="10" t="str"/>
      <x:c r="M564" s="7" t="str">
        <x:v>OPEN</x:v>
      </x:c>
    </x:row>
    <x:row r="565" ht="36" customHeight="1">
      <x:c r="B565" s="7" t="str">
        <x:v>RAE-E-24-P07</x:v>
      </x:c>
      <x:c r="C565" s="7" t="str">
        <x:v>RAE-E-24</x:v>
      </x:c>
      <x:c r="D565" s="7" t="str">
        <x:v>RFP-B1</x:v>
      </x:c>
      <x:c r="E565" s="7" t="str">
        <x:v>AM-06</x:v>
      </x:c>
      <x:c r="F565" s="7" t="str">
        <x:v>TR-B</x:v>
      </x:c>
      <x:c r="G565" s="7" t="str">
        <x:v>QE-02</x:v>
      </x:c>
      <x:c r="H565" s="7" t="str">
        <x:v>P07</x:v>
      </x:c>
      <x:c r="I565" s="7" t="str">
        <x:v>T-2h</x:v>
      </x:c>
      <x:c r="J565" s="10" t="str">
        <x:v>receiver initial-volume proof</x:v>
      </x:c>
      <x:c r="K565" s="7" t="str"/>
      <x:c r="L565" s="10" t="str"/>
      <x:c r="M565" s="7" t="str">
        <x:v>OPEN</x:v>
      </x:c>
    </x:row>
    <x:row r="566" ht="36" customHeight="1">
      <x:c r="B566" s="7" t="str">
        <x:v>RAE-E-24-P08</x:v>
      </x:c>
      <x:c r="C566" s="7" t="str">
        <x:v>RAE-E-24</x:v>
      </x:c>
      <x:c r="D566" s="7" t="str">
        <x:v>RFP-B1</x:v>
      </x:c>
      <x:c r="E566" s="7" t="str">
        <x:v>AM-06</x:v>
      </x:c>
      <x:c r="F566" s="7" t="str">
        <x:v>TR-B</x:v>
      </x:c>
      <x:c r="G566" s="7" t="str">
        <x:v>QE-02</x:v>
      </x:c>
      <x:c r="H566" s="7" t="str">
        <x:v>P08</x:v>
      </x:c>
      <x:c r="I566" s="7" t="str">
        <x:v>T-60min</x:v>
      </x:c>
      <x:c r="J566" s="10" t="str">
        <x:v>neighbor inert-state proof</x:v>
      </x:c>
      <x:c r="K566" s="7" t="str"/>
      <x:c r="L566" s="10" t="str"/>
      <x:c r="M566" s="7" t="str">
        <x:v>OPEN</x:v>
      </x:c>
    </x:row>
    <x:row r="567" ht="36" customHeight="1">
      <x:c r="B567" s="7" t="str">
        <x:v>RAE-E-24-P09</x:v>
      </x:c>
      <x:c r="C567" s="7" t="str">
        <x:v>RAE-E-24</x:v>
      </x:c>
      <x:c r="D567" s="7" t="str">
        <x:v>RFP-B1</x:v>
      </x:c>
      <x:c r="E567" s="7" t="str">
        <x:v>AM-06</x:v>
      </x:c>
      <x:c r="F567" s="7" t="str">
        <x:v>TR-B</x:v>
      </x:c>
      <x:c r="G567" s="7" t="str">
        <x:v>QE-02</x:v>
      </x:c>
      <x:c r="H567" s="7" t="str">
        <x:v>P09</x:v>
      </x:c>
      <x:c r="I567" s="7" t="str">
        <x:v>T-30min</x:v>
      </x:c>
      <x:c r="J567" s="10" t="str">
        <x:v>native evidence armed</x:v>
      </x:c>
      <x:c r="K567" s="7" t="str"/>
      <x:c r="L567" s="10" t="str"/>
      <x:c r="M567" s="7" t="str">
        <x:v>OPEN</x:v>
      </x:c>
    </x:row>
    <x:row r="568" ht="36" customHeight="1">
      <x:c r="B568" s="7" t="str">
        <x:v>RAE-E-24-P10</x:v>
      </x:c>
      <x:c r="C568" s="7" t="str">
        <x:v>RAE-E-24</x:v>
      </x:c>
      <x:c r="D568" s="7" t="str">
        <x:v>RFP-B1</x:v>
      </x:c>
      <x:c r="E568" s="7" t="str">
        <x:v>AM-06</x:v>
      </x:c>
      <x:c r="F568" s="7" t="str">
        <x:v>TR-B</x:v>
      </x:c>
      <x:c r="G568" s="7" t="str">
        <x:v>QE-02</x:v>
      </x:c>
      <x:c r="H568" s="7" t="str">
        <x:v>P10</x:v>
      </x:c>
      <x:c r="I568" s="7" t="str">
        <x:v>T-10min</x:v>
      </x:c>
      <x:c r="J568" s="10" t="str">
        <x:v>final control poll</x:v>
      </x:c>
      <x:c r="K568" s="7" t="str"/>
      <x:c r="L568" s="10" t="str"/>
      <x:c r="M568" s="7" t="str">
        <x:v>OPEN</x:v>
      </x:c>
    </x:row>
    <x:row r="569" ht="36" customHeight="1">
      <x:c r="B569" s="7" t="str">
        <x:v>RAE-E-24-P11</x:v>
      </x:c>
      <x:c r="C569" s="7" t="str">
        <x:v>RAE-E-24</x:v>
      </x:c>
      <x:c r="D569" s="7" t="str">
        <x:v>RFP-B1</x:v>
      </x:c>
      <x:c r="E569" s="7" t="str">
        <x:v>AM-06</x:v>
      </x:c>
      <x:c r="F569" s="7" t="str">
        <x:v>TR-B</x:v>
      </x:c>
      <x:c r="G569" s="7" t="str">
        <x:v>QE-02</x:v>
      </x:c>
      <x:c r="H569" s="7" t="str">
        <x:v>P11</x:v>
      </x:c>
      <x:c r="I569" s="7" t="str">
        <x:v>T-60s</x:v>
      </x:c>
      <x:c r="J569" s="10" t="str">
        <x:v>full-rate capture</x:v>
      </x:c>
      <x:c r="K569" s="7" t="str"/>
      <x:c r="L569" s="10" t="str"/>
      <x:c r="M569" s="7" t="str">
        <x:v>OPEN</x:v>
      </x:c>
    </x:row>
    <x:row r="570" ht="36" customHeight="1">
      <x:c r="B570" s="7" t="str">
        <x:v>RAE-E-24-P12</x:v>
      </x:c>
      <x:c r="C570" s="7" t="str">
        <x:v>RAE-E-24</x:v>
      </x:c>
      <x:c r="D570" s="7" t="str">
        <x:v>RFP-B1</x:v>
      </x:c>
      <x:c r="E570" s="7" t="str">
        <x:v>AM-06</x:v>
      </x:c>
      <x:c r="F570" s="7" t="str">
        <x:v>TR-B</x:v>
      </x:c>
      <x:c r="G570" s="7" t="str">
        <x:v>QE-02</x:v>
      </x:c>
      <x:c r="H570" s="7" t="str">
        <x:v>P12</x:v>
      </x:c>
      <x:c r="I570" s="7" t="str">
        <x:v>T-10s</x:v>
      </x:c>
      <x:c r="J570" s="10" t="str">
        <x:v>registered challenge state</x:v>
      </x:c>
      <x:c r="K570" s="7" t="str"/>
      <x:c r="L570" s="10" t="str"/>
      <x:c r="M570" s="7" t="str">
        <x:v>OPEN</x:v>
      </x:c>
    </x:row>
    <x:row r="571" ht="36" customHeight="1">
      <x:c r="B571" s="7" t="str">
        <x:v>RAE-E-24-P13</x:v>
      </x:c>
      <x:c r="C571" s="7" t="str">
        <x:v>RAE-E-24</x:v>
      </x:c>
      <x:c r="D571" s="7" t="str">
        <x:v>RFP-B1</x:v>
      </x:c>
      <x:c r="E571" s="7" t="str">
        <x:v>AM-06</x:v>
      </x:c>
      <x:c r="F571" s="7" t="str">
        <x:v>TR-B</x:v>
      </x:c>
      <x:c r="G571" s="7" t="str">
        <x:v>QE-02</x:v>
      </x:c>
      <x:c r="H571" s="7" t="str">
        <x:v>P13</x:v>
      </x:c>
      <x:c r="I571" s="7" t="str">
        <x:v>T0</x:v>
      </x:c>
      <x:c r="J571" s="10" t="str">
        <x:v>source command or zero-source marker</x:v>
      </x:c>
      <x:c r="K571" s="7" t="str"/>
      <x:c r="L571" s="10" t="str"/>
      <x:c r="M571" s="7" t="str">
        <x:v>OPEN</x:v>
      </x:c>
    </x:row>
    <x:row r="572" ht="36" customHeight="1">
      <x:c r="B572" s="7" t="str">
        <x:v>RAE-E-24-P14</x:v>
      </x:c>
      <x:c r="C572" s="7" t="str">
        <x:v>RAE-E-24</x:v>
      </x:c>
      <x:c r="D572" s="7" t="str">
        <x:v>RFP-B1</x:v>
      </x:c>
      <x:c r="E572" s="7" t="str">
        <x:v>AM-06</x:v>
      </x:c>
      <x:c r="F572" s="7" t="str">
        <x:v>TR-B</x:v>
      </x:c>
      <x:c r="G572" s="7" t="str">
        <x:v>QE-02</x:v>
      </x:c>
      <x:c r="H572" s="7" t="str">
        <x:v>P14</x:v>
      </x:c>
      <x:c r="I572" s="7" t="str">
        <x:v>T+2s</x:v>
      </x:c>
      <x:c r="J572" s="10" t="str">
        <x:v>inlet and dispenser final state</x:v>
      </x:c>
      <x:c r="K572" s="7" t="str"/>
      <x:c r="L572" s="10" t="str"/>
      <x:c r="M572" s="7" t="str">
        <x:v>OPEN</x:v>
      </x:c>
    </x:row>
    <x:row r="573" ht="36" customHeight="1">
      <x:c r="B573" s="7" t="str">
        <x:v>RAE-E-24-P15</x:v>
      </x:c>
      <x:c r="C573" s="7" t="str">
        <x:v>RAE-E-24</x:v>
      </x:c>
      <x:c r="D573" s="7" t="str">
        <x:v>RFP-B1</x:v>
      </x:c>
      <x:c r="E573" s="7" t="str">
        <x:v>AM-06</x:v>
      </x:c>
      <x:c r="F573" s="7" t="str">
        <x:v>TR-B</x:v>
      </x:c>
      <x:c r="G573" s="7" t="str">
        <x:v>QE-02</x:v>
      </x:c>
      <x:c r="H573" s="7" t="str">
        <x:v>P15</x:v>
      </x:c>
      <x:c r="I573" s="7" t="str">
        <x:v>T+15s</x:v>
      </x:c>
      <x:c r="J573" s="10" t="str">
        <x:v>AM-06 QE-02 ignition opportunity</x:v>
      </x:c>
      <x:c r="K573" s="7" t="str"/>
      <x:c r="L573" s="10" t="str"/>
      <x:c r="M573" s="7" t="str">
        <x:v>OPEN</x:v>
      </x:c>
    </x:row>
    <x:row r="574" ht="36" customHeight="1">
      <x:c r="B574" s="7" t="str">
        <x:v>RAE-E-24-P16</x:v>
      </x:c>
      <x:c r="C574" s="7" t="str">
        <x:v>RAE-E-24</x:v>
      </x:c>
      <x:c r="D574" s="7" t="str">
        <x:v>RFP-B1</x:v>
      </x:c>
      <x:c r="E574" s="7" t="str">
        <x:v>AM-06</x:v>
      </x:c>
      <x:c r="F574" s="7" t="str">
        <x:v>TR-B</x:v>
      </x:c>
      <x:c r="G574" s="7" t="str">
        <x:v>QE-02</x:v>
      </x:c>
      <x:c r="H574" s="7" t="str">
        <x:v>P16</x:v>
      </x:c>
      <x:c r="I574" s="7" t="str">
        <x:v>T+30s</x:v>
      </x:c>
      <x:c r="J574" s="10" t="str">
        <x:v>terminal-source decision</x:v>
      </x:c>
      <x:c r="K574" s="7" t="str"/>
      <x:c r="L574" s="10" t="str"/>
      <x:c r="M574" s="7" t="str">
        <x:v>OPEN</x:v>
      </x:c>
    </x:row>
    <x:row r="575" ht="36" customHeight="1">
      <x:c r="B575" s="7" t="str">
        <x:v>RAE-E-24-P17</x:v>
      </x:c>
      <x:c r="C575" s="7" t="str">
        <x:v>RAE-E-24</x:v>
      </x:c>
      <x:c r="D575" s="7" t="str">
        <x:v>RFP-B1</x:v>
      </x:c>
      <x:c r="E575" s="7" t="str">
        <x:v>AM-06</x:v>
      </x:c>
      <x:c r="F575" s="7" t="str">
        <x:v>TR-B</x:v>
      </x:c>
      <x:c r="G575" s="7" t="str">
        <x:v>QE-02</x:v>
      </x:c>
      <x:c r="H575" s="7" t="str">
        <x:v>P17</x:v>
      </x:c>
      <x:c r="I575" s="7" t="str">
        <x:v>T+120s</x:v>
      </x:c>
      <x:c r="J575" s="10" t="str">
        <x:v>public schedule end</x:v>
      </x:c>
      <x:c r="K575" s="7" t="str"/>
      <x:c r="L575" s="10" t="str"/>
      <x:c r="M575" s="7" t="str">
        <x:v>OPEN</x:v>
      </x:c>
    </x:row>
    <x:row r="576" ht="36" customHeight="1">
      <x:c r="B576" s="7" t="str">
        <x:v>RAE-E-24-P18</x:v>
      </x:c>
      <x:c r="C576" s="7" t="str">
        <x:v>RAE-E-24</x:v>
      </x:c>
      <x:c r="D576" s="7" t="str">
        <x:v>RFP-B1</x:v>
      </x:c>
      <x:c r="E576" s="7" t="str">
        <x:v>AM-06</x:v>
      </x:c>
      <x:c r="F576" s="7" t="str">
        <x:v>TR-B</x:v>
      </x:c>
      <x:c r="G576" s="7" t="str">
        <x:v>QE-02</x:v>
      </x:c>
      <x:c r="H576" s="7" t="str">
        <x:v>P18</x:v>
      </x:c>
      <x:c r="I576" s="7" t="str">
        <x:v>T+15min</x:v>
      </x:c>
      <x:c r="J576" s="10" t="str">
        <x:v>thermal and water classification</x:v>
      </x:c>
      <x:c r="K576" s="7" t="str"/>
      <x:c r="L576" s="10" t="str"/>
      <x:c r="M576" s="7" t="str">
        <x:v>OPEN</x:v>
      </x:c>
    </x:row>
    <x:row r="577" ht="36" customHeight="1">
      <x:c r="B577" s="7" t="str">
        <x:v>RAE-E-24-P19</x:v>
      </x:c>
      <x:c r="C577" s="7" t="str">
        <x:v>RAE-E-24</x:v>
      </x:c>
      <x:c r="D577" s="7" t="str">
        <x:v>RFP-B1</x:v>
      </x:c>
      <x:c r="E577" s="7" t="str">
        <x:v>AM-06</x:v>
      </x:c>
      <x:c r="F577" s="7" t="str">
        <x:v>TR-B</x:v>
      </x:c>
      <x:c r="G577" s="7" t="str">
        <x:v>QE-02</x:v>
      </x:c>
      <x:c r="H577" s="7" t="str">
        <x:v>P19</x:v>
      </x:c>
      <x:c r="I577" s="7" t="str">
        <x:v>T+30min</x:v>
      </x:c>
      <x:c r="J577" s="10" t="str">
        <x:v>public intervention classification</x:v>
      </x:c>
      <x:c r="K577" s="7" t="str"/>
      <x:c r="L577" s="10" t="str"/>
      <x:c r="M577" s="7" t="str">
        <x:v>OPEN</x:v>
      </x:c>
    </x:row>
    <x:row r="578" ht="36" customHeight="1">
      <x:c r="B578" s="7" t="str">
        <x:v>RAE-E-24-P20</x:v>
      </x:c>
      <x:c r="C578" s="7" t="str">
        <x:v>RAE-E-24</x:v>
      </x:c>
      <x:c r="D578" s="7" t="str">
        <x:v>RFP-B1</x:v>
      </x:c>
      <x:c r="E578" s="7" t="str">
        <x:v>AM-06</x:v>
      </x:c>
      <x:c r="F578" s="7" t="str">
        <x:v>TR-B</x:v>
      </x:c>
      <x:c r="G578" s="7" t="str">
        <x:v>QE-02</x:v>
      </x:c>
      <x:c r="H578" s="7" t="str">
        <x:v>P20</x:v>
      </x:c>
      <x:c r="I578" s="7" t="str">
        <x:v>T+60min</x:v>
      </x:c>
      <x:c r="J578" s="10" t="str">
        <x:v>remote-entry classification</x:v>
      </x:c>
      <x:c r="K578" s="7" t="str"/>
      <x:c r="L578" s="10" t="str"/>
      <x:c r="M578" s="7" t="str">
        <x:v>OPEN</x:v>
      </x:c>
    </x:row>
    <x:row r="579" ht="36" customHeight="1">
      <x:c r="B579" s="7" t="str">
        <x:v>RAE-E-24-P21</x:v>
      </x:c>
      <x:c r="C579" s="7" t="str">
        <x:v>RAE-E-24</x:v>
      </x:c>
      <x:c r="D579" s="7" t="str">
        <x:v>RFP-B1</x:v>
      </x:c>
      <x:c r="E579" s="7" t="str">
        <x:v>AM-06</x:v>
      </x:c>
      <x:c r="F579" s="7" t="str">
        <x:v>TR-B</x:v>
      </x:c>
      <x:c r="G579" s="7" t="str">
        <x:v>QE-02</x:v>
      </x:c>
      <x:c r="H579" s="7" t="str">
        <x:v>P21</x:v>
      </x:c>
      <x:c r="I579" s="7" t="str">
        <x:v>T+6h</x:v>
      </x:c>
      <x:c r="J579" s="10" t="str">
        <x:v>evidence tail closure</x:v>
      </x:c>
      <x:c r="K579" s="7" t="str"/>
      <x:c r="L579" s="10" t="str"/>
      <x:c r="M579" s="7" t="str">
        <x:v>OPEN</x:v>
      </x:c>
    </x:row>
    <x:row r="580" ht="36" customHeight="1">
      <x:c r="B580" s="7" t="str">
        <x:v>RAE-E-24-P22</x:v>
      </x:c>
      <x:c r="C580" s="7" t="str">
        <x:v>RAE-E-24</x:v>
      </x:c>
      <x:c r="D580" s="7" t="str">
        <x:v>RFP-B1</x:v>
      </x:c>
      <x:c r="E580" s="7" t="str">
        <x:v>AM-06</x:v>
      </x:c>
      <x:c r="F580" s="7" t="str">
        <x:v>TR-B</x:v>
      </x:c>
      <x:c r="G580" s="7" t="str">
        <x:v>QE-02</x:v>
      </x:c>
      <x:c r="H580" s="7" t="str">
        <x:v>P22</x:v>
      </x:c>
      <x:c r="I580" s="7" t="str">
        <x:v>T+24h</x:v>
      </x:c>
      <x:c r="J580" s="10" t="str">
        <x:v>physical ledger closure</x:v>
      </x:c>
      <x:c r="K580" s="7" t="str"/>
      <x:c r="L580" s="10" t="str"/>
      <x:c r="M580" s="7" t="str">
        <x:v>OPEN</x:v>
      </x:c>
    </x:row>
    <x:row r="581" ht="36" customHeight="1">
      <x:c r="B581" s="7" t="str">
        <x:v>RAE-E-24-P23</x:v>
      </x:c>
      <x:c r="C581" s="7" t="str">
        <x:v>RAE-E-24</x:v>
      </x:c>
      <x:c r="D581" s="7" t="str">
        <x:v>RFP-B1</x:v>
      </x:c>
      <x:c r="E581" s="7" t="str">
        <x:v>AM-06</x:v>
      </x:c>
      <x:c r="F581" s="7" t="str">
        <x:v>TR-B</x:v>
      </x:c>
      <x:c r="G581" s="7" t="str">
        <x:v>QE-02</x:v>
      </x:c>
      <x:c r="H581" s="7" t="str">
        <x:v>P23</x:v>
      </x:c>
      <x:c r="I581" s="7" t="str">
        <x:v>T+72h</x:v>
      </x:c>
      <x:c r="J581" s="10" t="str">
        <x:v>immutable packet freeze</x:v>
      </x:c>
      <x:c r="K581" s="7" t="str"/>
      <x:c r="L581" s="10" t="str"/>
      <x:c r="M581" s="7" t="str">
        <x:v>OPEN</x:v>
      </x:c>
    </x:row>
    <x:row r="582" ht="36" customHeight="1">
      <x:c r="B582" s="7" t="str">
        <x:v>RAE-E-24-P24</x:v>
      </x:c>
      <x:c r="C582" s="7" t="str">
        <x:v>RAE-E-24</x:v>
      </x:c>
      <x:c r="D582" s="7" t="str">
        <x:v>RFP-B1</x:v>
      </x:c>
      <x:c r="E582" s="7" t="str">
        <x:v>AM-06</x:v>
      </x:c>
      <x:c r="F582" s="7" t="str">
        <x:v>TR-B</x:v>
      </x:c>
      <x:c r="G582" s="7" t="str">
        <x:v>QE-02</x:v>
      </x:c>
      <x:c r="H582" s="7" t="str">
        <x:v>P24</x:v>
      </x:c>
      <x:c r="I582" s="7" t="str">
        <x:v>day 7</x:v>
      </x:c>
      <x:c r="J582" s="10" t="str">
        <x:v>validity and outcome board</x:v>
      </x:c>
      <x:c r="K582" s="7" t="str"/>
      <x:c r="L582" s="10" t="str"/>
      <x:c r="M582" s="7" t="str">
        <x:v>OPEN</x:v>
      </x:c>
    </x:row>
    <x:row r="583" ht="36" customHeight="1">
      <x:c r="B583" s="7" t="str">
        <x:v>RAE-E-25-P01</x:v>
      </x:c>
      <x:c r="C583" s="7" t="str">
        <x:v>RAE-E-25</x:v>
      </x:c>
      <x:c r="D583" s="7" t="str">
        <x:v>RFP-B2</x:v>
      </x:c>
      <x:c r="E583" s="7" t="str">
        <x:v>AM-05</x:v>
      </x:c>
      <x:c r="F583" s="7" t="str">
        <x:v>TR-A</x:v>
      </x:c>
      <x:c r="G583" s="7" t="str">
        <x:v>QE-01</x:v>
      </x:c>
      <x:c r="H583" s="7" t="str">
        <x:v>P01</x:v>
      </x:c>
      <x:c r="I583" s="7" t="str">
        <x:v>T-96h</x:v>
      </x:c>
      <x:c r="J583" s="10" t="str">
        <x:v>baseline freeze</x:v>
      </x:c>
      <x:c r="K583" s="7" t="str"/>
      <x:c r="L583" s="10" t="str"/>
      <x:c r="M583" s="7" t="str">
        <x:v>OPEN</x:v>
      </x:c>
    </x:row>
    <x:row r="584" ht="36" customHeight="1">
      <x:c r="B584" s="7" t="str">
        <x:v>RAE-E-25-P02</x:v>
      </x:c>
      <x:c r="C584" s="7" t="str">
        <x:v>RAE-E-25</x:v>
      </x:c>
      <x:c r="D584" s="7" t="str">
        <x:v>RFP-B2</x:v>
      </x:c>
      <x:c r="E584" s="7" t="str">
        <x:v>AM-05</x:v>
      </x:c>
      <x:c r="F584" s="7" t="str">
        <x:v>TR-A</x:v>
      </x:c>
      <x:c r="G584" s="7" t="str">
        <x:v>QE-01</x:v>
      </x:c>
      <x:c r="H584" s="7" t="str">
        <x:v>P02</x:v>
      </x:c>
      <x:c r="I584" s="7" t="str">
        <x:v>T-72h</x:v>
      </x:c>
      <x:c r="J584" s="10" t="str">
        <x:v>source and water custody freeze</x:v>
      </x:c>
      <x:c r="K584" s="7" t="str"/>
      <x:c r="L584" s="10" t="str"/>
      <x:c r="M584" s="7" t="str">
        <x:v>OPEN</x:v>
      </x:c>
    </x:row>
    <x:row r="585" ht="36" customHeight="1">
      <x:c r="B585" s="7" t="str">
        <x:v>RAE-E-25-P03</x:v>
      </x:c>
      <x:c r="C585" s="7" t="str">
        <x:v>RAE-E-25</x:v>
      </x:c>
      <x:c r="D585" s="7" t="str">
        <x:v>RFP-B2</x:v>
      </x:c>
      <x:c r="E585" s="7" t="str">
        <x:v>AM-05</x:v>
      </x:c>
      <x:c r="F585" s="7" t="str">
        <x:v>TR-A</x:v>
      </x:c>
      <x:c r="G585" s="7" t="str">
        <x:v>QE-01</x:v>
      </x:c>
      <x:c r="H585" s="7" t="str">
        <x:v>P03</x:v>
      </x:c>
      <x:c r="I585" s="7" t="str">
        <x:v>T-48h</x:v>
      </x:c>
      <x:c r="J585" s="10" t="str">
        <x:v>article and configuration identity</x:v>
      </x:c>
      <x:c r="K585" s="7" t="str"/>
      <x:c r="L585" s="10" t="str"/>
      <x:c r="M585" s="7" t="str">
        <x:v>OPEN</x:v>
      </x:c>
    </x:row>
    <x:row r="586" ht="36" customHeight="1">
      <x:c r="B586" s="7" t="str">
        <x:v>RAE-E-25-P04</x:v>
      </x:c>
      <x:c r="C586" s="7" t="str">
        <x:v>RAE-E-25</x:v>
      </x:c>
      <x:c r="D586" s="7" t="str">
        <x:v>RFP-B2</x:v>
      </x:c>
      <x:c r="E586" s="7" t="str">
        <x:v>AM-05</x:v>
      </x:c>
      <x:c r="F586" s="7" t="str">
        <x:v>TR-A</x:v>
      </x:c>
      <x:c r="G586" s="7" t="str">
        <x:v>QE-01</x:v>
      </x:c>
      <x:c r="H586" s="7" t="str">
        <x:v>P04</x:v>
      </x:c>
      <x:c r="I586" s="7" t="str">
        <x:v>T-24h</x:v>
      </x:c>
      <x:c r="J586" s="10" t="str">
        <x:v>environment and recovery readiness</x:v>
      </x:c>
      <x:c r="K586" s="7" t="str"/>
      <x:c r="L586" s="10" t="str"/>
      <x:c r="M586" s="7" t="str">
        <x:v>OPEN</x:v>
      </x:c>
    </x:row>
    <x:row r="587" ht="36" customHeight="1">
      <x:c r="B587" s="7" t="str">
        <x:v>RAE-E-25-P05</x:v>
      </x:c>
      <x:c r="C587" s="7" t="str">
        <x:v>RAE-E-25</x:v>
      </x:c>
      <x:c r="D587" s="7" t="str">
        <x:v>RFP-B2</x:v>
      </x:c>
      <x:c r="E587" s="7" t="str">
        <x:v>AM-05</x:v>
      </x:c>
      <x:c r="F587" s="7" t="str">
        <x:v>TR-A</x:v>
      </x:c>
      <x:c r="G587" s="7" t="str">
        <x:v>QE-01</x:v>
      </x:c>
      <x:c r="H587" s="7" t="str">
        <x:v>P05</x:v>
      </x:c>
      <x:c r="I587" s="7" t="str">
        <x:v>T-12h</x:v>
      </x:c>
      <x:c r="J587" s="10" t="str">
        <x:v>rescue posture</x:v>
      </x:c>
      <x:c r="K587" s="7" t="str"/>
      <x:c r="L587" s="10" t="str"/>
      <x:c r="M587" s="7" t="str">
        <x:v>OPEN</x:v>
      </x:c>
    </x:row>
    <x:row r="588" ht="36" customHeight="1">
      <x:c r="B588" s="7" t="str">
        <x:v>RAE-E-25-P06</x:v>
      </x:c>
      <x:c r="C588" s="7" t="str">
        <x:v>RAE-E-25</x:v>
      </x:c>
      <x:c r="D588" s="7" t="str">
        <x:v>RFP-B2</x:v>
      </x:c>
      <x:c r="E588" s="7" t="str">
        <x:v>AM-05</x:v>
      </x:c>
      <x:c r="F588" s="7" t="str">
        <x:v>TR-A</x:v>
      </x:c>
      <x:c r="G588" s="7" t="str">
        <x:v>QE-01</x:v>
      </x:c>
      <x:c r="H588" s="7" t="str">
        <x:v>P06</x:v>
      </x:c>
      <x:c r="I588" s="7" t="str">
        <x:v>T-6h</x:v>
      </x:c>
      <x:c r="J588" s="10" t="str">
        <x:v>calibration before state</x:v>
      </x:c>
      <x:c r="K588" s="7" t="str"/>
      <x:c r="L588" s="10" t="str"/>
      <x:c r="M588" s="7" t="str">
        <x:v>OPEN</x:v>
      </x:c>
    </x:row>
    <x:row r="589" ht="36" customHeight="1">
      <x:c r="B589" s="7" t="str">
        <x:v>RAE-E-25-P07</x:v>
      </x:c>
      <x:c r="C589" s="7" t="str">
        <x:v>RAE-E-25</x:v>
      </x:c>
      <x:c r="D589" s="7" t="str">
        <x:v>RFP-B2</x:v>
      </x:c>
      <x:c r="E589" s="7" t="str">
        <x:v>AM-05</x:v>
      </x:c>
      <x:c r="F589" s="7" t="str">
        <x:v>TR-A</x:v>
      </x:c>
      <x:c r="G589" s="7" t="str">
        <x:v>QE-01</x:v>
      </x:c>
      <x:c r="H589" s="7" t="str">
        <x:v>P07</x:v>
      </x:c>
      <x:c r="I589" s="7" t="str">
        <x:v>T-2h</x:v>
      </x:c>
      <x:c r="J589" s="10" t="str">
        <x:v>receiver initial-volume proof</x:v>
      </x:c>
      <x:c r="K589" s="7" t="str"/>
      <x:c r="L589" s="10" t="str"/>
      <x:c r="M589" s="7" t="str">
        <x:v>OPEN</x:v>
      </x:c>
    </x:row>
    <x:row r="590" ht="36" customHeight="1">
      <x:c r="B590" s="7" t="str">
        <x:v>RAE-E-25-P08</x:v>
      </x:c>
      <x:c r="C590" s="7" t="str">
        <x:v>RAE-E-25</x:v>
      </x:c>
      <x:c r="D590" s="7" t="str">
        <x:v>RFP-B2</x:v>
      </x:c>
      <x:c r="E590" s="7" t="str">
        <x:v>AM-05</x:v>
      </x:c>
      <x:c r="F590" s="7" t="str">
        <x:v>TR-A</x:v>
      </x:c>
      <x:c r="G590" s="7" t="str">
        <x:v>QE-01</x:v>
      </x:c>
      <x:c r="H590" s="7" t="str">
        <x:v>P08</x:v>
      </x:c>
      <x:c r="I590" s="7" t="str">
        <x:v>T-60min</x:v>
      </x:c>
      <x:c r="J590" s="10" t="str">
        <x:v>neighbor inert-state proof</x:v>
      </x:c>
      <x:c r="K590" s="7" t="str"/>
      <x:c r="L590" s="10" t="str"/>
      <x:c r="M590" s="7" t="str">
        <x:v>OPEN</x:v>
      </x:c>
    </x:row>
    <x:row r="591" ht="36" customHeight="1">
      <x:c r="B591" s="7" t="str">
        <x:v>RAE-E-25-P09</x:v>
      </x:c>
      <x:c r="C591" s="7" t="str">
        <x:v>RAE-E-25</x:v>
      </x:c>
      <x:c r="D591" s="7" t="str">
        <x:v>RFP-B2</x:v>
      </x:c>
      <x:c r="E591" s="7" t="str">
        <x:v>AM-05</x:v>
      </x:c>
      <x:c r="F591" s="7" t="str">
        <x:v>TR-A</x:v>
      </x:c>
      <x:c r="G591" s="7" t="str">
        <x:v>QE-01</x:v>
      </x:c>
      <x:c r="H591" s="7" t="str">
        <x:v>P09</x:v>
      </x:c>
      <x:c r="I591" s="7" t="str">
        <x:v>T-30min</x:v>
      </x:c>
      <x:c r="J591" s="10" t="str">
        <x:v>native evidence armed</x:v>
      </x:c>
      <x:c r="K591" s="7" t="str"/>
      <x:c r="L591" s="10" t="str"/>
      <x:c r="M591" s="7" t="str">
        <x:v>OPEN</x:v>
      </x:c>
    </x:row>
    <x:row r="592" ht="36" customHeight="1">
      <x:c r="B592" s="7" t="str">
        <x:v>RAE-E-25-P10</x:v>
      </x:c>
      <x:c r="C592" s="7" t="str">
        <x:v>RAE-E-25</x:v>
      </x:c>
      <x:c r="D592" s="7" t="str">
        <x:v>RFP-B2</x:v>
      </x:c>
      <x:c r="E592" s="7" t="str">
        <x:v>AM-05</x:v>
      </x:c>
      <x:c r="F592" s="7" t="str">
        <x:v>TR-A</x:v>
      </x:c>
      <x:c r="G592" s="7" t="str">
        <x:v>QE-01</x:v>
      </x:c>
      <x:c r="H592" s="7" t="str">
        <x:v>P10</x:v>
      </x:c>
      <x:c r="I592" s="7" t="str">
        <x:v>T-10min</x:v>
      </x:c>
      <x:c r="J592" s="10" t="str">
        <x:v>final control poll</x:v>
      </x:c>
      <x:c r="K592" s="7" t="str"/>
      <x:c r="L592" s="10" t="str"/>
      <x:c r="M592" s="7" t="str">
        <x:v>OPEN</x:v>
      </x:c>
    </x:row>
    <x:row r="593" ht="36" customHeight="1">
      <x:c r="B593" s="7" t="str">
        <x:v>RAE-E-25-P11</x:v>
      </x:c>
      <x:c r="C593" s="7" t="str">
        <x:v>RAE-E-25</x:v>
      </x:c>
      <x:c r="D593" s="7" t="str">
        <x:v>RFP-B2</x:v>
      </x:c>
      <x:c r="E593" s="7" t="str">
        <x:v>AM-05</x:v>
      </x:c>
      <x:c r="F593" s="7" t="str">
        <x:v>TR-A</x:v>
      </x:c>
      <x:c r="G593" s="7" t="str">
        <x:v>QE-01</x:v>
      </x:c>
      <x:c r="H593" s="7" t="str">
        <x:v>P11</x:v>
      </x:c>
      <x:c r="I593" s="7" t="str">
        <x:v>T-60s</x:v>
      </x:c>
      <x:c r="J593" s="10" t="str">
        <x:v>full-rate capture</x:v>
      </x:c>
      <x:c r="K593" s="7" t="str"/>
      <x:c r="L593" s="10" t="str"/>
      <x:c r="M593" s="7" t="str">
        <x:v>OPEN</x:v>
      </x:c>
    </x:row>
    <x:row r="594" ht="36" customHeight="1">
      <x:c r="B594" s="7" t="str">
        <x:v>RAE-E-25-P12</x:v>
      </x:c>
      <x:c r="C594" s="7" t="str">
        <x:v>RAE-E-25</x:v>
      </x:c>
      <x:c r="D594" s="7" t="str">
        <x:v>RFP-B2</x:v>
      </x:c>
      <x:c r="E594" s="7" t="str">
        <x:v>AM-05</x:v>
      </x:c>
      <x:c r="F594" s="7" t="str">
        <x:v>TR-A</x:v>
      </x:c>
      <x:c r="G594" s="7" t="str">
        <x:v>QE-01</x:v>
      </x:c>
      <x:c r="H594" s="7" t="str">
        <x:v>P12</x:v>
      </x:c>
      <x:c r="I594" s="7" t="str">
        <x:v>T-10s</x:v>
      </x:c>
      <x:c r="J594" s="10" t="str">
        <x:v>registered challenge state</x:v>
      </x:c>
      <x:c r="K594" s="7" t="str"/>
      <x:c r="L594" s="10" t="str"/>
      <x:c r="M594" s="7" t="str">
        <x:v>OPEN</x:v>
      </x:c>
    </x:row>
    <x:row r="595" ht="36" customHeight="1">
      <x:c r="B595" s="7" t="str">
        <x:v>RAE-E-25-P13</x:v>
      </x:c>
      <x:c r="C595" s="7" t="str">
        <x:v>RAE-E-25</x:v>
      </x:c>
      <x:c r="D595" s="7" t="str">
        <x:v>RFP-B2</x:v>
      </x:c>
      <x:c r="E595" s="7" t="str">
        <x:v>AM-05</x:v>
      </x:c>
      <x:c r="F595" s="7" t="str">
        <x:v>TR-A</x:v>
      </x:c>
      <x:c r="G595" s="7" t="str">
        <x:v>QE-01</x:v>
      </x:c>
      <x:c r="H595" s="7" t="str">
        <x:v>P13</x:v>
      </x:c>
      <x:c r="I595" s="7" t="str">
        <x:v>T0</x:v>
      </x:c>
      <x:c r="J595" s="10" t="str">
        <x:v>source command or zero-source marker</x:v>
      </x:c>
      <x:c r="K595" s="7" t="str"/>
      <x:c r="L595" s="10" t="str"/>
      <x:c r="M595" s="7" t="str">
        <x:v>OPEN</x:v>
      </x:c>
    </x:row>
    <x:row r="596" ht="36" customHeight="1">
      <x:c r="B596" s="7" t="str">
        <x:v>RAE-E-25-P14</x:v>
      </x:c>
      <x:c r="C596" s="7" t="str">
        <x:v>RAE-E-25</x:v>
      </x:c>
      <x:c r="D596" s="7" t="str">
        <x:v>RFP-B2</x:v>
      </x:c>
      <x:c r="E596" s="7" t="str">
        <x:v>AM-05</x:v>
      </x:c>
      <x:c r="F596" s="7" t="str">
        <x:v>TR-A</x:v>
      </x:c>
      <x:c r="G596" s="7" t="str">
        <x:v>QE-01</x:v>
      </x:c>
      <x:c r="H596" s="7" t="str">
        <x:v>P14</x:v>
      </x:c>
      <x:c r="I596" s="7" t="str">
        <x:v>T+2s</x:v>
      </x:c>
      <x:c r="J596" s="10" t="str">
        <x:v>inlet and dispenser final state</x:v>
      </x:c>
      <x:c r="K596" s="7" t="str"/>
      <x:c r="L596" s="10" t="str"/>
      <x:c r="M596" s="7" t="str">
        <x:v>OPEN</x:v>
      </x:c>
    </x:row>
    <x:row r="597" ht="36" customHeight="1">
      <x:c r="B597" s="7" t="str">
        <x:v>RAE-E-25-P15</x:v>
      </x:c>
      <x:c r="C597" s="7" t="str">
        <x:v>RAE-E-25</x:v>
      </x:c>
      <x:c r="D597" s="7" t="str">
        <x:v>RFP-B2</x:v>
      </x:c>
      <x:c r="E597" s="7" t="str">
        <x:v>AM-05</x:v>
      </x:c>
      <x:c r="F597" s="7" t="str">
        <x:v>TR-A</x:v>
      </x:c>
      <x:c r="G597" s="7" t="str">
        <x:v>QE-01</x:v>
      </x:c>
      <x:c r="H597" s="7" t="str">
        <x:v>P15</x:v>
      </x:c>
      <x:c r="I597" s="7" t="str">
        <x:v>T+15s</x:v>
      </x:c>
      <x:c r="J597" s="10" t="str">
        <x:v>AM-06 QE-02 ignition opportunity</x:v>
      </x:c>
      <x:c r="K597" s="7" t="str"/>
      <x:c r="L597" s="10" t="str"/>
      <x:c r="M597" s="7" t="str">
        <x:v>OPEN</x:v>
      </x:c>
    </x:row>
    <x:row r="598" ht="36" customHeight="1">
      <x:c r="B598" s="7" t="str">
        <x:v>RAE-E-25-P16</x:v>
      </x:c>
      <x:c r="C598" s="7" t="str">
        <x:v>RAE-E-25</x:v>
      </x:c>
      <x:c r="D598" s="7" t="str">
        <x:v>RFP-B2</x:v>
      </x:c>
      <x:c r="E598" s="7" t="str">
        <x:v>AM-05</x:v>
      </x:c>
      <x:c r="F598" s="7" t="str">
        <x:v>TR-A</x:v>
      </x:c>
      <x:c r="G598" s="7" t="str">
        <x:v>QE-01</x:v>
      </x:c>
      <x:c r="H598" s="7" t="str">
        <x:v>P16</x:v>
      </x:c>
      <x:c r="I598" s="7" t="str">
        <x:v>T+30s</x:v>
      </x:c>
      <x:c r="J598" s="10" t="str">
        <x:v>terminal-source decision</x:v>
      </x:c>
      <x:c r="K598" s="7" t="str"/>
      <x:c r="L598" s="10" t="str"/>
      <x:c r="M598" s="7" t="str">
        <x:v>OPEN</x:v>
      </x:c>
    </x:row>
    <x:row r="599" ht="36" customHeight="1">
      <x:c r="B599" s="7" t="str">
        <x:v>RAE-E-25-P17</x:v>
      </x:c>
      <x:c r="C599" s="7" t="str">
        <x:v>RAE-E-25</x:v>
      </x:c>
      <x:c r="D599" s="7" t="str">
        <x:v>RFP-B2</x:v>
      </x:c>
      <x:c r="E599" s="7" t="str">
        <x:v>AM-05</x:v>
      </x:c>
      <x:c r="F599" s="7" t="str">
        <x:v>TR-A</x:v>
      </x:c>
      <x:c r="G599" s="7" t="str">
        <x:v>QE-01</x:v>
      </x:c>
      <x:c r="H599" s="7" t="str">
        <x:v>P17</x:v>
      </x:c>
      <x:c r="I599" s="7" t="str">
        <x:v>T+120s</x:v>
      </x:c>
      <x:c r="J599" s="10" t="str">
        <x:v>public schedule end</x:v>
      </x:c>
      <x:c r="K599" s="7" t="str"/>
      <x:c r="L599" s="10" t="str"/>
      <x:c r="M599" s="7" t="str">
        <x:v>OPEN</x:v>
      </x:c>
    </x:row>
    <x:row r="600" ht="36" customHeight="1">
      <x:c r="B600" s="7" t="str">
        <x:v>RAE-E-25-P18</x:v>
      </x:c>
      <x:c r="C600" s="7" t="str">
        <x:v>RAE-E-25</x:v>
      </x:c>
      <x:c r="D600" s="7" t="str">
        <x:v>RFP-B2</x:v>
      </x:c>
      <x:c r="E600" s="7" t="str">
        <x:v>AM-05</x:v>
      </x:c>
      <x:c r="F600" s="7" t="str">
        <x:v>TR-A</x:v>
      </x:c>
      <x:c r="G600" s="7" t="str">
        <x:v>QE-01</x:v>
      </x:c>
      <x:c r="H600" s="7" t="str">
        <x:v>P18</x:v>
      </x:c>
      <x:c r="I600" s="7" t="str">
        <x:v>T+15min</x:v>
      </x:c>
      <x:c r="J600" s="10" t="str">
        <x:v>thermal and water classification</x:v>
      </x:c>
      <x:c r="K600" s="7" t="str"/>
      <x:c r="L600" s="10" t="str"/>
      <x:c r="M600" s="7" t="str">
        <x:v>OPEN</x:v>
      </x:c>
    </x:row>
    <x:row r="601" ht="36" customHeight="1">
      <x:c r="B601" s="7" t="str">
        <x:v>RAE-E-25-P19</x:v>
      </x:c>
      <x:c r="C601" s="7" t="str">
        <x:v>RAE-E-25</x:v>
      </x:c>
      <x:c r="D601" s="7" t="str">
        <x:v>RFP-B2</x:v>
      </x:c>
      <x:c r="E601" s="7" t="str">
        <x:v>AM-05</x:v>
      </x:c>
      <x:c r="F601" s="7" t="str">
        <x:v>TR-A</x:v>
      </x:c>
      <x:c r="G601" s="7" t="str">
        <x:v>QE-01</x:v>
      </x:c>
      <x:c r="H601" s="7" t="str">
        <x:v>P19</x:v>
      </x:c>
      <x:c r="I601" s="7" t="str">
        <x:v>T+30min</x:v>
      </x:c>
      <x:c r="J601" s="10" t="str">
        <x:v>public intervention classification</x:v>
      </x:c>
      <x:c r="K601" s="7" t="str"/>
      <x:c r="L601" s="10" t="str"/>
      <x:c r="M601" s="7" t="str">
        <x:v>OPEN</x:v>
      </x:c>
    </x:row>
    <x:row r="602" ht="36" customHeight="1">
      <x:c r="B602" s="7" t="str">
        <x:v>RAE-E-25-P20</x:v>
      </x:c>
      <x:c r="C602" s="7" t="str">
        <x:v>RAE-E-25</x:v>
      </x:c>
      <x:c r="D602" s="7" t="str">
        <x:v>RFP-B2</x:v>
      </x:c>
      <x:c r="E602" s="7" t="str">
        <x:v>AM-05</x:v>
      </x:c>
      <x:c r="F602" s="7" t="str">
        <x:v>TR-A</x:v>
      </x:c>
      <x:c r="G602" s="7" t="str">
        <x:v>QE-01</x:v>
      </x:c>
      <x:c r="H602" s="7" t="str">
        <x:v>P20</x:v>
      </x:c>
      <x:c r="I602" s="7" t="str">
        <x:v>T+60min</x:v>
      </x:c>
      <x:c r="J602" s="10" t="str">
        <x:v>remote-entry classification</x:v>
      </x:c>
      <x:c r="K602" s="7" t="str"/>
      <x:c r="L602" s="10" t="str"/>
      <x:c r="M602" s="7" t="str">
        <x:v>OPEN</x:v>
      </x:c>
    </x:row>
    <x:row r="603" ht="36" customHeight="1">
      <x:c r="B603" s="7" t="str">
        <x:v>RAE-E-25-P21</x:v>
      </x:c>
      <x:c r="C603" s="7" t="str">
        <x:v>RAE-E-25</x:v>
      </x:c>
      <x:c r="D603" s="7" t="str">
        <x:v>RFP-B2</x:v>
      </x:c>
      <x:c r="E603" s="7" t="str">
        <x:v>AM-05</x:v>
      </x:c>
      <x:c r="F603" s="7" t="str">
        <x:v>TR-A</x:v>
      </x:c>
      <x:c r="G603" s="7" t="str">
        <x:v>QE-01</x:v>
      </x:c>
      <x:c r="H603" s="7" t="str">
        <x:v>P21</x:v>
      </x:c>
      <x:c r="I603" s="7" t="str">
        <x:v>T+6h</x:v>
      </x:c>
      <x:c r="J603" s="10" t="str">
        <x:v>evidence tail closure</x:v>
      </x:c>
      <x:c r="K603" s="7" t="str"/>
      <x:c r="L603" s="10" t="str"/>
      <x:c r="M603" s="7" t="str">
        <x:v>OPEN</x:v>
      </x:c>
    </x:row>
    <x:row r="604" ht="36" customHeight="1">
      <x:c r="B604" s="7" t="str">
        <x:v>RAE-E-25-P22</x:v>
      </x:c>
      <x:c r="C604" s="7" t="str">
        <x:v>RAE-E-25</x:v>
      </x:c>
      <x:c r="D604" s="7" t="str">
        <x:v>RFP-B2</x:v>
      </x:c>
      <x:c r="E604" s="7" t="str">
        <x:v>AM-05</x:v>
      </x:c>
      <x:c r="F604" s="7" t="str">
        <x:v>TR-A</x:v>
      </x:c>
      <x:c r="G604" s="7" t="str">
        <x:v>QE-01</x:v>
      </x:c>
      <x:c r="H604" s="7" t="str">
        <x:v>P22</x:v>
      </x:c>
      <x:c r="I604" s="7" t="str">
        <x:v>T+24h</x:v>
      </x:c>
      <x:c r="J604" s="10" t="str">
        <x:v>physical ledger closure</x:v>
      </x:c>
      <x:c r="K604" s="7" t="str"/>
      <x:c r="L604" s="10" t="str"/>
      <x:c r="M604" s="7" t="str">
        <x:v>OPEN</x:v>
      </x:c>
    </x:row>
    <x:row r="605" ht="36" customHeight="1">
      <x:c r="B605" s="7" t="str">
        <x:v>RAE-E-25-P23</x:v>
      </x:c>
      <x:c r="C605" s="7" t="str">
        <x:v>RAE-E-25</x:v>
      </x:c>
      <x:c r="D605" s="7" t="str">
        <x:v>RFP-B2</x:v>
      </x:c>
      <x:c r="E605" s="7" t="str">
        <x:v>AM-05</x:v>
      </x:c>
      <x:c r="F605" s="7" t="str">
        <x:v>TR-A</x:v>
      </x:c>
      <x:c r="G605" s="7" t="str">
        <x:v>QE-01</x:v>
      </x:c>
      <x:c r="H605" s="7" t="str">
        <x:v>P23</x:v>
      </x:c>
      <x:c r="I605" s="7" t="str">
        <x:v>T+72h</x:v>
      </x:c>
      <x:c r="J605" s="10" t="str">
        <x:v>immutable packet freeze</x:v>
      </x:c>
      <x:c r="K605" s="7" t="str"/>
      <x:c r="L605" s="10" t="str"/>
      <x:c r="M605" s="7" t="str">
        <x:v>OPEN</x:v>
      </x:c>
    </x:row>
    <x:row r="606" ht="36" customHeight="1">
      <x:c r="B606" s="7" t="str">
        <x:v>RAE-E-25-P24</x:v>
      </x:c>
      <x:c r="C606" s="7" t="str">
        <x:v>RAE-E-25</x:v>
      </x:c>
      <x:c r="D606" s="7" t="str">
        <x:v>RFP-B2</x:v>
      </x:c>
      <x:c r="E606" s="7" t="str">
        <x:v>AM-05</x:v>
      </x:c>
      <x:c r="F606" s="7" t="str">
        <x:v>TR-A</x:v>
      </x:c>
      <x:c r="G606" s="7" t="str">
        <x:v>QE-01</x:v>
      </x:c>
      <x:c r="H606" s="7" t="str">
        <x:v>P24</x:v>
      </x:c>
      <x:c r="I606" s="7" t="str">
        <x:v>day 7</x:v>
      </x:c>
      <x:c r="J606" s="10" t="str">
        <x:v>validity and outcome board</x:v>
      </x:c>
      <x:c r="K606" s="7" t="str"/>
      <x:c r="L606" s="10" t="str"/>
      <x:c r="M606" s="7" t="str">
        <x:v>OPEN</x:v>
      </x:c>
    </x:row>
    <x:row r="607" ht="36" customHeight="1">
      <x:c r="B607" s="7" t="str">
        <x:v>RAE-E-26-P01</x:v>
      </x:c>
      <x:c r="C607" s="7" t="str">
        <x:v>RAE-E-26</x:v>
      </x:c>
      <x:c r="D607" s="7" t="str">
        <x:v>RFP-B2</x:v>
      </x:c>
      <x:c r="E607" s="7" t="str">
        <x:v>AM-05</x:v>
      </x:c>
      <x:c r="F607" s="7" t="str">
        <x:v>TR-A</x:v>
      </x:c>
      <x:c r="G607" s="7" t="str">
        <x:v>QE-02</x:v>
      </x:c>
      <x:c r="H607" s="7" t="str">
        <x:v>P01</x:v>
      </x:c>
      <x:c r="I607" s="7" t="str">
        <x:v>T-96h</x:v>
      </x:c>
      <x:c r="J607" s="10" t="str">
        <x:v>baseline freeze</x:v>
      </x:c>
      <x:c r="K607" s="7" t="str"/>
      <x:c r="L607" s="10" t="str"/>
      <x:c r="M607" s="7" t="str">
        <x:v>OPEN</x:v>
      </x:c>
    </x:row>
    <x:row r="608" ht="36" customHeight="1">
      <x:c r="B608" s="7" t="str">
        <x:v>RAE-E-26-P02</x:v>
      </x:c>
      <x:c r="C608" s="7" t="str">
        <x:v>RAE-E-26</x:v>
      </x:c>
      <x:c r="D608" s="7" t="str">
        <x:v>RFP-B2</x:v>
      </x:c>
      <x:c r="E608" s="7" t="str">
        <x:v>AM-05</x:v>
      </x:c>
      <x:c r="F608" s="7" t="str">
        <x:v>TR-A</x:v>
      </x:c>
      <x:c r="G608" s="7" t="str">
        <x:v>QE-02</x:v>
      </x:c>
      <x:c r="H608" s="7" t="str">
        <x:v>P02</x:v>
      </x:c>
      <x:c r="I608" s="7" t="str">
        <x:v>T-72h</x:v>
      </x:c>
      <x:c r="J608" s="10" t="str">
        <x:v>source and water custody freeze</x:v>
      </x:c>
      <x:c r="K608" s="7" t="str"/>
      <x:c r="L608" s="10" t="str"/>
      <x:c r="M608" s="7" t="str">
        <x:v>OPEN</x:v>
      </x:c>
    </x:row>
    <x:row r="609" ht="36" customHeight="1">
      <x:c r="B609" s="7" t="str">
        <x:v>RAE-E-26-P03</x:v>
      </x:c>
      <x:c r="C609" s="7" t="str">
        <x:v>RAE-E-26</x:v>
      </x:c>
      <x:c r="D609" s="7" t="str">
        <x:v>RFP-B2</x:v>
      </x:c>
      <x:c r="E609" s="7" t="str">
        <x:v>AM-05</x:v>
      </x:c>
      <x:c r="F609" s="7" t="str">
        <x:v>TR-A</x:v>
      </x:c>
      <x:c r="G609" s="7" t="str">
        <x:v>QE-02</x:v>
      </x:c>
      <x:c r="H609" s="7" t="str">
        <x:v>P03</x:v>
      </x:c>
      <x:c r="I609" s="7" t="str">
        <x:v>T-48h</x:v>
      </x:c>
      <x:c r="J609" s="10" t="str">
        <x:v>article and configuration identity</x:v>
      </x:c>
      <x:c r="K609" s="7" t="str"/>
      <x:c r="L609" s="10" t="str"/>
      <x:c r="M609" s="7" t="str">
        <x:v>OPEN</x:v>
      </x:c>
    </x:row>
    <x:row r="610" ht="36" customHeight="1">
      <x:c r="B610" s="7" t="str">
        <x:v>RAE-E-26-P04</x:v>
      </x:c>
      <x:c r="C610" s="7" t="str">
        <x:v>RAE-E-26</x:v>
      </x:c>
      <x:c r="D610" s="7" t="str">
        <x:v>RFP-B2</x:v>
      </x:c>
      <x:c r="E610" s="7" t="str">
        <x:v>AM-05</x:v>
      </x:c>
      <x:c r="F610" s="7" t="str">
        <x:v>TR-A</x:v>
      </x:c>
      <x:c r="G610" s="7" t="str">
        <x:v>QE-02</x:v>
      </x:c>
      <x:c r="H610" s="7" t="str">
        <x:v>P04</x:v>
      </x:c>
      <x:c r="I610" s="7" t="str">
        <x:v>T-24h</x:v>
      </x:c>
      <x:c r="J610" s="10" t="str">
        <x:v>environment and recovery readiness</x:v>
      </x:c>
      <x:c r="K610" s="7" t="str"/>
      <x:c r="L610" s="10" t="str"/>
      <x:c r="M610" s="7" t="str">
        <x:v>OPEN</x:v>
      </x:c>
    </x:row>
    <x:row r="611" ht="36" customHeight="1">
      <x:c r="B611" s="7" t="str">
        <x:v>RAE-E-26-P05</x:v>
      </x:c>
      <x:c r="C611" s="7" t="str">
        <x:v>RAE-E-26</x:v>
      </x:c>
      <x:c r="D611" s="7" t="str">
        <x:v>RFP-B2</x:v>
      </x:c>
      <x:c r="E611" s="7" t="str">
        <x:v>AM-05</x:v>
      </x:c>
      <x:c r="F611" s="7" t="str">
        <x:v>TR-A</x:v>
      </x:c>
      <x:c r="G611" s="7" t="str">
        <x:v>QE-02</x:v>
      </x:c>
      <x:c r="H611" s="7" t="str">
        <x:v>P05</x:v>
      </x:c>
      <x:c r="I611" s="7" t="str">
        <x:v>T-12h</x:v>
      </x:c>
      <x:c r="J611" s="10" t="str">
        <x:v>rescue posture</x:v>
      </x:c>
      <x:c r="K611" s="7" t="str"/>
      <x:c r="L611" s="10" t="str"/>
      <x:c r="M611" s="7" t="str">
        <x:v>OPEN</x:v>
      </x:c>
    </x:row>
    <x:row r="612" ht="36" customHeight="1">
      <x:c r="B612" s="7" t="str">
        <x:v>RAE-E-26-P06</x:v>
      </x:c>
      <x:c r="C612" s="7" t="str">
        <x:v>RAE-E-26</x:v>
      </x:c>
      <x:c r="D612" s="7" t="str">
        <x:v>RFP-B2</x:v>
      </x:c>
      <x:c r="E612" s="7" t="str">
        <x:v>AM-05</x:v>
      </x:c>
      <x:c r="F612" s="7" t="str">
        <x:v>TR-A</x:v>
      </x:c>
      <x:c r="G612" s="7" t="str">
        <x:v>QE-02</x:v>
      </x:c>
      <x:c r="H612" s="7" t="str">
        <x:v>P06</x:v>
      </x:c>
      <x:c r="I612" s="7" t="str">
        <x:v>T-6h</x:v>
      </x:c>
      <x:c r="J612" s="10" t="str">
        <x:v>calibration before state</x:v>
      </x:c>
      <x:c r="K612" s="7" t="str"/>
      <x:c r="L612" s="10" t="str"/>
      <x:c r="M612" s="7" t="str">
        <x:v>OPEN</x:v>
      </x:c>
    </x:row>
    <x:row r="613" ht="36" customHeight="1">
      <x:c r="B613" s="7" t="str">
        <x:v>RAE-E-26-P07</x:v>
      </x:c>
      <x:c r="C613" s="7" t="str">
        <x:v>RAE-E-26</x:v>
      </x:c>
      <x:c r="D613" s="7" t="str">
        <x:v>RFP-B2</x:v>
      </x:c>
      <x:c r="E613" s="7" t="str">
        <x:v>AM-05</x:v>
      </x:c>
      <x:c r="F613" s="7" t="str">
        <x:v>TR-A</x:v>
      </x:c>
      <x:c r="G613" s="7" t="str">
        <x:v>QE-02</x:v>
      </x:c>
      <x:c r="H613" s="7" t="str">
        <x:v>P07</x:v>
      </x:c>
      <x:c r="I613" s="7" t="str">
        <x:v>T-2h</x:v>
      </x:c>
      <x:c r="J613" s="10" t="str">
        <x:v>receiver initial-volume proof</x:v>
      </x:c>
      <x:c r="K613" s="7" t="str"/>
      <x:c r="L613" s="10" t="str"/>
      <x:c r="M613" s="7" t="str">
        <x:v>OPEN</x:v>
      </x:c>
    </x:row>
    <x:row r="614" ht="36" customHeight="1">
      <x:c r="B614" s="7" t="str">
        <x:v>RAE-E-26-P08</x:v>
      </x:c>
      <x:c r="C614" s="7" t="str">
        <x:v>RAE-E-26</x:v>
      </x:c>
      <x:c r="D614" s="7" t="str">
        <x:v>RFP-B2</x:v>
      </x:c>
      <x:c r="E614" s="7" t="str">
        <x:v>AM-05</x:v>
      </x:c>
      <x:c r="F614" s="7" t="str">
        <x:v>TR-A</x:v>
      </x:c>
      <x:c r="G614" s="7" t="str">
        <x:v>QE-02</x:v>
      </x:c>
      <x:c r="H614" s="7" t="str">
        <x:v>P08</x:v>
      </x:c>
      <x:c r="I614" s="7" t="str">
        <x:v>T-60min</x:v>
      </x:c>
      <x:c r="J614" s="10" t="str">
        <x:v>neighbor inert-state proof</x:v>
      </x:c>
      <x:c r="K614" s="7" t="str"/>
      <x:c r="L614" s="10" t="str"/>
      <x:c r="M614" s="7" t="str">
        <x:v>OPEN</x:v>
      </x:c>
    </x:row>
    <x:row r="615" ht="36" customHeight="1">
      <x:c r="B615" s="7" t="str">
        <x:v>RAE-E-26-P09</x:v>
      </x:c>
      <x:c r="C615" s="7" t="str">
        <x:v>RAE-E-26</x:v>
      </x:c>
      <x:c r="D615" s="7" t="str">
        <x:v>RFP-B2</x:v>
      </x:c>
      <x:c r="E615" s="7" t="str">
        <x:v>AM-05</x:v>
      </x:c>
      <x:c r="F615" s="7" t="str">
        <x:v>TR-A</x:v>
      </x:c>
      <x:c r="G615" s="7" t="str">
        <x:v>QE-02</x:v>
      </x:c>
      <x:c r="H615" s="7" t="str">
        <x:v>P09</x:v>
      </x:c>
      <x:c r="I615" s="7" t="str">
        <x:v>T-30min</x:v>
      </x:c>
      <x:c r="J615" s="10" t="str">
        <x:v>native evidence armed</x:v>
      </x:c>
      <x:c r="K615" s="7" t="str"/>
      <x:c r="L615" s="10" t="str"/>
      <x:c r="M615" s="7" t="str">
        <x:v>OPEN</x:v>
      </x:c>
    </x:row>
    <x:row r="616" ht="36" customHeight="1">
      <x:c r="B616" s="7" t="str">
        <x:v>RAE-E-26-P10</x:v>
      </x:c>
      <x:c r="C616" s="7" t="str">
        <x:v>RAE-E-26</x:v>
      </x:c>
      <x:c r="D616" s="7" t="str">
        <x:v>RFP-B2</x:v>
      </x:c>
      <x:c r="E616" s="7" t="str">
        <x:v>AM-05</x:v>
      </x:c>
      <x:c r="F616" s="7" t="str">
        <x:v>TR-A</x:v>
      </x:c>
      <x:c r="G616" s="7" t="str">
        <x:v>QE-02</x:v>
      </x:c>
      <x:c r="H616" s="7" t="str">
        <x:v>P10</x:v>
      </x:c>
      <x:c r="I616" s="7" t="str">
        <x:v>T-10min</x:v>
      </x:c>
      <x:c r="J616" s="10" t="str">
        <x:v>final control poll</x:v>
      </x:c>
      <x:c r="K616" s="7" t="str"/>
      <x:c r="L616" s="10" t="str"/>
      <x:c r="M616" s="7" t="str">
        <x:v>OPEN</x:v>
      </x:c>
    </x:row>
    <x:row r="617" ht="36" customHeight="1">
      <x:c r="B617" s="7" t="str">
        <x:v>RAE-E-26-P11</x:v>
      </x:c>
      <x:c r="C617" s="7" t="str">
        <x:v>RAE-E-26</x:v>
      </x:c>
      <x:c r="D617" s="7" t="str">
        <x:v>RFP-B2</x:v>
      </x:c>
      <x:c r="E617" s="7" t="str">
        <x:v>AM-05</x:v>
      </x:c>
      <x:c r="F617" s="7" t="str">
        <x:v>TR-A</x:v>
      </x:c>
      <x:c r="G617" s="7" t="str">
        <x:v>QE-02</x:v>
      </x:c>
      <x:c r="H617" s="7" t="str">
        <x:v>P11</x:v>
      </x:c>
      <x:c r="I617" s="7" t="str">
        <x:v>T-60s</x:v>
      </x:c>
      <x:c r="J617" s="10" t="str">
        <x:v>full-rate capture</x:v>
      </x:c>
      <x:c r="K617" s="7" t="str"/>
      <x:c r="L617" s="10" t="str"/>
      <x:c r="M617" s="7" t="str">
        <x:v>OPEN</x:v>
      </x:c>
    </x:row>
    <x:row r="618" ht="36" customHeight="1">
      <x:c r="B618" s="7" t="str">
        <x:v>RAE-E-26-P12</x:v>
      </x:c>
      <x:c r="C618" s="7" t="str">
        <x:v>RAE-E-26</x:v>
      </x:c>
      <x:c r="D618" s="7" t="str">
        <x:v>RFP-B2</x:v>
      </x:c>
      <x:c r="E618" s="7" t="str">
        <x:v>AM-05</x:v>
      </x:c>
      <x:c r="F618" s="7" t="str">
        <x:v>TR-A</x:v>
      </x:c>
      <x:c r="G618" s="7" t="str">
        <x:v>QE-02</x:v>
      </x:c>
      <x:c r="H618" s="7" t="str">
        <x:v>P12</x:v>
      </x:c>
      <x:c r="I618" s="7" t="str">
        <x:v>T-10s</x:v>
      </x:c>
      <x:c r="J618" s="10" t="str">
        <x:v>registered challenge state</x:v>
      </x:c>
      <x:c r="K618" s="7" t="str"/>
      <x:c r="L618" s="10" t="str"/>
      <x:c r="M618" s="7" t="str">
        <x:v>OPEN</x:v>
      </x:c>
    </x:row>
    <x:row r="619" ht="36" customHeight="1">
      <x:c r="B619" s="7" t="str">
        <x:v>RAE-E-26-P13</x:v>
      </x:c>
      <x:c r="C619" s="7" t="str">
        <x:v>RAE-E-26</x:v>
      </x:c>
      <x:c r="D619" s="7" t="str">
        <x:v>RFP-B2</x:v>
      </x:c>
      <x:c r="E619" s="7" t="str">
        <x:v>AM-05</x:v>
      </x:c>
      <x:c r="F619" s="7" t="str">
        <x:v>TR-A</x:v>
      </x:c>
      <x:c r="G619" s="7" t="str">
        <x:v>QE-02</x:v>
      </x:c>
      <x:c r="H619" s="7" t="str">
        <x:v>P13</x:v>
      </x:c>
      <x:c r="I619" s="7" t="str">
        <x:v>T0</x:v>
      </x:c>
      <x:c r="J619" s="10" t="str">
        <x:v>source command or zero-source marker</x:v>
      </x:c>
      <x:c r="K619" s="7" t="str"/>
      <x:c r="L619" s="10" t="str"/>
      <x:c r="M619" s="7" t="str">
        <x:v>OPEN</x:v>
      </x:c>
    </x:row>
    <x:row r="620" ht="36" customHeight="1">
      <x:c r="B620" s="7" t="str">
        <x:v>RAE-E-26-P14</x:v>
      </x:c>
      <x:c r="C620" s="7" t="str">
        <x:v>RAE-E-26</x:v>
      </x:c>
      <x:c r="D620" s="7" t="str">
        <x:v>RFP-B2</x:v>
      </x:c>
      <x:c r="E620" s="7" t="str">
        <x:v>AM-05</x:v>
      </x:c>
      <x:c r="F620" s="7" t="str">
        <x:v>TR-A</x:v>
      </x:c>
      <x:c r="G620" s="7" t="str">
        <x:v>QE-02</x:v>
      </x:c>
      <x:c r="H620" s="7" t="str">
        <x:v>P14</x:v>
      </x:c>
      <x:c r="I620" s="7" t="str">
        <x:v>T+2s</x:v>
      </x:c>
      <x:c r="J620" s="10" t="str">
        <x:v>inlet and dispenser final state</x:v>
      </x:c>
      <x:c r="K620" s="7" t="str"/>
      <x:c r="L620" s="10" t="str"/>
      <x:c r="M620" s="7" t="str">
        <x:v>OPEN</x:v>
      </x:c>
    </x:row>
    <x:row r="621" ht="36" customHeight="1">
      <x:c r="B621" s="7" t="str">
        <x:v>RAE-E-26-P15</x:v>
      </x:c>
      <x:c r="C621" s="7" t="str">
        <x:v>RAE-E-26</x:v>
      </x:c>
      <x:c r="D621" s="7" t="str">
        <x:v>RFP-B2</x:v>
      </x:c>
      <x:c r="E621" s="7" t="str">
        <x:v>AM-05</x:v>
      </x:c>
      <x:c r="F621" s="7" t="str">
        <x:v>TR-A</x:v>
      </x:c>
      <x:c r="G621" s="7" t="str">
        <x:v>QE-02</x:v>
      </x:c>
      <x:c r="H621" s="7" t="str">
        <x:v>P15</x:v>
      </x:c>
      <x:c r="I621" s="7" t="str">
        <x:v>T+15s</x:v>
      </x:c>
      <x:c r="J621" s="10" t="str">
        <x:v>AM-06 QE-02 ignition opportunity</x:v>
      </x:c>
      <x:c r="K621" s="7" t="str"/>
      <x:c r="L621" s="10" t="str"/>
      <x:c r="M621" s="7" t="str">
        <x:v>OPEN</x:v>
      </x:c>
    </x:row>
    <x:row r="622" ht="36" customHeight="1">
      <x:c r="B622" s="7" t="str">
        <x:v>RAE-E-26-P16</x:v>
      </x:c>
      <x:c r="C622" s="7" t="str">
        <x:v>RAE-E-26</x:v>
      </x:c>
      <x:c r="D622" s="7" t="str">
        <x:v>RFP-B2</x:v>
      </x:c>
      <x:c r="E622" s="7" t="str">
        <x:v>AM-05</x:v>
      </x:c>
      <x:c r="F622" s="7" t="str">
        <x:v>TR-A</x:v>
      </x:c>
      <x:c r="G622" s="7" t="str">
        <x:v>QE-02</x:v>
      </x:c>
      <x:c r="H622" s="7" t="str">
        <x:v>P16</x:v>
      </x:c>
      <x:c r="I622" s="7" t="str">
        <x:v>T+30s</x:v>
      </x:c>
      <x:c r="J622" s="10" t="str">
        <x:v>terminal-source decision</x:v>
      </x:c>
      <x:c r="K622" s="7" t="str"/>
      <x:c r="L622" s="10" t="str"/>
      <x:c r="M622" s="7" t="str">
        <x:v>OPEN</x:v>
      </x:c>
    </x:row>
    <x:row r="623" ht="36" customHeight="1">
      <x:c r="B623" s="7" t="str">
        <x:v>RAE-E-26-P17</x:v>
      </x:c>
      <x:c r="C623" s="7" t="str">
        <x:v>RAE-E-26</x:v>
      </x:c>
      <x:c r="D623" s="7" t="str">
        <x:v>RFP-B2</x:v>
      </x:c>
      <x:c r="E623" s="7" t="str">
        <x:v>AM-05</x:v>
      </x:c>
      <x:c r="F623" s="7" t="str">
        <x:v>TR-A</x:v>
      </x:c>
      <x:c r="G623" s="7" t="str">
        <x:v>QE-02</x:v>
      </x:c>
      <x:c r="H623" s="7" t="str">
        <x:v>P17</x:v>
      </x:c>
      <x:c r="I623" s="7" t="str">
        <x:v>T+120s</x:v>
      </x:c>
      <x:c r="J623" s="10" t="str">
        <x:v>public schedule end</x:v>
      </x:c>
      <x:c r="K623" s="7" t="str"/>
      <x:c r="L623" s="10" t="str"/>
      <x:c r="M623" s="7" t="str">
        <x:v>OPEN</x:v>
      </x:c>
    </x:row>
    <x:row r="624" ht="36" customHeight="1">
      <x:c r="B624" s="7" t="str">
        <x:v>RAE-E-26-P18</x:v>
      </x:c>
      <x:c r="C624" s="7" t="str">
        <x:v>RAE-E-26</x:v>
      </x:c>
      <x:c r="D624" s="7" t="str">
        <x:v>RFP-B2</x:v>
      </x:c>
      <x:c r="E624" s="7" t="str">
        <x:v>AM-05</x:v>
      </x:c>
      <x:c r="F624" s="7" t="str">
        <x:v>TR-A</x:v>
      </x:c>
      <x:c r="G624" s="7" t="str">
        <x:v>QE-02</x:v>
      </x:c>
      <x:c r="H624" s="7" t="str">
        <x:v>P18</x:v>
      </x:c>
      <x:c r="I624" s="7" t="str">
        <x:v>T+15min</x:v>
      </x:c>
      <x:c r="J624" s="10" t="str">
        <x:v>thermal and water classification</x:v>
      </x:c>
      <x:c r="K624" s="7" t="str"/>
      <x:c r="L624" s="10" t="str"/>
      <x:c r="M624" s="7" t="str">
        <x:v>OPEN</x:v>
      </x:c>
    </x:row>
    <x:row r="625" ht="36" customHeight="1">
      <x:c r="B625" s="7" t="str">
        <x:v>RAE-E-26-P19</x:v>
      </x:c>
      <x:c r="C625" s="7" t="str">
        <x:v>RAE-E-26</x:v>
      </x:c>
      <x:c r="D625" s="7" t="str">
        <x:v>RFP-B2</x:v>
      </x:c>
      <x:c r="E625" s="7" t="str">
        <x:v>AM-05</x:v>
      </x:c>
      <x:c r="F625" s="7" t="str">
        <x:v>TR-A</x:v>
      </x:c>
      <x:c r="G625" s="7" t="str">
        <x:v>QE-02</x:v>
      </x:c>
      <x:c r="H625" s="7" t="str">
        <x:v>P19</x:v>
      </x:c>
      <x:c r="I625" s="7" t="str">
        <x:v>T+30min</x:v>
      </x:c>
      <x:c r="J625" s="10" t="str">
        <x:v>public intervention classification</x:v>
      </x:c>
      <x:c r="K625" s="7" t="str"/>
      <x:c r="L625" s="10" t="str"/>
      <x:c r="M625" s="7" t="str">
        <x:v>OPEN</x:v>
      </x:c>
    </x:row>
    <x:row r="626" ht="36" customHeight="1">
      <x:c r="B626" s="7" t="str">
        <x:v>RAE-E-26-P20</x:v>
      </x:c>
      <x:c r="C626" s="7" t="str">
        <x:v>RAE-E-26</x:v>
      </x:c>
      <x:c r="D626" s="7" t="str">
        <x:v>RFP-B2</x:v>
      </x:c>
      <x:c r="E626" s="7" t="str">
        <x:v>AM-05</x:v>
      </x:c>
      <x:c r="F626" s="7" t="str">
        <x:v>TR-A</x:v>
      </x:c>
      <x:c r="G626" s="7" t="str">
        <x:v>QE-02</x:v>
      </x:c>
      <x:c r="H626" s="7" t="str">
        <x:v>P20</x:v>
      </x:c>
      <x:c r="I626" s="7" t="str">
        <x:v>T+60min</x:v>
      </x:c>
      <x:c r="J626" s="10" t="str">
        <x:v>remote-entry classification</x:v>
      </x:c>
      <x:c r="K626" s="7" t="str"/>
      <x:c r="L626" s="10" t="str"/>
      <x:c r="M626" s="7" t="str">
        <x:v>OPEN</x:v>
      </x:c>
    </x:row>
    <x:row r="627" ht="36" customHeight="1">
      <x:c r="B627" s="7" t="str">
        <x:v>RAE-E-26-P21</x:v>
      </x:c>
      <x:c r="C627" s="7" t="str">
        <x:v>RAE-E-26</x:v>
      </x:c>
      <x:c r="D627" s="7" t="str">
        <x:v>RFP-B2</x:v>
      </x:c>
      <x:c r="E627" s="7" t="str">
        <x:v>AM-05</x:v>
      </x:c>
      <x:c r="F627" s="7" t="str">
        <x:v>TR-A</x:v>
      </x:c>
      <x:c r="G627" s="7" t="str">
        <x:v>QE-02</x:v>
      </x:c>
      <x:c r="H627" s="7" t="str">
        <x:v>P21</x:v>
      </x:c>
      <x:c r="I627" s="7" t="str">
        <x:v>T+6h</x:v>
      </x:c>
      <x:c r="J627" s="10" t="str">
        <x:v>evidence tail closure</x:v>
      </x:c>
      <x:c r="K627" s="7" t="str"/>
      <x:c r="L627" s="10" t="str"/>
      <x:c r="M627" s="7" t="str">
        <x:v>OPEN</x:v>
      </x:c>
    </x:row>
    <x:row r="628" ht="36" customHeight="1">
      <x:c r="B628" s="7" t="str">
        <x:v>RAE-E-26-P22</x:v>
      </x:c>
      <x:c r="C628" s="7" t="str">
        <x:v>RAE-E-26</x:v>
      </x:c>
      <x:c r="D628" s="7" t="str">
        <x:v>RFP-B2</x:v>
      </x:c>
      <x:c r="E628" s="7" t="str">
        <x:v>AM-05</x:v>
      </x:c>
      <x:c r="F628" s="7" t="str">
        <x:v>TR-A</x:v>
      </x:c>
      <x:c r="G628" s="7" t="str">
        <x:v>QE-02</x:v>
      </x:c>
      <x:c r="H628" s="7" t="str">
        <x:v>P22</x:v>
      </x:c>
      <x:c r="I628" s="7" t="str">
        <x:v>T+24h</x:v>
      </x:c>
      <x:c r="J628" s="10" t="str">
        <x:v>physical ledger closure</x:v>
      </x:c>
      <x:c r="K628" s="7" t="str"/>
      <x:c r="L628" s="10" t="str"/>
      <x:c r="M628" s="7" t="str">
        <x:v>OPEN</x:v>
      </x:c>
    </x:row>
    <x:row r="629" ht="36" customHeight="1">
      <x:c r="B629" s="7" t="str">
        <x:v>RAE-E-26-P23</x:v>
      </x:c>
      <x:c r="C629" s="7" t="str">
        <x:v>RAE-E-26</x:v>
      </x:c>
      <x:c r="D629" s="7" t="str">
        <x:v>RFP-B2</x:v>
      </x:c>
      <x:c r="E629" s="7" t="str">
        <x:v>AM-05</x:v>
      </x:c>
      <x:c r="F629" s="7" t="str">
        <x:v>TR-A</x:v>
      </x:c>
      <x:c r="G629" s="7" t="str">
        <x:v>QE-02</x:v>
      </x:c>
      <x:c r="H629" s="7" t="str">
        <x:v>P23</x:v>
      </x:c>
      <x:c r="I629" s="7" t="str">
        <x:v>T+72h</x:v>
      </x:c>
      <x:c r="J629" s="10" t="str">
        <x:v>immutable packet freeze</x:v>
      </x:c>
      <x:c r="K629" s="7" t="str"/>
      <x:c r="L629" s="10" t="str"/>
      <x:c r="M629" s="7" t="str">
        <x:v>OPEN</x:v>
      </x:c>
    </x:row>
    <x:row r="630" ht="36" customHeight="1">
      <x:c r="B630" s="7" t="str">
        <x:v>RAE-E-26-P24</x:v>
      </x:c>
      <x:c r="C630" s="7" t="str">
        <x:v>RAE-E-26</x:v>
      </x:c>
      <x:c r="D630" s="7" t="str">
        <x:v>RFP-B2</x:v>
      </x:c>
      <x:c r="E630" s="7" t="str">
        <x:v>AM-05</x:v>
      </x:c>
      <x:c r="F630" s="7" t="str">
        <x:v>TR-A</x:v>
      </x:c>
      <x:c r="G630" s="7" t="str">
        <x:v>QE-02</x:v>
      </x:c>
      <x:c r="H630" s="7" t="str">
        <x:v>P24</x:v>
      </x:c>
      <x:c r="I630" s="7" t="str">
        <x:v>day 7</x:v>
      </x:c>
      <x:c r="J630" s="10" t="str">
        <x:v>validity and outcome board</x:v>
      </x:c>
      <x:c r="K630" s="7" t="str"/>
      <x:c r="L630" s="10" t="str"/>
      <x:c r="M630" s="7" t="str">
        <x:v>OPEN</x:v>
      </x:c>
    </x:row>
    <x:row r="631" ht="36" customHeight="1">
      <x:c r="B631" s="7" t="str">
        <x:v>RAE-E-27-P01</x:v>
      </x:c>
      <x:c r="C631" s="7" t="str">
        <x:v>RAE-E-27</x:v>
      </x:c>
      <x:c r="D631" s="7" t="str">
        <x:v>RFP-B2</x:v>
      </x:c>
      <x:c r="E631" s="7" t="str">
        <x:v>AM-05</x:v>
      </x:c>
      <x:c r="F631" s="7" t="str">
        <x:v>TR-B</x:v>
      </x:c>
      <x:c r="G631" s="7" t="str">
        <x:v>QE-01</x:v>
      </x:c>
      <x:c r="H631" s="7" t="str">
        <x:v>P01</x:v>
      </x:c>
      <x:c r="I631" s="7" t="str">
        <x:v>T-96h</x:v>
      </x:c>
      <x:c r="J631" s="10" t="str">
        <x:v>baseline freeze</x:v>
      </x:c>
      <x:c r="K631" s="7" t="str"/>
      <x:c r="L631" s="10" t="str"/>
      <x:c r="M631" s="7" t="str">
        <x:v>OPEN</x:v>
      </x:c>
    </x:row>
    <x:row r="632" ht="36" customHeight="1">
      <x:c r="B632" s="7" t="str">
        <x:v>RAE-E-27-P02</x:v>
      </x:c>
      <x:c r="C632" s="7" t="str">
        <x:v>RAE-E-27</x:v>
      </x:c>
      <x:c r="D632" s="7" t="str">
        <x:v>RFP-B2</x:v>
      </x:c>
      <x:c r="E632" s="7" t="str">
        <x:v>AM-05</x:v>
      </x:c>
      <x:c r="F632" s="7" t="str">
        <x:v>TR-B</x:v>
      </x:c>
      <x:c r="G632" s="7" t="str">
        <x:v>QE-01</x:v>
      </x:c>
      <x:c r="H632" s="7" t="str">
        <x:v>P02</x:v>
      </x:c>
      <x:c r="I632" s="7" t="str">
        <x:v>T-72h</x:v>
      </x:c>
      <x:c r="J632" s="10" t="str">
        <x:v>source and water custody freeze</x:v>
      </x:c>
      <x:c r="K632" s="7" t="str"/>
      <x:c r="L632" s="10" t="str"/>
      <x:c r="M632" s="7" t="str">
        <x:v>OPEN</x:v>
      </x:c>
    </x:row>
    <x:row r="633" ht="36" customHeight="1">
      <x:c r="B633" s="7" t="str">
        <x:v>RAE-E-27-P03</x:v>
      </x:c>
      <x:c r="C633" s="7" t="str">
        <x:v>RAE-E-27</x:v>
      </x:c>
      <x:c r="D633" s="7" t="str">
        <x:v>RFP-B2</x:v>
      </x:c>
      <x:c r="E633" s="7" t="str">
        <x:v>AM-05</x:v>
      </x:c>
      <x:c r="F633" s="7" t="str">
        <x:v>TR-B</x:v>
      </x:c>
      <x:c r="G633" s="7" t="str">
        <x:v>QE-01</x:v>
      </x:c>
      <x:c r="H633" s="7" t="str">
        <x:v>P03</x:v>
      </x:c>
      <x:c r="I633" s="7" t="str">
        <x:v>T-48h</x:v>
      </x:c>
      <x:c r="J633" s="10" t="str">
        <x:v>article and configuration identity</x:v>
      </x:c>
      <x:c r="K633" s="7" t="str"/>
      <x:c r="L633" s="10" t="str"/>
      <x:c r="M633" s="7" t="str">
        <x:v>OPEN</x:v>
      </x:c>
    </x:row>
    <x:row r="634" ht="36" customHeight="1">
      <x:c r="B634" s="7" t="str">
        <x:v>RAE-E-27-P04</x:v>
      </x:c>
      <x:c r="C634" s="7" t="str">
        <x:v>RAE-E-27</x:v>
      </x:c>
      <x:c r="D634" s="7" t="str">
        <x:v>RFP-B2</x:v>
      </x:c>
      <x:c r="E634" s="7" t="str">
        <x:v>AM-05</x:v>
      </x:c>
      <x:c r="F634" s="7" t="str">
        <x:v>TR-B</x:v>
      </x:c>
      <x:c r="G634" s="7" t="str">
        <x:v>QE-01</x:v>
      </x:c>
      <x:c r="H634" s="7" t="str">
        <x:v>P04</x:v>
      </x:c>
      <x:c r="I634" s="7" t="str">
        <x:v>T-24h</x:v>
      </x:c>
      <x:c r="J634" s="10" t="str">
        <x:v>environment and recovery readiness</x:v>
      </x:c>
      <x:c r="K634" s="7" t="str"/>
      <x:c r="L634" s="10" t="str"/>
      <x:c r="M634" s="7" t="str">
        <x:v>OPEN</x:v>
      </x:c>
    </x:row>
    <x:row r="635" ht="36" customHeight="1">
      <x:c r="B635" s="7" t="str">
        <x:v>RAE-E-27-P05</x:v>
      </x:c>
      <x:c r="C635" s="7" t="str">
        <x:v>RAE-E-27</x:v>
      </x:c>
      <x:c r="D635" s="7" t="str">
        <x:v>RFP-B2</x:v>
      </x:c>
      <x:c r="E635" s="7" t="str">
        <x:v>AM-05</x:v>
      </x:c>
      <x:c r="F635" s="7" t="str">
        <x:v>TR-B</x:v>
      </x:c>
      <x:c r="G635" s="7" t="str">
        <x:v>QE-01</x:v>
      </x:c>
      <x:c r="H635" s="7" t="str">
        <x:v>P05</x:v>
      </x:c>
      <x:c r="I635" s="7" t="str">
        <x:v>T-12h</x:v>
      </x:c>
      <x:c r="J635" s="10" t="str">
        <x:v>rescue posture</x:v>
      </x:c>
      <x:c r="K635" s="7" t="str"/>
      <x:c r="L635" s="10" t="str"/>
      <x:c r="M635" s="7" t="str">
        <x:v>OPEN</x:v>
      </x:c>
    </x:row>
    <x:row r="636" ht="36" customHeight="1">
      <x:c r="B636" s="7" t="str">
        <x:v>RAE-E-27-P06</x:v>
      </x:c>
      <x:c r="C636" s="7" t="str">
        <x:v>RAE-E-27</x:v>
      </x:c>
      <x:c r="D636" s="7" t="str">
        <x:v>RFP-B2</x:v>
      </x:c>
      <x:c r="E636" s="7" t="str">
        <x:v>AM-05</x:v>
      </x:c>
      <x:c r="F636" s="7" t="str">
        <x:v>TR-B</x:v>
      </x:c>
      <x:c r="G636" s="7" t="str">
        <x:v>QE-01</x:v>
      </x:c>
      <x:c r="H636" s="7" t="str">
        <x:v>P06</x:v>
      </x:c>
      <x:c r="I636" s="7" t="str">
        <x:v>T-6h</x:v>
      </x:c>
      <x:c r="J636" s="10" t="str">
        <x:v>calibration before state</x:v>
      </x:c>
      <x:c r="K636" s="7" t="str"/>
      <x:c r="L636" s="10" t="str"/>
      <x:c r="M636" s="7" t="str">
        <x:v>OPEN</x:v>
      </x:c>
    </x:row>
    <x:row r="637" ht="36" customHeight="1">
      <x:c r="B637" s="7" t="str">
        <x:v>RAE-E-27-P07</x:v>
      </x:c>
      <x:c r="C637" s="7" t="str">
        <x:v>RAE-E-27</x:v>
      </x:c>
      <x:c r="D637" s="7" t="str">
        <x:v>RFP-B2</x:v>
      </x:c>
      <x:c r="E637" s="7" t="str">
        <x:v>AM-05</x:v>
      </x:c>
      <x:c r="F637" s="7" t="str">
        <x:v>TR-B</x:v>
      </x:c>
      <x:c r="G637" s="7" t="str">
        <x:v>QE-01</x:v>
      </x:c>
      <x:c r="H637" s="7" t="str">
        <x:v>P07</x:v>
      </x:c>
      <x:c r="I637" s="7" t="str">
        <x:v>T-2h</x:v>
      </x:c>
      <x:c r="J637" s="10" t="str">
        <x:v>receiver initial-volume proof</x:v>
      </x:c>
      <x:c r="K637" s="7" t="str"/>
      <x:c r="L637" s="10" t="str"/>
      <x:c r="M637" s="7" t="str">
        <x:v>OPEN</x:v>
      </x:c>
    </x:row>
    <x:row r="638" ht="36" customHeight="1">
      <x:c r="B638" s="7" t="str">
        <x:v>RAE-E-27-P08</x:v>
      </x:c>
      <x:c r="C638" s="7" t="str">
        <x:v>RAE-E-27</x:v>
      </x:c>
      <x:c r="D638" s="7" t="str">
        <x:v>RFP-B2</x:v>
      </x:c>
      <x:c r="E638" s="7" t="str">
        <x:v>AM-05</x:v>
      </x:c>
      <x:c r="F638" s="7" t="str">
        <x:v>TR-B</x:v>
      </x:c>
      <x:c r="G638" s="7" t="str">
        <x:v>QE-01</x:v>
      </x:c>
      <x:c r="H638" s="7" t="str">
        <x:v>P08</x:v>
      </x:c>
      <x:c r="I638" s="7" t="str">
        <x:v>T-60min</x:v>
      </x:c>
      <x:c r="J638" s="10" t="str">
        <x:v>neighbor inert-state proof</x:v>
      </x:c>
      <x:c r="K638" s="7" t="str"/>
      <x:c r="L638" s="10" t="str"/>
      <x:c r="M638" s="7" t="str">
        <x:v>OPEN</x:v>
      </x:c>
    </x:row>
    <x:row r="639" ht="36" customHeight="1">
      <x:c r="B639" s="7" t="str">
        <x:v>RAE-E-27-P09</x:v>
      </x:c>
      <x:c r="C639" s="7" t="str">
        <x:v>RAE-E-27</x:v>
      </x:c>
      <x:c r="D639" s="7" t="str">
        <x:v>RFP-B2</x:v>
      </x:c>
      <x:c r="E639" s="7" t="str">
        <x:v>AM-05</x:v>
      </x:c>
      <x:c r="F639" s="7" t="str">
        <x:v>TR-B</x:v>
      </x:c>
      <x:c r="G639" s="7" t="str">
        <x:v>QE-01</x:v>
      </x:c>
      <x:c r="H639" s="7" t="str">
        <x:v>P09</x:v>
      </x:c>
      <x:c r="I639" s="7" t="str">
        <x:v>T-30min</x:v>
      </x:c>
      <x:c r="J639" s="10" t="str">
        <x:v>native evidence armed</x:v>
      </x:c>
      <x:c r="K639" s="7" t="str"/>
      <x:c r="L639" s="10" t="str"/>
      <x:c r="M639" s="7" t="str">
        <x:v>OPEN</x:v>
      </x:c>
    </x:row>
    <x:row r="640" ht="36" customHeight="1">
      <x:c r="B640" s="7" t="str">
        <x:v>RAE-E-27-P10</x:v>
      </x:c>
      <x:c r="C640" s="7" t="str">
        <x:v>RAE-E-27</x:v>
      </x:c>
      <x:c r="D640" s="7" t="str">
        <x:v>RFP-B2</x:v>
      </x:c>
      <x:c r="E640" s="7" t="str">
        <x:v>AM-05</x:v>
      </x:c>
      <x:c r="F640" s="7" t="str">
        <x:v>TR-B</x:v>
      </x:c>
      <x:c r="G640" s="7" t="str">
        <x:v>QE-01</x:v>
      </x:c>
      <x:c r="H640" s="7" t="str">
        <x:v>P10</x:v>
      </x:c>
      <x:c r="I640" s="7" t="str">
        <x:v>T-10min</x:v>
      </x:c>
      <x:c r="J640" s="10" t="str">
        <x:v>final control poll</x:v>
      </x:c>
      <x:c r="K640" s="7" t="str"/>
      <x:c r="L640" s="10" t="str"/>
      <x:c r="M640" s="7" t="str">
        <x:v>OPEN</x:v>
      </x:c>
    </x:row>
    <x:row r="641" ht="36" customHeight="1">
      <x:c r="B641" s="7" t="str">
        <x:v>RAE-E-27-P11</x:v>
      </x:c>
      <x:c r="C641" s="7" t="str">
        <x:v>RAE-E-27</x:v>
      </x:c>
      <x:c r="D641" s="7" t="str">
        <x:v>RFP-B2</x:v>
      </x:c>
      <x:c r="E641" s="7" t="str">
        <x:v>AM-05</x:v>
      </x:c>
      <x:c r="F641" s="7" t="str">
        <x:v>TR-B</x:v>
      </x:c>
      <x:c r="G641" s="7" t="str">
        <x:v>QE-01</x:v>
      </x:c>
      <x:c r="H641" s="7" t="str">
        <x:v>P11</x:v>
      </x:c>
      <x:c r="I641" s="7" t="str">
        <x:v>T-60s</x:v>
      </x:c>
      <x:c r="J641" s="10" t="str">
        <x:v>full-rate capture</x:v>
      </x:c>
      <x:c r="K641" s="7" t="str"/>
      <x:c r="L641" s="10" t="str"/>
      <x:c r="M641" s="7" t="str">
        <x:v>OPEN</x:v>
      </x:c>
    </x:row>
    <x:row r="642" ht="36" customHeight="1">
      <x:c r="B642" s="7" t="str">
        <x:v>RAE-E-27-P12</x:v>
      </x:c>
      <x:c r="C642" s="7" t="str">
        <x:v>RAE-E-27</x:v>
      </x:c>
      <x:c r="D642" s="7" t="str">
        <x:v>RFP-B2</x:v>
      </x:c>
      <x:c r="E642" s="7" t="str">
        <x:v>AM-05</x:v>
      </x:c>
      <x:c r="F642" s="7" t="str">
        <x:v>TR-B</x:v>
      </x:c>
      <x:c r="G642" s="7" t="str">
        <x:v>QE-01</x:v>
      </x:c>
      <x:c r="H642" s="7" t="str">
        <x:v>P12</x:v>
      </x:c>
      <x:c r="I642" s="7" t="str">
        <x:v>T-10s</x:v>
      </x:c>
      <x:c r="J642" s="10" t="str">
        <x:v>registered challenge state</x:v>
      </x:c>
      <x:c r="K642" s="7" t="str"/>
      <x:c r="L642" s="10" t="str"/>
      <x:c r="M642" s="7" t="str">
        <x:v>OPEN</x:v>
      </x:c>
    </x:row>
    <x:row r="643" ht="36" customHeight="1">
      <x:c r="B643" s="7" t="str">
        <x:v>RAE-E-27-P13</x:v>
      </x:c>
      <x:c r="C643" s="7" t="str">
        <x:v>RAE-E-27</x:v>
      </x:c>
      <x:c r="D643" s="7" t="str">
        <x:v>RFP-B2</x:v>
      </x:c>
      <x:c r="E643" s="7" t="str">
        <x:v>AM-05</x:v>
      </x:c>
      <x:c r="F643" s="7" t="str">
        <x:v>TR-B</x:v>
      </x:c>
      <x:c r="G643" s="7" t="str">
        <x:v>QE-01</x:v>
      </x:c>
      <x:c r="H643" s="7" t="str">
        <x:v>P13</x:v>
      </x:c>
      <x:c r="I643" s="7" t="str">
        <x:v>T0</x:v>
      </x:c>
      <x:c r="J643" s="10" t="str">
        <x:v>source command or zero-source marker</x:v>
      </x:c>
      <x:c r="K643" s="7" t="str"/>
      <x:c r="L643" s="10" t="str"/>
      <x:c r="M643" s="7" t="str">
        <x:v>OPEN</x:v>
      </x:c>
    </x:row>
    <x:row r="644" ht="36" customHeight="1">
      <x:c r="B644" s="7" t="str">
        <x:v>RAE-E-27-P14</x:v>
      </x:c>
      <x:c r="C644" s="7" t="str">
        <x:v>RAE-E-27</x:v>
      </x:c>
      <x:c r="D644" s="7" t="str">
        <x:v>RFP-B2</x:v>
      </x:c>
      <x:c r="E644" s="7" t="str">
        <x:v>AM-05</x:v>
      </x:c>
      <x:c r="F644" s="7" t="str">
        <x:v>TR-B</x:v>
      </x:c>
      <x:c r="G644" s="7" t="str">
        <x:v>QE-01</x:v>
      </x:c>
      <x:c r="H644" s="7" t="str">
        <x:v>P14</x:v>
      </x:c>
      <x:c r="I644" s="7" t="str">
        <x:v>T+2s</x:v>
      </x:c>
      <x:c r="J644" s="10" t="str">
        <x:v>inlet and dispenser final state</x:v>
      </x:c>
      <x:c r="K644" s="7" t="str"/>
      <x:c r="L644" s="10" t="str"/>
      <x:c r="M644" s="7" t="str">
        <x:v>OPEN</x:v>
      </x:c>
    </x:row>
    <x:row r="645" ht="36" customHeight="1">
      <x:c r="B645" s="7" t="str">
        <x:v>RAE-E-27-P15</x:v>
      </x:c>
      <x:c r="C645" s="7" t="str">
        <x:v>RAE-E-27</x:v>
      </x:c>
      <x:c r="D645" s="7" t="str">
        <x:v>RFP-B2</x:v>
      </x:c>
      <x:c r="E645" s="7" t="str">
        <x:v>AM-05</x:v>
      </x:c>
      <x:c r="F645" s="7" t="str">
        <x:v>TR-B</x:v>
      </x:c>
      <x:c r="G645" s="7" t="str">
        <x:v>QE-01</x:v>
      </x:c>
      <x:c r="H645" s="7" t="str">
        <x:v>P15</x:v>
      </x:c>
      <x:c r="I645" s="7" t="str">
        <x:v>T+15s</x:v>
      </x:c>
      <x:c r="J645" s="10" t="str">
        <x:v>AM-06 QE-02 ignition opportunity</x:v>
      </x:c>
      <x:c r="K645" s="7" t="str"/>
      <x:c r="L645" s="10" t="str"/>
      <x:c r="M645" s="7" t="str">
        <x:v>OPEN</x:v>
      </x:c>
    </x:row>
    <x:row r="646" ht="36" customHeight="1">
      <x:c r="B646" s="7" t="str">
        <x:v>RAE-E-27-P16</x:v>
      </x:c>
      <x:c r="C646" s="7" t="str">
        <x:v>RAE-E-27</x:v>
      </x:c>
      <x:c r="D646" s="7" t="str">
        <x:v>RFP-B2</x:v>
      </x:c>
      <x:c r="E646" s="7" t="str">
        <x:v>AM-05</x:v>
      </x:c>
      <x:c r="F646" s="7" t="str">
        <x:v>TR-B</x:v>
      </x:c>
      <x:c r="G646" s="7" t="str">
        <x:v>QE-01</x:v>
      </x:c>
      <x:c r="H646" s="7" t="str">
        <x:v>P16</x:v>
      </x:c>
      <x:c r="I646" s="7" t="str">
        <x:v>T+30s</x:v>
      </x:c>
      <x:c r="J646" s="10" t="str">
        <x:v>terminal-source decision</x:v>
      </x:c>
      <x:c r="K646" s="7" t="str"/>
      <x:c r="L646" s="10" t="str"/>
      <x:c r="M646" s="7" t="str">
        <x:v>OPEN</x:v>
      </x:c>
    </x:row>
    <x:row r="647" ht="36" customHeight="1">
      <x:c r="B647" s="7" t="str">
        <x:v>RAE-E-27-P17</x:v>
      </x:c>
      <x:c r="C647" s="7" t="str">
        <x:v>RAE-E-27</x:v>
      </x:c>
      <x:c r="D647" s="7" t="str">
        <x:v>RFP-B2</x:v>
      </x:c>
      <x:c r="E647" s="7" t="str">
        <x:v>AM-05</x:v>
      </x:c>
      <x:c r="F647" s="7" t="str">
        <x:v>TR-B</x:v>
      </x:c>
      <x:c r="G647" s="7" t="str">
        <x:v>QE-01</x:v>
      </x:c>
      <x:c r="H647" s="7" t="str">
        <x:v>P17</x:v>
      </x:c>
      <x:c r="I647" s="7" t="str">
        <x:v>T+120s</x:v>
      </x:c>
      <x:c r="J647" s="10" t="str">
        <x:v>public schedule end</x:v>
      </x:c>
      <x:c r="K647" s="7" t="str"/>
      <x:c r="L647" s="10" t="str"/>
      <x:c r="M647" s="7" t="str">
        <x:v>OPEN</x:v>
      </x:c>
    </x:row>
    <x:row r="648" ht="36" customHeight="1">
      <x:c r="B648" s="7" t="str">
        <x:v>RAE-E-27-P18</x:v>
      </x:c>
      <x:c r="C648" s="7" t="str">
        <x:v>RAE-E-27</x:v>
      </x:c>
      <x:c r="D648" s="7" t="str">
        <x:v>RFP-B2</x:v>
      </x:c>
      <x:c r="E648" s="7" t="str">
        <x:v>AM-05</x:v>
      </x:c>
      <x:c r="F648" s="7" t="str">
        <x:v>TR-B</x:v>
      </x:c>
      <x:c r="G648" s="7" t="str">
        <x:v>QE-01</x:v>
      </x:c>
      <x:c r="H648" s="7" t="str">
        <x:v>P18</x:v>
      </x:c>
      <x:c r="I648" s="7" t="str">
        <x:v>T+15min</x:v>
      </x:c>
      <x:c r="J648" s="10" t="str">
        <x:v>thermal and water classification</x:v>
      </x:c>
      <x:c r="K648" s="7" t="str"/>
      <x:c r="L648" s="10" t="str"/>
      <x:c r="M648" s="7" t="str">
        <x:v>OPEN</x:v>
      </x:c>
    </x:row>
    <x:row r="649" ht="36" customHeight="1">
      <x:c r="B649" s="7" t="str">
        <x:v>RAE-E-27-P19</x:v>
      </x:c>
      <x:c r="C649" s="7" t="str">
        <x:v>RAE-E-27</x:v>
      </x:c>
      <x:c r="D649" s="7" t="str">
        <x:v>RFP-B2</x:v>
      </x:c>
      <x:c r="E649" s="7" t="str">
        <x:v>AM-05</x:v>
      </x:c>
      <x:c r="F649" s="7" t="str">
        <x:v>TR-B</x:v>
      </x:c>
      <x:c r="G649" s="7" t="str">
        <x:v>QE-01</x:v>
      </x:c>
      <x:c r="H649" s="7" t="str">
        <x:v>P19</x:v>
      </x:c>
      <x:c r="I649" s="7" t="str">
        <x:v>T+30min</x:v>
      </x:c>
      <x:c r="J649" s="10" t="str">
        <x:v>public intervention classification</x:v>
      </x:c>
      <x:c r="K649" s="7" t="str"/>
      <x:c r="L649" s="10" t="str"/>
      <x:c r="M649" s="7" t="str">
        <x:v>OPEN</x:v>
      </x:c>
    </x:row>
    <x:row r="650" ht="36" customHeight="1">
      <x:c r="B650" s="7" t="str">
        <x:v>RAE-E-27-P20</x:v>
      </x:c>
      <x:c r="C650" s="7" t="str">
        <x:v>RAE-E-27</x:v>
      </x:c>
      <x:c r="D650" s="7" t="str">
        <x:v>RFP-B2</x:v>
      </x:c>
      <x:c r="E650" s="7" t="str">
        <x:v>AM-05</x:v>
      </x:c>
      <x:c r="F650" s="7" t="str">
        <x:v>TR-B</x:v>
      </x:c>
      <x:c r="G650" s="7" t="str">
        <x:v>QE-01</x:v>
      </x:c>
      <x:c r="H650" s="7" t="str">
        <x:v>P20</x:v>
      </x:c>
      <x:c r="I650" s="7" t="str">
        <x:v>T+60min</x:v>
      </x:c>
      <x:c r="J650" s="10" t="str">
        <x:v>remote-entry classification</x:v>
      </x:c>
      <x:c r="K650" s="7" t="str"/>
      <x:c r="L650" s="10" t="str"/>
      <x:c r="M650" s="7" t="str">
        <x:v>OPEN</x:v>
      </x:c>
    </x:row>
    <x:row r="651" ht="36" customHeight="1">
      <x:c r="B651" s="7" t="str">
        <x:v>RAE-E-27-P21</x:v>
      </x:c>
      <x:c r="C651" s="7" t="str">
        <x:v>RAE-E-27</x:v>
      </x:c>
      <x:c r="D651" s="7" t="str">
        <x:v>RFP-B2</x:v>
      </x:c>
      <x:c r="E651" s="7" t="str">
        <x:v>AM-05</x:v>
      </x:c>
      <x:c r="F651" s="7" t="str">
        <x:v>TR-B</x:v>
      </x:c>
      <x:c r="G651" s="7" t="str">
        <x:v>QE-01</x:v>
      </x:c>
      <x:c r="H651" s="7" t="str">
        <x:v>P21</x:v>
      </x:c>
      <x:c r="I651" s="7" t="str">
        <x:v>T+6h</x:v>
      </x:c>
      <x:c r="J651" s="10" t="str">
        <x:v>evidence tail closure</x:v>
      </x:c>
      <x:c r="K651" s="7" t="str"/>
      <x:c r="L651" s="10" t="str"/>
      <x:c r="M651" s="7" t="str">
        <x:v>OPEN</x:v>
      </x:c>
    </x:row>
    <x:row r="652" ht="36" customHeight="1">
      <x:c r="B652" s="7" t="str">
        <x:v>RAE-E-27-P22</x:v>
      </x:c>
      <x:c r="C652" s="7" t="str">
        <x:v>RAE-E-27</x:v>
      </x:c>
      <x:c r="D652" s="7" t="str">
        <x:v>RFP-B2</x:v>
      </x:c>
      <x:c r="E652" s="7" t="str">
        <x:v>AM-05</x:v>
      </x:c>
      <x:c r="F652" s="7" t="str">
        <x:v>TR-B</x:v>
      </x:c>
      <x:c r="G652" s="7" t="str">
        <x:v>QE-01</x:v>
      </x:c>
      <x:c r="H652" s="7" t="str">
        <x:v>P22</x:v>
      </x:c>
      <x:c r="I652" s="7" t="str">
        <x:v>T+24h</x:v>
      </x:c>
      <x:c r="J652" s="10" t="str">
        <x:v>physical ledger closure</x:v>
      </x:c>
      <x:c r="K652" s="7" t="str"/>
      <x:c r="L652" s="10" t="str"/>
      <x:c r="M652" s="7" t="str">
        <x:v>OPEN</x:v>
      </x:c>
    </x:row>
    <x:row r="653" ht="36" customHeight="1">
      <x:c r="B653" s="7" t="str">
        <x:v>RAE-E-27-P23</x:v>
      </x:c>
      <x:c r="C653" s="7" t="str">
        <x:v>RAE-E-27</x:v>
      </x:c>
      <x:c r="D653" s="7" t="str">
        <x:v>RFP-B2</x:v>
      </x:c>
      <x:c r="E653" s="7" t="str">
        <x:v>AM-05</x:v>
      </x:c>
      <x:c r="F653" s="7" t="str">
        <x:v>TR-B</x:v>
      </x:c>
      <x:c r="G653" s="7" t="str">
        <x:v>QE-01</x:v>
      </x:c>
      <x:c r="H653" s="7" t="str">
        <x:v>P23</x:v>
      </x:c>
      <x:c r="I653" s="7" t="str">
        <x:v>T+72h</x:v>
      </x:c>
      <x:c r="J653" s="10" t="str">
        <x:v>immutable packet freeze</x:v>
      </x:c>
      <x:c r="K653" s="7" t="str"/>
      <x:c r="L653" s="10" t="str"/>
      <x:c r="M653" s="7" t="str">
        <x:v>OPEN</x:v>
      </x:c>
    </x:row>
    <x:row r="654" ht="36" customHeight="1">
      <x:c r="B654" s="7" t="str">
        <x:v>RAE-E-27-P24</x:v>
      </x:c>
      <x:c r="C654" s="7" t="str">
        <x:v>RAE-E-27</x:v>
      </x:c>
      <x:c r="D654" s="7" t="str">
        <x:v>RFP-B2</x:v>
      </x:c>
      <x:c r="E654" s="7" t="str">
        <x:v>AM-05</x:v>
      </x:c>
      <x:c r="F654" s="7" t="str">
        <x:v>TR-B</x:v>
      </x:c>
      <x:c r="G654" s="7" t="str">
        <x:v>QE-01</x:v>
      </x:c>
      <x:c r="H654" s="7" t="str">
        <x:v>P24</x:v>
      </x:c>
      <x:c r="I654" s="7" t="str">
        <x:v>day 7</x:v>
      </x:c>
      <x:c r="J654" s="10" t="str">
        <x:v>validity and outcome board</x:v>
      </x:c>
      <x:c r="K654" s="7" t="str"/>
      <x:c r="L654" s="10" t="str"/>
      <x:c r="M654" s="7" t="str">
        <x:v>OPEN</x:v>
      </x:c>
    </x:row>
    <x:row r="655" ht="36" customHeight="1">
      <x:c r="B655" s="7" t="str">
        <x:v>RAE-E-28-P01</x:v>
      </x:c>
      <x:c r="C655" s="7" t="str">
        <x:v>RAE-E-28</x:v>
      </x:c>
      <x:c r="D655" s="7" t="str">
        <x:v>RFP-B2</x:v>
      </x:c>
      <x:c r="E655" s="7" t="str">
        <x:v>AM-05</x:v>
      </x:c>
      <x:c r="F655" s="7" t="str">
        <x:v>TR-B</x:v>
      </x:c>
      <x:c r="G655" s="7" t="str">
        <x:v>QE-02</x:v>
      </x:c>
      <x:c r="H655" s="7" t="str">
        <x:v>P01</x:v>
      </x:c>
      <x:c r="I655" s="7" t="str">
        <x:v>T-96h</x:v>
      </x:c>
      <x:c r="J655" s="10" t="str">
        <x:v>baseline freeze</x:v>
      </x:c>
      <x:c r="K655" s="7" t="str"/>
      <x:c r="L655" s="10" t="str"/>
      <x:c r="M655" s="7" t="str">
        <x:v>OPEN</x:v>
      </x:c>
    </x:row>
    <x:row r="656" ht="36" customHeight="1">
      <x:c r="B656" s="7" t="str">
        <x:v>RAE-E-28-P02</x:v>
      </x:c>
      <x:c r="C656" s="7" t="str">
        <x:v>RAE-E-28</x:v>
      </x:c>
      <x:c r="D656" s="7" t="str">
        <x:v>RFP-B2</x:v>
      </x:c>
      <x:c r="E656" s="7" t="str">
        <x:v>AM-05</x:v>
      </x:c>
      <x:c r="F656" s="7" t="str">
        <x:v>TR-B</x:v>
      </x:c>
      <x:c r="G656" s="7" t="str">
        <x:v>QE-02</x:v>
      </x:c>
      <x:c r="H656" s="7" t="str">
        <x:v>P02</x:v>
      </x:c>
      <x:c r="I656" s="7" t="str">
        <x:v>T-72h</x:v>
      </x:c>
      <x:c r="J656" s="10" t="str">
        <x:v>source and water custody freeze</x:v>
      </x:c>
      <x:c r="K656" s="7" t="str"/>
      <x:c r="L656" s="10" t="str"/>
      <x:c r="M656" s="7" t="str">
        <x:v>OPEN</x:v>
      </x:c>
    </x:row>
    <x:row r="657" ht="36" customHeight="1">
      <x:c r="B657" s="7" t="str">
        <x:v>RAE-E-28-P03</x:v>
      </x:c>
      <x:c r="C657" s="7" t="str">
        <x:v>RAE-E-28</x:v>
      </x:c>
      <x:c r="D657" s="7" t="str">
        <x:v>RFP-B2</x:v>
      </x:c>
      <x:c r="E657" s="7" t="str">
        <x:v>AM-05</x:v>
      </x:c>
      <x:c r="F657" s="7" t="str">
        <x:v>TR-B</x:v>
      </x:c>
      <x:c r="G657" s="7" t="str">
        <x:v>QE-02</x:v>
      </x:c>
      <x:c r="H657" s="7" t="str">
        <x:v>P03</x:v>
      </x:c>
      <x:c r="I657" s="7" t="str">
        <x:v>T-48h</x:v>
      </x:c>
      <x:c r="J657" s="10" t="str">
        <x:v>article and configuration identity</x:v>
      </x:c>
      <x:c r="K657" s="7" t="str"/>
      <x:c r="L657" s="10" t="str"/>
      <x:c r="M657" s="7" t="str">
        <x:v>OPEN</x:v>
      </x:c>
    </x:row>
    <x:row r="658" ht="36" customHeight="1">
      <x:c r="B658" s="7" t="str">
        <x:v>RAE-E-28-P04</x:v>
      </x:c>
      <x:c r="C658" s="7" t="str">
        <x:v>RAE-E-28</x:v>
      </x:c>
      <x:c r="D658" s="7" t="str">
        <x:v>RFP-B2</x:v>
      </x:c>
      <x:c r="E658" s="7" t="str">
        <x:v>AM-05</x:v>
      </x:c>
      <x:c r="F658" s="7" t="str">
        <x:v>TR-B</x:v>
      </x:c>
      <x:c r="G658" s="7" t="str">
        <x:v>QE-02</x:v>
      </x:c>
      <x:c r="H658" s="7" t="str">
        <x:v>P04</x:v>
      </x:c>
      <x:c r="I658" s="7" t="str">
        <x:v>T-24h</x:v>
      </x:c>
      <x:c r="J658" s="10" t="str">
        <x:v>environment and recovery readiness</x:v>
      </x:c>
      <x:c r="K658" s="7" t="str"/>
      <x:c r="L658" s="10" t="str"/>
      <x:c r="M658" s="7" t="str">
        <x:v>OPEN</x:v>
      </x:c>
    </x:row>
    <x:row r="659" ht="36" customHeight="1">
      <x:c r="B659" s="7" t="str">
        <x:v>RAE-E-28-P05</x:v>
      </x:c>
      <x:c r="C659" s="7" t="str">
        <x:v>RAE-E-28</x:v>
      </x:c>
      <x:c r="D659" s="7" t="str">
        <x:v>RFP-B2</x:v>
      </x:c>
      <x:c r="E659" s="7" t="str">
        <x:v>AM-05</x:v>
      </x:c>
      <x:c r="F659" s="7" t="str">
        <x:v>TR-B</x:v>
      </x:c>
      <x:c r="G659" s="7" t="str">
        <x:v>QE-02</x:v>
      </x:c>
      <x:c r="H659" s="7" t="str">
        <x:v>P05</x:v>
      </x:c>
      <x:c r="I659" s="7" t="str">
        <x:v>T-12h</x:v>
      </x:c>
      <x:c r="J659" s="10" t="str">
        <x:v>rescue posture</x:v>
      </x:c>
      <x:c r="K659" s="7" t="str"/>
      <x:c r="L659" s="10" t="str"/>
      <x:c r="M659" s="7" t="str">
        <x:v>OPEN</x:v>
      </x:c>
    </x:row>
    <x:row r="660" ht="36" customHeight="1">
      <x:c r="B660" s="7" t="str">
        <x:v>RAE-E-28-P06</x:v>
      </x:c>
      <x:c r="C660" s="7" t="str">
        <x:v>RAE-E-28</x:v>
      </x:c>
      <x:c r="D660" s="7" t="str">
        <x:v>RFP-B2</x:v>
      </x:c>
      <x:c r="E660" s="7" t="str">
        <x:v>AM-05</x:v>
      </x:c>
      <x:c r="F660" s="7" t="str">
        <x:v>TR-B</x:v>
      </x:c>
      <x:c r="G660" s="7" t="str">
        <x:v>QE-02</x:v>
      </x:c>
      <x:c r="H660" s="7" t="str">
        <x:v>P06</x:v>
      </x:c>
      <x:c r="I660" s="7" t="str">
        <x:v>T-6h</x:v>
      </x:c>
      <x:c r="J660" s="10" t="str">
        <x:v>calibration before state</x:v>
      </x:c>
      <x:c r="K660" s="7" t="str"/>
      <x:c r="L660" s="10" t="str"/>
      <x:c r="M660" s="7" t="str">
        <x:v>OPEN</x:v>
      </x:c>
    </x:row>
    <x:row r="661" ht="36" customHeight="1">
      <x:c r="B661" s="7" t="str">
        <x:v>RAE-E-28-P07</x:v>
      </x:c>
      <x:c r="C661" s="7" t="str">
        <x:v>RAE-E-28</x:v>
      </x:c>
      <x:c r="D661" s="7" t="str">
        <x:v>RFP-B2</x:v>
      </x:c>
      <x:c r="E661" s="7" t="str">
        <x:v>AM-05</x:v>
      </x:c>
      <x:c r="F661" s="7" t="str">
        <x:v>TR-B</x:v>
      </x:c>
      <x:c r="G661" s="7" t="str">
        <x:v>QE-02</x:v>
      </x:c>
      <x:c r="H661" s="7" t="str">
        <x:v>P07</x:v>
      </x:c>
      <x:c r="I661" s="7" t="str">
        <x:v>T-2h</x:v>
      </x:c>
      <x:c r="J661" s="10" t="str">
        <x:v>receiver initial-volume proof</x:v>
      </x:c>
      <x:c r="K661" s="7" t="str"/>
      <x:c r="L661" s="10" t="str"/>
      <x:c r="M661" s="7" t="str">
        <x:v>OPEN</x:v>
      </x:c>
    </x:row>
    <x:row r="662" ht="36" customHeight="1">
      <x:c r="B662" s="7" t="str">
        <x:v>RAE-E-28-P08</x:v>
      </x:c>
      <x:c r="C662" s="7" t="str">
        <x:v>RAE-E-28</x:v>
      </x:c>
      <x:c r="D662" s="7" t="str">
        <x:v>RFP-B2</x:v>
      </x:c>
      <x:c r="E662" s="7" t="str">
        <x:v>AM-05</x:v>
      </x:c>
      <x:c r="F662" s="7" t="str">
        <x:v>TR-B</x:v>
      </x:c>
      <x:c r="G662" s="7" t="str">
        <x:v>QE-02</x:v>
      </x:c>
      <x:c r="H662" s="7" t="str">
        <x:v>P08</x:v>
      </x:c>
      <x:c r="I662" s="7" t="str">
        <x:v>T-60min</x:v>
      </x:c>
      <x:c r="J662" s="10" t="str">
        <x:v>neighbor inert-state proof</x:v>
      </x:c>
      <x:c r="K662" s="7" t="str"/>
      <x:c r="L662" s="10" t="str"/>
      <x:c r="M662" s="7" t="str">
        <x:v>OPEN</x:v>
      </x:c>
    </x:row>
    <x:row r="663" ht="36" customHeight="1">
      <x:c r="B663" s="7" t="str">
        <x:v>RAE-E-28-P09</x:v>
      </x:c>
      <x:c r="C663" s="7" t="str">
        <x:v>RAE-E-28</x:v>
      </x:c>
      <x:c r="D663" s="7" t="str">
        <x:v>RFP-B2</x:v>
      </x:c>
      <x:c r="E663" s="7" t="str">
        <x:v>AM-05</x:v>
      </x:c>
      <x:c r="F663" s="7" t="str">
        <x:v>TR-B</x:v>
      </x:c>
      <x:c r="G663" s="7" t="str">
        <x:v>QE-02</x:v>
      </x:c>
      <x:c r="H663" s="7" t="str">
        <x:v>P09</x:v>
      </x:c>
      <x:c r="I663" s="7" t="str">
        <x:v>T-30min</x:v>
      </x:c>
      <x:c r="J663" s="10" t="str">
        <x:v>native evidence armed</x:v>
      </x:c>
      <x:c r="K663" s="7" t="str"/>
      <x:c r="L663" s="10" t="str"/>
      <x:c r="M663" s="7" t="str">
        <x:v>OPEN</x:v>
      </x:c>
    </x:row>
    <x:row r="664" ht="36" customHeight="1">
      <x:c r="B664" s="7" t="str">
        <x:v>RAE-E-28-P10</x:v>
      </x:c>
      <x:c r="C664" s="7" t="str">
        <x:v>RAE-E-28</x:v>
      </x:c>
      <x:c r="D664" s="7" t="str">
        <x:v>RFP-B2</x:v>
      </x:c>
      <x:c r="E664" s="7" t="str">
        <x:v>AM-05</x:v>
      </x:c>
      <x:c r="F664" s="7" t="str">
        <x:v>TR-B</x:v>
      </x:c>
      <x:c r="G664" s="7" t="str">
        <x:v>QE-02</x:v>
      </x:c>
      <x:c r="H664" s="7" t="str">
        <x:v>P10</x:v>
      </x:c>
      <x:c r="I664" s="7" t="str">
        <x:v>T-10min</x:v>
      </x:c>
      <x:c r="J664" s="10" t="str">
        <x:v>final control poll</x:v>
      </x:c>
      <x:c r="K664" s="7" t="str"/>
      <x:c r="L664" s="10" t="str"/>
      <x:c r="M664" s="7" t="str">
        <x:v>OPEN</x:v>
      </x:c>
    </x:row>
    <x:row r="665" ht="36" customHeight="1">
      <x:c r="B665" s="7" t="str">
        <x:v>RAE-E-28-P11</x:v>
      </x:c>
      <x:c r="C665" s="7" t="str">
        <x:v>RAE-E-28</x:v>
      </x:c>
      <x:c r="D665" s="7" t="str">
        <x:v>RFP-B2</x:v>
      </x:c>
      <x:c r="E665" s="7" t="str">
        <x:v>AM-05</x:v>
      </x:c>
      <x:c r="F665" s="7" t="str">
        <x:v>TR-B</x:v>
      </x:c>
      <x:c r="G665" s="7" t="str">
        <x:v>QE-02</x:v>
      </x:c>
      <x:c r="H665" s="7" t="str">
        <x:v>P11</x:v>
      </x:c>
      <x:c r="I665" s="7" t="str">
        <x:v>T-60s</x:v>
      </x:c>
      <x:c r="J665" s="10" t="str">
        <x:v>full-rate capture</x:v>
      </x:c>
      <x:c r="K665" s="7" t="str"/>
      <x:c r="L665" s="10" t="str"/>
      <x:c r="M665" s="7" t="str">
        <x:v>OPEN</x:v>
      </x:c>
    </x:row>
    <x:row r="666" ht="36" customHeight="1">
      <x:c r="B666" s="7" t="str">
        <x:v>RAE-E-28-P12</x:v>
      </x:c>
      <x:c r="C666" s="7" t="str">
        <x:v>RAE-E-28</x:v>
      </x:c>
      <x:c r="D666" s="7" t="str">
        <x:v>RFP-B2</x:v>
      </x:c>
      <x:c r="E666" s="7" t="str">
        <x:v>AM-05</x:v>
      </x:c>
      <x:c r="F666" s="7" t="str">
        <x:v>TR-B</x:v>
      </x:c>
      <x:c r="G666" s="7" t="str">
        <x:v>QE-02</x:v>
      </x:c>
      <x:c r="H666" s="7" t="str">
        <x:v>P12</x:v>
      </x:c>
      <x:c r="I666" s="7" t="str">
        <x:v>T-10s</x:v>
      </x:c>
      <x:c r="J666" s="10" t="str">
        <x:v>registered challenge state</x:v>
      </x:c>
      <x:c r="K666" s="7" t="str"/>
      <x:c r="L666" s="10" t="str"/>
      <x:c r="M666" s="7" t="str">
        <x:v>OPEN</x:v>
      </x:c>
    </x:row>
    <x:row r="667" ht="36" customHeight="1">
      <x:c r="B667" s="7" t="str">
        <x:v>RAE-E-28-P13</x:v>
      </x:c>
      <x:c r="C667" s="7" t="str">
        <x:v>RAE-E-28</x:v>
      </x:c>
      <x:c r="D667" s="7" t="str">
        <x:v>RFP-B2</x:v>
      </x:c>
      <x:c r="E667" s="7" t="str">
        <x:v>AM-05</x:v>
      </x:c>
      <x:c r="F667" s="7" t="str">
        <x:v>TR-B</x:v>
      </x:c>
      <x:c r="G667" s="7" t="str">
        <x:v>QE-02</x:v>
      </x:c>
      <x:c r="H667" s="7" t="str">
        <x:v>P13</x:v>
      </x:c>
      <x:c r="I667" s="7" t="str">
        <x:v>T0</x:v>
      </x:c>
      <x:c r="J667" s="10" t="str">
        <x:v>source command or zero-source marker</x:v>
      </x:c>
      <x:c r="K667" s="7" t="str"/>
      <x:c r="L667" s="10" t="str"/>
      <x:c r="M667" s="7" t="str">
        <x:v>OPEN</x:v>
      </x:c>
    </x:row>
    <x:row r="668" ht="36" customHeight="1">
      <x:c r="B668" s="7" t="str">
        <x:v>RAE-E-28-P14</x:v>
      </x:c>
      <x:c r="C668" s="7" t="str">
        <x:v>RAE-E-28</x:v>
      </x:c>
      <x:c r="D668" s="7" t="str">
        <x:v>RFP-B2</x:v>
      </x:c>
      <x:c r="E668" s="7" t="str">
        <x:v>AM-05</x:v>
      </x:c>
      <x:c r="F668" s="7" t="str">
        <x:v>TR-B</x:v>
      </x:c>
      <x:c r="G668" s="7" t="str">
        <x:v>QE-02</x:v>
      </x:c>
      <x:c r="H668" s="7" t="str">
        <x:v>P14</x:v>
      </x:c>
      <x:c r="I668" s="7" t="str">
        <x:v>T+2s</x:v>
      </x:c>
      <x:c r="J668" s="10" t="str">
        <x:v>inlet and dispenser final state</x:v>
      </x:c>
      <x:c r="K668" s="7" t="str"/>
      <x:c r="L668" s="10" t="str"/>
      <x:c r="M668" s="7" t="str">
        <x:v>OPEN</x:v>
      </x:c>
    </x:row>
    <x:row r="669" ht="36" customHeight="1">
      <x:c r="B669" s="7" t="str">
        <x:v>RAE-E-28-P15</x:v>
      </x:c>
      <x:c r="C669" s="7" t="str">
        <x:v>RAE-E-28</x:v>
      </x:c>
      <x:c r="D669" s="7" t="str">
        <x:v>RFP-B2</x:v>
      </x:c>
      <x:c r="E669" s="7" t="str">
        <x:v>AM-05</x:v>
      </x:c>
      <x:c r="F669" s="7" t="str">
        <x:v>TR-B</x:v>
      </x:c>
      <x:c r="G669" s="7" t="str">
        <x:v>QE-02</x:v>
      </x:c>
      <x:c r="H669" s="7" t="str">
        <x:v>P15</x:v>
      </x:c>
      <x:c r="I669" s="7" t="str">
        <x:v>T+15s</x:v>
      </x:c>
      <x:c r="J669" s="10" t="str">
        <x:v>AM-06 QE-02 ignition opportunity</x:v>
      </x:c>
      <x:c r="K669" s="7" t="str"/>
      <x:c r="L669" s="10" t="str"/>
      <x:c r="M669" s="7" t="str">
        <x:v>OPEN</x:v>
      </x:c>
    </x:row>
    <x:row r="670" ht="36" customHeight="1">
      <x:c r="B670" s="7" t="str">
        <x:v>RAE-E-28-P16</x:v>
      </x:c>
      <x:c r="C670" s="7" t="str">
        <x:v>RAE-E-28</x:v>
      </x:c>
      <x:c r="D670" s="7" t="str">
        <x:v>RFP-B2</x:v>
      </x:c>
      <x:c r="E670" s="7" t="str">
        <x:v>AM-05</x:v>
      </x:c>
      <x:c r="F670" s="7" t="str">
        <x:v>TR-B</x:v>
      </x:c>
      <x:c r="G670" s="7" t="str">
        <x:v>QE-02</x:v>
      </x:c>
      <x:c r="H670" s="7" t="str">
        <x:v>P16</x:v>
      </x:c>
      <x:c r="I670" s="7" t="str">
        <x:v>T+30s</x:v>
      </x:c>
      <x:c r="J670" s="10" t="str">
        <x:v>terminal-source decision</x:v>
      </x:c>
      <x:c r="K670" s="7" t="str"/>
      <x:c r="L670" s="10" t="str"/>
      <x:c r="M670" s="7" t="str">
        <x:v>OPEN</x:v>
      </x:c>
    </x:row>
    <x:row r="671" ht="36" customHeight="1">
      <x:c r="B671" s="7" t="str">
        <x:v>RAE-E-28-P17</x:v>
      </x:c>
      <x:c r="C671" s="7" t="str">
        <x:v>RAE-E-28</x:v>
      </x:c>
      <x:c r="D671" s="7" t="str">
        <x:v>RFP-B2</x:v>
      </x:c>
      <x:c r="E671" s="7" t="str">
        <x:v>AM-05</x:v>
      </x:c>
      <x:c r="F671" s="7" t="str">
        <x:v>TR-B</x:v>
      </x:c>
      <x:c r="G671" s="7" t="str">
        <x:v>QE-02</x:v>
      </x:c>
      <x:c r="H671" s="7" t="str">
        <x:v>P17</x:v>
      </x:c>
      <x:c r="I671" s="7" t="str">
        <x:v>T+120s</x:v>
      </x:c>
      <x:c r="J671" s="10" t="str">
        <x:v>public schedule end</x:v>
      </x:c>
      <x:c r="K671" s="7" t="str"/>
      <x:c r="L671" s="10" t="str"/>
      <x:c r="M671" s="7" t="str">
        <x:v>OPEN</x:v>
      </x:c>
    </x:row>
    <x:row r="672" ht="36" customHeight="1">
      <x:c r="B672" s="7" t="str">
        <x:v>RAE-E-28-P18</x:v>
      </x:c>
      <x:c r="C672" s="7" t="str">
        <x:v>RAE-E-28</x:v>
      </x:c>
      <x:c r="D672" s="7" t="str">
        <x:v>RFP-B2</x:v>
      </x:c>
      <x:c r="E672" s="7" t="str">
        <x:v>AM-05</x:v>
      </x:c>
      <x:c r="F672" s="7" t="str">
        <x:v>TR-B</x:v>
      </x:c>
      <x:c r="G672" s="7" t="str">
        <x:v>QE-02</x:v>
      </x:c>
      <x:c r="H672" s="7" t="str">
        <x:v>P18</x:v>
      </x:c>
      <x:c r="I672" s="7" t="str">
        <x:v>T+15min</x:v>
      </x:c>
      <x:c r="J672" s="10" t="str">
        <x:v>thermal and water classification</x:v>
      </x:c>
      <x:c r="K672" s="7" t="str"/>
      <x:c r="L672" s="10" t="str"/>
      <x:c r="M672" s="7" t="str">
        <x:v>OPEN</x:v>
      </x:c>
    </x:row>
    <x:row r="673" ht="36" customHeight="1">
      <x:c r="B673" s="7" t="str">
        <x:v>RAE-E-28-P19</x:v>
      </x:c>
      <x:c r="C673" s="7" t="str">
        <x:v>RAE-E-28</x:v>
      </x:c>
      <x:c r="D673" s="7" t="str">
        <x:v>RFP-B2</x:v>
      </x:c>
      <x:c r="E673" s="7" t="str">
        <x:v>AM-05</x:v>
      </x:c>
      <x:c r="F673" s="7" t="str">
        <x:v>TR-B</x:v>
      </x:c>
      <x:c r="G673" s="7" t="str">
        <x:v>QE-02</x:v>
      </x:c>
      <x:c r="H673" s="7" t="str">
        <x:v>P19</x:v>
      </x:c>
      <x:c r="I673" s="7" t="str">
        <x:v>T+30min</x:v>
      </x:c>
      <x:c r="J673" s="10" t="str">
        <x:v>public intervention classification</x:v>
      </x:c>
      <x:c r="K673" s="7" t="str"/>
      <x:c r="L673" s="10" t="str"/>
      <x:c r="M673" s="7" t="str">
        <x:v>OPEN</x:v>
      </x:c>
    </x:row>
    <x:row r="674" ht="36" customHeight="1">
      <x:c r="B674" s="7" t="str">
        <x:v>RAE-E-28-P20</x:v>
      </x:c>
      <x:c r="C674" s="7" t="str">
        <x:v>RAE-E-28</x:v>
      </x:c>
      <x:c r="D674" s="7" t="str">
        <x:v>RFP-B2</x:v>
      </x:c>
      <x:c r="E674" s="7" t="str">
        <x:v>AM-05</x:v>
      </x:c>
      <x:c r="F674" s="7" t="str">
        <x:v>TR-B</x:v>
      </x:c>
      <x:c r="G674" s="7" t="str">
        <x:v>QE-02</x:v>
      </x:c>
      <x:c r="H674" s="7" t="str">
        <x:v>P20</x:v>
      </x:c>
      <x:c r="I674" s="7" t="str">
        <x:v>T+60min</x:v>
      </x:c>
      <x:c r="J674" s="10" t="str">
        <x:v>remote-entry classification</x:v>
      </x:c>
      <x:c r="K674" s="7" t="str"/>
      <x:c r="L674" s="10" t="str"/>
      <x:c r="M674" s="7" t="str">
        <x:v>OPEN</x:v>
      </x:c>
    </x:row>
    <x:row r="675" ht="36" customHeight="1">
      <x:c r="B675" s="7" t="str">
        <x:v>RAE-E-28-P21</x:v>
      </x:c>
      <x:c r="C675" s="7" t="str">
        <x:v>RAE-E-28</x:v>
      </x:c>
      <x:c r="D675" s="7" t="str">
        <x:v>RFP-B2</x:v>
      </x:c>
      <x:c r="E675" s="7" t="str">
        <x:v>AM-05</x:v>
      </x:c>
      <x:c r="F675" s="7" t="str">
        <x:v>TR-B</x:v>
      </x:c>
      <x:c r="G675" s="7" t="str">
        <x:v>QE-02</x:v>
      </x:c>
      <x:c r="H675" s="7" t="str">
        <x:v>P21</x:v>
      </x:c>
      <x:c r="I675" s="7" t="str">
        <x:v>T+6h</x:v>
      </x:c>
      <x:c r="J675" s="10" t="str">
        <x:v>evidence tail closure</x:v>
      </x:c>
      <x:c r="K675" s="7" t="str"/>
      <x:c r="L675" s="10" t="str"/>
      <x:c r="M675" s="7" t="str">
        <x:v>OPEN</x:v>
      </x:c>
    </x:row>
    <x:row r="676" ht="36" customHeight="1">
      <x:c r="B676" s="7" t="str">
        <x:v>RAE-E-28-P22</x:v>
      </x:c>
      <x:c r="C676" s="7" t="str">
        <x:v>RAE-E-28</x:v>
      </x:c>
      <x:c r="D676" s="7" t="str">
        <x:v>RFP-B2</x:v>
      </x:c>
      <x:c r="E676" s="7" t="str">
        <x:v>AM-05</x:v>
      </x:c>
      <x:c r="F676" s="7" t="str">
        <x:v>TR-B</x:v>
      </x:c>
      <x:c r="G676" s="7" t="str">
        <x:v>QE-02</x:v>
      </x:c>
      <x:c r="H676" s="7" t="str">
        <x:v>P22</x:v>
      </x:c>
      <x:c r="I676" s="7" t="str">
        <x:v>T+24h</x:v>
      </x:c>
      <x:c r="J676" s="10" t="str">
        <x:v>physical ledger closure</x:v>
      </x:c>
      <x:c r="K676" s="7" t="str"/>
      <x:c r="L676" s="10" t="str"/>
      <x:c r="M676" s="7" t="str">
        <x:v>OPEN</x:v>
      </x:c>
    </x:row>
    <x:row r="677" ht="36" customHeight="1">
      <x:c r="B677" s="7" t="str">
        <x:v>RAE-E-28-P23</x:v>
      </x:c>
      <x:c r="C677" s="7" t="str">
        <x:v>RAE-E-28</x:v>
      </x:c>
      <x:c r="D677" s="7" t="str">
        <x:v>RFP-B2</x:v>
      </x:c>
      <x:c r="E677" s="7" t="str">
        <x:v>AM-05</x:v>
      </x:c>
      <x:c r="F677" s="7" t="str">
        <x:v>TR-B</x:v>
      </x:c>
      <x:c r="G677" s="7" t="str">
        <x:v>QE-02</x:v>
      </x:c>
      <x:c r="H677" s="7" t="str">
        <x:v>P23</x:v>
      </x:c>
      <x:c r="I677" s="7" t="str">
        <x:v>T+72h</x:v>
      </x:c>
      <x:c r="J677" s="10" t="str">
        <x:v>immutable packet freeze</x:v>
      </x:c>
      <x:c r="K677" s="7" t="str"/>
      <x:c r="L677" s="10" t="str"/>
      <x:c r="M677" s="7" t="str">
        <x:v>OPEN</x:v>
      </x:c>
    </x:row>
    <x:row r="678" ht="36" customHeight="1">
      <x:c r="B678" s="7" t="str">
        <x:v>RAE-E-28-P24</x:v>
      </x:c>
      <x:c r="C678" s="7" t="str">
        <x:v>RAE-E-28</x:v>
      </x:c>
      <x:c r="D678" s="7" t="str">
        <x:v>RFP-B2</x:v>
      </x:c>
      <x:c r="E678" s="7" t="str">
        <x:v>AM-05</x:v>
      </x:c>
      <x:c r="F678" s="7" t="str">
        <x:v>TR-B</x:v>
      </x:c>
      <x:c r="G678" s="7" t="str">
        <x:v>QE-02</x:v>
      </x:c>
      <x:c r="H678" s="7" t="str">
        <x:v>P24</x:v>
      </x:c>
      <x:c r="I678" s="7" t="str">
        <x:v>day 7</x:v>
      </x:c>
      <x:c r="J678" s="10" t="str">
        <x:v>validity and outcome board</x:v>
      </x:c>
      <x:c r="K678" s="7" t="str"/>
      <x:c r="L678" s="10" t="str"/>
      <x:c r="M678" s="7" t="str">
        <x:v>OPEN</x:v>
      </x:c>
    </x:row>
    <x:row r="679" ht="36" customHeight="1">
      <x:c r="B679" s="7" t="str">
        <x:v>RAE-E-29-P01</x:v>
      </x:c>
      <x:c r="C679" s="7" t="str">
        <x:v>RAE-E-29</x:v>
      </x:c>
      <x:c r="D679" s="7" t="str">
        <x:v>RFP-B2</x:v>
      </x:c>
      <x:c r="E679" s="7" t="str">
        <x:v>AM-06</x:v>
      </x:c>
      <x:c r="F679" s="7" t="str">
        <x:v>TR-A</x:v>
      </x:c>
      <x:c r="G679" s="7" t="str">
        <x:v>QE-01</x:v>
      </x:c>
      <x:c r="H679" s="7" t="str">
        <x:v>P01</x:v>
      </x:c>
      <x:c r="I679" s="7" t="str">
        <x:v>T-96h</x:v>
      </x:c>
      <x:c r="J679" s="10" t="str">
        <x:v>baseline freeze</x:v>
      </x:c>
      <x:c r="K679" s="7" t="str"/>
      <x:c r="L679" s="10" t="str"/>
      <x:c r="M679" s="7" t="str">
        <x:v>OPEN</x:v>
      </x:c>
    </x:row>
    <x:row r="680" ht="36" customHeight="1">
      <x:c r="B680" s="7" t="str">
        <x:v>RAE-E-29-P02</x:v>
      </x:c>
      <x:c r="C680" s="7" t="str">
        <x:v>RAE-E-29</x:v>
      </x:c>
      <x:c r="D680" s="7" t="str">
        <x:v>RFP-B2</x:v>
      </x:c>
      <x:c r="E680" s="7" t="str">
        <x:v>AM-06</x:v>
      </x:c>
      <x:c r="F680" s="7" t="str">
        <x:v>TR-A</x:v>
      </x:c>
      <x:c r="G680" s="7" t="str">
        <x:v>QE-01</x:v>
      </x:c>
      <x:c r="H680" s="7" t="str">
        <x:v>P02</x:v>
      </x:c>
      <x:c r="I680" s="7" t="str">
        <x:v>T-72h</x:v>
      </x:c>
      <x:c r="J680" s="10" t="str">
        <x:v>source and water custody freeze</x:v>
      </x:c>
      <x:c r="K680" s="7" t="str"/>
      <x:c r="L680" s="10" t="str"/>
      <x:c r="M680" s="7" t="str">
        <x:v>OPEN</x:v>
      </x:c>
    </x:row>
    <x:row r="681" ht="36" customHeight="1">
      <x:c r="B681" s="7" t="str">
        <x:v>RAE-E-29-P03</x:v>
      </x:c>
      <x:c r="C681" s="7" t="str">
        <x:v>RAE-E-29</x:v>
      </x:c>
      <x:c r="D681" s="7" t="str">
        <x:v>RFP-B2</x:v>
      </x:c>
      <x:c r="E681" s="7" t="str">
        <x:v>AM-06</x:v>
      </x:c>
      <x:c r="F681" s="7" t="str">
        <x:v>TR-A</x:v>
      </x:c>
      <x:c r="G681" s="7" t="str">
        <x:v>QE-01</x:v>
      </x:c>
      <x:c r="H681" s="7" t="str">
        <x:v>P03</x:v>
      </x:c>
      <x:c r="I681" s="7" t="str">
        <x:v>T-48h</x:v>
      </x:c>
      <x:c r="J681" s="10" t="str">
        <x:v>article and configuration identity</x:v>
      </x:c>
      <x:c r="K681" s="7" t="str"/>
      <x:c r="L681" s="10" t="str"/>
      <x:c r="M681" s="7" t="str">
        <x:v>OPEN</x:v>
      </x:c>
    </x:row>
    <x:row r="682" ht="36" customHeight="1">
      <x:c r="B682" s="7" t="str">
        <x:v>RAE-E-29-P04</x:v>
      </x:c>
      <x:c r="C682" s="7" t="str">
        <x:v>RAE-E-29</x:v>
      </x:c>
      <x:c r="D682" s="7" t="str">
        <x:v>RFP-B2</x:v>
      </x:c>
      <x:c r="E682" s="7" t="str">
        <x:v>AM-06</x:v>
      </x:c>
      <x:c r="F682" s="7" t="str">
        <x:v>TR-A</x:v>
      </x:c>
      <x:c r="G682" s="7" t="str">
        <x:v>QE-01</x:v>
      </x:c>
      <x:c r="H682" s="7" t="str">
        <x:v>P04</x:v>
      </x:c>
      <x:c r="I682" s="7" t="str">
        <x:v>T-24h</x:v>
      </x:c>
      <x:c r="J682" s="10" t="str">
        <x:v>environment and recovery readiness</x:v>
      </x:c>
      <x:c r="K682" s="7" t="str"/>
      <x:c r="L682" s="10" t="str"/>
      <x:c r="M682" s="7" t="str">
        <x:v>OPEN</x:v>
      </x:c>
    </x:row>
    <x:row r="683" ht="36" customHeight="1">
      <x:c r="B683" s="7" t="str">
        <x:v>RAE-E-29-P05</x:v>
      </x:c>
      <x:c r="C683" s="7" t="str">
        <x:v>RAE-E-29</x:v>
      </x:c>
      <x:c r="D683" s="7" t="str">
        <x:v>RFP-B2</x:v>
      </x:c>
      <x:c r="E683" s="7" t="str">
        <x:v>AM-06</x:v>
      </x:c>
      <x:c r="F683" s="7" t="str">
        <x:v>TR-A</x:v>
      </x:c>
      <x:c r="G683" s="7" t="str">
        <x:v>QE-01</x:v>
      </x:c>
      <x:c r="H683" s="7" t="str">
        <x:v>P05</x:v>
      </x:c>
      <x:c r="I683" s="7" t="str">
        <x:v>T-12h</x:v>
      </x:c>
      <x:c r="J683" s="10" t="str">
        <x:v>rescue posture</x:v>
      </x:c>
      <x:c r="K683" s="7" t="str"/>
      <x:c r="L683" s="10" t="str"/>
      <x:c r="M683" s="7" t="str">
        <x:v>OPEN</x:v>
      </x:c>
    </x:row>
    <x:row r="684" ht="36" customHeight="1">
      <x:c r="B684" s="7" t="str">
        <x:v>RAE-E-29-P06</x:v>
      </x:c>
      <x:c r="C684" s="7" t="str">
        <x:v>RAE-E-29</x:v>
      </x:c>
      <x:c r="D684" s="7" t="str">
        <x:v>RFP-B2</x:v>
      </x:c>
      <x:c r="E684" s="7" t="str">
        <x:v>AM-06</x:v>
      </x:c>
      <x:c r="F684" s="7" t="str">
        <x:v>TR-A</x:v>
      </x:c>
      <x:c r="G684" s="7" t="str">
        <x:v>QE-01</x:v>
      </x:c>
      <x:c r="H684" s="7" t="str">
        <x:v>P06</x:v>
      </x:c>
      <x:c r="I684" s="7" t="str">
        <x:v>T-6h</x:v>
      </x:c>
      <x:c r="J684" s="10" t="str">
        <x:v>calibration before state</x:v>
      </x:c>
      <x:c r="K684" s="7" t="str"/>
      <x:c r="L684" s="10" t="str"/>
      <x:c r="M684" s="7" t="str">
        <x:v>OPEN</x:v>
      </x:c>
    </x:row>
    <x:row r="685" ht="36" customHeight="1">
      <x:c r="B685" s="7" t="str">
        <x:v>RAE-E-29-P07</x:v>
      </x:c>
      <x:c r="C685" s="7" t="str">
        <x:v>RAE-E-29</x:v>
      </x:c>
      <x:c r="D685" s="7" t="str">
        <x:v>RFP-B2</x:v>
      </x:c>
      <x:c r="E685" s="7" t="str">
        <x:v>AM-06</x:v>
      </x:c>
      <x:c r="F685" s="7" t="str">
        <x:v>TR-A</x:v>
      </x:c>
      <x:c r="G685" s="7" t="str">
        <x:v>QE-01</x:v>
      </x:c>
      <x:c r="H685" s="7" t="str">
        <x:v>P07</x:v>
      </x:c>
      <x:c r="I685" s="7" t="str">
        <x:v>T-2h</x:v>
      </x:c>
      <x:c r="J685" s="10" t="str">
        <x:v>receiver initial-volume proof</x:v>
      </x:c>
      <x:c r="K685" s="7" t="str"/>
      <x:c r="L685" s="10" t="str"/>
      <x:c r="M685" s="7" t="str">
        <x:v>OPEN</x:v>
      </x:c>
    </x:row>
    <x:row r="686" ht="36" customHeight="1">
      <x:c r="B686" s="7" t="str">
        <x:v>RAE-E-29-P08</x:v>
      </x:c>
      <x:c r="C686" s="7" t="str">
        <x:v>RAE-E-29</x:v>
      </x:c>
      <x:c r="D686" s="7" t="str">
        <x:v>RFP-B2</x:v>
      </x:c>
      <x:c r="E686" s="7" t="str">
        <x:v>AM-06</x:v>
      </x:c>
      <x:c r="F686" s="7" t="str">
        <x:v>TR-A</x:v>
      </x:c>
      <x:c r="G686" s="7" t="str">
        <x:v>QE-01</x:v>
      </x:c>
      <x:c r="H686" s="7" t="str">
        <x:v>P08</x:v>
      </x:c>
      <x:c r="I686" s="7" t="str">
        <x:v>T-60min</x:v>
      </x:c>
      <x:c r="J686" s="10" t="str">
        <x:v>neighbor inert-state proof</x:v>
      </x:c>
      <x:c r="K686" s="7" t="str"/>
      <x:c r="L686" s="10" t="str"/>
      <x:c r="M686" s="7" t="str">
        <x:v>OPEN</x:v>
      </x:c>
    </x:row>
    <x:row r="687" ht="36" customHeight="1">
      <x:c r="B687" s="7" t="str">
        <x:v>RAE-E-29-P09</x:v>
      </x:c>
      <x:c r="C687" s="7" t="str">
        <x:v>RAE-E-29</x:v>
      </x:c>
      <x:c r="D687" s="7" t="str">
        <x:v>RFP-B2</x:v>
      </x:c>
      <x:c r="E687" s="7" t="str">
        <x:v>AM-06</x:v>
      </x:c>
      <x:c r="F687" s="7" t="str">
        <x:v>TR-A</x:v>
      </x:c>
      <x:c r="G687" s="7" t="str">
        <x:v>QE-01</x:v>
      </x:c>
      <x:c r="H687" s="7" t="str">
        <x:v>P09</x:v>
      </x:c>
      <x:c r="I687" s="7" t="str">
        <x:v>T-30min</x:v>
      </x:c>
      <x:c r="J687" s="10" t="str">
        <x:v>native evidence armed</x:v>
      </x:c>
      <x:c r="K687" s="7" t="str"/>
      <x:c r="L687" s="10" t="str"/>
      <x:c r="M687" s="7" t="str">
        <x:v>OPEN</x:v>
      </x:c>
    </x:row>
    <x:row r="688" ht="36" customHeight="1">
      <x:c r="B688" s="7" t="str">
        <x:v>RAE-E-29-P10</x:v>
      </x:c>
      <x:c r="C688" s="7" t="str">
        <x:v>RAE-E-29</x:v>
      </x:c>
      <x:c r="D688" s="7" t="str">
        <x:v>RFP-B2</x:v>
      </x:c>
      <x:c r="E688" s="7" t="str">
        <x:v>AM-06</x:v>
      </x:c>
      <x:c r="F688" s="7" t="str">
        <x:v>TR-A</x:v>
      </x:c>
      <x:c r="G688" s="7" t="str">
        <x:v>QE-01</x:v>
      </x:c>
      <x:c r="H688" s="7" t="str">
        <x:v>P10</x:v>
      </x:c>
      <x:c r="I688" s="7" t="str">
        <x:v>T-10min</x:v>
      </x:c>
      <x:c r="J688" s="10" t="str">
        <x:v>final control poll</x:v>
      </x:c>
      <x:c r="K688" s="7" t="str"/>
      <x:c r="L688" s="10" t="str"/>
      <x:c r="M688" s="7" t="str">
        <x:v>OPEN</x:v>
      </x:c>
    </x:row>
    <x:row r="689" ht="36" customHeight="1">
      <x:c r="B689" s="7" t="str">
        <x:v>RAE-E-29-P11</x:v>
      </x:c>
      <x:c r="C689" s="7" t="str">
        <x:v>RAE-E-29</x:v>
      </x:c>
      <x:c r="D689" s="7" t="str">
        <x:v>RFP-B2</x:v>
      </x:c>
      <x:c r="E689" s="7" t="str">
        <x:v>AM-06</x:v>
      </x:c>
      <x:c r="F689" s="7" t="str">
        <x:v>TR-A</x:v>
      </x:c>
      <x:c r="G689" s="7" t="str">
        <x:v>QE-01</x:v>
      </x:c>
      <x:c r="H689" s="7" t="str">
        <x:v>P11</x:v>
      </x:c>
      <x:c r="I689" s="7" t="str">
        <x:v>T-60s</x:v>
      </x:c>
      <x:c r="J689" s="10" t="str">
        <x:v>full-rate capture</x:v>
      </x:c>
      <x:c r="K689" s="7" t="str"/>
      <x:c r="L689" s="10" t="str"/>
      <x:c r="M689" s="7" t="str">
        <x:v>OPEN</x:v>
      </x:c>
    </x:row>
    <x:row r="690" ht="36" customHeight="1">
      <x:c r="B690" s="7" t="str">
        <x:v>RAE-E-29-P12</x:v>
      </x:c>
      <x:c r="C690" s="7" t="str">
        <x:v>RAE-E-29</x:v>
      </x:c>
      <x:c r="D690" s="7" t="str">
        <x:v>RFP-B2</x:v>
      </x:c>
      <x:c r="E690" s="7" t="str">
        <x:v>AM-06</x:v>
      </x:c>
      <x:c r="F690" s="7" t="str">
        <x:v>TR-A</x:v>
      </x:c>
      <x:c r="G690" s="7" t="str">
        <x:v>QE-01</x:v>
      </x:c>
      <x:c r="H690" s="7" t="str">
        <x:v>P12</x:v>
      </x:c>
      <x:c r="I690" s="7" t="str">
        <x:v>T-10s</x:v>
      </x:c>
      <x:c r="J690" s="10" t="str">
        <x:v>registered challenge state</x:v>
      </x:c>
      <x:c r="K690" s="7" t="str"/>
      <x:c r="L690" s="10" t="str"/>
      <x:c r="M690" s="7" t="str">
        <x:v>OPEN</x:v>
      </x:c>
    </x:row>
    <x:row r="691" ht="36" customHeight="1">
      <x:c r="B691" s="7" t="str">
        <x:v>RAE-E-29-P13</x:v>
      </x:c>
      <x:c r="C691" s="7" t="str">
        <x:v>RAE-E-29</x:v>
      </x:c>
      <x:c r="D691" s="7" t="str">
        <x:v>RFP-B2</x:v>
      </x:c>
      <x:c r="E691" s="7" t="str">
        <x:v>AM-06</x:v>
      </x:c>
      <x:c r="F691" s="7" t="str">
        <x:v>TR-A</x:v>
      </x:c>
      <x:c r="G691" s="7" t="str">
        <x:v>QE-01</x:v>
      </x:c>
      <x:c r="H691" s="7" t="str">
        <x:v>P13</x:v>
      </x:c>
      <x:c r="I691" s="7" t="str">
        <x:v>T0</x:v>
      </x:c>
      <x:c r="J691" s="10" t="str">
        <x:v>source command or zero-source marker</x:v>
      </x:c>
      <x:c r="K691" s="7" t="str"/>
      <x:c r="L691" s="10" t="str"/>
      <x:c r="M691" s="7" t="str">
        <x:v>OPEN</x:v>
      </x:c>
    </x:row>
    <x:row r="692" ht="36" customHeight="1">
      <x:c r="B692" s="7" t="str">
        <x:v>RAE-E-29-P14</x:v>
      </x:c>
      <x:c r="C692" s="7" t="str">
        <x:v>RAE-E-29</x:v>
      </x:c>
      <x:c r="D692" s="7" t="str">
        <x:v>RFP-B2</x:v>
      </x:c>
      <x:c r="E692" s="7" t="str">
        <x:v>AM-06</x:v>
      </x:c>
      <x:c r="F692" s="7" t="str">
        <x:v>TR-A</x:v>
      </x:c>
      <x:c r="G692" s="7" t="str">
        <x:v>QE-01</x:v>
      </x:c>
      <x:c r="H692" s="7" t="str">
        <x:v>P14</x:v>
      </x:c>
      <x:c r="I692" s="7" t="str">
        <x:v>T+2s</x:v>
      </x:c>
      <x:c r="J692" s="10" t="str">
        <x:v>inlet and dispenser final state</x:v>
      </x:c>
      <x:c r="K692" s="7" t="str"/>
      <x:c r="L692" s="10" t="str"/>
      <x:c r="M692" s="7" t="str">
        <x:v>OPEN</x:v>
      </x:c>
    </x:row>
    <x:row r="693" ht="36" customHeight="1">
      <x:c r="B693" s="7" t="str">
        <x:v>RAE-E-29-P15</x:v>
      </x:c>
      <x:c r="C693" s="7" t="str">
        <x:v>RAE-E-29</x:v>
      </x:c>
      <x:c r="D693" s="7" t="str">
        <x:v>RFP-B2</x:v>
      </x:c>
      <x:c r="E693" s="7" t="str">
        <x:v>AM-06</x:v>
      </x:c>
      <x:c r="F693" s="7" t="str">
        <x:v>TR-A</x:v>
      </x:c>
      <x:c r="G693" s="7" t="str">
        <x:v>QE-01</x:v>
      </x:c>
      <x:c r="H693" s="7" t="str">
        <x:v>P15</x:v>
      </x:c>
      <x:c r="I693" s="7" t="str">
        <x:v>T+15s</x:v>
      </x:c>
      <x:c r="J693" s="10" t="str">
        <x:v>AM-06 QE-02 ignition opportunity</x:v>
      </x:c>
      <x:c r="K693" s="7" t="str"/>
      <x:c r="L693" s="10" t="str"/>
      <x:c r="M693" s="7" t="str">
        <x:v>OPEN</x:v>
      </x:c>
    </x:row>
    <x:row r="694" ht="36" customHeight="1">
      <x:c r="B694" s="7" t="str">
        <x:v>RAE-E-29-P16</x:v>
      </x:c>
      <x:c r="C694" s="7" t="str">
        <x:v>RAE-E-29</x:v>
      </x:c>
      <x:c r="D694" s="7" t="str">
        <x:v>RFP-B2</x:v>
      </x:c>
      <x:c r="E694" s="7" t="str">
        <x:v>AM-06</x:v>
      </x:c>
      <x:c r="F694" s="7" t="str">
        <x:v>TR-A</x:v>
      </x:c>
      <x:c r="G694" s="7" t="str">
        <x:v>QE-01</x:v>
      </x:c>
      <x:c r="H694" s="7" t="str">
        <x:v>P16</x:v>
      </x:c>
      <x:c r="I694" s="7" t="str">
        <x:v>T+30s</x:v>
      </x:c>
      <x:c r="J694" s="10" t="str">
        <x:v>terminal-source decision</x:v>
      </x:c>
      <x:c r="K694" s="7" t="str"/>
      <x:c r="L694" s="10" t="str"/>
      <x:c r="M694" s="7" t="str">
        <x:v>OPEN</x:v>
      </x:c>
    </x:row>
    <x:row r="695" ht="36" customHeight="1">
      <x:c r="B695" s="7" t="str">
        <x:v>RAE-E-29-P17</x:v>
      </x:c>
      <x:c r="C695" s="7" t="str">
        <x:v>RAE-E-29</x:v>
      </x:c>
      <x:c r="D695" s="7" t="str">
        <x:v>RFP-B2</x:v>
      </x:c>
      <x:c r="E695" s="7" t="str">
        <x:v>AM-06</x:v>
      </x:c>
      <x:c r="F695" s="7" t="str">
        <x:v>TR-A</x:v>
      </x:c>
      <x:c r="G695" s="7" t="str">
        <x:v>QE-01</x:v>
      </x:c>
      <x:c r="H695" s="7" t="str">
        <x:v>P17</x:v>
      </x:c>
      <x:c r="I695" s="7" t="str">
        <x:v>T+120s</x:v>
      </x:c>
      <x:c r="J695" s="10" t="str">
        <x:v>public schedule end</x:v>
      </x:c>
      <x:c r="K695" s="7" t="str"/>
      <x:c r="L695" s="10" t="str"/>
      <x:c r="M695" s="7" t="str">
        <x:v>OPEN</x:v>
      </x:c>
    </x:row>
    <x:row r="696" ht="36" customHeight="1">
      <x:c r="B696" s="7" t="str">
        <x:v>RAE-E-29-P18</x:v>
      </x:c>
      <x:c r="C696" s="7" t="str">
        <x:v>RAE-E-29</x:v>
      </x:c>
      <x:c r="D696" s="7" t="str">
        <x:v>RFP-B2</x:v>
      </x:c>
      <x:c r="E696" s="7" t="str">
        <x:v>AM-06</x:v>
      </x:c>
      <x:c r="F696" s="7" t="str">
        <x:v>TR-A</x:v>
      </x:c>
      <x:c r="G696" s="7" t="str">
        <x:v>QE-01</x:v>
      </x:c>
      <x:c r="H696" s="7" t="str">
        <x:v>P18</x:v>
      </x:c>
      <x:c r="I696" s="7" t="str">
        <x:v>T+15min</x:v>
      </x:c>
      <x:c r="J696" s="10" t="str">
        <x:v>thermal and water classification</x:v>
      </x:c>
      <x:c r="K696" s="7" t="str"/>
      <x:c r="L696" s="10" t="str"/>
      <x:c r="M696" s="7" t="str">
        <x:v>OPEN</x:v>
      </x:c>
    </x:row>
    <x:row r="697" ht="36" customHeight="1">
      <x:c r="B697" s="7" t="str">
        <x:v>RAE-E-29-P19</x:v>
      </x:c>
      <x:c r="C697" s="7" t="str">
        <x:v>RAE-E-29</x:v>
      </x:c>
      <x:c r="D697" s="7" t="str">
        <x:v>RFP-B2</x:v>
      </x:c>
      <x:c r="E697" s="7" t="str">
        <x:v>AM-06</x:v>
      </x:c>
      <x:c r="F697" s="7" t="str">
        <x:v>TR-A</x:v>
      </x:c>
      <x:c r="G697" s="7" t="str">
        <x:v>QE-01</x:v>
      </x:c>
      <x:c r="H697" s="7" t="str">
        <x:v>P19</x:v>
      </x:c>
      <x:c r="I697" s="7" t="str">
        <x:v>T+30min</x:v>
      </x:c>
      <x:c r="J697" s="10" t="str">
        <x:v>public intervention classification</x:v>
      </x:c>
      <x:c r="K697" s="7" t="str"/>
      <x:c r="L697" s="10" t="str"/>
      <x:c r="M697" s="7" t="str">
        <x:v>OPEN</x:v>
      </x:c>
    </x:row>
    <x:row r="698" ht="36" customHeight="1">
      <x:c r="B698" s="7" t="str">
        <x:v>RAE-E-29-P20</x:v>
      </x:c>
      <x:c r="C698" s="7" t="str">
        <x:v>RAE-E-29</x:v>
      </x:c>
      <x:c r="D698" s="7" t="str">
        <x:v>RFP-B2</x:v>
      </x:c>
      <x:c r="E698" s="7" t="str">
        <x:v>AM-06</x:v>
      </x:c>
      <x:c r="F698" s="7" t="str">
        <x:v>TR-A</x:v>
      </x:c>
      <x:c r="G698" s="7" t="str">
        <x:v>QE-01</x:v>
      </x:c>
      <x:c r="H698" s="7" t="str">
        <x:v>P20</x:v>
      </x:c>
      <x:c r="I698" s="7" t="str">
        <x:v>T+60min</x:v>
      </x:c>
      <x:c r="J698" s="10" t="str">
        <x:v>remote-entry classification</x:v>
      </x:c>
      <x:c r="K698" s="7" t="str"/>
      <x:c r="L698" s="10" t="str"/>
      <x:c r="M698" s="7" t="str">
        <x:v>OPEN</x:v>
      </x:c>
    </x:row>
    <x:row r="699" ht="36" customHeight="1">
      <x:c r="B699" s="7" t="str">
        <x:v>RAE-E-29-P21</x:v>
      </x:c>
      <x:c r="C699" s="7" t="str">
        <x:v>RAE-E-29</x:v>
      </x:c>
      <x:c r="D699" s="7" t="str">
        <x:v>RFP-B2</x:v>
      </x:c>
      <x:c r="E699" s="7" t="str">
        <x:v>AM-06</x:v>
      </x:c>
      <x:c r="F699" s="7" t="str">
        <x:v>TR-A</x:v>
      </x:c>
      <x:c r="G699" s="7" t="str">
        <x:v>QE-01</x:v>
      </x:c>
      <x:c r="H699" s="7" t="str">
        <x:v>P21</x:v>
      </x:c>
      <x:c r="I699" s="7" t="str">
        <x:v>T+6h</x:v>
      </x:c>
      <x:c r="J699" s="10" t="str">
        <x:v>evidence tail closure</x:v>
      </x:c>
      <x:c r="K699" s="7" t="str"/>
      <x:c r="L699" s="10" t="str"/>
      <x:c r="M699" s="7" t="str">
        <x:v>OPEN</x:v>
      </x:c>
    </x:row>
    <x:row r="700" ht="36" customHeight="1">
      <x:c r="B700" s="7" t="str">
        <x:v>RAE-E-29-P22</x:v>
      </x:c>
      <x:c r="C700" s="7" t="str">
        <x:v>RAE-E-29</x:v>
      </x:c>
      <x:c r="D700" s="7" t="str">
        <x:v>RFP-B2</x:v>
      </x:c>
      <x:c r="E700" s="7" t="str">
        <x:v>AM-06</x:v>
      </x:c>
      <x:c r="F700" s="7" t="str">
        <x:v>TR-A</x:v>
      </x:c>
      <x:c r="G700" s="7" t="str">
        <x:v>QE-01</x:v>
      </x:c>
      <x:c r="H700" s="7" t="str">
        <x:v>P22</x:v>
      </x:c>
      <x:c r="I700" s="7" t="str">
        <x:v>T+24h</x:v>
      </x:c>
      <x:c r="J700" s="10" t="str">
        <x:v>physical ledger closure</x:v>
      </x:c>
      <x:c r="K700" s="7" t="str"/>
      <x:c r="L700" s="10" t="str"/>
      <x:c r="M700" s="7" t="str">
        <x:v>OPEN</x:v>
      </x:c>
    </x:row>
    <x:row r="701" ht="36" customHeight="1">
      <x:c r="B701" s="7" t="str">
        <x:v>RAE-E-29-P23</x:v>
      </x:c>
      <x:c r="C701" s="7" t="str">
        <x:v>RAE-E-29</x:v>
      </x:c>
      <x:c r="D701" s="7" t="str">
        <x:v>RFP-B2</x:v>
      </x:c>
      <x:c r="E701" s="7" t="str">
        <x:v>AM-06</x:v>
      </x:c>
      <x:c r="F701" s="7" t="str">
        <x:v>TR-A</x:v>
      </x:c>
      <x:c r="G701" s="7" t="str">
        <x:v>QE-01</x:v>
      </x:c>
      <x:c r="H701" s="7" t="str">
        <x:v>P23</x:v>
      </x:c>
      <x:c r="I701" s="7" t="str">
        <x:v>T+72h</x:v>
      </x:c>
      <x:c r="J701" s="10" t="str">
        <x:v>immutable packet freeze</x:v>
      </x:c>
      <x:c r="K701" s="7" t="str"/>
      <x:c r="L701" s="10" t="str"/>
      <x:c r="M701" s="7" t="str">
        <x:v>OPEN</x:v>
      </x:c>
    </x:row>
    <x:row r="702" ht="36" customHeight="1">
      <x:c r="B702" s="7" t="str">
        <x:v>RAE-E-29-P24</x:v>
      </x:c>
      <x:c r="C702" s="7" t="str">
        <x:v>RAE-E-29</x:v>
      </x:c>
      <x:c r="D702" s="7" t="str">
        <x:v>RFP-B2</x:v>
      </x:c>
      <x:c r="E702" s="7" t="str">
        <x:v>AM-06</x:v>
      </x:c>
      <x:c r="F702" s="7" t="str">
        <x:v>TR-A</x:v>
      </x:c>
      <x:c r="G702" s="7" t="str">
        <x:v>QE-01</x:v>
      </x:c>
      <x:c r="H702" s="7" t="str">
        <x:v>P24</x:v>
      </x:c>
      <x:c r="I702" s="7" t="str">
        <x:v>day 7</x:v>
      </x:c>
      <x:c r="J702" s="10" t="str">
        <x:v>validity and outcome board</x:v>
      </x:c>
      <x:c r="K702" s="7" t="str"/>
      <x:c r="L702" s="10" t="str"/>
      <x:c r="M702" s="7" t="str">
        <x:v>OPEN</x:v>
      </x:c>
    </x:row>
    <x:row r="703" ht="36" customHeight="1">
      <x:c r="B703" s="7" t="str">
        <x:v>RAE-E-30-P01</x:v>
      </x:c>
      <x:c r="C703" s="7" t="str">
        <x:v>RAE-E-30</x:v>
      </x:c>
      <x:c r="D703" s="7" t="str">
        <x:v>RFP-B2</x:v>
      </x:c>
      <x:c r="E703" s="7" t="str">
        <x:v>AM-06</x:v>
      </x:c>
      <x:c r="F703" s="7" t="str">
        <x:v>TR-A</x:v>
      </x:c>
      <x:c r="G703" s="7" t="str">
        <x:v>QE-02</x:v>
      </x:c>
      <x:c r="H703" s="7" t="str">
        <x:v>P01</x:v>
      </x:c>
      <x:c r="I703" s="7" t="str">
        <x:v>T-96h</x:v>
      </x:c>
      <x:c r="J703" s="10" t="str">
        <x:v>baseline freeze</x:v>
      </x:c>
      <x:c r="K703" s="7" t="str"/>
      <x:c r="L703" s="10" t="str"/>
      <x:c r="M703" s="7" t="str">
        <x:v>OPEN</x:v>
      </x:c>
    </x:row>
    <x:row r="704" ht="36" customHeight="1">
      <x:c r="B704" s="7" t="str">
        <x:v>RAE-E-30-P02</x:v>
      </x:c>
      <x:c r="C704" s="7" t="str">
        <x:v>RAE-E-30</x:v>
      </x:c>
      <x:c r="D704" s="7" t="str">
        <x:v>RFP-B2</x:v>
      </x:c>
      <x:c r="E704" s="7" t="str">
        <x:v>AM-06</x:v>
      </x:c>
      <x:c r="F704" s="7" t="str">
        <x:v>TR-A</x:v>
      </x:c>
      <x:c r="G704" s="7" t="str">
        <x:v>QE-02</x:v>
      </x:c>
      <x:c r="H704" s="7" t="str">
        <x:v>P02</x:v>
      </x:c>
      <x:c r="I704" s="7" t="str">
        <x:v>T-72h</x:v>
      </x:c>
      <x:c r="J704" s="10" t="str">
        <x:v>source and water custody freeze</x:v>
      </x:c>
      <x:c r="K704" s="7" t="str"/>
      <x:c r="L704" s="10" t="str"/>
      <x:c r="M704" s="7" t="str">
        <x:v>OPEN</x:v>
      </x:c>
    </x:row>
    <x:row r="705" ht="36" customHeight="1">
      <x:c r="B705" s="7" t="str">
        <x:v>RAE-E-30-P03</x:v>
      </x:c>
      <x:c r="C705" s="7" t="str">
        <x:v>RAE-E-30</x:v>
      </x:c>
      <x:c r="D705" s="7" t="str">
        <x:v>RFP-B2</x:v>
      </x:c>
      <x:c r="E705" s="7" t="str">
        <x:v>AM-06</x:v>
      </x:c>
      <x:c r="F705" s="7" t="str">
        <x:v>TR-A</x:v>
      </x:c>
      <x:c r="G705" s="7" t="str">
        <x:v>QE-02</x:v>
      </x:c>
      <x:c r="H705" s="7" t="str">
        <x:v>P03</x:v>
      </x:c>
      <x:c r="I705" s="7" t="str">
        <x:v>T-48h</x:v>
      </x:c>
      <x:c r="J705" s="10" t="str">
        <x:v>article and configuration identity</x:v>
      </x:c>
      <x:c r="K705" s="7" t="str"/>
      <x:c r="L705" s="10" t="str"/>
      <x:c r="M705" s="7" t="str">
        <x:v>OPEN</x:v>
      </x:c>
    </x:row>
    <x:row r="706" ht="36" customHeight="1">
      <x:c r="B706" s="7" t="str">
        <x:v>RAE-E-30-P04</x:v>
      </x:c>
      <x:c r="C706" s="7" t="str">
        <x:v>RAE-E-30</x:v>
      </x:c>
      <x:c r="D706" s="7" t="str">
        <x:v>RFP-B2</x:v>
      </x:c>
      <x:c r="E706" s="7" t="str">
        <x:v>AM-06</x:v>
      </x:c>
      <x:c r="F706" s="7" t="str">
        <x:v>TR-A</x:v>
      </x:c>
      <x:c r="G706" s="7" t="str">
        <x:v>QE-02</x:v>
      </x:c>
      <x:c r="H706" s="7" t="str">
        <x:v>P04</x:v>
      </x:c>
      <x:c r="I706" s="7" t="str">
        <x:v>T-24h</x:v>
      </x:c>
      <x:c r="J706" s="10" t="str">
        <x:v>environment and recovery readiness</x:v>
      </x:c>
      <x:c r="K706" s="7" t="str"/>
      <x:c r="L706" s="10" t="str"/>
      <x:c r="M706" s="7" t="str">
        <x:v>OPEN</x:v>
      </x:c>
    </x:row>
    <x:row r="707" ht="36" customHeight="1">
      <x:c r="B707" s="7" t="str">
        <x:v>RAE-E-30-P05</x:v>
      </x:c>
      <x:c r="C707" s="7" t="str">
        <x:v>RAE-E-30</x:v>
      </x:c>
      <x:c r="D707" s="7" t="str">
        <x:v>RFP-B2</x:v>
      </x:c>
      <x:c r="E707" s="7" t="str">
        <x:v>AM-06</x:v>
      </x:c>
      <x:c r="F707" s="7" t="str">
        <x:v>TR-A</x:v>
      </x:c>
      <x:c r="G707" s="7" t="str">
        <x:v>QE-02</x:v>
      </x:c>
      <x:c r="H707" s="7" t="str">
        <x:v>P05</x:v>
      </x:c>
      <x:c r="I707" s="7" t="str">
        <x:v>T-12h</x:v>
      </x:c>
      <x:c r="J707" s="10" t="str">
        <x:v>rescue posture</x:v>
      </x:c>
      <x:c r="K707" s="7" t="str"/>
      <x:c r="L707" s="10" t="str"/>
      <x:c r="M707" s="7" t="str">
        <x:v>OPEN</x:v>
      </x:c>
    </x:row>
    <x:row r="708" ht="36" customHeight="1">
      <x:c r="B708" s="7" t="str">
        <x:v>RAE-E-30-P06</x:v>
      </x:c>
      <x:c r="C708" s="7" t="str">
        <x:v>RAE-E-30</x:v>
      </x:c>
      <x:c r="D708" s="7" t="str">
        <x:v>RFP-B2</x:v>
      </x:c>
      <x:c r="E708" s="7" t="str">
        <x:v>AM-06</x:v>
      </x:c>
      <x:c r="F708" s="7" t="str">
        <x:v>TR-A</x:v>
      </x:c>
      <x:c r="G708" s="7" t="str">
        <x:v>QE-02</x:v>
      </x:c>
      <x:c r="H708" s="7" t="str">
        <x:v>P06</x:v>
      </x:c>
      <x:c r="I708" s="7" t="str">
        <x:v>T-6h</x:v>
      </x:c>
      <x:c r="J708" s="10" t="str">
        <x:v>calibration before state</x:v>
      </x:c>
      <x:c r="K708" s="7" t="str"/>
      <x:c r="L708" s="10" t="str"/>
      <x:c r="M708" s="7" t="str">
        <x:v>OPEN</x:v>
      </x:c>
    </x:row>
    <x:row r="709" ht="36" customHeight="1">
      <x:c r="B709" s="7" t="str">
        <x:v>RAE-E-30-P07</x:v>
      </x:c>
      <x:c r="C709" s="7" t="str">
        <x:v>RAE-E-30</x:v>
      </x:c>
      <x:c r="D709" s="7" t="str">
        <x:v>RFP-B2</x:v>
      </x:c>
      <x:c r="E709" s="7" t="str">
        <x:v>AM-06</x:v>
      </x:c>
      <x:c r="F709" s="7" t="str">
        <x:v>TR-A</x:v>
      </x:c>
      <x:c r="G709" s="7" t="str">
        <x:v>QE-02</x:v>
      </x:c>
      <x:c r="H709" s="7" t="str">
        <x:v>P07</x:v>
      </x:c>
      <x:c r="I709" s="7" t="str">
        <x:v>T-2h</x:v>
      </x:c>
      <x:c r="J709" s="10" t="str">
        <x:v>receiver initial-volume proof</x:v>
      </x:c>
      <x:c r="K709" s="7" t="str"/>
      <x:c r="L709" s="10" t="str"/>
      <x:c r="M709" s="7" t="str">
        <x:v>OPEN</x:v>
      </x:c>
    </x:row>
    <x:row r="710" ht="36" customHeight="1">
      <x:c r="B710" s="7" t="str">
        <x:v>RAE-E-30-P08</x:v>
      </x:c>
      <x:c r="C710" s="7" t="str">
        <x:v>RAE-E-30</x:v>
      </x:c>
      <x:c r="D710" s="7" t="str">
        <x:v>RFP-B2</x:v>
      </x:c>
      <x:c r="E710" s="7" t="str">
        <x:v>AM-06</x:v>
      </x:c>
      <x:c r="F710" s="7" t="str">
        <x:v>TR-A</x:v>
      </x:c>
      <x:c r="G710" s="7" t="str">
        <x:v>QE-02</x:v>
      </x:c>
      <x:c r="H710" s="7" t="str">
        <x:v>P08</x:v>
      </x:c>
      <x:c r="I710" s="7" t="str">
        <x:v>T-60min</x:v>
      </x:c>
      <x:c r="J710" s="10" t="str">
        <x:v>neighbor inert-state proof</x:v>
      </x:c>
      <x:c r="K710" s="7" t="str"/>
      <x:c r="L710" s="10" t="str"/>
      <x:c r="M710" s="7" t="str">
        <x:v>OPEN</x:v>
      </x:c>
    </x:row>
    <x:row r="711" ht="36" customHeight="1">
      <x:c r="B711" s="7" t="str">
        <x:v>RAE-E-30-P09</x:v>
      </x:c>
      <x:c r="C711" s="7" t="str">
        <x:v>RAE-E-30</x:v>
      </x:c>
      <x:c r="D711" s="7" t="str">
        <x:v>RFP-B2</x:v>
      </x:c>
      <x:c r="E711" s="7" t="str">
        <x:v>AM-06</x:v>
      </x:c>
      <x:c r="F711" s="7" t="str">
        <x:v>TR-A</x:v>
      </x:c>
      <x:c r="G711" s="7" t="str">
        <x:v>QE-02</x:v>
      </x:c>
      <x:c r="H711" s="7" t="str">
        <x:v>P09</x:v>
      </x:c>
      <x:c r="I711" s="7" t="str">
        <x:v>T-30min</x:v>
      </x:c>
      <x:c r="J711" s="10" t="str">
        <x:v>native evidence armed</x:v>
      </x:c>
      <x:c r="K711" s="7" t="str"/>
      <x:c r="L711" s="10" t="str"/>
      <x:c r="M711" s="7" t="str">
        <x:v>OPEN</x:v>
      </x:c>
    </x:row>
    <x:row r="712" ht="36" customHeight="1">
      <x:c r="B712" s="7" t="str">
        <x:v>RAE-E-30-P10</x:v>
      </x:c>
      <x:c r="C712" s="7" t="str">
        <x:v>RAE-E-30</x:v>
      </x:c>
      <x:c r="D712" s="7" t="str">
        <x:v>RFP-B2</x:v>
      </x:c>
      <x:c r="E712" s="7" t="str">
        <x:v>AM-06</x:v>
      </x:c>
      <x:c r="F712" s="7" t="str">
        <x:v>TR-A</x:v>
      </x:c>
      <x:c r="G712" s="7" t="str">
        <x:v>QE-02</x:v>
      </x:c>
      <x:c r="H712" s="7" t="str">
        <x:v>P10</x:v>
      </x:c>
      <x:c r="I712" s="7" t="str">
        <x:v>T-10min</x:v>
      </x:c>
      <x:c r="J712" s="10" t="str">
        <x:v>final control poll</x:v>
      </x:c>
      <x:c r="K712" s="7" t="str"/>
      <x:c r="L712" s="10" t="str"/>
      <x:c r="M712" s="7" t="str">
        <x:v>OPEN</x:v>
      </x:c>
    </x:row>
    <x:row r="713" ht="36" customHeight="1">
      <x:c r="B713" s="7" t="str">
        <x:v>RAE-E-30-P11</x:v>
      </x:c>
      <x:c r="C713" s="7" t="str">
        <x:v>RAE-E-30</x:v>
      </x:c>
      <x:c r="D713" s="7" t="str">
        <x:v>RFP-B2</x:v>
      </x:c>
      <x:c r="E713" s="7" t="str">
        <x:v>AM-06</x:v>
      </x:c>
      <x:c r="F713" s="7" t="str">
        <x:v>TR-A</x:v>
      </x:c>
      <x:c r="G713" s="7" t="str">
        <x:v>QE-02</x:v>
      </x:c>
      <x:c r="H713" s="7" t="str">
        <x:v>P11</x:v>
      </x:c>
      <x:c r="I713" s="7" t="str">
        <x:v>T-60s</x:v>
      </x:c>
      <x:c r="J713" s="10" t="str">
        <x:v>full-rate capture</x:v>
      </x:c>
      <x:c r="K713" s="7" t="str"/>
      <x:c r="L713" s="10" t="str"/>
      <x:c r="M713" s="7" t="str">
        <x:v>OPEN</x:v>
      </x:c>
    </x:row>
    <x:row r="714" ht="36" customHeight="1">
      <x:c r="B714" s="7" t="str">
        <x:v>RAE-E-30-P12</x:v>
      </x:c>
      <x:c r="C714" s="7" t="str">
        <x:v>RAE-E-30</x:v>
      </x:c>
      <x:c r="D714" s="7" t="str">
        <x:v>RFP-B2</x:v>
      </x:c>
      <x:c r="E714" s="7" t="str">
        <x:v>AM-06</x:v>
      </x:c>
      <x:c r="F714" s="7" t="str">
        <x:v>TR-A</x:v>
      </x:c>
      <x:c r="G714" s="7" t="str">
        <x:v>QE-02</x:v>
      </x:c>
      <x:c r="H714" s="7" t="str">
        <x:v>P12</x:v>
      </x:c>
      <x:c r="I714" s="7" t="str">
        <x:v>T-10s</x:v>
      </x:c>
      <x:c r="J714" s="10" t="str">
        <x:v>registered challenge state</x:v>
      </x:c>
      <x:c r="K714" s="7" t="str"/>
      <x:c r="L714" s="10" t="str"/>
      <x:c r="M714" s="7" t="str">
        <x:v>OPEN</x:v>
      </x:c>
    </x:row>
    <x:row r="715" ht="36" customHeight="1">
      <x:c r="B715" s="7" t="str">
        <x:v>RAE-E-30-P13</x:v>
      </x:c>
      <x:c r="C715" s="7" t="str">
        <x:v>RAE-E-30</x:v>
      </x:c>
      <x:c r="D715" s="7" t="str">
        <x:v>RFP-B2</x:v>
      </x:c>
      <x:c r="E715" s="7" t="str">
        <x:v>AM-06</x:v>
      </x:c>
      <x:c r="F715" s="7" t="str">
        <x:v>TR-A</x:v>
      </x:c>
      <x:c r="G715" s="7" t="str">
        <x:v>QE-02</x:v>
      </x:c>
      <x:c r="H715" s="7" t="str">
        <x:v>P13</x:v>
      </x:c>
      <x:c r="I715" s="7" t="str">
        <x:v>T0</x:v>
      </x:c>
      <x:c r="J715" s="10" t="str">
        <x:v>source command or zero-source marker</x:v>
      </x:c>
      <x:c r="K715" s="7" t="str"/>
      <x:c r="L715" s="10" t="str"/>
      <x:c r="M715" s="7" t="str">
        <x:v>OPEN</x:v>
      </x:c>
    </x:row>
    <x:row r="716" ht="36" customHeight="1">
      <x:c r="B716" s="7" t="str">
        <x:v>RAE-E-30-P14</x:v>
      </x:c>
      <x:c r="C716" s="7" t="str">
        <x:v>RAE-E-30</x:v>
      </x:c>
      <x:c r="D716" s="7" t="str">
        <x:v>RFP-B2</x:v>
      </x:c>
      <x:c r="E716" s="7" t="str">
        <x:v>AM-06</x:v>
      </x:c>
      <x:c r="F716" s="7" t="str">
        <x:v>TR-A</x:v>
      </x:c>
      <x:c r="G716" s="7" t="str">
        <x:v>QE-02</x:v>
      </x:c>
      <x:c r="H716" s="7" t="str">
        <x:v>P14</x:v>
      </x:c>
      <x:c r="I716" s="7" t="str">
        <x:v>T+2s</x:v>
      </x:c>
      <x:c r="J716" s="10" t="str">
        <x:v>inlet and dispenser final state</x:v>
      </x:c>
      <x:c r="K716" s="7" t="str"/>
      <x:c r="L716" s="10" t="str"/>
      <x:c r="M716" s="7" t="str">
        <x:v>OPEN</x:v>
      </x:c>
    </x:row>
    <x:row r="717" ht="36" customHeight="1">
      <x:c r="B717" s="7" t="str">
        <x:v>RAE-E-30-P15</x:v>
      </x:c>
      <x:c r="C717" s="7" t="str">
        <x:v>RAE-E-30</x:v>
      </x:c>
      <x:c r="D717" s="7" t="str">
        <x:v>RFP-B2</x:v>
      </x:c>
      <x:c r="E717" s="7" t="str">
        <x:v>AM-06</x:v>
      </x:c>
      <x:c r="F717" s="7" t="str">
        <x:v>TR-A</x:v>
      </x:c>
      <x:c r="G717" s="7" t="str">
        <x:v>QE-02</x:v>
      </x:c>
      <x:c r="H717" s="7" t="str">
        <x:v>P15</x:v>
      </x:c>
      <x:c r="I717" s="7" t="str">
        <x:v>T+15s</x:v>
      </x:c>
      <x:c r="J717" s="10" t="str">
        <x:v>AM-06 QE-02 ignition opportunity</x:v>
      </x:c>
      <x:c r="K717" s="7" t="str"/>
      <x:c r="L717" s="10" t="str"/>
      <x:c r="M717" s="7" t="str">
        <x:v>OPEN</x:v>
      </x:c>
    </x:row>
    <x:row r="718" ht="36" customHeight="1">
      <x:c r="B718" s="7" t="str">
        <x:v>RAE-E-30-P16</x:v>
      </x:c>
      <x:c r="C718" s="7" t="str">
        <x:v>RAE-E-30</x:v>
      </x:c>
      <x:c r="D718" s="7" t="str">
        <x:v>RFP-B2</x:v>
      </x:c>
      <x:c r="E718" s="7" t="str">
        <x:v>AM-06</x:v>
      </x:c>
      <x:c r="F718" s="7" t="str">
        <x:v>TR-A</x:v>
      </x:c>
      <x:c r="G718" s="7" t="str">
        <x:v>QE-02</x:v>
      </x:c>
      <x:c r="H718" s="7" t="str">
        <x:v>P16</x:v>
      </x:c>
      <x:c r="I718" s="7" t="str">
        <x:v>T+30s</x:v>
      </x:c>
      <x:c r="J718" s="10" t="str">
        <x:v>terminal-source decision</x:v>
      </x:c>
      <x:c r="K718" s="7" t="str"/>
      <x:c r="L718" s="10" t="str"/>
      <x:c r="M718" s="7" t="str">
        <x:v>OPEN</x:v>
      </x:c>
    </x:row>
    <x:row r="719" ht="36" customHeight="1">
      <x:c r="B719" s="7" t="str">
        <x:v>RAE-E-30-P17</x:v>
      </x:c>
      <x:c r="C719" s="7" t="str">
        <x:v>RAE-E-30</x:v>
      </x:c>
      <x:c r="D719" s="7" t="str">
        <x:v>RFP-B2</x:v>
      </x:c>
      <x:c r="E719" s="7" t="str">
        <x:v>AM-06</x:v>
      </x:c>
      <x:c r="F719" s="7" t="str">
        <x:v>TR-A</x:v>
      </x:c>
      <x:c r="G719" s="7" t="str">
        <x:v>QE-02</x:v>
      </x:c>
      <x:c r="H719" s="7" t="str">
        <x:v>P17</x:v>
      </x:c>
      <x:c r="I719" s="7" t="str">
        <x:v>T+120s</x:v>
      </x:c>
      <x:c r="J719" s="10" t="str">
        <x:v>public schedule end</x:v>
      </x:c>
      <x:c r="K719" s="7" t="str"/>
      <x:c r="L719" s="10" t="str"/>
      <x:c r="M719" s="7" t="str">
        <x:v>OPEN</x:v>
      </x:c>
    </x:row>
    <x:row r="720" ht="36" customHeight="1">
      <x:c r="B720" s="7" t="str">
        <x:v>RAE-E-30-P18</x:v>
      </x:c>
      <x:c r="C720" s="7" t="str">
        <x:v>RAE-E-30</x:v>
      </x:c>
      <x:c r="D720" s="7" t="str">
        <x:v>RFP-B2</x:v>
      </x:c>
      <x:c r="E720" s="7" t="str">
        <x:v>AM-06</x:v>
      </x:c>
      <x:c r="F720" s="7" t="str">
        <x:v>TR-A</x:v>
      </x:c>
      <x:c r="G720" s="7" t="str">
        <x:v>QE-02</x:v>
      </x:c>
      <x:c r="H720" s="7" t="str">
        <x:v>P18</x:v>
      </x:c>
      <x:c r="I720" s="7" t="str">
        <x:v>T+15min</x:v>
      </x:c>
      <x:c r="J720" s="10" t="str">
        <x:v>thermal and water classification</x:v>
      </x:c>
      <x:c r="K720" s="7" t="str"/>
      <x:c r="L720" s="10" t="str"/>
      <x:c r="M720" s="7" t="str">
        <x:v>OPEN</x:v>
      </x:c>
    </x:row>
    <x:row r="721" ht="36" customHeight="1">
      <x:c r="B721" s="7" t="str">
        <x:v>RAE-E-30-P19</x:v>
      </x:c>
      <x:c r="C721" s="7" t="str">
        <x:v>RAE-E-30</x:v>
      </x:c>
      <x:c r="D721" s="7" t="str">
        <x:v>RFP-B2</x:v>
      </x:c>
      <x:c r="E721" s="7" t="str">
        <x:v>AM-06</x:v>
      </x:c>
      <x:c r="F721" s="7" t="str">
        <x:v>TR-A</x:v>
      </x:c>
      <x:c r="G721" s="7" t="str">
        <x:v>QE-02</x:v>
      </x:c>
      <x:c r="H721" s="7" t="str">
        <x:v>P19</x:v>
      </x:c>
      <x:c r="I721" s="7" t="str">
        <x:v>T+30min</x:v>
      </x:c>
      <x:c r="J721" s="10" t="str">
        <x:v>public intervention classification</x:v>
      </x:c>
      <x:c r="K721" s="7" t="str"/>
      <x:c r="L721" s="10" t="str"/>
      <x:c r="M721" s="7" t="str">
        <x:v>OPEN</x:v>
      </x:c>
    </x:row>
    <x:row r="722" ht="36" customHeight="1">
      <x:c r="B722" s="7" t="str">
        <x:v>RAE-E-30-P20</x:v>
      </x:c>
      <x:c r="C722" s="7" t="str">
        <x:v>RAE-E-30</x:v>
      </x:c>
      <x:c r="D722" s="7" t="str">
        <x:v>RFP-B2</x:v>
      </x:c>
      <x:c r="E722" s="7" t="str">
        <x:v>AM-06</x:v>
      </x:c>
      <x:c r="F722" s="7" t="str">
        <x:v>TR-A</x:v>
      </x:c>
      <x:c r="G722" s="7" t="str">
        <x:v>QE-02</x:v>
      </x:c>
      <x:c r="H722" s="7" t="str">
        <x:v>P20</x:v>
      </x:c>
      <x:c r="I722" s="7" t="str">
        <x:v>T+60min</x:v>
      </x:c>
      <x:c r="J722" s="10" t="str">
        <x:v>remote-entry classification</x:v>
      </x:c>
      <x:c r="K722" s="7" t="str"/>
      <x:c r="L722" s="10" t="str"/>
      <x:c r="M722" s="7" t="str">
        <x:v>OPEN</x:v>
      </x:c>
    </x:row>
    <x:row r="723" ht="36" customHeight="1">
      <x:c r="B723" s="7" t="str">
        <x:v>RAE-E-30-P21</x:v>
      </x:c>
      <x:c r="C723" s="7" t="str">
        <x:v>RAE-E-30</x:v>
      </x:c>
      <x:c r="D723" s="7" t="str">
        <x:v>RFP-B2</x:v>
      </x:c>
      <x:c r="E723" s="7" t="str">
        <x:v>AM-06</x:v>
      </x:c>
      <x:c r="F723" s="7" t="str">
        <x:v>TR-A</x:v>
      </x:c>
      <x:c r="G723" s="7" t="str">
        <x:v>QE-02</x:v>
      </x:c>
      <x:c r="H723" s="7" t="str">
        <x:v>P21</x:v>
      </x:c>
      <x:c r="I723" s="7" t="str">
        <x:v>T+6h</x:v>
      </x:c>
      <x:c r="J723" s="10" t="str">
        <x:v>evidence tail closure</x:v>
      </x:c>
      <x:c r="K723" s="7" t="str"/>
      <x:c r="L723" s="10" t="str"/>
      <x:c r="M723" s="7" t="str">
        <x:v>OPEN</x:v>
      </x:c>
    </x:row>
    <x:row r="724" ht="36" customHeight="1">
      <x:c r="B724" s="7" t="str">
        <x:v>RAE-E-30-P22</x:v>
      </x:c>
      <x:c r="C724" s="7" t="str">
        <x:v>RAE-E-30</x:v>
      </x:c>
      <x:c r="D724" s="7" t="str">
        <x:v>RFP-B2</x:v>
      </x:c>
      <x:c r="E724" s="7" t="str">
        <x:v>AM-06</x:v>
      </x:c>
      <x:c r="F724" s="7" t="str">
        <x:v>TR-A</x:v>
      </x:c>
      <x:c r="G724" s="7" t="str">
        <x:v>QE-02</x:v>
      </x:c>
      <x:c r="H724" s="7" t="str">
        <x:v>P22</x:v>
      </x:c>
      <x:c r="I724" s="7" t="str">
        <x:v>T+24h</x:v>
      </x:c>
      <x:c r="J724" s="10" t="str">
        <x:v>physical ledger closure</x:v>
      </x:c>
      <x:c r="K724" s="7" t="str"/>
      <x:c r="L724" s="10" t="str"/>
      <x:c r="M724" s="7" t="str">
        <x:v>OPEN</x:v>
      </x:c>
    </x:row>
    <x:row r="725" ht="36" customHeight="1">
      <x:c r="B725" s="7" t="str">
        <x:v>RAE-E-30-P23</x:v>
      </x:c>
      <x:c r="C725" s="7" t="str">
        <x:v>RAE-E-30</x:v>
      </x:c>
      <x:c r="D725" s="7" t="str">
        <x:v>RFP-B2</x:v>
      </x:c>
      <x:c r="E725" s="7" t="str">
        <x:v>AM-06</x:v>
      </x:c>
      <x:c r="F725" s="7" t="str">
        <x:v>TR-A</x:v>
      </x:c>
      <x:c r="G725" s="7" t="str">
        <x:v>QE-02</x:v>
      </x:c>
      <x:c r="H725" s="7" t="str">
        <x:v>P23</x:v>
      </x:c>
      <x:c r="I725" s="7" t="str">
        <x:v>T+72h</x:v>
      </x:c>
      <x:c r="J725" s="10" t="str">
        <x:v>immutable packet freeze</x:v>
      </x:c>
      <x:c r="K725" s="7" t="str"/>
      <x:c r="L725" s="10" t="str"/>
      <x:c r="M725" s="7" t="str">
        <x:v>OPEN</x:v>
      </x:c>
    </x:row>
    <x:row r="726" ht="36" customHeight="1">
      <x:c r="B726" s="7" t="str">
        <x:v>RAE-E-30-P24</x:v>
      </x:c>
      <x:c r="C726" s="7" t="str">
        <x:v>RAE-E-30</x:v>
      </x:c>
      <x:c r="D726" s="7" t="str">
        <x:v>RFP-B2</x:v>
      </x:c>
      <x:c r="E726" s="7" t="str">
        <x:v>AM-06</x:v>
      </x:c>
      <x:c r="F726" s="7" t="str">
        <x:v>TR-A</x:v>
      </x:c>
      <x:c r="G726" s="7" t="str">
        <x:v>QE-02</x:v>
      </x:c>
      <x:c r="H726" s="7" t="str">
        <x:v>P24</x:v>
      </x:c>
      <x:c r="I726" s="7" t="str">
        <x:v>day 7</x:v>
      </x:c>
      <x:c r="J726" s="10" t="str">
        <x:v>validity and outcome board</x:v>
      </x:c>
      <x:c r="K726" s="7" t="str"/>
      <x:c r="L726" s="10" t="str"/>
      <x:c r="M726" s="7" t="str">
        <x:v>OPEN</x:v>
      </x:c>
    </x:row>
    <x:row r="727" ht="36" customHeight="1">
      <x:c r="B727" s="7" t="str">
        <x:v>RAE-E-31-P01</x:v>
      </x:c>
      <x:c r="C727" s="7" t="str">
        <x:v>RAE-E-31</x:v>
      </x:c>
      <x:c r="D727" s="7" t="str">
        <x:v>RFP-B2</x:v>
      </x:c>
      <x:c r="E727" s="7" t="str">
        <x:v>AM-06</x:v>
      </x:c>
      <x:c r="F727" s="7" t="str">
        <x:v>TR-B</x:v>
      </x:c>
      <x:c r="G727" s="7" t="str">
        <x:v>QE-01</x:v>
      </x:c>
      <x:c r="H727" s="7" t="str">
        <x:v>P01</x:v>
      </x:c>
      <x:c r="I727" s="7" t="str">
        <x:v>T-96h</x:v>
      </x:c>
      <x:c r="J727" s="10" t="str">
        <x:v>baseline freeze</x:v>
      </x:c>
      <x:c r="K727" s="7" t="str"/>
      <x:c r="L727" s="10" t="str"/>
      <x:c r="M727" s="7" t="str">
        <x:v>OPEN</x:v>
      </x:c>
    </x:row>
    <x:row r="728" ht="36" customHeight="1">
      <x:c r="B728" s="7" t="str">
        <x:v>RAE-E-31-P02</x:v>
      </x:c>
      <x:c r="C728" s="7" t="str">
        <x:v>RAE-E-31</x:v>
      </x:c>
      <x:c r="D728" s="7" t="str">
        <x:v>RFP-B2</x:v>
      </x:c>
      <x:c r="E728" s="7" t="str">
        <x:v>AM-06</x:v>
      </x:c>
      <x:c r="F728" s="7" t="str">
        <x:v>TR-B</x:v>
      </x:c>
      <x:c r="G728" s="7" t="str">
        <x:v>QE-01</x:v>
      </x:c>
      <x:c r="H728" s="7" t="str">
        <x:v>P02</x:v>
      </x:c>
      <x:c r="I728" s="7" t="str">
        <x:v>T-72h</x:v>
      </x:c>
      <x:c r="J728" s="10" t="str">
        <x:v>source and water custody freeze</x:v>
      </x:c>
      <x:c r="K728" s="7" t="str"/>
      <x:c r="L728" s="10" t="str"/>
      <x:c r="M728" s="7" t="str">
        <x:v>OPEN</x:v>
      </x:c>
    </x:row>
    <x:row r="729" ht="36" customHeight="1">
      <x:c r="B729" s="7" t="str">
        <x:v>RAE-E-31-P03</x:v>
      </x:c>
      <x:c r="C729" s="7" t="str">
        <x:v>RAE-E-31</x:v>
      </x:c>
      <x:c r="D729" s="7" t="str">
        <x:v>RFP-B2</x:v>
      </x:c>
      <x:c r="E729" s="7" t="str">
        <x:v>AM-06</x:v>
      </x:c>
      <x:c r="F729" s="7" t="str">
        <x:v>TR-B</x:v>
      </x:c>
      <x:c r="G729" s="7" t="str">
        <x:v>QE-01</x:v>
      </x:c>
      <x:c r="H729" s="7" t="str">
        <x:v>P03</x:v>
      </x:c>
      <x:c r="I729" s="7" t="str">
        <x:v>T-48h</x:v>
      </x:c>
      <x:c r="J729" s="10" t="str">
        <x:v>article and configuration identity</x:v>
      </x:c>
      <x:c r="K729" s="7" t="str"/>
      <x:c r="L729" s="10" t="str"/>
      <x:c r="M729" s="7" t="str">
        <x:v>OPEN</x:v>
      </x:c>
    </x:row>
    <x:row r="730" ht="36" customHeight="1">
      <x:c r="B730" s="7" t="str">
        <x:v>RAE-E-31-P04</x:v>
      </x:c>
      <x:c r="C730" s="7" t="str">
        <x:v>RAE-E-31</x:v>
      </x:c>
      <x:c r="D730" s="7" t="str">
        <x:v>RFP-B2</x:v>
      </x:c>
      <x:c r="E730" s="7" t="str">
        <x:v>AM-06</x:v>
      </x:c>
      <x:c r="F730" s="7" t="str">
        <x:v>TR-B</x:v>
      </x:c>
      <x:c r="G730" s="7" t="str">
        <x:v>QE-01</x:v>
      </x:c>
      <x:c r="H730" s="7" t="str">
        <x:v>P04</x:v>
      </x:c>
      <x:c r="I730" s="7" t="str">
        <x:v>T-24h</x:v>
      </x:c>
      <x:c r="J730" s="10" t="str">
        <x:v>environment and recovery readiness</x:v>
      </x:c>
      <x:c r="K730" s="7" t="str"/>
      <x:c r="L730" s="10" t="str"/>
      <x:c r="M730" s="7" t="str">
        <x:v>OPEN</x:v>
      </x:c>
    </x:row>
    <x:row r="731" ht="36" customHeight="1">
      <x:c r="B731" s="7" t="str">
        <x:v>RAE-E-31-P05</x:v>
      </x:c>
      <x:c r="C731" s="7" t="str">
        <x:v>RAE-E-31</x:v>
      </x:c>
      <x:c r="D731" s="7" t="str">
        <x:v>RFP-B2</x:v>
      </x:c>
      <x:c r="E731" s="7" t="str">
        <x:v>AM-06</x:v>
      </x:c>
      <x:c r="F731" s="7" t="str">
        <x:v>TR-B</x:v>
      </x:c>
      <x:c r="G731" s="7" t="str">
        <x:v>QE-01</x:v>
      </x:c>
      <x:c r="H731" s="7" t="str">
        <x:v>P05</x:v>
      </x:c>
      <x:c r="I731" s="7" t="str">
        <x:v>T-12h</x:v>
      </x:c>
      <x:c r="J731" s="10" t="str">
        <x:v>rescue posture</x:v>
      </x:c>
      <x:c r="K731" s="7" t="str"/>
      <x:c r="L731" s="10" t="str"/>
      <x:c r="M731" s="7" t="str">
        <x:v>OPEN</x:v>
      </x:c>
    </x:row>
    <x:row r="732" ht="36" customHeight="1">
      <x:c r="B732" s="7" t="str">
        <x:v>RAE-E-31-P06</x:v>
      </x:c>
      <x:c r="C732" s="7" t="str">
        <x:v>RAE-E-31</x:v>
      </x:c>
      <x:c r="D732" s="7" t="str">
        <x:v>RFP-B2</x:v>
      </x:c>
      <x:c r="E732" s="7" t="str">
        <x:v>AM-06</x:v>
      </x:c>
      <x:c r="F732" s="7" t="str">
        <x:v>TR-B</x:v>
      </x:c>
      <x:c r="G732" s="7" t="str">
        <x:v>QE-01</x:v>
      </x:c>
      <x:c r="H732" s="7" t="str">
        <x:v>P06</x:v>
      </x:c>
      <x:c r="I732" s="7" t="str">
        <x:v>T-6h</x:v>
      </x:c>
      <x:c r="J732" s="10" t="str">
        <x:v>calibration before state</x:v>
      </x:c>
      <x:c r="K732" s="7" t="str"/>
      <x:c r="L732" s="10" t="str"/>
      <x:c r="M732" s="7" t="str">
        <x:v>OPEN</x:v>
      </x:c>
    </x:row>
    <x:row r="733" ht="36" customHeight="1">
      <x:c r="B733" s="7" t="str">
        <x:v>RAE-E-31-P07</x:v>
      </x:c>
      <x:c r="C733" s="7" t="str">
        <x:v>RAE-E-31</x:v>
      </x:c>
      <x:c r="D733" s="7" t="str">
        <x:v>RFP-B2</x:v>
      </x:c>
      <x:c r="E733" s="7" t="str">
        <x:v>AM-06</x:v>
      </x:c>
      <x:c r="F733" s="7" t="str">
        <x:v>TR-B</x:v>
      </x:c>
      <x:c r="G733" s="7" t="str">
        <x:v>QE-01</x:v>
      </x:c>
      <x:c r="H733" s="7" t="str">
        <x:v>P07</x:v>
      </x:c>
      <x:c r="I733" s="7" t="str">
        <x:v>T-2h</x:v>
      </x:c>
      <x:c r="J733" s="10" t="str">
        <x:v>receiver initial-volume proof</x:v>
      </x:c>
      <x:c r="K733" s="7" t="str"/>
      <x:c r="L733" s="10" t="str"/>
      <x:c r="M733" s="7" t="str">
        <x:v>OPEN</x:v>
      </x:c>
    </x:row>
    <x:row r="734" ht="36" customHeight="1">
      <x:c r="B734" s="7" t="str">
        <x:v>RAE-E-31-P08</x:v>
      </x:c>
      <x:c r="C734" s="7" t="str">
        <x:v>RAE-E-31</x:v>
      </x:c>
      <x:c r="D734" s="7" t="str">
        <x:v>RFP-B2</x:v>
      </x:c>
      <x:c r="E734" s="7" t="str">
        <x:v>AM-06</x:v>
      </x:c>
      <x:c r="F734" s="7" t="str">
        <x:v>TR-B</x:v>
      </x:c>
      <x:c r="G734" s="7" t="str">
        <x:v>QE-01</x:v>
      </x:c>
      <x:c r="H734" s="7" t="str">
        <x:v>P08</x:v>
      </x:c>
      <x:c r="I734" s="7" t="str">
        <x:v>T-60min</x:v>
      </x:c>
      <x:c r="J734" s="10" t="str">
        <x:v>neighbor inert-state proof</x:v>
      </x:c>
      <x:c r="K734" s="7" t="str"/>
      <x:c r="L734" s="10" t="str"/>
      <x:c r="M734" s="7" t="str">
        <x:v>OPEN</x:v>
      </x:c>
    </x:row>
    <x:row r="735" ht="36" customHeight="1">
      <x:c r="B735" s="7" t="str">
        <x:v>RAE-E-31-P09</x:v>
      </x:c>
      <x:c r="C735" s="7" t="str">
        <x:v>RAE-E-31</x:v>
      </x:c>
      <x:c r="D735" s="7" t="str">
        <x:v>RFP-B2</x:v>
      </x:c>
      <x:c r="E735" s="7" t="str">
        <x:v>AM-06</x:v>
      </x:c>
      <x:c r="F735" s="7" t="str">
        <x:v>TR-B</x:v>
      </x:c>
      <x:c r="G735" s="7" t="str">
        <x:v>QE-01</x:v>
      </x:c>
      <x:c r="H735" s="7" t="str">
        <x:v>P09</x:v>
      </x:c>
      <x:c r="I735" s="7" t="str">
        <x:v>T-30min</x:v>
      </x:c>
      <x:c r="J735" s="10" t="str">
        <x:v>native evidence armed</x:v>
      </x:c>
      <x:c r="K735" s="7" t="str"/>
      <x:c r="L735" s="10" t="str"/>
      <x:c r="M735" s="7" t="str">
        <x:v>OPEN</x:v>
      </x:c>
    </x:row>
    <x:row r="736" ht="36" customHeight="1">
      <x:c r="B736" s="7" t="str">
        <x:v>RAE-E-31-P10</x:v>
      </x:c>
      <x:c r="C736" s="7" t="str">
        <x:v>RAE-E-31</x:v>
      </x:c>
      <x:c r="D736" s="7" t="str">
        <x:v>RFP-B2</x:v>
      </x:c>
      <x:c r="E736" s="7" t="str">
        <x:v>AM-06</x:v>
      </x:c>
      <x:c r="F736" s="7" t="str">
        <x:v>TR-B</x:v>
      </x:c>
      <x:c r="G736" s="7" t="str">
        <x:v>QE-01</x:v>
      </x:c>
      <x:c r="H736" s="7" t="str">
        <x:v>P10</x:v>
      </x:c>
      <x:c r="I736" s="7" t="str">
        <x:v>T-10min</x:v>
      </x:c>
      <x:c r="J736" s="10" t="str">
        <x:v>final control poll</x:v>
      </x:c>
      <x:c r="K736" s="7" t="str"/>
      <x:c r="L736" s="10" t="str"/>
      <x:c r="M736" s="7" t="str">
        <x:v>OPEN</x:v>
      </x:c>
    </x:row>
    <x:row r="737" ht="36" customHeight="1">
      <x:c r="B737" s="7" t="str">
        <x:v>RAE-E-31-P11</x:v>
      </x:c>
      <x:c r="C737" s="7" t="str">
        <x:v>RAE-E-31</x:v>
      </x:c>
      <x:c r="D737" s="7" t="str">
        <x:v>RFP-B2</x:v>
      </x:c>
      <x:c r="E737" s="7" t="str">
        <x:v>AM-06</x:v>
      </x:c>
      <x:c r="F737" s="7" t="str">
        <x:v>TR-B</x:v>
      </x:c>
      <x:c r="G737" s="7" t="str">
        <x:v>QE-01</x:v>
      </x:c>
      <x:c r="H737" s="7" t="str">
        <x:v>P11</x:v>
      </x:c>
      <x:c r="I737" s="7" t="str">
        <x:v>T-60s</x:v>
      </x:c>
      <x:c r="J737" s="10" t="str">
        <x:v>full-rate capture</x:v>
      </x:c>
      <x:c r="K737" s="7" t="str"/>
      <x:c r="L737" s="10" t="str"/>
      <x:c r="M737" s="7" t="str">
        <x:v>OPEN</x:v>
      </x:c>
    </x:row>
    <x:row r="738" ht="36" customHeight="1">
      <x:c r="B738" s="7" t="str">
        <x:v>RAE-E-31-P12</x:v>
      </x:c>
      <x:c r="C738" s="7" t="str">
        <x:v>RAE-E-31</x:v>
      </x:c>
      <x:c r="D738" s="7" t="str">
        <x:v>RFP-B2</x:v>
      </x:c>
      <x:c r="E738" s="7" t="str">
        <x:v>AM-06</x:v>
      </x:c>
      <x:c r="F738" s="7" t="str">
        <x:v>TR-B</x:v>
      </x:c>
      <x:c r="G738" s="7" t="str">
        <x:v>QE-01</x:v>
      </x:c>
      <x:c r="H738" s="7" t="str">
        <x:v>P12</x:v>
      </x:c>
      <x:c r="I738" s="7" t="str">
        <x:v>T-10s</x:v>
      </x:c>
      <x:c r="J738" s="10" t="str">
        <x:v>registered challenge state</x:v>
      </x:c>
      <x:c r="K738" s="7" t="str"/>
      <x:c r="L738" s="10" t="str"/>
      <x:c r="M738" s="7" t="str">
        <x:v>OPEN</x:v>
      </x:c>
    </x:row>
    <x:row r="739" ht="36" customHeight="1">
      <x:c r="B739" s="7" t="str">
        <x:v>RAE-E-31-P13</x:v>
      </x:c>
      <x:c r="C739" s="7" t="str">
        <x:v>RAE-E-31</x:v>
      </x:c>
      <x:c r="D739" s="7" t="str">
        <x:v>RFP-B2</x:v>
      </x:c>
      <x:c r="E739" s="7" t="str">
        <x:v>AM-06</x:v>
      </x:c>
      <x:c r="F739" s="7" t="str">
        <x:v>TR-B</x:v>
      </x:c>
      <x:c r="G739" s="7" t="str">
        <x:v>QE-01</x:v>
      </x:c>
      <x:c r="H739" s="7" t="str">
        <x:v>P13</x:v>
      </x:c>
      <x:c r="I739" s="7" t="str">
        <x:v>T0</x:v>
      </x:c>
      <x:c r="J739" s="10" t="str">
        <x:v>source command or zero-source marker</x:v>
      </x:c>
      <x:c r="K739" s="7" t="str"/>
      <x:c r="L739" s="10" t="str"/>
      <x:c r="M739" s="7" t="str">
        <x:v>OPEN</x:v>
      </x:c>
    </x:row>
    <x:row r="740" ht="36" customHeight="1">
      <x:c r="B740" s="7" t="str">
        <x:v>RAE-E-31-P14</x:v>
      </x:c>
      <x:c r="C740" s="7" t="str">
        <x:v>RAE-E-31</x:v>
      </x:c>
      <x:c r="D740" s="7" t="str">
        <x:v>RFP-B2</x:v>
      </x:c>
      <x:c r="E740" s="7" t="str">
        <x:v>AM-06</x:v>
      </x:c>
      <x:c r="F740" s="7" t="str">
        <x:v>TR-B</x:v>
      </x:c>
      <x:c r="G740" s="7" t="str">
        <x:v>QE-01</x:v>
      </x:c>
      <x:c r="H740" s="7" t="str">
        <x:v>P14</x:v>
      </x:c>
      <x:c r="I740" s="7" t="str">
        <x:v>T+2s</x:v>
      </x:c>
      <x:c r="J740" s="10" t="str">
        <x:v>inlet and dispenser final state</x:v>
      </x:c>
      <x:c r="K740" s="7" t="str"/>
      <x:c r="L740" s="10" t="str"/>
      <x:c r="M740" s="7" t="str">
        <x:v>OPEN</x:v>
      </x:c>
    </x:row>
    <x:row r="741" ht="36" customHeight="1">
      <x:c r="B741" s="7" t="str">
        <x:v>RAE-E-31-P15</x:v>
      </x:c>
      <x:c r="C741" s="7" t="str">
        <x:v>RAE-E-31</x:v>
      </x:c>
      <x:c r="D741" s="7" t="str">
        <x:v>RFP-B2</x:v>
      </x:c>
      <x:c r="E741" s="7" t="str">
        <x:v>AM-06</x:v>
      </x:c>
      <x:c r="F741" s="7" t="str">
        <x:v>TR-B</x:v>
      </x:c>
      <x:c r="G741" s="7" t="str">
        <x:v>QE-01</x:v>
      </x:c>
      <x:c r="H741" s="7" t="str">
        <x:v>P15</x:v>
      </x:c>
      <x:c r="I741" s="7" t="str">
        <x:v>T+15s</x:v>
      </x:c>
      <x:c r="J741" s="10" t="str">
        <x:v>AM-06 QE-02 ignition opportunity</x:v>
      </x:c>
      <x:c r="K741" s="7" t="str"/>
      <x:c r="L741" s="10" t="str"/>
      <x:c r="M741" s="7" t="str">
        <x:v>OPEN</x:v>
      </x:c>
    </x:row>
    <x:row r="742" ht="36" customHeight="1">
      <x:c r="B742" s="7" t="str">
        <x:v>RAE-E-31-P16</x:v>
      </x:c>
      <x:c r="C742" s="7" t="str">
        <x:v>RAE-E-31</x:v>
      </x:c>
      <x:c r="D742" s="7" t="str">
        <x:v>RFP-B2</x:v>
      </x:c>
      <x:c r="E742" s="7" t="str">
        <x:v>AM-06</x:v>
      </x:c>
      <x:c r="F742" s="7" t="str">
        <x:v>TR-B</x:v>
      </x:c>
      <x:c r="G742" s="7" t="str">
        <x:v>QE-01</x:v>
      </x:c>
      <x:c r="H742" s="7" t="str">
        <x:v>P16</x:v>
      </x:c>
      <x:c r="I742" s="7" t="str">
        <x:v>T+30s</x:v>
      </x:c>
      <x:c r="J742" s="10" t="str">
        <x:v>terminal-source decision</x:v>
      </x:c>
      <x:c r="K742" s="7" t="str"/>
      <x:c r="L742" s="10" t="str"/>
      <x:c r="M742" s="7" t="str">
        <x:v>OPEN</x:v>
      </x:c>
    </x:row>
    <x:row r="743" ht="36" customHeight="1">
      <x:c r="B743" s="7" t="str">
        <x:v>RAE-E-31-P17</x:v>
      </x:c>
      <x:c r="C743" s="7" t="str">
        <x:v>RAE-E-31</x:v>
      </x:c>
      <x:c r="D743" s="7" t="str">
        <x:v>RFP-B2</x:v>
      </x:c>
      <x:c r="E743" s="7" t="str">
        <x:v>AM-06</x:v>
      </x:c>
      <x:c r="F743" s="7" t="str">
        <x:v>TR-B</x:v>
      </x:c>
      <x:c r="G743" s="7" t="str">
        <x:v>QE-01</x:v>
      </x:c>
      <x:c r="H743" s="7" t="str">
        <x:v>P17</x:v>
      </x:c>
      <x:c r="I743" s="7" t="str">
        <x:v>T+120s</x:v>
      </x:c>
      <x:c r="J743" s="10" t="str">
        <x:v>public schedule end</x:v>
      </x:c>
      <x:c r="K743" s="7" t="str"/>
      <x:c r="L743" s="10" t="str"/>
      <x:c r="M743" s="7" t="str">
        <x:v>OPEN</x:v>
      </x:c>
    </x:row>
    <x:row r="744" ht="36" customHeight="1">
      <x:c r="B744" s="7" t="str">
        <x:v>RAE-E-31-P18</x:v>
      </x:c>
      <x:c r="C744" s="7" t="str">
        <x:v>RAE-E-31</x:v>
      </x:c>
      <x:c r="D744" s="7" t="str">
        <x:v>RFP-B2</x:v>
      </x:c>
      <x:c r="E744" s="7" t="str">
        <x:v>AM-06</x:v>
      </x:c>
      <x:c r="F744" s="7" t="str">
        <x:v>TR-B</x:v>
      </x:c>
      <x:c r="G744" s="7" t="str">
        <x:v>QE-01</x:v>
      </x:c>
      <x:c r="H744" s="7" t="str">
        <x:v>P18</x:v>
      </x:c>
      <x:c r="I744" s="7" t="str">
        <x:v>T+15min</x:v>
      </x:c>
      <x:c r="J744" s="10" t="str">
        <x:v>thermal and water classification</x:v>
      </x:c>
      <x:c r="K744" s="7" t="str"/>
      <x:c r="L744" s="10" t="str"/>
      <x:c r="M744" s="7" t="str">
        <x:v>OPEN</x:v>
      </x:c>
    </x:row>
    <x:row r="745" ht="36" customHeight="1">
      <x:c r="B745" s="7" t="str">
        <x:v>RAE-E-31-P19</x:v>
      </x:c>
      <x:c r="C745" s="7" t="str">
        <x:v>RAE-E-31</x:v>
      </x:c>
      <x:c r="D745" s="7" t="str">
        <x:v>RFP-B2</x:v>
      </x:c>
      <x:c r="E745" s="7" t="str">
        <x:v>AM-06</x:v>
      </x:c>
      <x:c r="F745" s="7" t="str">
        <x:v>TR-B</x:v>
      </x:c>
      <x:c r="G745" s="7" t="str">
        <x:v>QE-01</x:v>
      </x:c>
      <x:c r="H745" s="7" t="str">
        <x:v>P19</x:v>
      </x:c>
      <x:c r="I745" s="7" t="str">
        <x:v>T+30min</x:v>
      </x:c>
      <x:c r="J745" s="10" t="str">
        <x:v>public intervention classification</x:v>
      </x:c>
      <x:c r="K745" s="7" t="str"/>
      <x:c r="L745" s="10" t="str"/>
      <x:c r="M745" s="7" t="str">
        <x:v>OPEN</x:v>
      </x:c>
    </x:row>
    <x:row r="746" ht="36" customHeight="1">
      <x:c r="B746" s="7" t="str">
        <x:v>RAE-E-31-P20</x:v>
      </x:c>
      <x:c r="C746" s="7" t="str">
        <x:v>RAE-E-31</x:v>
      </x:c>
      <x:c r="D746" s="7" t="str">
        <x:v>RFP-B2</x:v>
      </x:c>
      <x:c r="E746" s="7" t="str">
        <x:v>AM-06</x:v>
      </x:c>
      <x:c r="F746" s="7" t="str">
        <x:v>TR-B</x:v>
      </x:c>
      <x:c r="G746" s="7" t="str">
        <x:v>QE-01</x:v>
      </x:c>
      <x:c r="H746" s="7" t="str">
        <x:v>P20</x:v>
      </x:c>
      <x:c r="I746" s="7" t="str">
        <x:v>T+60min</x:v>
      </x:c>
      <x:c r="J746" s="10" t="str">
        <x:v>remote-entry classification</x:v>
      </x:c>
      <x:c r="K746" s="7" t="str"/>
      <x:c r="L746" s="10" t="str"/>
      <x:c r="M746" s="7" t="str">
        <x:v>OPEN</x:v>
      </x:c>
    </x:row>
    <x:row r="747" ht="36" customHeight="1">
      <x:c r="B747" s="7" t="str">
        <x:v>RAE-E-31-P21</x:v>
      </x:c>
      <x:c r="C747" s="7" t="str">
        <x:v>RAE-E-31</x:v>
      </x:c>
      <x:c r="D747" s="7" t="str">
        <x:v>RFP-B2</x:v>
      </x:c>
      <x:c r="E747" s="7" t="str">
        <x:v>AM-06</x:v>
      </x:c>
      <x:c r="F747" s="7" t="str">
        <x:v>TR-B</x:v>
      </x:c>
      <x:c r="G747" s="7" t="str">
        <x:v>QE-01</x:v>
      </x:c>
      <x:c r="H747" s="7" t="str">
        <x:v>P21</x:v>
      </x:c>
      <x:c r="I747" s="7" t="str">
        <x:v>T+6h</x:v>
      </x:c>
      <x:c r="J747" s="10" t="str">
        <x:v>evidence tail closure</x:v>
      </x:c>
      <x:c r="K747" s="7" t="str"/>
      <x:c r="L747" s="10" t="str"/>
      <x:c r="M747" s="7" t="str">
        <x:v>OPEN</x:v>
      </x:c>
    </x:row>
    <x:row r="748" ht="36" customHeight="1">
      <x:c r="B748" s="7" t="str">
        <x:v>RAE-E-31-P22</x:v>
      </x:c>
      <x:c r="C748" s="7" t="str">
        <x:v>RAE-E-31</x:v>
      </x:c>
      <x:c r="D748" s="7" t="str">
        <x:v>RFP-B2</x:v>
      </x:c>
      <x:c r="E748" s="7" t="str">
        <x:v>AM-06</x:v>
      </x:c>
      <x:c r="F748" s="7" t="str">
        <x:v>TR-B</x:v>
      </x:c>
      <x:c r="G748" s="7" t="str">
        <x:v>QE-01</x:v>
      </x:c>
      <x:c r="H748" s="7" t="str">
        <x:v>P22</x:v>
      </x:c>
      <x:c r="I748" s="7" t="str">
        <x:v>T+24h</x:v>
      </x:c>
      <x:c r="J748" s="10" t="str">
        <x:v>physical ledger closure</x:v>
      </x:c>
      <x:c r="K748" s="7" t="str"/>
      <x:c r="L748" s="10" t="str"/>
      <x:c r="M748" s="7" t="str">
        <x:v>OPEN</x:v>
      </x:c>
    </x:row>
    <x:row r="749" ht="36" customHeight="1">
      <x:c r="B749" s="7" t="str">
        <x:v>RAE-E-31-P23</x:v>
      </x:c>
      <x:c r="C749" s="7" t="str">
        <x:v>RAE-E-31</x:v>
      </x:c>
      <x:c r="D749" s="7" t="str">
        <x:v>RFP-B2</x:v>
      </x:c>
      <x:c r="E749" s="7" t="str">
        <x:v>AM-06</x:v>
      </x:c>
      <x:c r="F749" s="7" t="str">
        <x:v>TR-B</x:v>
      </x:c>
      <x:c r="G749" s="7" t="str">
        <x:v>QE-01</x:v>
      </x:c>
      <x:c r="H749" s="7" t="str">
        <x:v>P23</x:v>
      </x:c>
      <x:c r="I749" s="7" t="str">
        <x:v>T+72h</x:v>
      </x:c>
      <x:c r="J749" s="10" t="str">
        <x:v>immutable packet freeze</x:v>
      </x:c>
      <x:c r="K749" s="7" t="str"/>
      <x:c r="L749" s="10" t="str"/>
      <x:c r="M749" s="7" t="str">
        <x:v>OPEN</x:v>
      </x:c>
    </x:row>
    <x:row r="750" ht="36" customHeight="1">
      <x:c r="B750" s="7" t="str">
        <x:v>RAE-E-31-P24</x:v>
      </x:c>
      <x:c r="C750" s="7" t="str">
        <x:v>RAE-E-31</x:v>
      </x:c>
      <x:c r="D750" s="7" t="str">
        <x:v>RFP-B2</x:v>
      </x:c>
      <x:c r="E750" s="7" t="str">
        <x:v>AM-06</x:v>
      </x:c>
      <x:c r="F750" s="7" t="str">
        <x:v>TR-B</x:v>
      </x:c>
      <x:c r="G750" s="7" t="str">
        <x:v>QE-01</x:v>
      </x:c>
      <x:c r="H750" s="7" t="str">
        <x:v>P24</x:v>
      </x:c>
      <x:c r="I750" s="7" t="str">
        <x:v>day 7</x:v>
      </x:c>
      <x:c r="J750" s="10" t="str">
        <x:v>validity and outcome board</x:v>
      </x:c>
      <x:c r="K750" s="7" t="str"/>
      <x:c r="L750" s="10" t="str"/>
      <x:c r="M750" s="7" t="str">
        <x:v>OPEN</x:v>
      </x:c>
    </x:row>
    <x:row r="751" ht="36" customHeight="1">
      <x:c r="B751" s="7" t="str">
        <x:v>RAE-E-32-P01</x:v>
      </x:c>
      <x:c r="C751" s="7" t="str">
        <x:v>RAE-E-32</x:v>
      </x:c>
      <x:c r="D751" s="7" t="str">
        <x:v>RFP-B2</x:v>
      </x:c>
      <x:c r="E751" s="7" t="str">
        <x:v>AM-06</x:v>
      </x:c>
      <x:c r="F751" s="7" t="str">
        <x:v>TR-B</x:v>
      </x:c>
      <x:c r="G751" s="7" t="str">
        <x:v>QE-02</x:v>
      </x:c>
      <x:c r="H751" s="7" t="str">
        <x:v>P01</x:v>
      </x:c>
      <x:c r="I751" s="7" t="str">
        <x:v>T-96h</x:v>
      </x:c>
      <x:c r="J751" s="10" t="str">
        <x:v>baseline freeze</x:v>
      </x:c>
      <x:c r="K751" s="7" t="str"/>
      <x:c r="L751" s="10" t="str"/>
      <x:c r="M751" s="7" t="str">
        <x:v>OPEN</x:v>
      </x:c>
    </x:row>
    <x:row r="752" ht="36" customHeight="1">
      <x:c r="B752" s="7" t="str">
        <x:v>RAE-E-32-P02</x:v>
      </x:c>
      <x:c r="C752" s="7" t="str">
        <x:v>RAE-E-32</x:v>
      </x:c>
      <x:c r="D752" s="7" t="str">
        <x:v>RFP-B2</x:v>
      </x:c>
      <x:c r="E752" s="7" t="str">
        <x:v>AM-06</x:v>
      </x:c>
      <x:c r="F752" s="7" t="str">
        <x:v>TR-B</x:v>
      </x:c>
      <x:c r="G752" s="7" t="str">
        <x:v>QE-02</x:v>
      </x:c>
      <x:c r="H752" s="7" t="str">
        <x:v>P02</x:v>
      </x:c>
      <x:c r="I752" s="7" t="str">
        <x:v>T-72h</x:v>
      </x:c>
      <x:c r="J752" s="10" t="str">
        <x:v>source and water custody freeze</x:v>
      </x:c>
      <x:c r="K752" s="7" t="str"/>
      <x:c r="L752" s="10" t="str"/>
      <x:c r="M752" s="7" t="str">
        <x:v>OPEN</x:v>
      </x:c>
    </x:row>
    <x:row r="753" ht="36" customHeight="1">
      <x:c r="B753" s="7" t="str">
        <x:v>RAE-E-32-P03</x:v>
      </x:c>
      <x:c r="C753" s="7" t="str">
        <x:v>RAE-E-32</x:v>
      </x:c>
      <x:c r="D753" s="7" t="str">
        <x:v>RFP-B2</x:v>
      </x:c>
      <x:c r="E753" s="7" t="str">
        <x:v>AM-06</x:v>
      </x:c>
      <x:c r="F753" s="7" t="str">
        <x:v>TR-B</x:v>
      </x:c>
      <x:c r="G753" s="7" t="str">
        <x:v>QE-02</x:v>
      </x:c>
      <x:c r="H753" s="7" t="str">
        <x:v>P03</x:v>
      </x:c>
      <x:c r="I753" s="7" t="str">
        <x:v>T-48h</x:v>
      </x:c>
      <x:c r="J753" s="10" t="str">
        <x:v>article and configuration identity</x:v>
      </x:c>
      <x:c r="K753" s="7" t="str"/>
      <x:c r="L753" s="10" t="str"/>
      <x:c r="M753" s="7" t="str">
        <x:v>OPEN</x:v>
      </x:c>
    </x:row>
    <x:row r="754" ht="36" customHeight="1">
      <x:c r="B754" s="7" t="str">
        <x:v>RAE-E-32-P04</x:v>
      </x:c>
      <x:c r="C754" s="7" t="str">
        <x:v>RAE-E-32</x:v>
      </x:c>
      <x:c r="D754" s="7" t="str">
        <x:v>RFP-B2</x:v>
      </x:c>
      <x:c r="E754" s="7" t="str">
        <x:v>AM-06</x:v>
      </x:c>
      <x:c r="F754" s="7" t="str">
        <x:v>TR-B</x:v>
      </x:c>
      <x:c r="G754" s="7" t="str">
        <x:v>QE-02</x:v>
      </x:c>
      <x:c r="H754" s="7" t="str">
        <x:v>P04</x:v>
      </x:c>
      <x:c r="I754" s="7" t="str">
        <x:v>T-24h</x:v>
      </x:c>
      <x:c r="J754" s="10" t="str">
        <x:v>environment and recovery readiness</x:v>
      </x:c>
      <x:c r="K754" s="7" t="str"/>
      <x:c r="L754" s="10" t="str"/>
      <x:c r="M754" s="7" t="str">
        <x:v>OPEN</x:v>
      </x:c>
    </x:row>
    <x:row r="755" ht="36" customHeight="1">
      <x:c r="B755" s="7" t="str">
        <x:v>RAE-E-32-P05</x:v>
      </x:c>
      <x:c r="C755" s="7" t="str">
        <x:v>RAE-E-32</x:v>
      </x:c>
      <x:c r="D755" s="7" t="str">
        <x:v>RFP-B2</x:v>
      </x:c>
      <x:c r="E755" s="7" t="str">
        <x:v>AM-06</x:v>
      </x:c>
      <x:c r="F755" s="7" t="str">
        <x:v>TR-B</x:v>
      </x:c>
      <x:c r="G755" s="7" t="str">
        <x:v>QE-02</x:v>
      </x:c>
      <x:c r="H755" s="7" t="str">
        <x:v>P05</x:v>
      </x:c>
      <x:c r="I755" s="7" t="str">
        <x:v>T-12h</x:v>
      </x:c>
      <x:c r="J755" s="10" t="str">
        <x:v>rescue posture</x:v>
      </x:c>
      <x:c r="K755" s="7" t="str"/>
      <x:c r="L755" s="10" t="str"/>
      <x:c r="M755" s="7" t="str">
        <x:v>OPEN</x:v>
      </x:c>
    </x:row>
    <x:row r="756" ht="36" customHeight="1">
      <x:c r="B756" s="7" t="str">
        <x:v>RAE-E-32-P06</x:v>
      </x:c>
      <x:c r="C756" s="7" t="str">
        <x:v>RAE-E-32</x:v>
      </x:c>
      <x:c r="D756" s="7" t="str">
        <x:v>RFP-B2</x:v>
      </x:c>
      <x:c r="E756" s="7" t="str">
        <x:v>AM-06</x:v>
      </x:c>
      <x:c r="F756" s="7" t="str">
        <x:v>TR-B</x:v>
      </x:c>
      <x:c r="G756" s="7" t="str">
        <x:v>QE-02</x:v>
      </x:c>
      <x:c r="H756" s="7" t="str">
        <x:v>P06</x:v>
      </x:c>
      <x:c r="I756" s="7" t="str">
        <x:v>T-6h</x:v>
      </x:c>
      <x:c r="J756" s="10" t="str">
        <x:v>calibration before state</x:v>
      </x:c>
      <x:c r="K756" s="7" t="str"/>
      <x:c r="L756" s="10" t="str"/>
      <x:c r="M756" s="7" t="str">
        <x:v>OPEN</x:v>
      </x:c>
    </x:row>
    <x:row r="757" ht="36" customHeight="1">
      <x:c r="B757" s="7" t="str">
        <x:v>RAE-E-32-P07</x:v>
      </x:c>
      <x:c r="C757" s="7" t="str">
        <x:v>RAE-E-32</x:v>
      </x:c>
      <x:c r="D757" s="7" t="str">
        <x:v>RFP-B2</x:v>
      </x:c>
      <x:c r="E757" s="7" t="str">
        <x:v>AM-06</x:v>
      </x:c>
      <x:c r="F757" s="7" t="str">
        <x:v>TR-B</x:v>
      </x:c>
      <x:c r="G757" s="7" t="str">
        <x:v>QE-02</x:v>
      </x:c>
      <x:c r="H757" s="7" t="str">
        <x:v>P07</x:v>
      </x:c>
      <x:c r="I757" s="7" t="str">
        <x:v>T-2h</x:v>
      </x:c>
      <x:c r="J757" s="10" t="str">
        <x:v>receiver initial-volume proof</x:v>
      </x:c>
      <x:c r="K757" s="7" t="str"/>
      <x:c r="L757" s="10" t="str"/>
      <x:c r="M757" s="7" t="str">
        <x:v>OPEN</x:v>
      </x:c>
    </x:row>
    <x:row r="758" ht="36" customHeight="1">
      <x:c r="B758" s="7" t="str">
        <x:v>RAE-E-32-P08</x:v>
      </x:c>
      <x:c r="C758" s="7" t="str">
        <x:v>RAE-E-32</x:v>
      </x:c>
      <x:c r="D758" s="7" t="str">
        <x:v>RFP-B2</x:v>
      </x:c>
      <x:c r="E758" s="7" t="str">
        <x:v>AM-06</x:v>
      </x:c>
      <x:c r="F758" s="7" t="str">
        <x:v>TR-B</x:v>
      </x:c>
      <x:c r="G758" s="7" t="str">
        <x:v>QE-02</x:v>
      </x:c>
      <x:c r="H758" s="7" t="str">
        <x:v>P08</x:v>
      </x:c>
      <x:c r="I758" s="7" t="str">
        <x:v>T-60min</x:v>
      </x:c>
      <x:c r="J758" s="10" t="str">
        <x:v>neighbor inert-state proof</x:v>
      </x:c>
      <x:c r="K758" s="7" t="str"/>
      <x:c r="L758" s="10" t="str"/>
      <x:c r="M758" s="7" t="str">
        <x:v>OPEN</x:v>
      </x:c>
    </x:row>
    <x:row r="759" ht="36" customHeight="1">
      <x:c r="B759" s="7" t="str">
        <x:v>RAE-E-32-P09</x:v>
      </x:c>
      <x:c r="C759" s="7" t="str">
        <x:v>RAE-E-32</x:v>
      </x:c>
      <x:c r="D759" s="7" t="str">
        <x:v>RFP-B2</x:v>
      </x:c>
      <x:c r="E759" s="7" t="str">
        <x:v>AM-06</x:v>
      </x:c>
      <x:c r="F759" s="7" t="str">
        <x:v>TR-B</x:v>
      </x:c>
      <x:c r="G759" s="7" t="str">
        <x:v>QE-02</x:v>
      </x:c>
      <x:c r="H759" s="7" t="str">
        <x:v>P09</x:v>
      </x:c>
      <x:c r="I759" s="7" t="str">
        <x:v>T-30min</x:v>
      </x:c>
      <x:c r="J759" s="10" t="str">
        <x:v>native evidence armed</x:v>
      </x:c>
      <x:c r="K759" s="7" t="str"/>
      <x:c r="L759" s="10" t="str"/>
      <x:c r="M759" s="7" t="str">
        <x:v>OPEN</x:v>
      </x:c>
    </x:row>
    <x:row r="760" ht="36" customHeight="1">
      <x:c r="B760" s="7" t="str">
        <x:v>RAE-E-32-P10</x:v>
      </x:c>
      <x:c r="C760" s="7" t="str">
        <x:v>RAE-E-32</x:v>
      </x:c>
      <x:c r="D760" s="7" t="str">
        <x:v>RFP-B2</x:v>
      </x:c>
      <x:c r="E760" s="7" t="str">
        <x:v>AM-06</x:v>
      </x:c>
      <x:c r="F760" s="7" t="str">
        <x:v>TR-B</x:v>
      </x:c>
      <x:c r="G760" s="7" t="str">
        <x:v>QE-02</x:v>
      </x:c>
      <x:c r="H760" s="7" t="str">
        <x:v>P10</x:v>
      </x:c>
      <x:c r="I760" s="7" t="str">
        <x:v>T-10min</x:v>
      </x:c>
      <x:c r="J760" s="10" t="str">
        <x:v>final control poll</x:v>
      </x:c>
      <x:c r="K760" s="7" t="str"/>
      <x:c r="L760" s="10" t="str"/>
      <x:c r="M760" s="7" t="str">
        <x:v>OPEN</x:v>
      </x:c>
    </x:row>
    <x:row r="761" ht="36" customHeight="1">
      <x:c r="B761" s="7" t="str">
        <x:v>RAE-E-32-P11</x:v>
      </x:c>
      <x:c r="C761" s="7" t="str">
        <x:v>RAE-E-32</x:v>
      </x:c>
      <x:c r="D761" s="7" t="str">
        <x:v>RFP-B2</x:v>
      </x:c>
      <x:c r="E761" s="7" t="str">
        <x:v>AM-06</x:v>
      </x:c>
      <x:c r="F761" s="7" t="str">
        <x:v>TR-B</x:v>
      </x:c>
      <x:c r="G761" s="7" t="str">
        <x:v>QE-02</x:v>
      </x:c>
      <x:c r="H761" s="7" t="str">
        <x:v>P11</x:v>
      </x:c>
      <x:c r="I761" s="7" t="str">
        <x:v>T-60s</x:v>
      </x:c>
      <x:c r="J761" s="10" t="str">
        <x:v>full-rate capture</x:v>
      </x:c>
      <x:c r="K761" s="7" t="str"/>
      <x:c r="L761" s="10" t="str"/>
      <x:c r="M761" s="7" t="str">
        <x:v>OPEN</x:v>
      </x:c>
    </x:row>
    <x:row r="762" ht="36" customHeight="1">
      <x:c r="B762" s="7" t="str">
        <x:v>RAE-E-32-P12</x:v>
      </x:c>
      <x:c r="C762" s="7" t="str">
        <x:v>RAE-E-32</x:v>
      </x:c>
      <x:c r="D762" s="7" t="str">
        <x:v>RFP-B2</x:v>
      </x:c>
      <x:c r="E762" s="7" t="str">
        <x:v>AM-06</x:v>
      </x:c>
      <x:c r="F762" s="7" t="str">
        <x:v>TR-B</x:v>
      </x:c>
      <x:c r="G762" s="7" t="str">
        <x:v>QE-02</x:v>
      </x:c>
      <x:c r="H762" s="7" t="str">
        <x:v>P12</x:v>
      </x:c>
      <x:c r="I762" s="7" t="str">
        <x:v>T-10s</x:v>
      </x:c>
      <x:c r="J762" s="10" t="str">
        <x:v>registered challenge state</x:v>
      </x:c>
      <x:c r="K762" s="7" t="str"/>
      <x:c r="L762" s="10" t="str"/>
      <x:c r="M762" s="7" t="str">
        <x:v>OPEN</x:v>
      </x:c>
    </x:row>
    <x:row r="763" ht="36" customHeight="1">
      <x:c r="B763" s="7" t="str">
        <x:v>RAE-E-32-P13</x:v>
      </x:c>
      <x:c r="C763" s="7" t="str">
        <x:v>RAE-E-32</x:v>
      </x:c>
      <x:c r="D763" s="7" t="str">
        <x:v>RFP-B2</x:v>
      </x:c>
      <x:c r="E763" s="7" t="str">
        <x:v>AM-06</x:v>
      </x:c>
      <x:c r="F763" s="7" t="str">
        <x:v>TR-B</x:v>
      </x:c>
      <x:c r="G763" s="7" t="str">
        <x:v>QE-02</x:v>
      </x:c>
      <x:c r="H763" s="7" t="str">
        <x:v>P13</x:v>
      </x:c>
      <x:c r="I763" s="7" t="str">
        <x:v>T0</x:v>
      </x:c>
      <x:c r="J763" s="10" t="str">
        <x:v>source command or zero-source marker</x:v>
      </x:c>
      <x:c r="K763" s="7" t="str"/>
      <x:c r="L763" s="10" t="str"/>
      <x:c r="M763" s="7" t="str">
        <x:v>OPEN</x:v>
      </x:c>
    </x:row>
    <x:row r="764" ht="36" customHeight="1">
      <x:c r="B764" s="7" t="str">
        <x:v>RAE-E-32-P14</x:v>
      </x:c>
      <x:c r="C764" s="7" t="str">
        <x:v>RAE-E-32</x:v>
      </x:c>
      <x:c r="D764" s="7" t="str">
        <x:v>RFP-B2</x:v>
      </x:c>
      <x:c r="E764" s="7" t="str">
        <x:v>AM-06</x:v>
      </x:c>
      <x:c r="F764" s="7" t="str">
        <x:v>TR-B</x:v>
      </x:c>
      <x:c r="G764" s="7" t="str">
        <x:v>QE-02</x:v>
      </x:c>
      <x:c r="H764" s="7" t="str">
        <x:v>P14</x:v>
      </x:c>
      <x:c r="I764" s="7" t="str">
        <x:v>T+2s</x:v>
      </x:c>
      <x:c r="J764" s="10" t="str">
        <x:v>inlet and dispenser final state</x:v>
      </x:c>
      <x:c r="K764" s="7" t="str"/>
      <x:c r="L764" s="10" t="str"/>
      <x:c r="M764" s="7" t="str">
        <x:v>OPEN</x:v>
      </x:c>
    </x:row>
    <x:row r="765" ht="36" customHeight="1">
      <x:c r="B765" s="7" t="str">
        <x:v>RAE-E-32-P15</x:v>
      </x:c>
      <x:c r="C765" s="7" t="str">
        <x:v>RAE-E-32</x:v>
      </x:c>
      <x:c r="D765" s="7" t="str">
        <x:v>RFP-B2</x:v>
      </x:c>
      <x:c r="E765" s="7" t="str">
        <x:v>AM-06</x:v>
      </x:c>
      <x:c r="F765" s="7" t="str">
        <x:v>TR-B</x:v>
      </x:c>
      <x:c r="G765" s="7" t="str">
        <x:v>QE-02</x:v>
      </x:c>
      <x:c r="H765" s="7" t="str">
        <x:v>P15</x:v>
      </x:c>
      <x:c r="I765" s="7" t="str">
        <x:v>T+15s</x:v>
      </x:c>
      <x:c r="J765" s="10" t="str">
        <x:v>AM-06 QE-02 ignition opportunity</x:v>
      </x:c>
      <x:c r="K765" s="7" t="str"/>
      <x:c r="L765" s="10" t="str"/>
      <x:c r="M765" s="7" t="str">
        <x:v>OPEN</x:v>
      </x:c>
    </x:row>
    <x:row r="766" ht="36" customHeight="1">
      <x:c r="B766" s="7" t="str">
        <x:v>RAE-E-32-P16</x:v>
      </x:c>
      <x:c r="C766" s="7" t="str">
        <x:v>RAE-E-32</x:v>
      </x:c>
      <x:c r="D766" s="7" t="str">
        <x:v>RFP-B2</x:v>
      </x:c>
      <x:c r="E766" s="7" t="str">
        <x:v>AM-06</x:v>
      </x:c>
      <x:c r="F766" s="7" t="str">
        <x:v>TR-B</x:v>
      </x:c>
      <x:c r="G766" s="7" t="str">
        <x:v>QE-02</x:v>
      </x:c>
      <x:c r="H766" s="7" t="str">
        <x:v>P16</x:v>
      </x:c>
      <x:c r="I766" s="7" t="str">
        <x:v>T+30s</x:v>
      </x:c>
      <x:c r="J766" s="10" t="str">
        <x:v>terminal-source decision</x:v>
      </x:c>
      <x:c r="K766" s="7" t="str"/>
      <x:c r="L766" s="10" t="str"/>
      <x:c r="M766" s="7" t="str">
        <x:v>OPEN</x:v>
      </x:c>
    </x:row>
    <x:row r="767" ht="36" customHeight="1">
      <x:c r="B767" s="7" t="str">
        <x:v>RAE-E-32-P17</x:v>
      </x:c>
      <x:c r="C767" s="7" t="str">
        <x:v>RAE-E-32</x:v>
      </x:c>
      <x:c r="D767" s="7" t="str">
        <x:v>RFP-B2</x:v>
      </x:c>
      <x:c r="E767" s="7" t="str">
        <x:v>AM-06</x:v>
      </x:c>
      <x:c r="F767" s="7" t="str">
        <x:v>TR-B</x:v>
      </x:c>
      <x:c r="G767" s="7" t="str">
        <x:v>QE-02</x:v>
      </x:c>
      <x:c r="H767" s="7" t="str">
        <x:v>P17</x:v>
      </x:c>
      <x:c r="I767" s="7" t="str">
        <x:v>T+120s</x:v>
      </x:c>
      <x:c r="J767" s="10" t="str">
        <x:v>public schedule end</x:v>
      </x:c>
      <x:c r="K767" s="7" t="str"/>
      <x:c r="L767" s="10" t="str"/>
      <x:c r="M767" s="7" t="str">
        <x:v>OPEN</x:v>
      </x:c>
    </x:row>
    <x:row r="768" ht="36" customHeight="1">
      <x:c r="B768" s="7" t="str">
        <x:v>RAE-E-32-P18</x:v>
      </x:c>
      <x:c r="C768" s="7" t="str">
        <x:v>RAE-E-32</x:v>
      </x:c>
      <x:c r="D768" s="7" t="str">
        <x:v>RFP-B2</x:v>
      </x:c>
      <x:c r="E768" s="7" t="str">
        <x:v>AM-06</x:v>
      </x:c>
      <x:c r="F768" s="7" t="str">
        <x:v>TR-B</x:v>
      </x:c>
      <x:c r="G768" s="7" t="str">
        <x:v>QE-02</x:v>
      </x:c>
      <x:c r="H768" s="7" t="str">
        <x:v>P18</x:v>
      </x:c>
      <x:c r="I768" s="7" t="str">
        <x:v>T+15min</x:v>
      </x:c>
      <x:c r="J768" s="10" t="str">
        <x:v>thermal and water classification</x:v>
      </x:c>
      <x:c r="K768" s="7" t="str"/>
      <x:c r="L768" s="10" t="str"/>
      <x:c r="M768" s="7" t="str">
        <x:v>OPEN</x:v>
      </x:c>
    </x:row>
    <x:row r="769" ht="36" customHeight="1">
      <x:c r="B769" s="7" t="str">
        <x:v>RAE-E-32-P19</x:v>
      </x:c>
      <x:c r="C769" s="7" t="str">
        <x:v>RAE-E-32</x:v>
      </x:c>
      <x:c r="D769" s="7" t="str">
        <x:v>RFP-B2</x:v>
      </x:c>
      <x:c r="E769" s="7" t="str">
        <x:v>AM-06</x:v>
      </x:c>
      <x:c r="F769" s="7" t="str">
        <x:v>TR-B</x:v>
      </x:c>
      <x:c r="G769" s="7" t="str">
        <x:v>QE-02</x:v>
      </x:c>
      <x:c r="H769" s="7" t="str">
        <x:v>P19</x:v>
      </x:c>
      <x:c r="I769" s="7" t="str">
        <x:v>T+30min</x:v>
      </x:c>
      <x:c r="J769" s="10" t="str">
        <x:v>public intervention classification</x:v>
      </x:c>
      <x:c r="K769" s="7" t="str"/>
      <x:c r="L769" s="10" t="str"/>
      <x:c r="M769" s="7" t="str">
        <x:v>OPEN</x:v>
      </x:c>
    </x:row>
    <x:row r="770" ht="36" customHeight="1">
      <x:c r="B770" s="7" t="str">
        <x:v>RAE-E-32-P20</x:v>
      </x:c>
      <x:c r="C770" s="7" t="str">
        <x:v>RAE-E-32</x:v>
      </x:c>
      <x:c r="D770" s="7" t="str">
        <x:v>RFP-B2</x:v>
      </x:c>
      <x:c r="E770" s="7" t="str">
        <x:v>AM-06</x:v>
      </x:c>
      <x:c r="F770" s="7" t="str">
        <x:v>TR-B</x:v>
      </x:c>
      <x:c r="G770" s="7" t="str">
        <x:v>QE-02</x:v>
      </x:c>
      <x:c r="H770" s="7" t="str">
        <x:v>P20</x:v>
      </x:c>
      <x:c r="I770" s="7" t="str">
        <x:v>T+60min</x:v>
      </x:c>
      <x:c r="J770" s="10" t="str">
        <x:v>remote-entry classification</x:v>
      </x:c>
      <x:c r="K770" s="7" t="str"/>
      <x:c r="L770" s="10" t="str"/>
      <x:c r="M770" s="7" t="str">
        <x:v>OPEN</x:v>
      </x:c>
    </x:row>
    <x:row r="771" ht="36" customHeight="1">
      <x:c r="B771" s="7" t="str">
        <x:v>RAE-E-32-P21</x:v>
      </x:c>
      <x:c r="C771" s="7" t="str">
        <x:v>RAE-E-32</x:v>
      </x:c>
      <x:c r="D771" s="7" t="str">
        <x:v>RFP-B2</x:v>
      </x:c>
      <x:c r="E771" s="7" t="str">
        <x:v>AM-06</x:v>
      </x:c>
      <x:c r="F771" s="7" t="str">
        <x:v>TR-B</x:v>
      </x:c>
      <x:c r="G771" s="7" t="str">
        <x:v>QE-02</x:v>
      </x:c>
      <x:c r="H771" s="7" t="str">
        <x:v>P21</x:v>
      </x:c>
      <x:c r="I771" s="7" t="str">
        <x:v>T+6h</x:v>
      </x:c>
      <x:c r="J771" s="10" t="str">
        <x:v>evidence tail closure</x:v>
      </x:c>
      <x:c r="K771" s="7" t="str"/>
      <x:c r="L771" s="10" t="str"/>
      <x:c r="M771" s="7" t="str">
        <x:v>OPEN</x:v>
      </x:c>
    </x:row>
    <x:row r="772" ht="36" customHeight="1">
      <x:c r="B772" s="7" t="str">
        <x:v>RAE-E-32-P22</x:v>
      </x:c>
      <x:c r="C772" s="7" t="str">
        <x:v>RAE-E-32</x:v>
      </x:c>
      <x:c r="D772" s="7" t="str">
        <x:v>RFP-B2</x:v>
      </x:c>
      <x:c r="E772" s="7" t="str">
        <x:v>AM-06</x:v>
      </x:c>
      <x:c r="F772" s="7" t="str">
        <x:v>TR-B</x:v>
      </x:c>
      <x:c r="G772" s="7" t="str">
        <x:v>QE-02</x:v>
      </x:c>
      <x:c r="H772" s="7" t="str">
        <x:v>P22</x:v>
      </x:c>
      <x:c r="I772" s="7" t="str">
        <x:v>T+24h</x:v>
      </x:c>
      <x:c r="J772" s="10" t="str">
        <x:v>physical ledger closure</x:v>
      </x:c>
      <x:c r="K772" s="7" t="str"/>
      <x:c r="L772" s="10" t="str"/>
      <x:c r="M772" s="7" t="str">
        <x:v>OPEN</x:v>
      </x:c>
    </x:row>
    <x:row r="773" ht="36" customHeight="1">
      <x:c r="B773" s="7" t="str">
        <x:v>RAE-E-32-P23</x:v>
      </x:c>
      <x:c r="C773" s="7" t="str">
        <x:v>RAE-E-32</x:v>
      </x:c>
      <x:c r="D773" s="7" t="str">
        <x:v>RFP-B2</x:v>
      </x:c>
      <x:c r="E773" s="7" t="str">
        <x:v>AM-06</x:v>
      </x:c>
      <x:c r="F773" s="7" t="str">
        <x:v>TR-B</x:v>
      </x:c>
      <x:c r="G773" s="7" t="str">
        <x:v>QE-02</x:v>
      </x:c>
      <x:c r="H773" s="7" t="str">
        <x:v>P23</x:v>
      </x:c>
      <x:c r="I773" s="7" t="str">
        <x:v>T+72h</x:v>
      </x:c>
      <x:c r="J773" s="10" t="str">
        <x:v>immutable packet freeze</x:v>
      </x:c>
      <x:c r="K773" s="7" t="str"/>
      <x:c r="L773" s="10" t="str"/>
      <x:c r="M773" s="7" t="str">
        <x:v>OPEN</x:v>
      </x:c>
    </x:row>
    <x:row r="774" ht="36" customHeight="1">
      <x:c r="B774" s="7" t="str">
        <x:v>RAE-E-32-P24</x:v>
      </x:c>
      <x:c r="C774" s="7" t="str">
        <x:v>RAE-E-32</x:v>
      </x:c>
      <x:c r="D774" s="7" t="str">
        <x:v>RFP-B2</x:v>
      </x:c>
      <x:c r="E774" s="7" t="str">
        <x:v>AM-06</x:v>
      </x:c>
      <x:c r="F774" s="7" t="str">
        <x:v>TR-B</x:v>
      </x:c>
      <x:c r="G774" s="7" t="str">
        <x:v>QE-02</x:v>
      </x:c>
      <x:c r="H774" s="7" t="str">
        <x:v>P24</x:v>
      </x:c>
      <x:c r="I774" s="7" t="str">
        <x:v>day 7</x:v>
      </x:c>
      <x:c r="J774" s="10" t="str">
        <x:v>validity and outcome board</x:v>
      </x:c>
      <x:c r="K774" s="7" t="str"/>
      <x:c r="L774" s="10" t="str"/>
      <x:c r="M774" s="7" t="str">
        <x:v>OPEN</x:v>
      </x:c>
    </x:row>
    <x:row r="775" ht="36" customHeight="1">
      <x:c r="B775" s="7" t="str">
        <x:v>RAE-E-33-P01</x:v>
      </x:c>
      <x:c r="C775" s="7" t="str">
        <x:v>RAE-E-33</x:v>
      </x:c>
      <x:c r="D775" s="7" t="str">
        <x:v>RFP-C1</x:v>
      </x:c>
      <x:c r="E775" s="7" t="str">
        <x:v>AM-05</x:v>
      </x:c>
      <x:c r="F775" s="7" t="str">
        <x:v>TR-A</x:v>
      </x:c>
      <x:c r="G775" s="7" t="str">
        <x:v>QE-01</x:v>
      </x:c>
      <x:c r="H775" s="7" t="str">
        <x:v>P01</x:v>
      </x:c>
      <x:c r="I775" s="7" t="str">
        <x:v>T-96h</x:v>
      </x:c>
      <x:c r="J775" s="10" t="str">
        <x:v>baseline freeze</x:v>
      </x:c>
      <x:c r="K775" s="7" t="str"/>
      <x:c r="L775" s="10" t="str"/>
      <x:c r="M775" s="7" t="str">
        <x:v>OPEN</x:v>
      </x:c>
    </x:row>
    <x:row r="776" ht="36" customHeight="1">
      <x:c r="B776" s="7" t="str">
        <x:v>RAE-E-33-P02</x:v>
      </x:c>
      <x:c r="C776" s="7" t="str">
        <x:v>RAE-E-33</x:v>
      </x:c>
      <x:c r="D776" s="7" t="str">
        <x:v>RFP-C1</x:v>
      </x:c>
      <x:c r="E776" s="7" t="str">
        <x:v>AM-05</x:v>
      </x:c>
      <x:c r="F776" s="7" t="str">
        <x:v>TR-A</x:v>
      </x:c>
      <x:c r="G776" s="7" t="str">
        <x:v>QE-01</x:v>
      </x:c>
      <x:c r="H776" s="7" t="str">
        <x:v>P02</x:v>
      </x:c>
      <x:c r="I776" s="7" t="str">
        <x:v>T-72h</x:v>
      </x:c>
      <x:c r="J776" s="10" t="str">
        <x:v>source and water custody freeze</x:v>
      </x:c>
      <x:c r="K776" s="7" t="str"/>
      <x:c r="L776" s="10" t="str"/>
      <x:c r="M776" s="7" t="str">
        <x:v>OPEN</x:v>
      </x:c>
    </x:row>
    <x:row r="777" ht="36" customHeight="1">
      <x:c r="B777" s="7" t="str">
        <x:v>RAE-E-33-P03</x:v>
      </x:c>
      <x:c r="C777" s="7" t="str">
        <x:v>RAE-E-33</x:v>
      </x:c>
      <x:c r="D777" s="7" t="str">
        <x:v>RFP-C1</x:v>
      </x:c>
      <x:c r="E777" s="7" t="str">
        <x:v>AM-05</x:v>
      </x:c>
      <x:c r="F777" s="7" t="str">
        <x:v>TR-A</x:v>
      </x:c>
      <x:c r="G777" s="7" t="str">
        <x:v>QE-01</x:v>
      </x:c>
      <x:c r="H777" s="7" t="str">
        <x:v>P03</x:v>
      </x:c>
      <x:c r="I777" s="7" t="str">
        <x:v>T-48h</x:v>
      </x:c>
      <x:c r="J777" s="10" t="str">
        <x:v>article and configuration identity</x:v>
      </x:c>
      <x:c r="K777" s="7" t="str"/>
      <x:c r="L777" s="10" t="str"/>
      <x:c r="M777" s="7" t="str">
        <x:v>OPEN</x:v>
      </x:c>
    </x:row>
    <x:row r="778" ht="36" customHeight="1">
      <x:c r="B778" s="7" t="str">
        <x:v>RAE-E-33-P04</x:v>
      </x:c>
      <x:c r="C778" s="7" t="str">
        <x:v>RAE-E-33</x:v>
      </x:c>
      <x:c r="D778" s="7" t="str">
        <x:v>RFP-C1</x:v>
      </x:c>
      <x:c r="E778" s="7" t="str">
        <x:v>AM-05</x:v>
      </x:c>
      <x:c r="F778" s="7" t="str">
        <x:v>TR-A</x:v>
      </x:c>
      <x:c r="G778" s="7" t="str">
        <x:v>QE-01</x:v>
      </x:c>
      <x:c r="H778" s="7" t="str">
        <x:v>P04</x:v>
      </x:c>
      <x:c r="I778" s="7" t="str">
        <x:v>T-24h</x:v>
      </x:c>
      <x:c r="J778" s="10" t="str">
        <x:v>environment and recovery readiness</x:v>
      </x:c>
      <x:c r="K778" s="7" t="str"/>
      <x:c r="L778" s="10" t="str"/>
      <x:c r="M778" s="7" t="str">
        <x:v>OPEN</x:v>
      </x:c>
    </x:row>
    <x:row r="779" ht="36" customHeight="1">
      <x:c r="B779" s="7" t="str">
        <x:v>RAE-E-33-P05</x:v>
      </x:c>
      <x:c r="C779" s="7" t="str">
        <x:v>RAE-E-33</x:v>
      </x:c>
      <x:c r="D779" s="7" t="str">
        <x:v>RFP-C1</x:v>
      </x:c>
      <x:c r="E779" s="7" t="str">
        <x:v>AM-05</x:v>
      </x:c>
      <x:c r="F779" s="7" t="str">
        <x:v>TR-A</x:v>
      </x:c>
      <x:c r="G779" s="7" t="str">
        <x:v>QE-01</x:v>
      </x:c>
      <x:c r="H779" s="7" t="str">
        <x:v>P05</x:v>
      </x:c>
      <x:c r="I779" s="7" t="str">
        <x:v>T-12h</x:v>
      </x:c>
      <x:c r="J779" s="10" t="str">
        <x:v>rescue posture</x:v>
      </x:c>
      <x:c r="K779" s="7" t="str"/>
      <x:c r="L779" s="10" t="str"/>
      <x:c r="M779" s="7" t="str">
        <x:v>OPEN</x:v>
      </x:c>
    </x:row>
    <x:row r="780" ht="36" customHeight="1">
      <x:c r="B780" s="7" t="str">
        <x:v>RAE-E-33-P06</x:v>
      </x:c>
      <x:c r="C780" s="7" t="str">
        <x:v>RAE-E-33</x:v>
      </x:c>
      <x:c r="D780" s="7" t="str">
        <x:v>RFP-C1</x:v>
      </x:c>
      <x:c r="E780" s="7" t="str">
        <x:v>AM-05</x:v>
      </x:c>
      <x:c r="F780" s="7" t="str">
        <x:v>TR-A</x:v>
      </x:c>
      <x:c r="G780" s="7" t="str">
        <x:v>QE-01</x:v>
      </x:c>
      <x:c r="H780" s="7" t="str">
        <x:v>P06</x:v>
      </x:c>
      <x:c r="I780" s="7" t="str">
        <x:v>T-6h</x:v>
      </x:c>
      <x:c r="J780" s="10" t="str">
        <x:v>calibration before state</x:v>
      </x:c>
      <x:c r="K780" s="7" t="str"/>
      <x:c r="L780" s="10" t="str"/>
      <x:c r="M780" s="7" t="str">
        <x:v>OPEN</x:v>
      </x:c>
    </x:row>
    <x:row r="781" ht="36" customHeight="1">
      <x:c r="B781" s="7" t="str">
        <x:v>RAE-E-33-P07</x:v>
      </x:c>
      <x:c r="C781" s="7" t="str">
        <x:v>RAE-E-33</x:v>
      </x:c>
      <x:c r="D781" s="7" t="str">
        <x:v>RFP-C1</x:v>
      </x:c>
      <x:c r="E781" s="7" t="str">
        <x:v>AM-05</x:v>
      </x:c>
      <x:c r="F781" s="7" t="str">
        <x:v>TR-A</x:v>
      </x:c>
      <x:c r="G781" s="7" t="str">
        <x:v>QE-01</x:v>
      </x:c>
      <x:c r="H781" s="7" t="str">
        <x:v>P07</x:v>
      </x:c>
      <x:c r="I781" s="7" t="str">
        <x:v>T-2h</x:v>
      </x:c>
      <x:c r="J781" s="10" t="str">
        <x:v>receiver initial-volume proof</x:v>
      </x:c>
      <x:c r="K781" s="7" t="str"/>
      <x:c r="L781" s="10" t="str"/>
      <x:c r="M781" s="7" t="str">
        <x:v>OPEN</x:v>
      </x:c>
    </x:row>
    <x:row r="782" ht="36" customHeight="1">
      <x:c r="B782" s="7" t="str">
        <x:v>RAE-E-33-P08</x:v>
      </x:c>
      <x:c r="C782" s="7" t="str">
        <x:v>RAE-E-33</x:v>
      </x:c>
      <x:c r="D782" s="7" t="str">
        <x:v>RFP-C1</x:v>
      </x:c>
      <x:c r="E782" s="7" t="str">
        <x:v>AM-05</x:v>
      </x:c>
      <x:c r="F782" s="7" t="str">
        <x:v>TR-A</x:v>
      </x:c>
      <x:c r="G782" s="7" t="str">
        <x:v>QE-01</x:v>
      </x:c>
      <x:c r="H782" s="7" t="str">
        <x:v>P08</x:v>
      </x:c>
      <x:c r="I782" s="7" t="str">
        <x:v>T-60min</x:v>
      </x:c>
      <x:c r="J782" s="10" t="str">
        <x:v>neighbor inert-state proof</x:v>
      </x:c>
      <x:c r="K782" s="7" t="str"/>
      <x:c r="L782" s="10" t="str"/>
      <x:c r="M782" s="7" t="str">
        <x:v>OPEN</x:v>
      </x:c>
    </x:row>
    <x:row r="783" ht="36" customHeight="1">
      <x:c r="B783" s="7" t="str">
        <x:v>RAE-E-33-P09</x:v>
      </x:c>
      <x:c r="C783" s="7" t="str">
        <x:v>RAE-E-33</x:v>
      </x:c>
      <x:c r="D783" s="7" t="str">
        <x:v>RFP-C1</x:v>
      </x:c>
      <x:c r="E783" s="7" t="str">
        <x:v>AM-05</x:v>
      </x:c>
      <x:c r="F783" s="7" t="str">
        <x:v>TR-A</x:v>
      </x:c>
      <x:c r="G783" s="7" t="str">
        <x:v>QE-01</x:v>
      </x:c>
      <x:c r="H783" s="7" t="str">
        <x:v>P09</x:v>
      </x:c>
      <x:c r="I783" s="7" t="str">
        <x:v>T-30min</x:v>
      </x:c>
      <x:c r="J783" s="10" t="str">
        <x:v>native evidence armed</x:v>
      </x:c>
      <x:c r="K783" s="7" t="str"/>
      <x:c r="L783" s="10" t="str"/>
      <x:c r="M783" s="7" t="str">
        <x:v>OPEN</x:v>
      </x:c>
    </x:row>
    <x:row r="784" ht="36" customHeight="1">
      <x:c r="B784" s="7" t="str">
        <x:v>RAE-E-33-P10</x:v>
      </x:c>
      <x:c r="C784" s="7" t="str">
        <x:v>RAE-E-33</x:v>
      </x:c>
      <x:c r="D784" s="7" t="str">
        <x:v>RFP-C1</x:v>
      </x:c>
      <x:c r="E784" s="7" t="str">
        <x:v>AM-05</x:v>
      </x:c>
      <x:c r="F784" s="7" t="str">
        <x:v>TR-A</x:v>
      </x:c>
      <x:c r="G784" s="7" t="str">
        <x:v>QE-01</x:v>
      </x:c>
      <x:c r="H784" s="7" t="str">
        <x:v>P10</x:v>
      </x:c>
      <x:c r="I784" s="7" t="str">
        <x:v>T-10min</x:v>
      </x:c>
      <x:c r="J784" s="10" t="str">
        <x:v>final control poll</x:v>
      </x:c>
      <x:c r="K784" s="7" t="str"/>
      <x:c r="L784" s="10" t="str"/>
      <x:c r="M784" s="7" t="str">
        <x:v>OPEN</x:v>
      </x:c>
    </x:row>
    <x:row r="785" ht="36" customHeight="1">
      <x:c r="B785" s="7" t="str">
        <x:v>RAE-E-33-P11</x:v>
      </x:c>
      <x:c r="C785" s="7" t="str">
        <x:v>RAE-E-33</x:v>
      </x:c>
      <x:c r="D785" s="7" t="str">
        <x:v>RFP-C1</x:v>
      </x:c>
      <x:c r="E785" s="7" t="str">
        <x:v>AM-05</x:v>
      </x:c>
      <x:c r="F785" s="7" t="str">
        <x:v>TR-A</x:v>
      </x:c>
      <x:c r="G785" s="7" t="str">
        <x:v>QE-01</x:v>
      </x:c>
      <x:c r="H785" s="7" t="str">
        <x:v>P11</x:v>
      </x:c>
      <x:c r="I785" s="7" t="str">
        <x:v>T-60s</x:v>
      </x:c>
      <x:c r="J785" s="10" t="str">
        <x:v>full-rate capture</x:v>
      </x:c>
      <x:c r="K785" s="7" t="str"/>
      <x:c r="L785" s="10" t="str"/>
      <x:c r="M785" s="7" t="str">
        <x:v>OPEN</x:v>
      </x:c>
    </x:row>
    <x:row r="786" ht="36" customHeight="1">
      <x:c r="B786" s="7" t="str">
        <x:v>RAE-E-33-P12</x:v>
      </x:c>
      <x:c r="C786" s="7" t="str">
        <x:v>RAE-E-33</x:v>
      </x:c>
      <x:c r="D786" s="7" t="str">
        <x:v>RFP-C1</x:v>
      </x:c>
      <x:c r="E786" s="7" t="str">
        <x:v>AM-05</x:v>
      </x:c>
      <x:c r="F786" s="7" t="str">
        <x:v>TR-A</x:v>
      </x:c>
      <x:c r="G786" s="7" t="str">
        <x:v>QE-01</x:v>
      </x:c>
      <x:c r="H786" s="7" t="str">
        <x:v>P12</x:v>
      </x:c>
      <x:c r="I786" s="7" t="str">
        <x:v>T-10s</x:v>
      </x:c>
      <x:c r="J786" s="10" t="str">
        <x:v>registered challenge state</x:v>
      </x:c>
      <x:c r="K786" s="7" t="str"/>
      <x:c r="L786" s="10" t="str"/>
      <x:c r="M786" s="7" t="str">
        <x:v>OPEN</x:v>
      </x:c>
    </x:row>
    <x:row r="787" ht="36" customHeight="1">
      <x:c r="B787" s="7" t="str">
        <x:v>RAE-E-33-P13</x:v>
      </x:c>
      <x:c r="C787" s="7" t="str">
        <x:v>RAE-E-33</x:v>
      </x:c>
      <x:c r="D787" s="7" t="str">
        <x:v>RFP-C1</x:v>
      </x:c>
      <x:c r="E787" s="7" t="str">
        <x:v>AM-05</x:v>
      </x:c>
      <x:c r="F787" s="7" t="str">
        <x:v>TR-A</x:v>
      </x:c>
      <x:c r="G787" s="7" t="str">
        <x:v>QE-01</x:v>
      </x:c>
      <x:c r="H787" s="7" t="str">
        <x:v>P13</x:v>
      </x:c>
      <x:c r="I787" s="7" t="str">
        <x:v>T0</x:v>
      </x:c>
      <x:c r="J787" s="10" t="str">
        <x:v>source command or zero-source marker</x:v>
      </x:c>
      <x:c r="K787" s="7" t="str"/>
      <x:c r="L787" s="10" t="str"/>
      <x:c r="M787" s="7" t="str">
        <x:v>OPEN</x:v>
      </x:c>
    </x:row>
    <x:row r="788" ht="36" customHeight="1">
      <x:c r="B788" s="7" t="str">
        <x:v>RAE-E-33-P14</x:v>
      </x:c>
      <x:c r="C788" s="7" t="str">
        <x:v>RAE-E-33</x:v>
      </x:c>
      <x:c r="D788" s="7" t="str">
        <x:v>RFP-C1</x:v>
      </x:c>
      <x:c r="E788" s="7" t="str">
        <x:v>AM-05</x:v>
      </x:c>
      <x:c r="F788" s="7" t="str">
        <x:v>TR-A</x:v>
      </x:c>
      <x:c r="G788" s="7" t="str">
        <x:v>QE-01</x:v>
      </x:c>
      <x:c r="H788" s="7" t="str">
        <x:v>P14</x:v>
      </x:c>
      <x:c r="I788" s="7" t="str">
        <x:v>T+2s</x:v>
      </x:c>
      <x:c r="J788" s="10" t="str">
        <x:v>inlet and dispenser final state</x:v>
      </x:c>
      <x:c r="K788" s="7" t="str"/>
      <x:c r="L788" s="10" t="str"/>
      <x:c r="M788" s="7" t="str">
        <x:v>OPEN</x:v>
      </x:c>
    </x:row>
    <x:row r="789" ht="36" customHeight="1">
      <x:c r="B789" s="7" t="str">
        <x:v>RAE-E-33-P15</x:v>
      </x:c>
      <x:c r="C789" s="7" t="str">
        <x:v>RAE-E-33</x:v>
      </x:c>
      <x:c r="D789" s="7" t="str">
        <x:v>RFP-C1</x:v>
      </x:c>
      <x:c r="E789" s="7" t="str">
        <x:v>AM-05</x:v>
      </x:c>
      <x:c r="F789" s="7" t="str">
        <x:v>TR-A</x:v>
      </x:c>
      <x:c r="G789" s="7" t="str">
        <x:v>QE-01</x:v>
      </x:c>
      <x:c r="H789" s="7" t="str">
        <x:v>P15</x:v>
      </x:c>
      <x:c r="I789" s="7" t="str">
        <x:v>T+15s</x:v>
      </x:c>
      <x:c r="J789" s="10" t="str">
        <x:v>AM-06 QE-02 ignition opportunity</x:v>
      </x:c>
      <x:c r="K789" s="7" t="str"/>
      <x:c r="L789" s="10" t="str"/>
      <x:c r="M789" s="7" t="str">
        <x:v>OPEN</x:v>
      </x:c>
    </x:row>
    <x:row r="790" ht="36" customHeight="1">
      <x:c r="B790" s="7" t="str">
        <x:v>RAE-E-33-P16</x:v>
      </x:c>
      <x:c r="C790" s="7" t="str">
        <x:v>RAE-E-33</x:v>
      </x:c>
      <x:c r="D790" s="7" t="str">
        <x:v>RFP-C1</x:v>
      </x:c>
      <x:c r="E790" s="7" t="str">
        <x:v>AM-05</x:v>
      </x:c>
      <x:c r="F790" s="7" t="str">
        <x:v>TR-A</x:v>
      </x:c>
      <x:c r="G790" s="7" t="str">
        <x:v>QE-01</x:v>
      </x:c>
      <x:c r="H790" s="7" t="str">
        <x:v>P16</x:v>
      </x:c>
      <x:c r="I790" s="7" t="str">
        <x:v>T+30s</x:v>
      </x:c>
      <x:c r="J790" s="10" t="str">
        <x:v>terminal-source decision</x:v>
      </x:c>
      <x:c r="K790" s="7" t="str"/>
      <x:c r="L790" s="10" t="str"/>
      <x:c r="M790" s="7" t="str">
        <x:v>OPEN</x:v>
      </x:c>
    </x:row>
    <x:row r="791" ht="36" customHeight="1">
      <x:c r="B791" s="7" t="str">
        <x:v>RAE-E-33-P17</x:v>
      </x:c>
      <x:c r="C791" s="7" t="str">
        <x:v>RAE-E-33</x:v>
      </x:c>
      <x:c r="D791" s="7" t="str">
        <x:v>RFP-C1</x:v>
      </x:c>
      <x:c r="E791" s="7" t="str">
        <x:v>AM-05</x:v>
      </x:c>
      <x:c r="F791" s="7" t="str">
        <x:v>TR-A</x:v>
      </x:c>
      <x:c r="G791" s="7" t="str">
        <x:v>QE-01</x:v>
      </x:c>
      <x:c r="H791" s="7" t="str">
        <x:v>P17</x:v>
      </x:c>
      <x:c r="I791" s="7" t="str">
        <x:v>T+120s</x:v>
      </x:c>
      <x:c r="J791" s="10" t="str">
        <x:v>public schedule end</x:v>
      </x:c>
      <x:c r="K791" s="7" t="str"/>
      <x:c r="L791" s="10" t="str"/>
      <x:c r="M791" s="7" t="str">
        <x:v>OPEN</x:v>
      </x:c>
    </x:row>
    <x:row r="792" ht="36" customHeight="1">
      <x:c r="B792" s="7" t="str">
        <x:v>RAE-E-33-P18</x:v>
      </x:c>
      <x:c r="C792" s="7" t="str">
        <x:v>RAE-E-33</x:v>
      </x:c>
      <x:c r="D792" s="7" t="str">
        <x:v>RFP-C1</x:v>
      </x:c>
      <x:c r="E792" s="7" t="str">
        <x:v>AM-05</x:v>
      </x:c>
      <x:c r="F792" s="7" t="str">
        <x:v>TR-A</x:v>
      </x:c>
      <x:c r="G792" s="7" t="str">
        <x:v>QE-01</x:v>
      </x:c>
      <x:c r="H792" s="7" t="str">
        <x:v>P18</x:v>
      </x:c>
      <x:c r="I792" s="7" t="str">
        <x:v>T+15min</x:v>
      </x:c>
      <x:c r="J792" s="10" t="str">
        <x:v>thermal and water classification</x:v>
      </x:c>
      <x:c r="K792" s="7" t="str"/>
      <x:c r="L792" s="10" t="str"/>
      <x:c r="M792" s="7" t="str">
        <x:v>OPEN</x:v>
      </x:c>
    </x:row>
    <x:row r="793" ht="36" customHeight="1">
      <x:c r="B793" s="7" t="str">
        <x:v>RAE-E-33-P19</x:v>
      </x:c>
      <x:c r="C793" s="7" t="str">
        <x:v>RAE-E-33</x:v>
      </x:c>
      <x:c r="D793" s="7" t="str">
        <x:v>RFP-C1</x:v>
      </x:c>
      <x:c r="E793" s="7" t="str">
        <x:v>AM-05</x:v>
      </x:c>
      <x:c r="F793" s="7" t="str">
        <x:v>TR-A</x:v>
      </x:c>
      <x:c r="G793" s="7" t="str">
        <x:v>QE-01</x:v>
      </x:c>
      <x:c r="H793" s="7" t="str">
        <x:v>P19</x:v>
      </x:c>
      <x:c r="I793" s="7" t="str">
        <x:v>T+30min</x:v>
      </x:c>
      <x:c r="J793" s="10" t="str">
        <x:v>public intervention classification</x:v>
      </x:c>
      <x:c r="K793" s="7" t="str"/>
      <x:c r="L793" s="10" t="str"/>
      <x:c r="M793" s="7" t="str">
        <x:v>OPEN</x:v>
      </x:c>
    </x:row>
    <x:row r="794" ht="36" customHeight="1">
      <x:c r="B794" s="7" t="str">
        <x:v>RAE-E-33-P20</x:v>
      </x:c>
      <x:c r="C794" s="7" t="str">
        <x:v>RAE-E-33</x:v>
      </x:c>
      <x:c r="D794" s="7" t="str">
        <x:v>RFP-C1</x:v>
      </x:c>
      <x:c r="E794" s="7" t="str">
        <x:v>AM-05</x:v>
      </x:c>
      <x:c r="F794" s="7" t="str">
        <x:v>TR-A</x:v>
      </x:c>
      <x:c r="G794" s="7" t="str">
        <x:v>QE-01</x:v>
      </x:c>
      <x:c r="H794" s="7" t="str">
        <x:v>P20</x:v>
      </x:c>
      <x:c r="I794" s="7" t="str">
        <x:v>T+60min</x:v>
      </x:c>
      <x:c r="J794" s="10" t="str">
        <x:v>remote-entry classification</x:v>
      </x:c>
      <x:c r="K794" s="7" t="str"/>
      <x:c r="L794" s="10" t="str"/>
      <x:c r="M794" s="7" t="str">
        <x:v>OPEN</x:v>
      </x:c>
    </x:row>
    <x:row r="795" ht="36" customHeight="1">
      <x:c r="B795" s="7" t="str">
        <x:v>RAE-E-33-P21</x:v>
      </x:c>
      <x:c r="C795" s="7" t="str">
        <x:v>RAE-E-33</x:v>
      </x:c>
      <x:c r="D795" s="7" t="str">
        <x:v>RFP-C1</x:v>
      </x:c>
      <x:c r="E795" s="7" t="str">
        <x:v>AM-05</x:v>
      </x:c>
      <x:c r="F795" s="7" t="str">
        <x:v>TR-A</x:v>
      </x:c>
      <x:c r="G795" s="7" t="str">
        <x:v>QE-01</x:v>
      </x:c>
      <x:c r="H795" s="7" t="str">
        <x:v>P21</x:v>
      </x:c>
      <x:c r="I795" s="7" t="str">
        <x:v>T+6h</x:v>
      </x:c>
      <x:c r="J795" s="10" t="str">
        <x:v>evidence tail closure</x:v>
      </x:c>
      <x:c r="K795" s="7" t="str"/>
      <x:c r="L795" s="10" t="str"/>
      <x:c r="M795" s="7" t="str">
        <x:v>OPEN</x:v>
      </x:c>
    </x:row>
    <x:row r="796" ht="36" customHeight="1">
      <x:c r="B796" s="7" t="str">
        <x:v>RAE-E-33-P22</x:v>
      </x:c>
      <x:c r="C796" s="7" t="str">
        <x:v>RAE-E-33</x:v>
      </x:c>
      <x:c r="D796" s="7" t="str">
        <x:v>RFP-C1</x:v>
      </x:c>
      <x:c r="E796" s="7" t="str">
        <x:v>AM-05</x:v>
      </x:c>
      <x:c r="F796" s="7" t="str">
        <x:v>TR-A</x:v>
      </x:c>
      <x:c r="G796" s="7" t="str">
        <x:v>QE-01</x:v>
      </x:c>
      <x:c r="H796" s="7" t="str">
        <x:v>P22</x:v>
      </x:c>
      <x:c r="I796" s="7" t="str">
        <x:v>T+24h</x:v>
      </x:c>
      <x:c r="J796" s="10" t="str">
        <x:v>physical ledger closure</x:v>
      </x:c>
      <x:c r="K796" s="7" t="str"/>
      <x:c r="L796" s="10" t="str"/>
      <x:c r="M796" s="7" t="str">
        <x:v>OPEN</x:v>
      </x:c>
    </x:row>
    <x:row r="797" ht="36" customHeight="1">
      <x:c r="B797" s="7" t="str">
        <x:v>RAE-E-33-P23</x:v>
      </x:c>
      <x:c r="C797" s="7" t="str">
        <x:v>RAE-E-33</x:v>
      </x:c>
      <x:c r="D797" s="7" t="str">
        <x:v>RFP-C1</x:v>
      </x:c>
      <x:c r="E797" s="7" t="str">
        <x:v>AM-05</x:v>
      </x:c>
      <x:c r="F797" s="7" t="str">
        <x:v>TR-A</x:v>
      </x:c>
      <x:c r="G797" s="7" t="str">
        <x:v>QE-01</x:v>
      </x:c>
      <x:c r="H797" s="7" t="str">
        <x:v>P23</x:v>
      </x:c>
      <x:c r="I797" s="7" t="str">
        <x:v>T+72h</x:v>
      </x:c>
      <x:c r="J797" s="10" t="str">
        <x:v>immutable packet freeze</x:v>
      </x:c>
      <x:c r="K797" s="7" t="str"/>
      <x:c r="L797" s="10" t="str"/>
      <x:c r="M797" s="7" t="str">
        <x:v>OPEN</x:v>
      </x:c>
    </x:row>
    <x:row r="798" ht="36" customHeight="1">
      <x:c r="B798" s="7" t="str">
        <x:v>RAE-E-33-P24</x:v>
      </x:c>
      <x:c r="C798" s="7" t="str">
        <x:v>RAE-E-33</x:v>
      </x:c>
      <x:c r="D798" s="7" t="str">
        <x:v>RFP-C1</x:v>
      </x:c>
      <x:c r="E798" s="7" t="str">
        <x:v>AM-05</x:v>
      </x:c>
      <x:c r="F798" s="7" t="str">
        <x:v>TR-A</x:v>
      </x:c>
      <x:c r="G798" s="7" t="str">
        <x:v>QE-01</x:v>
      </x:c>
      <x:c r="H798" s="7" t="str">
        <x:v>P24</x:v>
      </x:c>
      <x:c r="I798" s="7" t="str">
        <x:v>day 7</x:v>
      </x:c>
      <x:c r="J798" s="10" t="str">
        <x:v>validity and outcome board</x:v>
      </x:c>
      <x:c r="K798" s="7" t="str"/>
      <x:c r="L798" s="10" t="str"/>
      <x:c r="M798" s="7" t="str">
        <x:v>OPEN</x:v>
      </x:c>
    </x:row>
    <x:row r="799" ht="36" customHeight="1">
      <x:c r="B799" s="7" t="str">
        <x:v>RAE-E-34-P01</x:v>
      </x:c>
      <x:c r="C799" s="7" t="str">
        <x:v>RAE-E-34</x:v>
      </x:c>
      <x:c r="D799" s="7" t="str">
        <x:v>RFP-C1</x:v>
      </x:c>
      <x:c r="E799" s="7" t="str">
        <x:v>AM-05</x:v>
      </x:c>
      <x:c r="F799" s="7" t="str">
        <x:v>TR-A</x:v>
      </x:c>
      <x:c r="G799" s="7" t="str">
        <x:v>QE-02</x:v>
      </x:c>
      <x:c r="H799" s="7" t="str">
        <x:v>P01</x:v>
      </x:c>
      <x:c r="I799" s="7" t="str">
        <x:v>T-96h</x:v>
      </x:c>
      <x:c r="J799" s="10" t="str">
        <x:v>baseline freeze</x:v>
      </x:c>
      <x:c r="K799" s="7" t="str"/>
      <x:c r="L799" s="10" t="str"/>
      <x:c r="M799" s="7" t="str">
        <x:v>OPEN</x:v>
      </x:c>
    </x:row>
    <x:row r="800" ht="36" customHeight="1">
      <x:c r="B800" s="7" t="str">
        <x:v>RAE-E-34-P02</x:v>
      </x:c>
      <x:c r="C800" s="7" t="str">
        <x:v>RAE-E-34</x:v>
      </x:c>
      <x:c r="D800" s="7" t="str">
        <x:v>RFP-C1</x:v>
      </x:c>
      <x:c r="E800" s="7" t="str">
        <x:v>AM-05</x:v>
      </x:c>
      <x:c r="F800" s="7" t="str">
        <x:v>TR-A</x:v>
      </x:c>
      <x:c r="G800" s="7" t="str">
        <x:v>QE-02</x:v>
      </x:c>
      <x:c r="H800" s="7" t="str">
        <x:v>P02</x:v>
      </x:c>
      <x:c r="I800" s="7" t="str">
        <x:v>T-72h</x:v>
      </x:c>
      <x:c r="J800" s="10" t="str">
        <x:v>source and water custody freeze</x:v>
      </x:c>
      <x:c r="K800" s="7" t="str"/>
      <x:c r="L800" s="10" t="str"/>
      <x:c r="M800" s="7" t="str">
        <x:v>OPEN</x:v>
      </x:c>
    </x:row>
    <x:row r="801" ht="36" customHeight="1">
      <x:c r="B801" s="7" t="str">
        <x:v>RAE-E-34-P03</x:v>
      </x:c>
      <x:c r="C801" s="7" t="str">
        <x:v>RAE-E-34</x:v>
      </x:c>
      <x:c r="D801" s="7" t="str">
        <x:v>RFP-C1</x:v>
      </x:c>
      <x:c r="E801" s="7" t="str">
        <x:v>AM-05</x:v>
      </x:c>
      <x:c r="F801" s="7" t="str">
        <x:v>TR-A</x:v>
      </x:c>
      <x:c r="G801" s="7" t="str">
        <x:v>QE-02</x:v>
      </x:c>
      <x:c r="H801" s="7" t="str">
        <x:v>P03</x:v>
      </x:c>
      <x:c r="I801" s="7" t="str">
        <x:v>T-48h</x:v>
      </x:c>
      <x:c r="J801" s="10" t="str">
        <x:v>article and configuration identity</x:v>
      </x:c>
      <x:c r="K801" s="7" t="str"/>
      <x:c r="L801" s="10" t="str"/>
      <x:c r="M801" s="7" t="str">
        <x:v>OPEN</x:v>
      </x:c>
    </x:row>
    <x:row r="802" ht="36" customHeight="1">
      <x:c r="B802" s="7" t="str">
        <x:v>RAE-E-34-P04</x:v>
      </x:c>
      <x:c r="C802" s="7" t="str">
        <x:v>RAE-E-34</x:v>
      </x:c>
      <x:c r="D802" s="7" t="str">
        <x:v>RFP-C1</x:v>
      </x:c>
      <x:c r="E802" s="7" t="str">
        <x:v>AM-05</x:v>
      </x:c>
      <x:c r="F802" s="7" t="str">
        <x:v>TR-A</x:v>
      </x:c>
      <x:c r="G802" s="7" t="str">
        <x:v>QE-02</x:v>
      </x:c>
      <x:c r="H802" s="7" t="str">
        <x:v>P04</x:v>
      </x:c>
      <x:c r="I802" s="7" t="str">
        <x:v>T-24h</x:v>
      </x:c>
      <x:c r="J802" s="10" t="str">
        <x:v>environment and recovery readiness</x:v>
      </x:c>
      <x:c r="K802" s="7" t="str"/>
      <x:c r="L802" s="10" t="str"/>
      <x:c r="M802" s="7" t="str">
        <x:v>OPEN</x:v>
      </x:c>
    </x:row>
    <x:row r="803" ht="36" customHeight="1">
      <x:c r="B803" s="7" t="str">
        <x:v>RAE-E-34-P05</x:v>
      </x:c>
      <x:c r="C803" s="7" t="str">
        <x:v>RAE-E-34</x:v>
      </x:c>
      <x:c r="D803" s="7" t="str">
        <x:v>RFP-C1</x:v>
      </x:c>
      <x:c r="E803" s="7" t="str">
        <x:v>AM-05</x:v>
      </x:c>
      <x:c r="F803" s="7" t="str">
        <x:v>TR-A</x:v>
      </x:c>
      <x:c r="G803" s="7" t="str">
        <x:v>QE-02</x:v>
      </x:c>
      <x:c r="H803" s="7" t="str">
        <x:v>P05</x:v>
      </x:c>
      <x:c r="I803" s="7" t="str">
        <x:v>T-12h</x:v>
      </x:c>
      <x:c r="J803" s="10" t="str">
        <x:v>rescue posture</x:v>
      </x:c>
      <x:c r="K803" s="7" t="str"/>
      <x:c r="L803" s="10" t="str"/>
      <x:c r="M803" s="7" t="str">
        <x:v>OPEN</x:v>
      </x:c>
    </x:row>
    <x:row r="804" ht="36" customHeight="1">
      <x:c r="B804" s="7" t="str">
        <x:v>RAE-E-34-P06</x:v>
      </x:c>
      <x:c r="C804" s="7" t="str">
        <x:v>RAE-E-34</x:v>
      </x:c>
      <x:c r="D804" s="7" t="str">
        <x:v>RFP-C1</x:v>
      </x:c>
      <x:c r="E804" s="7" t="str">
        <x:v>AM-05</x:v>
      </x:c>
      <x:c r="F804" s="7" t="str">
        <x:v>TR-A</x:v>
      </x:c>
      <x:c r="G804" s="7" t="str">
        <x:v>QE-02</x:v>
      </x:c>
      <x:c r="H804" s="7" t="str">
        <x:v>P06</x:v>
      </x:c>
      <x:c r="I804" s="7" t="str">
        <x:v>T-6h</x:v>
      </x:c>
      <x:c r="J804" s="10" t="str">
        <x:v>calibration before state</x:v>
      </x:c>
      <x:c r="K804" s="7" t="str"/>
      <x:c r="L804" s="10" t="str"/>
      <x:c r="M804" s="7" t="str">
        <x:v>OPEN</x:v>
      </x:c>
    </x:row>
    <x:row r="805" ht="36" customHeight="1">
      <x:c r="B805" s="7" t="str">
        <x:v>RAE-E-34-P07</x:v>
      </x:c>
      <x:c r="C805" s="7" t="str">
        <x:v>RAE-E-34</x:v>
      </x:c>
      <x:c r="D805" s="7" t="str">
        <x:v>RFP-C1</x:v>
      </x:c>
      <x:c r="E805" s="7" t="str">
        <x:v>AM-05</x:v>
      </x:c>
      <x:c r="F805" s="7" t="str">
        <x:v>TR-A</x:v>
      </x:c>
      <x:c r="G805" s="7" t="str">
        <x:v>QE-02</x:v>
      </x:c>
      <x:c r="H805" s="7" t="str">
        <x:v>P07</x:v>
      </x:c>
      <x:c r="I805" s="7" t="str">
        <x:v>T-2h</x:v>
      </x:c>
      <x:c r="J805" s="10" t="str">
        <x:v>receiver initial-volume proof</x:v>
      </x:c>
      <x:c r="K805" s="7" t="str"/>
      <x:c r="L805" s="10" t="str"/>
      <x:c r="M805" s="7" t="str">
        <x:v>OPEN</x:v>
      </x:c>
    </x:row>
    <x:row r="806" ht="36" customHeight="1">
      <x:c r="B806" s="7" t="str">
        <x:v>RAE-E-34-P08</x:v>
      </x:c>
      <x:c r="C806" s="7" t="str">
        <x:v>RAE-E-34</x:v>
      </x:c>
      <x:c r="D806" s="7" t="str">
        <x:v>RFP-C1</x:v>
      </x:c>
      <x:c r="E806" s="7" t="str">
        <x:v>AM-05</x:v>
      </x:c>
      <x:c r="F806" s="7" t="str">
        <x:v>TR-A</x:v>
      </x:c>
      <x:c r="G806" s="7" t="str">
        <x:v>QE-02</x:v>
      </x:c>
      <x:c r="H806" s="7" t="str">
        <x:v>P08</x:v>
      </x:c>
      <x:c r="I806" s="7" t="str">
        <x:v>T-60min</x:v>
      </x:c>
      <x:c r="J806" s="10" t="str">
        <x:v>neighbor inert-state proof</x:v>
      </x:c>
      <x:c r="K806" s="7" t="str"/>
      <x:c r="L806" s="10" t="str"/>
      <x:c r="M806" s="7" t="str">
        <x:v>OPEN</x:v>
      </x:c>
    </x:row>
    <x:row r="807" ht="36" customHeight="1">
      <x:c r="B807" s="7" t="str">
        <x:v>RAE-E-34-P09</x:v>
      </x:c>
      <x:c r="C807" s="7" t="str">
        <x:v>RAE-E-34</x:v>
      </x:c>
      <x:c r="D807" s="7" t="str">
        <x:v>RFP-C1</x:v>
      </x:c>
      <x:c r="E807" s="7" t="str">
        <x:v>AM-05</x:v>
      </x:c>
      <x:c r="F807" s="7" t="str">
        <x:v>TR-A</x:v>
      </x:c>
      <x:c r="G807" s="7" t="str">
        <x:v>QE-02</x:v>
      </x:c>
      <x:c r="H807" s="7" t="str">
        <x:v>P09</x:v>
      </x:c>
      <x:c r="I807" s="7" t="str">
        <x:v>T-30min</x:v>
      </x:c>
      <x:c r="J807" s="10" t="str">
        <x:v>native evidence armed</x:v>
      </x:c>
      <x:c r="K807" s="7" t="str"/>
      <x:c r="L807" s="10" t="str"/>
      <x:c r="M807" s="7" t="str">
        <x:v>OPEN</x:v>
      </x:c>
    </x:row>
    <x:row r="808" ht="36" customHeight="1">
      <x:c r="B808" s="7" t="str">
        <x:v>RAE-E-34-P10</x:v>
      </x:c>
      <x:c r="C808" s="7" t="str">
        <x:v>RAE-E-34</x:v>
      </x:c>
      <x:c r="D808" s="7" t="str">
        <x:v>RFP-C1</x:v>
      </x:c>
      <x:c r="E808" s="7" t="str">
        <x:v>AM-05</x:v>
      </x:c>
      <x:c r="F808" s="7" t="str">
        <x:v>TR-A</x:v>
      </x:c>
      <x:c r="G808" s="7" t="str">
        <x:v>QE-02</x:v>
      </x:c>
      <x:c r="H808" s="7" t="str">
        <x:v>P10</x:v>
      </x:c>
      <x:c r="I808" s="7" t="str">
        <x:v>T-10min</x:v>
      </x:c>
      <x:c r="J808" s="10" t="str">
        <x:v>final control poll</x:v>
      </x:c>
      <x:c r="K808" s="7" t="str"/>
      <x:c r="L808" s="10" t="str"/>
      <x:c r="M808" s="7" t="str">
        <x:v>OPEN</x:v>
      </x:c>
    </x:row>
    <x:row r="809" ht="36" customHeight="1">
      <x:c r="B809" s="7" t="str">
        <x:v>RAE-E-34-P11</x:v>
      </x:c>
      <x:c r="C809" s="7" t="str">
        <x:v>RAE-E-34</x:v>
      </x:c>
      <x:c r="D809" s="7" t="str">
        <x:v>RFP-C1</x:v>
      </x:c>
      <x:c r="E809" s="7" t="str">
        <x:v>AM-05</x:v>
      </x:c>
      <x:c r="F809" s="7" t="str">
        <x:v>TR-A</x:v>
      </x:c>
      <x:c r="G809" s="7" t="str">
        <x:v>QE-02</x:v>
      </x:c>
      <x:c r="H809" s="7" t="str">
        <x:v>P11</x:v>
      </x:c>
      <x:c r="I809" s="7" t="str">
        <x:v>T-60s</x:v>
      </x:c>
      <x:c r="J809" s="10" t="str">
        <x:v>full-rate capture</x:v>
      </x:c>
      <x:c r="K809" s="7" t="str"/>
      <x:c r="L809" s="10" t="str"/>
      <x:c r="M809" s="7" t="str">
        <x:v>OPEN</x:v>
      </x:c>
    </x:row>
    <x:row r="810" ht="36" customHeight="1">
      <x:c r="B810" s="7" t="str">
        <x:v>RAE-E-34-P12</x:v>
      </x:c>
      <x:c r="C810" s="7" t="str">
        <x:v>RAE-E-34</x:v>
      </x:c>
      <x:c r="D810" s="7" t="str">
        <x:v>RFP-C1</x:v>
      </x:c>
      <x:c r="E810" s="7" t="str">
        <x:v>AM-05</x:v>
      </x:c>
      <x:c r="F810" s="7" t="str">
        <x:v>TR-A</x:v>
      </x:c>
      <x:c r="G810" s="7" t="str">
        <x:v>QE-02</x:v>
      </x:c>
      <x:c r="H810" s="7" t="str">
        <x:v>P12</x:v>
      </x:c>
      <x:c r="I810" s="7" t="str">
        <x:v>T-10s</x:v>
      </x:c>
      <x:c r="J810" s="10" t="str">
        <x:v>registered challenge state</x:v>
      </x:c>
      <x:c r="K810" s="7" t="str"/>
      <x:c r="L810" s="10" t="str"/>
      <x:c r="M810" s="7" t="str">
        <x:v>OPEN</x:v>
      </x:c>
    </x:row>
    <x:row r="811" ht="36" customHeight="1">
      <x:c r="B811" s="7" t="str">
        <x:v>RAE-E-34-P13</x:v>
      </x:c>
      <x:c r="C811" s="7" t="str">
        <x:v>RAE-E-34</x:v>
      </x:c>
      <x:c r="D811" s="7" t="str">
        <x:v>RFP-C1</x:v>
      </x:c>
      <x:c r="E811" s="7" t="str">
        <x:v>AM-05</x:v>
      </x:c>
      <x:c r="F811" s="7" t="str">
        <x:v>TR-A</x:v>
      </x:c>
      <x:c r="G811" s="7" t="str">
        <x:v>QE-02</x:v>
      </x:c>
      <x:c r="H811" s="7" t="str">
        <x:v>P13</x:v>
      </x:c>
      <x:c r="I811" s="7" t="str">
        <x:v>T0</x:v>
      </x:c>
      <x:c r="J811" s="10" t="str">
        <x:v>source command or zero-source marker</x:v>
      </x:c>
      <x:c r="K811" s="7" t="str"/>
      <x:c r="L811" s="10" t="str"/>
      <x:c r="M811" s="7" t="str">
        <x:v>OPEN</x:v>
      </x:c>
    </x:row>
    <x:row r="812" ht="36" customHeight="1">
      <x:c r="B812" s="7" t="str">
        <x:v>RAE-E-34-P14</x:v>
      </x:c>
      <x:c r="C812" s="7" t="str">
        <x:v>RAE-E-34</x:v>
      </x:c>
      <x:c r="D812" s="7" t="str">
        <x:v>RFP-C1</x:v>
      </x:c>
      <x:c r="E812" s="7" t="str">
        <x:v>AM-05</x:v>
      </x:c>
      <x:c r="F812" s="7" t="str">
        <x:v>TR-A</x:v>
      </x:c>
      <x:c r="G812" s="7" t="str">
        <x:v>QE-02</x:v>
      </x:c>
      <x:c r="H812" s="7" t="str">
        <x:v>P14</x:v>
      </x:c>
      <x:c r="I812" s="7" t="str">
        <x:v>T+2s</x:v>
      </x:c>
      <x:c r="J812" s="10" t="str">
        <x:v>inlet and dispenser final state</x:v>
      </x:c>
      <x:c r="K812" s="7" t="str"/>
      <x:c r="L812" s="10" t="str"/>
      <x:c r="M812" s="7" t="str">
        <x:v>OPEN</x:v>
      </x:c>
    </x:row>
    <x:row r="813" ht="36" customHeight="1">
      <x:c r="B813" s="7" t="str">
        <x:v>RAE-E-34-P15</x:v>
      </x:c>
      <x:c r="C813" s="7" t="str">
        <x:v>RAE-E-34</x:v>
      </x:c>
      <x:c r="D813" s="7" t="str">
        <x:v>RFP-C1</x:v>
      </x:c>
      <x:c r="E813" s="7" t="str">
        <x:v>AM-05</x:v>
      </x:c>
      <x:c r="F813" s="7" t="str">
        <x:v>TR-A</x:v>
      </x:c>
      <x:c r="G813" s="7" t="str">
        <x:v>QE-02</x:v>
      </x:c>
      <x:c r="H813" s="7" t="str">
        <x:v>P15</x:v>
      </x:c>
      <x:c r="I813" s="7" t="str">
        <x:v>T+15s</x:v>
      </x:c>
      <x:c r="J813" s="10" t="str">
        <x:v>AM-06 QE-02 ignition opportunity</x:v>
      </x:c>
      <x:c r="K813" s="7" t="str"/>
      <x:c r="L813" s="10" t="str"/>
      <x:c r="M813" s="7" t="str">
        <x:v>OPEN</x:v>
      </x:c>
    </x:row>
    <x:row r="814" ht="36" customHeight="1">
      <x:c r="B814" s="7" t="str">
        <x:v>RAE-E-34-P16</x:v>
      </x:c>
      <x:c r="C814" s="7" t="str">
        <x:v>RAE-E-34</x:v>
      </x:c>
      <x:c r="D814" s="7" t="str">
        <x:v>RFP-C1</x:v>
      </x:c>
      <x:c r="E814" s="7" t="str">
        <x:v>AM-05</x:v>
      </x:c>
      <x:c r="F814" s="7" t="str">
        <x:v>TR-A</x:v>
      </x:c>
      <x:c r="G814" s="7" t="str">
        <x:v>QE-02</x:v>
      </x:c>
      <x:c r="H814" s="7" t="str">
        <x:v>P16</x:v>
      </x:c>
      <x:c r="I814" s="7" t="str">
        <x:v>T+30s</x:v>
      </x:c>
      <x:c r="J814" s="10" t="str">
        <x:v>terminal-source decision</x:v>
      </x:c>
      <x:c r="K814" s="7" t="str"/>
      <x:c r="L814" s="10" t="str"/>
      <x:c r="M814" s="7" t="str">
        <x:v>OPEN</x:v>
      </x:c>
    </x:row>
    <x:row r="815" ht="36" customHeight="1">
      <x:c r="B815" s="7" t="str">
        <x:v>RAE-E-34-P17</x:v>
      </x:c>
      <x:c r="C815" s="7" t="str">
        <x:v>RAE-E-34</x:v>
      </x:c>
      <x:c r="D815" s="7" t="str">
        <x:v>RFP-C1</x:v>
      </x:c>
      <x:c r="E815" s="7" t="str">
        <x:v>AM-05</x:v>
      </x:c>
      <x:c r="F815" s="7" t="str">
        <x:v>TR-A</x:v>
      </x:c>
      <x:c r="G815" s="7" t="str">
        <x:v>QE-02</x:v>
      </x:c>
      <x:c r="H815" s="7" t="str">
        <x:v>P17</x:v>
      </x:c>
      <x:c r="I815" s="7" t="str">
        <x:v>T+120s</x:v>
      </x:c>
      <x:c r="J815" s="10" t="str">
        <x:v>public schedule end</x:v>
      </x:c>
      <x:c r="K815" s="7" t="str"/>
      <x:c r="L815" s="10" t="str"/>
      <x:c r="M815" s="7" t="str">
        <x:v>OPEN</x:v>
      </x:c>
    </x:row>
    <x:row r="816" ht="36" customHeight="1">
      <x:c r="B816" s="7" t="str">
        <x:v>RAE-E-34-P18</x:v>
      </x:c>
      <x:c r="C816" s="7" t="str">
        <x:v>RAE-E-34</x:v>
      </x:c>
      <x:c r="D816" s="7" t="str">
        <x:v>RFP-C1</x:v>
      </x:c>
      <x:c r="E816" s="7" t="str">
        <x:v>AM-05</x:v>
      </x:c>
      <x:c r="F816" s="7" t="str">
        <x:v>TR-A</x:v>
      </x:c>
      <x:c r="G816" s="7" t="str">
        <x:v>QE-02</x:v>
      </x:c>
      <x:c r="H816" s="7" t="str">
        <x:v>P18</x:v>
      </x:c>
      <x:c r="I816" s="7" t="str">
        <x:v>T+15min</x:v>
      </x:c>
      <x:c r="J816" s="10" t="str">
        <x:v>thermal and water classification</x:v>
      </x:c>
      <x:c r="K816" s="7" t="str"/>
      <x:c r="L816" s="10" t="str"/>
      <x:c r="M816" s="7" t="str">
        <x:v>OPEN</x:v>
      </x:c>
    </x:row>
    <x:row r="817" ht="36" customHeight="1">
      <x:c r="B817" s="7" t="str">
        <x:v>RAE-E-34-P19</x:v>
      </x:c>
      <x:c r="C817" s="7" t="str">
        <x:v>RAE-E-34</x:v>
      </x:c>
      <x:c r="D817" s="7" t="str">
        <x:v>RFP-C1</x:v>
      </x:c>
      <x:c r="E817" s="7" t="str">
        <x:v>AM-05</x:v>
      </x:c>
      <x:c r="F817" s="7" t="str">
        <x:v>TR-A</x:v>
      </x:c>
      <x:c r="G817" s="7" t="str">
        <x:v>QE-02</x:v>
      </x:c>
      <x:c r="H817" s="7" t="str">
        <x:v>P19</x:v>
      </x:c>
      <x:c r="I817" s="7" t="str">
        <x:v>T+30min</x:v>
      </x:c>
      <x:c r="J817" s="10" t="str">
        <x:v>public intervention classification</x:v>
      </x:c>
      <x:c r="K817" s="7" t="str"/>
      <x:c r="L817" s="10" t="str"/>
      <x:c r="M817" s="7" t="str">
        <x:v>OPEN</x:v>
      </x:c>
    </x:row>
    <x:row r="818" ht="36" customHeight="1">
      <x:c r="B818" s="7" t="str">
        <x:v>RAE-E-34-P20</x:v>
      </x:c>
      <x:c r="C818" s="7" t="str">
        <x:v>RAE-E-34</x:v>
      </x:c>
      <x:c r="D818" s="7" t="str">
        <x:v>RFP-C1</x:v>
      </x:c>
      <x:c r="E818" s="7" t="str">
        <x:v>AM-05</x:v>
      </x:c>
      <x:c r="F818" s="7" t="str">
        <x:v>TR-A</x:v>
      </x:c>
      <x:c r="G818" s="7" t="str">
        <x:v>QE-02</x:v>
      </x:c>
      <x:c r="H818" s="7" t="str">
        <x:v>P20</x:v>
      </x:c>
      <x:c r="I818" s="7" t="str">
        <x:v>T+60min</x:v>
      </x:c>
      <x:c r="J818" s="10" t="str">
        <x:v>remote-entry classification</x:v>
      </x:c>
      <x:c r="K818" s="7" t="str"/>
      <x:c r="L818" s="10" t="str"/>
      <x:c r="M818" s="7" t="str">
        <x:v>OPEN</x:v>
      </x:c>
    </x:row>
    <x:row r="819" ht="36" customHeight="1">
      <x:c r="B819" s="7" t="str">
        <x:v>RAE-E-34-P21</x:v>
      </x:c>
      <x:c r="C819" s="7" t="str">
        <x:v>RAE-E-34</x:v>
      </x:c>
      <x:c r="D819" s="7" t="str">
        <x:v>RFP-C1</x:v>
      </x:c>
      <x:c r="E819" s="7" t="str">
        <x:v>AM-05</x:v>
      </x:c>
      <x:c r="F819" s="7" t="str">
        <x:v>TR-A</x:v>
      </x:c>
      <x:c r="G819" s="7" t="str">
        <x:v>QE-02</x:v>
      </x:c>
      <x:c r="H819" s="7" t="str">
        <x:v>P21</x:v>
      </x:c>
      <x:c r="I819" s="7" t="str">
        <x:v>T+6h</x:v>
      </x:c>
      <x:c r="J819" s="10" t="str">
        <x:v>evidence tail closure</x:v>
      </x:c>
      <x:c r="K819" s="7" t="str"/>
      <x:c r="L819" s="10" t="str"/>
      <x:c r="M819" s="7" t="str">
        <x:v>OPEN</x:v>
      </x:c>
    </x:row>
    <x:row r="820" ht="36" customHeight="1">
      <x:c r="B820" s="7" t="str">
        <x:v>RAE-E-34-P22</x:v>
      </x:c>
      <x:c r="C820" s="7" t="str">
        <x:v>RAE-E-34</x:v>
      </x:c>
      <x:c r="D820" s="7" t="str">
        <x:v>RFP-C1</x:v>
      </x:c>
      <x:c r="E820" s="7" t="str">
        <x:v>AM-05</x:v>
      </x:c>
      <x:c r="F820" s="7" t="str">
        <x:v>TR-A</x:v>
      </x:c>
      <x:c r="G820" s="7" t="str">
        <x:v>QE-02</x:v>
      </x:c>
      <x:c r="H820" s="7" t="str">
        <x:v>P22</x:v>
      </x:c>
      <x:c r="I820" s="7" t="str">
        <x:v>T+24h</x:v>
      </x:c>
      <x:c r="J820" s="10" t="str">
        <x:v>physical ledger closure</x:v>
      </x:c>
      <x:c r="K820" s="7" t="str"/>
      <x:c r="L820" s="10" t="str"/>
      <x:c r="M820" s="7" t="str">
        <x:v>OPEN</x:v>
      </x:c>
    </x:row>
    <x:row r="821" ht="36" customHeight="1">
      <x:c r="B821" s="7" t="str">
        <x:v>RAE-E-34-P23</x:v>
      </x:c>
      <x:c r="C821" s="7" t="str">
        <x:v>RAE-E-34</x:v>
      </x:c>
      <x:c r="D821" s="7" t="str">
        <x:v>RFP-C1</x:v>
      </x:c>
      <x:c r="E821" s="7" t="str">
        <x:v>AM-05</x:v>
      </x:c>
      <x:c r="F821" s="7" t="str">
        <x:v>TR-A</x:v>
      </x:c>
      <x:c r="G821" s="7" t="str">
        <x:v>QE-02</x:v>
      </x:c>
      <x:c r="H821" s="7" t="str">
        <x:v>P23</x:v>
      </x:c>
      <x:c r="I821" s="7" t="str">
        <x:v>T+72h</x:v>
      </x:c>
      <x:c r="J821" s="10" t="str">
        <x:v>immutable packet freeze</x:v>
      </x:c>
      <x:c r="K821" s="7" t="str"/>
      <x:c r="L821" s="10" t="str"/>
      <x:c r="M821" s="7" t="str">
        <x:v>OPEN</x:v>
      </x:c>
    </x:row>
    <x:row r="822" ht="36" customHeight="1">
      <x:c r="B822" s="7" t="str">
        <x:v>RAE-E-34-P24</x:v>
      </x:c>
      <x:c r="C822" s="7" t="str">
        <x:v>RAE-E-34</x:v>
      </x:c>
      <x:c r="D822" s="7" t="str">
        <x:v>RFP-C1</x:v>
      </x:c>
      <x:c r="E822" s="7" t="str">
        <x:v>AM-05</x:v>
      </x:c>
      <x:c r="F822" s="7" t="str">
        <x:v>TR-A</x:v>
      </x:c>
      <x:c r="G822" s="7" t="str">
        <x:v>QE-02</x:v>
      </x:c>
      <x:c r="H822" s="7" t="str">
        <x:v>P24</x:v>
      </x:c>
      <x:c r="I822" s="7" t="str">
        <x:v>day 7</x:v>
      </x:c>
      <x:c r="J822" s="10" t="str">
        <x:v>validity and outcome board</x:v>
      </x:c>
      <x:c r="K822" s="7" t="str"/>
      <x:c r="L822" s="10" t="str"/>
      <x:c r="M822" s="7" t="str">
        <x:v>OPEN</x:v>
      </x:c>
    </x:row>
    <x:row r="823" ht="36" customHeight="1">
      <x:c r="B823" s="7" t="str">
        <x:v>RAE-E-35-P01</x:v>
      </x:c>
      <x:c r="C823" s="7" t="str">
        <x:v>RAE-E-35</x:v>
      </x:c>
      <x:c r="D823" s="7" t="str">
        <x:v>RFP-C1</x:v>
      </x:c>
      <x:c r="E823" s="7" t="str">
        <x:v>AM-05</x:v>
      </x:c>
      <x:c r="F823" s="7" t="str">
        <x:v>TR-B</x:v>
      </x:c>
      <x:c r="G823" s="7" t="str">
        <x:v>QE-01</x:v>
      </x:c>
      <x:c r="H823" s="7" t="str">
        <x:v>P01</x:v>
      </x:c>
      <x:c r="I823" s="7" t="str">
        <x:v>T-96h</x:v>
      </x:c>
      <x:c r="J823" s="10" t="str">
        <x:v>baseline freeze</x:v>
      </x:c>
      <x:c r="K823" s="7" t="str"/>
      <x:c r="L823" s="10" t="str"/>
      <x:c r="M823" s="7" t="str">
        <x:v>OPEN</x:v>
      </x:c>
    </x:row>
    <x:row r="824" ht="36" customHeight="1">
      <x:c r="B824" s="7" t="str">
        <x:v>RAE-E-35-P02</x:v>
      </x:c>
      <x:c r="C824" s="7" t="str">
        <x:v>RAE-E-35</x:v>
      </x:c>
      <x:c r="D824" s="7" t="str">
        <x:v>RFP-C1</x:v>
      </x:c>
      <x:c r="E824" s="7" t="str">
        <x:v>AM-05</x:v>
      </x:c>
      <x:c r="F824" s="7" t="str">
        <x:v>TR-B</x:v>
      </x:c>
      <x:c r="G824" s="7" t="str">
        <x:v>QE-01</x:v>
      </x:c>
      <x:c r="H824" s="7" t="str">
        <x:v>P02</x:v>
      </x:c>
      <x:c r="I824" s="7" t="str">
        <x:v>T-72h</x:v>
      </x:c>
      <x:c r="J824" s="10" t="str">
        <x:v>source and water custody freeze</x:v>
      </x:c>
      <x:c r="K824" s="7" t="str"/>
      <x:c r="L824" s="10" t="str"/>
      <x:c r="M824" s="7" t="str">
        <x:v>OPEN</x:v>
      </x:c>
    </x:row>
    <x:row r="825" ht="36" customHeight="1">
      <x:c r="B825" s="7" t="str">
        <x:v>RAE-E-35-P03</x:v>
      </x:c>
      <x:c r="C825" s="7" t="str">
        <x:v>RAE-E-35</x:v>
      </x:c>
      <x:c r="D825" s="7" t="str">
        <x:v>RFP-C1</x:v>
      </x:c>
      <x:c r="E825" s="7" t="str">
        <x:v>AM-05</x:v>
      </x:c>
      <x:c r="F825" s="7" t="str">
        <x:v>TR-B</x:v>
      </x:c>
      <x:c r="G825" s="7" t="str">
        <x:v>QE-01</x:v>
      </x:c>
      <x:c r="H825" s="7" t="str">
        <x:v>P03</x:v>
      </x:c>
      <x:c r="I825" s="7" t="str">
        <x:v>T-48h</x:v>
      </x:c>
      <x:c r="J825" s="10" t="str">
        <x:v>article and configuration identity</x:v>
      </x:c>
      <x:c r="K825" s="7" t="str"/>
      <x:c r="L825" s="10" t="str"/>
      <x:c r="M825" s="7" t="str">
        <x:v>OPEN</x:v>
      </x:c>
    </x:row>
    <x:row r="826" ht="36" customHeight="1">
      <x:c r="B826" s="7" t="str">
        <x:v>RAE-E-35-P04</x:v>
      </x:c>
      <x:c r="C826" s="7" t="str">
        <x:v>RAE-E-35</x:v>
      </x:c>
      <x:c r="D826" s="7" t="str">
        <x:v>RFP-C1</x:v>
      </x:c>
      <x:c r="E826" s="7" t="str">
        <x:v>AM-05</x:v>
      </x:c>
      <x:c r="F826" s="7" t="str">
        <x:v>TR-B</x:v>
      </x:c>
      <x:c r="G826" s="7" t="str">
        <x:v>QE-01</x:v>
      </x:c>
      <x:c r="H826" s="7" t="str">
        <x:v>P04</x:v>
      </x:c>
      <x:c r="I826" s="7" t="str">
        <x:v>T-24h</x:v>
      </x:c>
      <x:c r="J826" s="10" t="str">
        <x:v>environment and recovery readiness</x:v>
      </x:c>
      <x:c r="K826" s="7" t="str"/>
      <x:c r="L826" s="10" t="str"/>
      <x:c r="M826" s="7" t="str">
        <x:v>OPEN</x:v>
      </x:c>
    </x:row>
    <x:row r="827" ht="36" customHeight="1">
      <x:c r="B827" s="7" t="str">
        <x:v>RAE-E-35-P05</x:v>
      </x:c>
      <x:c r="C827" s="7" t="str">
        <x:v>RAE-E-35</x:v>
      </x:c>
      <x:c r="D827" s="7" t="str">
        <x:v>RFP-C1</x:v>
      </x:c>
      <x:c r="E827" s="7" t="str">
        <x:v>AM-05</x:v>
      </x:c>
      <x:c r="F827" s="7" t="str">
        <x:v>TR-B</x:v>
      </x:c>
      <x:c r="G827" s="7" t="str">
        <x:v>QE-01</x:v>
      </x:c>
      <x:c r="H827" s="7" t="str">
        <x:v>P05</x:v>
      </x:c>
      <x:c r="I827" s="7" t="str">
        <x:v>T-12h</x:v>
      </x:c>
      <x:c r="J827" s="10" t="str">
        <x:v>rescue posture</x:v>
      </x:c>
      <x:c r="K827" s="7" t="str"/>
      <x:c r="L827" s="10" t="str"/>
      <x:c r="M827" s="7" t="str">
        <x:v>OPEN</x:v>
      </x:c>
    </x:row>
    <x:row r="828" ht="36" customHeight="1">
      <x:c r="B828" s="7" t="str">
        <x:v>RAE-E-35-P06</x:v>
      </x:c>
      <x:c r="C828" s="7" t="str">
        <x:v>RAE-E-35</x:v>
      </x:c>
      <x:c r="D828" s="7" t="str">
        <x:v>RFP-C1</x:v>
      </x:c>
      <x:c r="E828" s="7" t="str">
        <x:v>AM-05</x:v>
      </x:c>
      <x:c r="F828" s="7" t="str">
        <x:v>TR-B</x:v>
      </x:c>
      <x:c r="G828" s="7" t="str">
        <x:v>QE-01</x:v>
      </x:c>
      <x:c r="H828" s="7" t="str">
        <x:v>P06</x:v>
      </x:c>
      <x:c r="I828" s="7" t="str">
        <x:v>T-6h</x:v>
      </x:c>
      <x:c r="J828" s="10" t="str">
        <x:v>calibration before state</x:v>
      </x:c>
      <x:c r="K828" s="7" t="str"/>
      <x:c r="L828" s="10" t="str"/>
      <x:c r="M828" s="7" t="str">
        <x:v>OPEN</x:v>
      </x:c>
    </x:row>
    <x:row r="829" ht="36" customHeight="1">
      <x:c r="B829" s="7" t="str">
        <x:v>RAE-E-35-P07</x:v>
      </x:c>
      <x:c r="C829" s="7" t="str">
        <x:v>RAE-E-35</x:v>
      </x:c>
      <x:c r="D829" s="7" t="str">
        <x:v>RFP-C1</x:v>
      </x:c>
      <x:c r="E829" s="7" t="str">
        <x:v>AM-05</x:v>
      </x:c>
      <x:c r="F829" s="7" t="str">
        <x:v>TR-B</x:v>
      </x:c>
      <x:c r="G829" s="7" t="str">
        <x:v>QE-01</x:v>
      </x:c>
      <x:c r="H829" s="7" t="str">
        <x:v>P07</x:v>
      </x:c>
      <x:c r="I829" s="7" t="str">
        <x:v>T-2h</x:v>
      </x:c>
      <x:c r="J829" s="10" t="str">
        <x:v>receiver initial-volume proof</x:v>
      </x:c>
      <x:c r="K829" s="7" t="str"/>
      <x:c r="L829" s="10" t="str"/>
      <x:c r="M829" s="7" t="str">
        <x:v>OPEN</x:v>
      </x:c>
    </x:row>
    <x:row r="830" ht="36" customHeight="1">
      <x:c r="B830" s="7" t="str">
        <x:v>RAE-E-35-P08</x:v>
      </x:c>
      <x:c r="C830" s="7" t="str">
        <x:v>RAE-E-35</x:v>
      </x:c>
      <x:c r="D830" s="7" t="str">
        <x:v>RFP-C1</x:v>
      </x:c>
      <x:c r="E830" s="7" t="str">
        <x:v>AM-05</x:v>
      </x:c>
      <x:c r="F830" s="7" t="str">
        <x:v>TR-B</x:v>
      </x:c>
      <x:c r="G830" s="7" t="str">
        <x:v>QE-01</x:v>
      </x:c>
      <x:c r="H830" s="7" t="str">
        <x:v>P08</x:v>
      </x:c>
      <x:c r="I830" s="7" t="str">
        <x:v>T-60min</x:v>
      </x:c>
      <x:c r="J830" s="10" t="str">
        <x:v>neighbor inert-state proof</x:v>
      </x:c>
      <x:c r="K830" s="7" t="str"/>
      <x:c r="L830" s="10" t="str"/>
      <x:c r="M830" s="7" t="str">
        <x:v>OPEN</x:v>
      </x:c>
    </x:row>
    <x:row r="831" ht="36" customHeight="1">
      <x:c r="B831" s="7" t="str">
        <x:v>RAE-E-35-P09</x:v>
      </x:c>
      <x:c r="C831" s="7" t="str">
        <x:v>RAE-E-35</x:v>
      </x:c>
      <x:c r="D831" s="7" t="str">
        <x:v>RFP-C1</x:v>
      </x:c>
      <x:c r="E831" s="7" t="str">
        <x:v>AM-05</x:v>
      </x:c>
      <x:c r="F831" s="7" t="str">
        <x:v>TR-B</x:v>
      </x:c>
      <x:c r="G831" s="7" t="str">
        <x:v>QE-01</x:v>
      </x:c>
      <x:c r="H831" s="7" t="str">
        <x:v>P09</x:v>
      </x:c>
      <x:c r="I831" s="7" t="str">
        <x:v>T-30min</x:v>
      </x:c>
      <x:c r="J831" s="10" t="str">
        <x:v>native evidence armed</x:v>
      </x:c>
      <x:c r="K831" s="7" t="str"/>
      <x:c r="L831" s="10" t="str"/>
      <x:c r="M831" s="7" t="str">
        <x:v>OPEN</x:v>
      </x:c>
    </x:row>
    <x:row r="832" ht="36" customHeight="1">
      <x:c r="B832" s="7" t="str">
        <x:v>RAE-E-35-P10</x:v>
      </x:c>
      <x:c r="C832" s="7" t="str">
        <x:v>RAE-E-35</x:v>
      </x:c>
      <x:c r="D832" s="7" t="str">
        <x:v>RFP-C1</x:v>
      </x:c>
      <x:c r="E832" s="7" t="str">
        <x:v>AM-05</x:v>
      </x:c>
      <x:c r="F832" s="7" t="str">
        <x:v>TR-B</x:v>
      </x:c>
      <x:c r="G832" s="7" t="str">
        <x:v>QE-01</x:v>
      </x:c>
      <x:c r="H832" s="7" t="str">
        <x:v>P10</x:v>
      </x:c>
      <x:c r="I832" s="7" t="str">
        <x:v>T-10min</x:v>
      </x:c>
      <x:c r="J832" s="10" t="str">
        <x:v>final control poll</x:v>
      </x:c>
      <x:c r="K832" s="7" t="str"/>
      <x:c r="L832" s="10" t="str"/>
      <x:c r="M832" s="7" t="str">
        <x:v>OPEN</x:v>
      </x:c>
    </x:row>
    <x:row r="833" ht="36" customHeight="1">
      <x:c r="B833" s="7" t="str">
        <x:v>RAE-E-35-P11</x:v>
      </x:c>
      <x:c r="C833" s="7" t="str">
        <x:v>RAE-E-35</x:v>
      </x:c>
      <x:c r="D833" s="7" t="str">
        <x:v>RFP-C1</x:v>
      </x:c>
      <x:c r="E833" s="7" t="str">
        <x:v>AM-05</x:v>
      </x:c>
      <x:c r="F833" s="7" t="str">
        <x:v>TR-B</x:v>
      </x:c>
      <x:c r="G833" s="7" t="str">
        <x:v>QE-01</x:v>
      </x:c>
      <x:c r="H833" s="7" t="str">
        <x:v>P11</x:v>
      </x:c>
      <x:c r="I833" s="7" t="str">
        <x:v>T-60s</x:v>
      </x:c>
      <x:c r="J833" s="10" t="str">
        <x:v>full-rate capture</x:v>
      </x:c>
      <x:c r="K833" s="7" t="str"/>
      <x:c r="L833" s="10" t="str"/>
      <x:c r="M833" s="7" t="str">
        <x:v>OPEN</x:v>
      </x:c>
    </x:row>
    <x:row r="834" ht="36" customHeight="1">
      <x:c r="B834" s="7" t="str">
        <x:v>RAE-E-35-P12</x:v>
      </x:c>
      <x:c r="C834" s="7" t="str">
        <x:v>RAE-E-35</x:v>
      </x:c>
      <x:c r="D834" s="7" t="str">
        <x:v>RFP-C1</x:v>
      </x:c>
      <x:c r="E834" s="7" t="str">
        <x:v>AM-05</x:v>
      </x:c>
      <x:c r="F834" s="7" t="str">
        <x:v>TR-B</x:v>
      </x:c>
      <x:c r="G834" s="7" t="str">
        <x:v>QE-01</x:v>
      </x:c>
      <x:c r="H834" s="7" t="str">
        <x:v>P12</x:v>
      </x:c>
      <x:c r="I834" s="7" t="str">
        <x:v>T-10s</x:v>
      </x:c>
      <x:c r="J834" s="10" t="str">
        <x:v>registered challenge state</x:v>
      </x:c>
      <x:c r="K834" s="7" t="str"/>
      <x:c r="L834" s="10" t="str"/>
      <x:c r="M834" s="7" t="str">
        <x:v>OPEN</x:v>
      </x:c>
    </x:row>
    <x:row r="835" ht="36" customHeight="1">
      <x:c r="B835" s="7" t="str">
        <x:v>RAE-E-35-P13</x:v>
      </x:c>
      <x:c r="C835" s="7" t="str">
        <x:v>RAE-E-35</x:v>
      </x:c>
      <x:c r="D835" s="7" t="str">
        <x:v>RFP-C1</x:v>
      </x:c>
      <x:c r="E835" s="7" t="str">
        <x:v>AM-05</x:v>
      </x:c>
      <x:c r="F835" s="7" t="str">
        <x:v>TR-B</x:v>
      </x:c>
      <x:c r="G835" s="7" t="str">
        <x:v>QE-01</x:v>
      </x:c>
      <x:c r="H835" s="7" t="str">
        <x:v>P13</x:v>
      </x:c>
      <x:c r="I835" s="7" t="str">
        <x:v>T0</x:v>
      </x:c>
      <x:c r="J835" s="10" t="str">
        <x:v>source command or zero-source marker</x:v>
      </x:c>
      <x:c r="K835" s="7" t="str"/>
      <x:c r="L835" s="10" t="str"/>
      <x:c r="M835" s="7" t="str">
        <x:v>OPEN</x:v>
      </x:c>
    </x:row>
    <x:row r="836" ht="36" customHeight="1">
      <x:c r="B836" s="7" t="str">
        <x:v>RAE-E-35-P14</x:v>
      </x:c>
      <x:c r="C836" s="7" t="str">
        <x:v>RAE-E-35</x:v>
      </x:c>
      <x:c r="D836" s="7" t="str">
        <x:v>RFP-C1</x:v>
      </x:c>
      <x:c r="E836" s="7" t="str">
        <x:v>AM-05</x:v>
      </x:c>
      <x:c r="F836" s="7" t="str">
        <x:v>TR-B</x:v>
      </x:c>
      <x:c r="G836" s="7" t="str">
        <x:v>QE-01</x:v>
      </x:c>
      <x:c r="H836" s="7" t="str">
        <x:v>P14</x:v>
      </x:c>
      <x:c r="I836" s="7" t="str">
        <x:v>T+2s</x:v>
      </x:c>
      <x:c r="J836" s="10" t="str">
        <x:v>inlet and dispenser final state</x:v>
      </x:c>
      <x:c r="K836" s="7" t="str"/>
      <x:c r="L836" s="10" t="str"/>
      <x:c r="M836" s="7" t="str">
        <x:v>OPEN</x:v>
      </x:c>
    </x:row>
    <x:row r="837" ht="36" customHeight="1">
      <x:c r="B837" s="7" t="str">
        <x:v>RAE-E-35-P15</x:v>
      </x:c>
      <x:c r="C837" s="7" t="str">
        <x:v>RAE-E-35</x:v>
      </x:c>
      <x:c r="D837" s="7" t="str">
        <x:v>RFP-C1</x:v>
      </x:c>
      <x:c r="E837" s="7" t="str">
        <x:v>AM-05</x:v>
      </x:c>
      <x:c r="F837" s="7" t="str">
        <x:v>TR-B</x:v>
      </x:c>
      <x:c r="G837" s="7" t="str">
        <x:v>QE-01</x:v>
      </x:c>
      <x:c r="H837" s="7" t="str">
        <x:v>P15</x:v>
      </x:c>
      <x:c r="I837" s="7" t="str">
        <x:v>T+15s</x:v>
      </x:c>
      <x:c r="J837" s="10" t="str">
        <x:v>AM-06 QE-02 ignition opportunity</x:v>
      </x:c>
      <x:c r="K837" s="7" t="str"/>
      <x:c r="L837" s="10" t="str"/>
      <x:c r="M837" s="7" t="str">
        <x:v>OPEN</x:v>
      </x:c>
    </x:row>
    <x:row r="838" ht="36" customHeight="1">
      <x:c r="B838" s="7" t="str">
        <x:v>RAE-E-35-P16</x:v>
      </x:c>
      <x:c r="C838" s="7" t="str">
        <x:v>RAE-E-35</x:v>
      </x:c>
      <x:c r="D838" s="7" t="str">
        <x:v>RFP-C1</x:v>
      </x:c>
      <x:c r="E838" s="7" t="str">
        <x:v>AM-05</x:v>
      </x:c>
      <x:c r="F838" s="7" t="str">
        <x:v>TR-B</x:v>
      </x:c>
      <x:c r="G838" s="7" t="str">
        <x:v>QE-01</x:v>
      </x:c>
      <x:c r="H838" s="7" t="str">
        <x:v>P16</x:v>
      </x:c>
      <x:c r="I838" s="7" t="str">
        <x:v>T+30s</x:v>
      </x:c>
      <x:c r="J838" s="10" t="str">
        <x:v>terminal-source decision</x:v>
      </x:c>
      <x:c r="K838" s="7" t="str"/>
      <x:c r="L838" s="10" t="str"/>
      <x:c r="M838" s="7" t="str">
        <x:v>OPEN</x:v>
      </x:c>
    </x:row>
    <x:row r="839" ht="36" customHeight="1">
      <x:c r="B839" s="7" t="str">
        <x:v>RAE-E-35-P17</x:v>
      </x:c>
      <x:c r="C839" s="7" t="str">
        <x:v>RAE-E-35</x:v>
      </x:c>
      <x:c r="D839" s="7" t="str">
        <x:v>RFP-C1</x:v>
      </x:c>
      <x:c r="E839" s="7" t="str">
        <x:v>AM-05</x:v>
      </x:c>
      <x:c r="F839" s="7" t="str">
        <x:v>TR-B</x:v>
      </x:c>
      <x:c r="G839" s="7" t="str">
        <x:v>QE-01</x:v>
      </x:c>
      <x:c r="H839" s="7" t="str">
        <x:v>P17</x:v>
      </x:c>
      <x:c r="I839" s="7" t="str">
        <x:v>T+120s</x:v>
      </x:c>
      <x:c r="J839" s="10" t="str">
        <x:v>public schedule end</x:v>
      </x:c>
      <x:c r="K839" s="7" t="str"/>
      <x:c r="L839" s="10" t="str"/>
      <x:c r="M839" s="7" t="str">
        <x:v>OPEN</x:v>
      </x:c>
    </x:row>
    <x:row r="840" ht="36" customHeight="1">
      <x:c r="B840" s="7" t="str">
        <x:v>RAE-E-35-P18</x:v>
      </x:c>
      <x:c r="C840" s="7" t="str">
        <x:v>RAE-E-35</x:v>
      </x:c>
      <x:c r="D840" s="7" t="str">
        <x:v>RFP-C1</x:v>
      </x:c>
      <x:c r="E840" s="7" t="str">
        <x:v>AM-05</x:v>
      </x:c>
      <x:c r="F840" s="7" t="str">
        <x:v>TR-B</x:v>
      </x:c>
      <x:c r="G840" s="7" t="str">
        <x:v>QE-01</x:v>
      </x:c>
      <x:c r="H840" s="7" t="str">
        <x:v>P18</x:v>
      </x:c>
      <x:c r="I840" s="7" t="str">
        <x:v>T+15min</x:v>
      </x:c>
      <x:c r="J840" s="10" t="str">
        <x:v>thermal and water classification</x:v>
      </x:c>
      <x:c r="K840" s="7" t="str"/>
      <x:c r="L840" s="10" t="str"/>
      <x:c r="M840" s="7" t="str">
        <x:v>OPEN</x:v>
      </x:c>
    </x:row>
    <x:row r="841" ht="36" customHeight="1">
      <x:c r="B841" s="7" t="str">
        <x:v>RAE-E-35-P19</x:v>
      </x:c>
      <x:c r="C841" s="7" t="str">
        <x:v>RAE-E-35</x:v>
      </x:c>
      <x:c r="D841" s="7" t="str">
        <x:v>RFP-C1</x:v>
      </x:c>
      <x:c r="E841" s="7" t="str">
        <x:v>AM-05</x:v>
      </x:c>
      <x:c r="F841" s="7" t="str">
        <x:v>TR-B</x:v>
      </x:c>
      <x:c r="G841" s="7" t="str">
        <x:v>QE-01</x:v>
      </x:c>
      <x:c r="H841" s="7" t="str">
        <x:v>P19</x:v>
      </x:c>
      <x:c r="I841" s="7" t="str">
        <x:v>T+30min</x:v>
      </x:c>
      <x:c r="J841" s="10" t="str">
        <x:v>public intervention classification</x:v>
      </x:c>
      <x:c r="K841" s="7" t="str"/>
      <x:c r="L841" s="10" t="str"/>
      <x:c r="M841" s="7" t="str">
        <x:v>OPEN</x:v>
      </x:c>
    </x:row>
    <x:row r="842" ht="36" customHeight="1">
      <x:c r="B842" s="7" t="str">
        <x:v>RAE-E-35-P20</x:v>
      </x:c>
      <x:c r="C842" s="7" t="str">
        <x:v>RAE-E-35</x:v>
      </x:c>
      <x:c r="D842" s="7" t="str">
        <x:v>RFP-C1</x:v>
      </x:c>
      <x:c r="E842" s="7" t="str">
        <x:v>AM-05</x:v>
      </x:c>
      <x:c r="F842" s="7" t="str">
        <x:v>TR-B</x:v>
      </x:c>
      <x:c r="G842" s="7" t="str">
        <x:v>QE-01</x:v>
      </x:c>
      <x:c r="H842" s="7" t="str">
        <x:v>P20</x:v>
      </x:c>
      <x:c r="I842" s="7" t="str">
        <x:v>T+60min</x:v>
      </x:c>
      <x:c r="J842" s="10" t="str">
        <x:v>remote-entry classification</x:v>
      </x:c>
      <x:c r="K842" s="7" t="str"/>
      <x:c r="L842" s="10" t="str"/>
      <x:c r="M842" s="7" t="str">
        <x:v>OPEN</x:v>
      </x:c>
    </x:row>
    <x:row r="843" ht="36" customHeight="1">
      <x:c r="B843" s="7" t="str">
        <x:v>RAE-E-35-P21</x:v>
      </x:c>
      <x:c r="C843" s="7" t="str">
        <x:v>RAE-E-35</x:v>
      </x:c>
      <x:c r="D843" s="7" t="str">
        <x:v>RFP-C1</x:v>
      </x:c>
      <x:c r="E843" s="7" t="str">
        <x:v>AM-05</x:v>
      </x:c>
      <x:c r="F843" s="7" t="str">
        <x:v>TR-B</x:v>
      </x:c>
      <x:c r="G843" s="7" t="str">
        <x:v>QE-01</x:v>
      </x:c>
      <x:c r="H843" s="7" t="str">
        <x:v>P21</x:v>
      </x:c>
      <x:c r="I843" s="7" t="str">
        <x:v>T+6h</x:v>
      </x:c>
      <x:c r="J843" s="10" t="str">
        <x:v>evidence tail closure</x:v>
      </x:c>
      <x:c r="K843" s="7" t="str"/>
      <x:c r="L843" s="10" t="str"/>
      <x:c r="M843" s="7" t="str">
        <x:v>OPEN</x:v>
      </x:c>
    </x:row>
    <x:row r="844" ht="36" customHeight="1">
      <x:c r="B844" s="7" t="str">
        <x:v>RAE-E-35-P22</x:v>
      </x:c>
      <x:c r="C844" s="7" t="str">
        <x:v>RAE-E-35</x:v>
      </x:c>
      <x:c r="D844" s="7" t="str">
        <x:v>RFP-C1</x:v>
      </x:c>
      <x:c r="E844" s="7" t="str">
        <x:v>AM-05</x:v>
      </x:c>
      <x:c r="F844" s="7" t="str">
        <x:v>TR-B</x:v>
      </x:c>
      <x:c r="G844" s="7" t="str">
        <x:v>QE-01</x:v>
      </x:c>
      <x:c r="H844" s="7" t="str">
        <x:v>P22</x:v>
      </x:c>
      <x:c r="I844" s="7" t="str">
        <x:v>T+24h</x:v>
      </x:c>
      <x:c r="J844" s="10" t="str">
        <x:v>physical ledger closure</x:v>
      </x:c>
      <x:c r="K844" s="7" t="str"/>
      <x:c r="L844" s="10" t="str"/>
      <x:c r="M844" s="7" t="str">
        <x:v>OPEN</x:v>
      </x:c>
    </x:row>
    <x:row r="845" ht="36" customHeight="1">
      <x:c r="B845" s="7" t="str">
        <x:v>RAE-E-35-P23</x:v>
      </x:c>
      <x:c r="C845" s="7" t="str">
        <x:v>RAE-E-35</x:v>
      </x:c>
      <x:c r="D845" s="7" t="str">
        <x:v>RFP-C1</x:v>
      </x:c>
      <x:c r="E845" s="7" t="str">
        <x:v>AM-05</x:v>
      </x:c>
      <x:c r="F845" s="7" t="str">
        <x:v>TR-B</x:v>
      </x:c>
      <x:c r="G845" s="7" t="str">
        <x:v>QE-01</x:v>
      </x:c>
      <x:c r="H845" s="7" t="str">
        <x:v>P23</x:v>
      </x:c>
      <x:c r="I845" s="7" t="str">
        <x:v>T+72h</x:v>
      </x:c>
      <x:c r="J845" s="10" t="str">
        <x:v>immutable packet freeze</x:v>
      </x:c>
      <x:c r="K845" s="7" t="str"/>
      <x:c r="L845" s="10" t="str"/>
      <x:c r="M845" s="7" t="str">
        <x:v>OPEN</x:v>
      </x:c>
    </x:row>
    <x:row r="846" ht="36" customHeight="1">
      <x:c r="B846" s="7" t="str">
        <x:v>RAE-E-35-P24</x:v>
      </x:c>
      <x:c r="C846" s="7" t="str">
        <x:v>RAE-E-35</x:v>
      </x:c>
      <x:c r="D846" s="7" t="str">
        <x:v>RFP-C1</x:v>
      </x:c>
      <x:c r="E846" s="7" t="str">
        <x:v>AM-05</x:v>
      </x:c>
      <x:c r="F846" s="7" t="str">
        <x:v>TR-B</x:v>
      </x:c>
      <x:c r="G846" s="7" t="str">
        <x:v>QE-01</x:v>
      </x:c>
      <x:c r="H846" s="7" t="str">
        <x:v>P24</x:v>
      </x:c>
      <x:c r="I846" s="7" t="str">
        <x:v>day 7</x:v>
      </x:c>
      <x:c r="J846" s="10" t="str">
        <x:v>validity and outcome board</x:v>
      </x:c>
      <x:c r="K846" s="7" t="str"/>
      <x:c r="L846" s="10" t="str"/>
      <x:c r="M846" s="7" t="str">
        <x:v>OPEN</x:v>
      </x:c>
    </x:row>
    <x:row r="847" ht="36" customHeight="1">
      <x:c r="B847" s="7" t="str">
        <x:v>RAE-E-36-P01</x:v>
      </x:c>
      <x:c r="C847" s="7" t="str">
        <x:v>RAE-E-36</x:v>
      </x:c>
      <x:c r="D847" s="7" t="str">
        <x:v>RFP-C1</x:v>
      </x:c>
      <x:c r="E847" s="7" t="str">
        <x:v>AM-05</x:v>
      </x:c>
      <x:c r="F847" s="7" t="str">
        <x:v>TR-B</x:v>
      </x:c>
      <x:c r="G847" s="7" t="str">
        <x:v>QE-02</x:v>
      </x:c>
      <x:c r="H847" s="7" t="str">
        <x:v>P01</x:v>
      </x:c>
      <x:c r="I847" s="7" t="str">
        <x:v>T-96h</x:v>
      </x:c>
      <x:c r="J847" s="10" t="str">
        <x:v>baseline freeze</x:v>
      </x:c>
      <x:c r="K847" s="7" t="str"/>
      <x:c r="L847" s="10" t="str"/>
      <x:c r="M847" s="7" t="str">
        <x:v>OPEN</x:v>
      </x:c>
    </x:row>
    <x:row r="848" ht="36" customHeight="1">
      <x:c r="B848" s="7" t="str">
        <x:v>RAE-E-36-P02</x:v>
      </x:c>
      <x:c r="C848" s="7" t="str">
        <x:v>RAE-E-36</x:v>
      </x:c>
      <x:c r="D848" s="7" t="str">
        <x:v>RFP-C1</x:v>
      </x:c>
      <x:c r="E848" s="7" t="str">
        <x:v>AM-05</x:v>
      </x:c>
      <x:c r="F848" s="7" t="str">
        <x:v>TR-B</x:v>
      </x:c>
      <x:c r="G848" s="7" t="str">
        <x:v>QE-02</x:v>
      </x:c>
      <x:c r="H848" s="7" t="str">
        <x:v>P02</x:v>
      </x:c>
      <x:c r="I848" s="7" t="str">
        <x:v>T-72h</x:v>
      </x:c>
      <x:c r="J848" s="10" t="str">
        <x:v>source and water custody freeze</x:v>
      </x:c>
      <x:c r="K848" s="7" t="str"/>
      <x:c r="L848" s="10" t="str"/>
      <x:c r="M848" s="7" t="str">
        <x:v>OPEN</x:v>
      </x:c>
    </x:row>
    <x:row r="849" ht="36" customHeight="1">
      <x:c r="B849" s="7" t="str">
        <x:v>RAE-E-36-P03</x:v>
      </x:c>
      <x:c r="C849" s="7" t="str">
        <x:v>RAE-E-36</x:v>
      </x:c>
      <x:c r="D849" s="7" t="str">
        <x:v>RFP-C1</x:v>
      </x:c>
      <x:c r="E849" s="7" t="str">
        <x:v>AM-05</x:v>
      </x:c>
      <x:c r="F849" s="7" t="str">
        <x:v>TR-B</x:v>
      </x:c>
      <x:c r="G849" s="7" t="str">
        <x:v>QE-02</x:v>
      </x:c>
      <x:c r="H849" s="7" t="str">
        <x:v>P03</x:v>
      </x:c>
      <x:c r="I849" s="7" t="str">
        <x:v>T-48h</x:v>
      </x:c>
      <x:c r="J849" s="10" t="str">
        <x:v>article and configuration identity</x:v>
      </x:c>
      <x:c r="K849" s="7" t="str"/>
      <x:c r="L849" s="10" t="str"/>
      <x:c r="M849" s="7" t="str">
        <x:v>OPEN</x:v>
      </x:c>
    </x:row>
    <x:row r="850" ht="36" customHeight="1">
      <x:c r="B850" s="7" t="str">
        <x:v>RAE-E-36-P04</x:v>
      </x:c>
      <x:c r="C850" s="7" t="str">
        <x:v>RAE-E-36</x:v>
      </x:c>
      <x:c r="D850" s="7" t="str">
        <x:v>RFP-C1</x:v>
      </x:c>
      <x:c r="E850" s="7" t="str">
        <x:v>AM-05</x:v>
      </x:c>
      <x:c r="F850" s="7" t="str">
        <x:v>TR-B</x:v>
      </x:c>
      <x:c r="G850" s="7" t="str">
        <x:v>QE-02</x:v>
      </x:c>
      <x:c r="H850" s="7" t="str">
        <x:v>P04</x:v>
      </x:c>
      <x:c r="I850" s="7" t="str">
        <x:v>T-24h</x:v>
      </x:c>
      <x:c r="J850" s="10" t="str">
        <x:v>environment and recovery readiness</x:v>
      </x:c>
      <x:c r="K850" s="7" t="str"/>
      <x:c r="L850" s="10" t="str"/>
      <x:c r="M850" s="7" t="str">
        <x:v>OPEN</x:v>
      </x:c>
    </x:row>
    <x:row r="851" ht="36" customHeight="1">
      <x:c r="B851" s="7" t="str">
        <x:v>RAE-E-36-P05</x:v>
      </x:c>
      <x:c r="C851" s="7" t="str">
        <x:v>RAE-E-36</x:v>
      </x:c>
      <x:c r="D851" s="7" t="str">
        <x:v>RFP-C1</x:v>
      </x:c>
      <x:c r="E851" s="7" t="str">
        <x:v>AM-05</x:v>
      </x:c>
      <x:c r="F851" s="7" t="str">
        <x:v>TR-B</x:v>
      </x:c>
      <x:c r="G851" s="7" t="str">
        <x:v>QE-02</x:v>
      </x:c>
      <x:c r="H851" s="7" t="str">
        <x:v>P05</x:v>
      </x:c>
      <x:c r="I851" s="7" t="str">
        <x:v>T-12h</x:v>
      </x:c>
      <x:c r="J851" s="10" t="str">
        <x:v>rescue posture</x:v>
      </x:c>
      <x:c r="K851" s="7" t="str"/>
      <x:c r="L851" s="10" t="str"/>
      <x:c r="M851" s="7" t="str">
        <x:v>OPEN</x:v>
      </x:c>
    </x:row>
    <x:row r="852" ht="36" customHeight="1">
      <x:c r="B852" s="7" t="str">
        <x:v>RAE-E-36-P06</x:v>
      </x:c>
      <x:c r="C852" s="7" t="str">
        <x:v>RAE-E-36</x:v>
      </x:c>
      <x:c r="D852" s="7" t="str">
        <x:v>RFP-C1</x:v>
      </x:c>
      <x:c r="E852" s="7" t="str">
        <x:v>AM-05</x:v>
      </x:c>
      <x:c r="F852" s="7" t="str">
        <x:v>TR-B</x:v>
      </x:c>
      <x:c r="G852" s="7" t="str">
        <x:v>QE-02</x:v>
      </x:c>
      <x:c r="H852" s="7" t="str">
        <x:v>P06</x:v>
      </x:c>
      <x:c r="I852" s="7" t="str">
        <x:v>T-6h</x:v>
      </x:c>
      <x:c r="J852" s="10" t="str">
        <x:v>calibration before state</x:v>
      </x:c>
      <x:c r="K852" s="7" t="str"/>
      <x:c r="L852" s="10" t="str"/>
      <x:c r="M852" s="7" t="str">
        <x:v>OPEN</x:v>
      </x:c>
    </x:row>
    <x:row r="853" ht="36" customHeight="1">
      <x:c r="B853" s="7" t="str">
        <x:v>RAE-E-36-P07</x:v>
      </x:c>
      <x:c r="C853" s="7" t="str">
        <x:v>RAE-E-36</x:v>
      </x:c>
      <x:c r="D853" s="7" t="str">
        <x:v>RFP-C1</x:v>
      </x:c>
      <x:c r="E853" s="7" t="str">
        <x:v>AM-05</x:v>
      </x:c>
      <x:c r="F853" s="7" t="str">
        <x:v>TR-B</x:v>
      </x:c>
      <x:c r="G853" s="7" t="str">
        <x:v>QE-02</x:v>
      </x:c>
      <x:c r="H853" s="7" t="str">
        <x:v>P07</x:v>
      </x:c>
      <x:c r="I853" s="7" t="str">
        <x:v>T-2h</x:v>
      </x:c>
      <x:c r="J853" s="10" t="str">
        <x:v>receiver initial-volume proof</x:v>
      </x:c>
      <x:c r="K853" s="7" t="str"/>
      <x:c r="L853" s="10" t="str"/>
      <x:c r="M853" s="7" t="str">
        <x:v>OPEN</x:v>
      </x:c>
    </x:row>
    <x:row r="854" ht="36" customHeight="1">
      <x:c r="B854" s="7" t="str">
        <x:v>RAE-E-36-P08</x:v>
      </x:c>
      <x:c r="C854" s="7" t="str">
        <x:v>RAE-E-36</x:v>
      </x:c>
      <x:c r="D854" s="7" t="str">
        <x:v>RFP-C1</x:v>
      </x:c>
      <x:c r="E854" s="7" t="str">
        <x:v>AM-05</x:v>
      </x:c>
      <x:c r="F854" s="7" t="str">
        <x:v>TR-B</x:v>
      </x:c>
      <x:c r="G854" s="7" t="str">
        <x:v>QE-02</x:v>
      </x:c>
      <x:c r="H854" s="7" t="str">
        <x:v>P08</x:v>
      </x:c>
      <x:c r="I854" s="7" t="str">
        <x:v>T-60min</x:v>
      </x:c>
      <x:c r="J854" s="10" t="str">
        <x:v>neighbor inert-state proof</x:v>
      </x:c>
      <x:c r="K854" s="7" t="str"/>
      <x:c r="L854" s="10" t="str"/>
      <x:c r="M854" s="7" t="str">
        <x:v>OPEN</x:v>
      </x:c>
    </x:row>
    <x:row r="855" ht="36" customHeight="1">
      <x:c r="B855" s="7" t="str">
        <x:v>RAE-E-36-P09</x:v>
      </x:c>
      <x:c r="C855" s="7" t="str">
        <x:v>RAE-E-36</x:v>
      </x:c>
      <x:c r="D855" s="7" t="str">
        <x:v>RFP-C1</x:v>
      </x:c>
      <x:c r="E855" s="7" t="str">
        <x:v>AM-05</x:v>
      </x:c>
      <x:c r="F855" s="7" t="str">
        <x:v>TR-B</x:v>
      </x:c>
      <x:c r="G855" s="7" t="str">
        <x:v>QE-02</x:v>
      </x:c>
      <x:c r="H855" s="7" t="str">
        <x:v>P09</x:v>
      </x:c>
      <x:c r="I855" s="7" t="str">
        <x:v>T-30min</x:v>
      </x:c>
      <x:c r="J855" s="10" t="str">
        <x:v>native evidence armed</x:v>
      </x:c>
      <x:c r="K855" s="7" t="str"/>
      <x:c r="L855" s="10" t="str"/>
      <x:c r="M855" s="7" t="str">
        <x:v>OPEN</x:v>
      </x:c>
    </x:row>
    <x:row r="856" ht="36" customHeight="1">
      <x:c r="B856" s="7" t="str">
        <x:v>RAE-E-36-P10</x:v>
      </x:c>
      <x:c r="C856" s="7" t="str">
        <x:v>RAE-E-36</x:v>
      </x:c>
      <x:c r="D856" s="7" t="str">
        <x:v>RFP-C1</x:v>
      </x:c>
      <x:c r="E856" s="7" t="str">
        <x:v>AM-05</x:v>
      </x:c>
      <x:c r="F856" s="7" t="str">
        <x:v>TR-B</x:v>
      </x:c>
      <x:c r="G856" s="7" t="str">
        <x:v>QE-02</x:v>
      </x:c>
      <x:c r="H856" s="7" t="str">
        <x:v>P10</x:v>
      </x:c>
      <x:c r="I856" s="7" t="str">
        <x:v>T-10min</x:v>
      </x:c>
      <x:c r="J856" s="10" t="str">
        <x:v>final control poll</x:v>
      </x:c>
      <x:c r="K856" s="7" t="str"/>
      <x:c r="L856" s="10" t="str"/>
      <x:c r="M856" s="7" t="str">
        <x:v>OPEN</x:v>
      </x:c>
    </x:row>
    <x:row r="857" ht="36" customHeight="1">
      <x:c r="B857" s="7" t="str">
        <x:v>RAE-E-36-P11</x:v>
      </x:c>
      <x:c r="C857" s="7" t="str">
        <x:v>RAE-E-36</x:v>
      </x:c>
      <x:c r="D857" s="7" t="str">
        <x:v>RFP-C1</x:v>
      </x:c>
      <x:c r="E857" s="7" t="str">
        <x:v>AM-05</x:v>
      </x:c>
      <x:c r="F857" s="7" t="str">
        <x:v>TR-B</x:v>
      </x:c>
      <x:c r="G857" s="7" t="str">
        <x:v>QE-02</x:v>
      </x:c>
      <x:c r="H857" s="7" t="str">
        <x:v>P11</x:v>
      </x:c>
      <x:c r="I857" s="7" t="str">
        <x:v>T-60s</x:v>
      </x:c>
      <x:c r="J857" s="10" t="str">
        <x:v>full-rate capture</x:v>
      </x:c>
      <x:c r="K857" s="7" t="str"/>
      <x:c r="L857" s="10" t="str"/>
      <x:c r="M857" s="7" t="str">
        <x:v>OPEN</x:v>
      </x:c>
    </x:row>
    <x:row r="858" ht="36" customHeight="1">
      <x:c r="B858" s="7" t="str">
        <x:v>RAE-E-36-P12</x:v>
      </x:c>
      <x:c r="C858" s="7" t="str">
        <x:v>RAE-E-36</x:v>
      </x:c>
      <x:c r="D858" s="7" t="str">
        <x:v>RFP-C1</x:v>
      </x:c>
      <x:c r="E858" s="7" t="str">
        <x:v>AM-05</x:v>
      </x:c>
      <x:c r="F858" s="7" t="str">
        <x:v>TR-B</x:v>
      </x:c>
      <x:c r="G858" s="7" t="str">
        <x:v>QE-02</x:v>
      </x:c>
      <x:c r="H858" s="7" t="str">
        <x:v>P12</x:v>
      </x:c>
      <x:c r="I858" s="7" t="str">
        <x:v>T-10s</x:v>
      </x:c>
      <x:c r="J858" s="10" t="str">
        <x:v>registered challenge state</x:v>
      </x:c>
      <x:c r="K858" s="7" t="str"/>
      <x:c r="L858" s="10" t="str"/>
      <x:c r="M858" s="7" t="str">
        <x:v>OPEN</x:v>
      </x:c>
    </x:row>
    <x:row r="859" ht="36" customHeight="1">
      <x:c r="B859" s="7" t="str">
        <x:v>RAE-E-36-P13</x:v>
      </x:c>
      <x:c r="C859" s="7" t="str">
        <x:v>RAE-E-36</x:v>
      </x:c>
      <x:c r="D859" s="7" t="str">
        <x:v>RFP-C1</x:v>
      </x:c>
      <x:c r="E859" s="7" t="str">
        <x:v>AM-05</x:v>
      </x:c>
      <x:c r="F859" s="7" t="str">
        <x:v>TR-B</x:v>
      </x:c>
      <x:c r="G859" s="7" t="str">
        <x:v>QE-02</x:v>
      </x:c>
      <x:c r="H859" s="7" t="str">
        <x:v>P13</x:v>
      </x:c>
      <x:c r="I859" s="7" t="str">
        <x:v>T0</x:v>
      </x:c>
      <x:c r="J859" s="10" t="str">
        <x:v>source command or zero-source marker</x:v>
      </x:c>
      <x:c r="K859" s="7" t="str"/>
      <x:c r="L859" s="10" t="str"/>
      <x:c r="M859" s="7" t="str">
        <x:v>OPEN</x:v>
      </x:c>
    </x:row>
    <x:row r="860" ht="36" customHeight="1">
      <x:c r="B860" s="7" t="str">
        <x:v>RAE-E-36-P14</x:v>
      </x:c>
      <x:c r="C860" s="7" t="str">
        <x:v>RAE-E-36</x:v>
      </x:c>
      <x:c r="D860" s="7" t="str">
        <x:v>RFP-C1</x:v>
      </x:c>
      <x:c r="E860" s="7" t="str">
        <x:v>AM-05</x:v>
      </x:c>
      <x:c r="F860" s="7" t="str">
        <x:v>TR-B</x:v>
      </x:c>
      <x:c r="G860" s="7" t="str">
        <x:v>QE-02</x:v>
      </x:c>
      <x:c r="H860" s="7" t="str">
        <x:v>P14</x:v>
      </x:c>
      <x:c r="I860" s="7" t="str">
        <x:v>T+2s</x:v>
      </x:c>
      <x:c r="J860" s="10" t="str">
        <x:v>inlet and dispenser final state</x:v>
      </x:c>
      <x:c r="K860" s="7" t="str"/>
      <x:c r="L860" s="10" t="str"/>
      <x:c r="M860" s="7" t="str">
        <x:v>OPEN</x:v>
      </x:c>
    </x:row>
    <x:row r="861" ht="36" customHeight="1">
      <x:c r="B861" s="7" t="str">
        <x:v>RAE-E-36-P15</x:v>
      </x:c>
      <x:c r="C861" s="7" t="str">
        <x:v>RAE-E-36</x:v>
      </x:c>
      <x:c r="D861" s="7" t="str">
        <x:v>RFP-C1</x:v>
      </x:c>
      <x:c r="E861" s="7" t="str">
        <x:v>AM-05</x:v>
      </x:c>
      <x:c r="F861" s="7" t="str">
        <x:v>TR-B</x:v>
      </x:c>
      <x:c r="G861" s="7" t="str">
        <x:v>QE-02</x:v>
      </x:c>
      <x:c r="H861" s="7" t="str">
        <x:v>P15</x:v>
      </x:c>
      <x:c r="I861" s="7" t="str">
        <x:v>T+15s</x:v>
      </x:c>
      <x:c r="J861" s="10" t="str">
        <x:v>AM-06 QE-02 ignition opportunity</x:v>
      </x:c>
      <x:c r="K861" s="7" t="str"/>
      <x:c r="L861" s="10" t="str"/>
      <x:c r="M861" s="7" t="str">
        <x:v>OPEN</x:v>
      </x:c>
    </x:row>
    <x:row r="862" ht="36" customHeight="1">
      <x:c r="B862" s="7" t="str">
        <x:v>RAE-E-36-P16</x:v>
      </x:c>
      <x:c r="C862" s="7" t="str">
        <x:v>RAE-E-36</x:v>
      </x:c>
      <x:c r="D862" s="7" t="str">
        <x:v>RFP-C1</x:v>
      </x:c>
      <x:c r="E862" s="7" t="str">
        <x:v>AM-05</x:v>
      </x:c>
      <x:c r="F862" s="7" t="str">
        <x:v>TR-B</x:v>
      </x:c>
      <x:c r="G862" s="7" t="str">
        <x:v>QE-02</x:v>
      </x:c>
      <x:c r="H862" s="7" t="str">
        <x:v>P16</x:v>
      </x:c>
      <x:c r="I862" s="7" t="str">
        <x:v>T+30s</x:v>
      </x:c>
      <x:c r="J862" s="10" t="str">
        <x:v>terminal-source decision</x:v>
      </x:c>
      <x:c r="K862" s="7" t="str"/>
      <x:c r="L862" s="10" t="str"/>
      <x:c r="M862" s="7" t="str">
        <x:v>OPEN</x:v>
      </x:c>
    </x:row>
    <x:row r="863" ht="36" customHeight="1">
      <x:c r="B863" s="7" t="str">
        <x:v>RAE-E-36-P17</x:v>
      </x:c>
      <x:c r="C863" s="7" t="str">
        <x:v>RAE-E-36</x:v>
      </x:c>
      <x:c r="D863" s="7" t="str">
        <x:v>RFP-C1</x:v>
      </x:c>
      <x:c r="E863" s="7" t="str">
        <x:v>AM-05</x:v>
      </x:c>
      <x:c r="F863" s="7" t="str">
        <x:v>TR-B</x:v>
      </x:c>
      <x:c r="G863" s="7" t="str">
        <x:v>QE-02</x:v>
      </x:c>
      <x:c r="H863" s="7" t="str">
        <x:v>P17</x:v>
      </x:c>
      <x:c r="I863" s="7" t="str">
        <x:v>T+120s</x:v>
      </x:c>
      <x:c r="J863" s="10" t="str">
        <x:v>public schedule end</x:v>
      </x:c>
      <x:c r="K863" s="7" t="str"/>
      <x:c r="L863" s="10" t="str"/>
      <x:c r="M863" s="7" t="str">
        <x:v>OPEN</x:v>
      </x:c>
    </x:row>
    <x:row r="864" ht="36" customHeight="1">
      <x:c r="B864" s="7" t="str">
        <x:v>RAE-E-36-P18</x:v>
      </x:c>
      <x:c r="C864" s="7" t="str">
        <x:v>RAE-E-36</x:v>
      </x:c>
      <x:c r="D864" s="7" t="str">
        <x:v>RFP-C1</x:v>
      </x:c>
      <x:c r="E864" s="7" t="str">
        <x:v>AM-05</x:v>
      </x:c>
      <x:c r="F864" s="7" t="str">
        <x:v>TR-B</x:v>
      </x:c>
      <x:c r="G864" s="7" t="str">
        <x:v>QE-02</x:v>
      </x:c>
      <x:c r="H864" s="7" t="str">
        <x:v>P18</x:v>
      </x:c>
      <x:c r="I864" s="7" t="str">
        <x:v>T+15min</x:v>
      </x:c>
      <x:c r="J864" s="10" t="str">
        <x:v>thermal and water classification</x:v>
      </x:c>
      <x:c r="K864" s="7" t="str"/>
      <x:c r="L864" s="10" t="str"/>
      <x:c r="M864" s="7" t="str">
        <x:v>OPEN</x:v>
      </x:c>
    </x:row>
    <x:row r="865" ht="36" customHeight="1">
      <x:c r="B865" s="7" t="str">
        <x:v>RAE-E-36-P19</x:v>
      </x:c>
      <x:c r="C865" s="7" t="str">
        <x:v>RAE-E-36</x:v>
      </x:c>
      <x:c r="D865" s="7" t="str">
        <x:v>RFP-C1</x:v>
      </x:c>
      <x:c r="E865" s="7" t="str">
        <x:v>AM-05</x:v>
      </x:c>
      <x:c r="F865" s="7" t="str">
        <x:v>TR-B</x:v>
      </x:c>
      <x:c r="G865" s="7" t="str">
        <x:v>QE-02</x:v>
      </x:c>
      <x:c r="H865" s="7" t="str">
        <x:v>P19</x:v>
      </x:c>
      <x:c r="I865" s="7" t="str">
        <x:v>T+30min</x:v>
      </x:c>
      <x:c r="J865" s="10" t="str">
        <x:v>public intervention classification</x:v>
      </x:c>
      <x:c r="K865" s="7" t="str"/>
      <x:c r="L865" s="10" t="str"/>
      <x:c r="M865" s="7" t="str">
        <x:v>OPEN</x:v>
      </x:c>
    </x:row>
    <x:row r="866" ht="36" customHeight="1">
      <x:c r="B866" s="7" t="str">
        <x:v>RAE-E-36-P20</x:v>
      </x:c>
      <x:c r="C866" s="7" t="str">
        <x:v>RAE-E-36</x:v>
      </x:c>
      <x:c r="D866" s="7" t="str">
        <x:v>RFP-C1</x:v>
      </x:c>
      <x:c r="E866" s="7" t="str">
        <x:v>AM-05</x:v>
      </x:c>
      <x:c r="F866" s="7" t="str">
        <x:v>TR-B</x:v>
      </x:c>
      <x:c r="G866" s="7" t="str">
        <x:v>QE-02</x:v>
      </x:c>
      <x:c r="H866" s="7" t="str">
        <x:v>P20</x:v>
      </x:c>
      <x:c r="I866" s="7" t="str">
        <x:v>T+60min</x:v>
      </x:c>
      <x:c r="J866" s="10" t="str">
        <x:v>remote-entry classification</x:v>
      </x:c>
      <x:c r="K866" s="7" t="str"/>
      <x:c r="L866" s="10" t="str"/>
      <x:c r="M866" s="7" t="str">
        <x:v>OPEN</x:v>
      </x:c>
    </x:row>
    <x:row r="867" ht="36" customHeight="1">
      <x:c r="B867" s="7" t="str">
        <x:v>RAE-E-36-P21</x:v>
      </x:c>
      <x:c r="C867" s="7" t="str">
        <x:v>RAE-E-36</x:v>
      </x:c>
      <x:c r="D867" s="7" t="str">
        <x:v>RFP-C1</x:v>
      </x:c>
      <x:c r="E867" s="7" t="str">
        <x:v>AM-05</x:v>
      </x:c>
      <x:c r="F867" s="7" t="str">
        <x:v>TR-B</x:v>
      </x:c>
      <x:c r="G867" s="7" t="str">
        <x:v>QE-02</x:v>
      </x:c>
      <x:c r="H867" s="7" t="str">
        <x:v>P21</x:v>
      </x:c>
      <x:c r="I867" s="7" t="str">
        <x:v>T+6h</x:v>
      </x:c>
      <x:c r="J867" s="10" t="str">
        <x:v>evidence tail closure</x:v>
      </x:c>
      <x:c r="K867" s="7" t="str"/>
      <x:c r="L867" s="10" t="str"/>
      <x:c r="M867" s="7" t="str">
        <x:v>OPEN</x:v>
      </x:c>
    </x:row>
    <x:row r="868" ht="36" customHeight="1">
      <x:c r="B868" s="7" t="str">
        <x:v>RAE-E-36-P22</x:v>
      </x:c>
      <x:c r="C868" s="7" t="str">
        <x:v>RAE-E-36</x:v>
      </x:c>
      <x:c r="D868" s="7" t="str">
        <x:v>RFP-C1</x:v>
      </x:c>
      <x:c r="E868" s="7" t="str">
        <x:v>AM-05</x:v>
      </x:c>
      <x:c r="F868" s="7" t="str">
        <x:v>TR-B</x:v>
      </x:c>
      <x:c r="G868" s="7" t="str">
        <x:v>QE-02</x:v>
      </x:c>
      <x:c r="H868" s="7" t="str">
        <x:v>P22</x:v>
      </x:c>
      <x:c r="I868" s="7" t="str">
        <x:v>T+24h</x:v>
      </x:c>
      <x:c r="J868" s="10" t="str">
        <x:v>physical ledger closure</x:v>
      </x:c>
      <x:c r="K868" s="7" t="str"/>
      <x:c r="L868" s="10" t="str"/>
      <x:c r="M868" s="7" t="str">
        <x:v>OPEN</x:v>
      </x:c>
    </x:row>
    <x:row r="869" ht="36" customHeight="1">
      <x:c r="B869" s="7" t="str">
        <x:v>RAE-E-36-P23</x:v>
      </x:c>
      <x:c r="C869" s="7" t="str">
        <x:v>RAE-E-36</x:v>
      </x:c>
      <x:c r="D869" s="7" t="str">
        <x:v>RFP-C1</x:v>
      </x:c>
      <x:c r="E869" s="7" t="str">
        <x:v>AM-05</x:v>
      </x:c>
      <x:c r="F869" s="7" t="str">
        <x:v>TR-B</x:v>
      </x:c>
      <x:c r="G869" s="7" t="str">
        <x:v>QE-02</x:v>
      </x:c>
      <x:c r="H869" s="7" t="str">
        <x:v>P23</x:v>
      </x:c>
      <x:c r="I869" s="7" t="str">
        <x:v>T+72h</x:v>
      </x:c>
      <x:c r="J869" s="10" t="str">
        <x:v>immutable packet freeze</x:v>
      </x:c>
      <x:c r="K869" s="7" t="str"/>
      <x:c r="L869" s="10" t="str"/>
      <x:c r="M869" s="7" t="str">
        <x:v>OPEN</x:v>
      </x:c>
    </x:row>
    <x:row r="870" ht="36" customHeight="1">
      <x:c r="B870" s="7" t="str">
        <x:v>RAE-E-36-P24</x:v>
      </x:c>
      <x:c r="C870" s="7" t="str">
        <x:v>RAE-E-36</x:v>
      </x:c>
      <x:c r="D870" s="7" t="str">
        <x:v>RFP-C1</x:v>
      </x:c>
      <x:c r="E870" s="7" t="str">
        <x:v>AM-05</x:v>
      </x:c>
      <x:c r="F870" s="7" t="str">
        <x:v>TR-B</x:v>
      </x:c>
      <x:c r="G870" s="7" t="str">
        <x:v>QE-02</x:v>
      </x:c>
      <x:c r="H870" s="7" t="str">
        <x:v>P24</x:v>
      </x:c>
      <x:c r="I870" s="7" t="str">
        <x:v>day 7</x:v>
      </x:c>
      <x:c r="J870" s="10" t="str">
        <x:v>validity and outcome board</x:v>
      </x:c>
      <x:c r="K870" s="7" t="str"/>
      <x:c r="L870" s="10" t="str"/>
      <x:c r="M870" s="7" t="str">
        <x:v>OPEN</x:v>
      </x:c>
    </x:row>
    <x:row r="871" ht="36" customHeight="1">
      <x:c r="B871" s="7" t="str">
        <x:v>RAE-E-37-P01</x:v>
      </x:c>
      <x:c r="C871" s="7" t="str">
        <x:v>RAE-E-37</x:v>
      </x:c>
      <x:c r="D871" s="7" t="str">
        <x:v>RFP-C1</x:v>
      </x:c>
      <x:c r="E871" s="7" t="str">
        <x:v>AM-06</x:v>
      </x:c>
      <x:c r="F871" s="7" t="str">
        <x:v>TR-A</x:v>
      </x:c>
      <x:c r="G871" s="7" t="str">
        <x:v>QE-01</x:v>
      </x:c>
      <x:c r="H871" s="7" t="str">
        <x:v>P01</x:v>
      </x:c>
      <x:c r="I871" s="7" t="str">
        <x:v>T-96h</x:v>
      </x:c>
      <x:c r="J871" s="10" t="str">
        <x:v>baseline freeze</x:v>
      </x:c>
      <x:c r="K871" s="7" t="str"/>
      <x:c r="L871" s="10" t="str"/>
      <x:c r="M871" s="7" t="str">
        <x:v>OPEN</x:v>
      </x:c>
    </x:row>
    <x:row r="872" ht="36" customHeight="1">
      <x:c r="B872" s="7" t="str">
        <x:v>RAE-E-37-P02</x:v>
      </x:c>
      <x:c r="C872" s="7" t="str">
        <x:v>RAE-E-37</x:v>
      </x:c>
      <x:c r="D872" s="7" t="str">
        <x:v>RFP-C1</x:v>
      </x:c>
      <x:c r="E872" s="7" t="str">
        <x:v>AM-06</x:v>
      </x:c>
      <x:c r="F872" s="7" t="str">
        <x:v>TR-A</x:v>
      </x:c>
      <x:c r="G872" s="7" t="str">
        <x:v>QE-01</x:v>
      </x:c>
      <x:c r="H872" s="7" t="str">
        <x:v>P02</x:v>
      </x:c>
      <x:c r="I872" s="7" t="str">
        <x:v>T-72h</x:v>
      </x:c>
      <x:c r="J872" s="10" t="str">
        <x:v>source and water custody freeze</x:v>
      </x:c>
      <x:c r="K872" s="7" t="str"/>
      <x:c r="L872" s="10" t="str"/>
      <x:c r="M872" s="7" t="str">
        <x:v>OPEN</x:v>
      </x:c>
    </x:row>
    <x:row r="873" ht="36" customHeight="1">
      <x:c r="B873" s="7" t="str">
        <x:v>RAE-E-37-P03</x:v>
      </x:c>
      <x:c r="C873" s="7" t="str">
        <x:v>RAE-E-37</x:v>
      </x:c>
      <x:c r="D873" s="7" t="str">
        <x:v>RFP-C1</x:v>
      </x:c>
      <x:c r="E873" s="7" t="str">
        <x:v>AM-06</x:v>
      </x:c>
      <x:c r="F873" s="7" t="str">
        <x:v>TR-A</x:v>
      </x:c>
      <x:c r="G873" s="7" t="str">
        <x:v>QE-01</x:v>
      </x:c>
      <x:c r="H873" s="7" t="str">
        <x:v>P03</x:v>
      </x:c>
      <x:c r="I873" s="7" t="str">
        <x:v>T-48h</x:v>
      </x:c>
      <x:c r="J873" s="10" t="str">
        <x:v>article and configuration identity</x:v>
      </x:c>
      <x:c r="K873" s="7" t="str"/>
      <x:c r="L873" s="10" t="str"/>
      <x:c r="M873" s="7" t="str">
        <x:v>OPEN</x:v>
      </x:c>
    </x:row>
    <x:row r="874" ht="36" customHeight="1">
      <x:c r="B874" s="7" t="str">
        <x:v>RAE-E-37-P04</x:v>
      </x:c>
      <x:c r="C874" s="7" t="str">
        <x:v>RAE-E-37</x:v>
      </x:c>
      <x:c r="D874" s="7" t="str">
        <x:v>RFP-C1</x:v>
      </x:c>
      <x:c r="E874" s="7" t="str">
        <x:v>AM-06</x:v>
      </x:c>
      <x:c r="F874" s="7" t="str">
        <x:v>TR-A</x:v>
      </x:c>
      <x:c r="G874" s="7" t="str">
        <x:v>QE-01</x:v>
      </x:c>
      <x:c r="H874" s="7" t="str">
        <x:v>P04</x:v>
      </x:c>
      <x:c r="I874" s="7" t="str">
        <x:v>T-24h</x:v>
      </x:c>
      <x:c r="J874" s="10" t="str">
        <x:v>environment and recovery readiness</x:v>
      </x:c>
      <x:c r="K874" s="7" t="str"/>
      <x:c r="L874" s="10" t="str"/>
      <x:c r="M874" s="7" t="str">
        <x:v>OPEN</x:v>
      </x:c>
    </x:row>
    <x:row r="875" ht="36" customHeight="1">
      <x:c r="B875" s="7" t="str">
        <x:v>RAE-E-37-P05</x:v>
      </x:c>
      <x:c r="C875" s="7" t="str">
        <x:v>RAE-E-37</x:v>
      </x:c>
      <x:c r="D875" s="7" t="str">
        <x:v>RFP-C1</x:v>
      </x:c>
      <x:c r="E875" s="7" t="str">
        <x:v>AM-06</x:v>
      </x:c>
      <x:c r="F875" s="7" t="str">
        <x:v>TR-A</x:v>
      </x:c>
      <x:c r="G875" s="7" t="str">
        <x:v>QE-01</x:v>
      </x:c>
      <x:c r="H875" s="7" t="str">
        <x:v>P05</x:v>
      </x:c>
      <x:c r="I875" s="7" t="str">
        <x:v>T-12h</x:v>
      </x:c>
      <x:c r="J875" s="10" t="str">
        <x:v>rescue posture</x:v>
      </x:c>
      <x:c r="K875" s="7" t="str"/>
      <x:c r="L875" s="10" t="str"/>
      <x:c r="M875" s="7" t="str">
        <x:v>OPEN</x:v>
      </x:c>
    </x:row>
    <x:row r="876" ht="36" customHeight="1">
      <x:c r="B876" s="7" t="str">
        <x:v>RAE-E-37-P06</x:v>
      </x:c>
      <x:c r="C876" s="7" t="str">
        <x:v>RAE-E-37</x:v>
      </x:c>
      <x:c r="D876" s="7" t="str">
        <x:v>RFP-C1</x:v>
      </x:c>
      <x:c r="E876" s="7" t="str">
        <x:v>AM-06</x:v>
      </x:c>
      <x:c r="F876" s="7" t="str">
        <x:v>TR-A</x:v>
      </x:c>
      <x:c r="G876" s="7" t="str">
        <x:v>QE-01</x:v>
      </x:c>
      <x:c r="H876" s="7" t="str">
        <x:v>P06</x:v>
      </x:c>
      <x:c r="I876" s="7" t="str">
        <x:v>T-6h</x:v>
      </x:c>
      <x:c r="J876" s="10" t="str">
        <x:v>calibration before state</x:v>
      </x:c>
      <x:c r="K876" s="7" t="str"/>
      <x:c r="L876" s="10" t="str"/>
      <x:c r="M876" s="7" t="str">
        <x:v>OPEN</x:v>
      </x:c>
    </x:row>
    <x:row r="877" ht="36" customHeight="1">
      <x:c r="B877" s="7" t="str">
        <x:v>RAE-E-37-P07</x:v>
      </x:c>
      <x:c r="C877" s="7" t="str">
        <x:v>RAE-E-37</x:v>
      </x:c>
      <x:c r="D877" s="7" t="str">
        <x:v>RFP-C1</x:v>
      </x:c>
      <x:c r="E877" s="7" t="str">
        <x:v>AM-06</x:v>
      </x:c>
      <x:c r="F877" s="7" t="str">
        <x:v>TR-A</x:v>
      </x:c>
      <x:c r="G877" s="7" t="str">
        <x:v>QE-01</x:v>
      </x:c>
      <x:c r="H877" s="7" t="str">
        <x:v>P07</x:v>
      </x:c>
      <x:c r="I877" s="7" t="str">
        <x:v>T-2h</x:v>
      </x:c>
      <x:c r="J877" s="10" t="str">
        <x:v>receiver initial-volume proof</x:v>
      </x:c>
      <x:c r="K877" s="7" t="str"/>
      <x:c r="L877" s="10" t="str"/>
      <x:c r="M877" s="7" t="str">
        <x:v>OPEN</x:v>
      </x:c>
    </x:row>
    <x:row r="878" ht="36" customHeight="1">
      <x:c r="B878" s="7" t="str">
        <x:v>RAE-E-37-P08</x:v>
      </x:c>
      <x:c r="C878" s="7" t="str">
        <x:v>RAE-E-37</x:v>
      </x:c>
      <x:c r="D878" s="7" t="str">
        <x:v>RFP-C1</x:v>
      </x:c>
      <x:c r="E878" s="7" t="str">
        <x:v>AM-06</x:v>
      </x:c>
      <x:c r="F878" s="7" t="str">
        <x:v>TR-A</x:v>
      </x:c>
      <x:c r="G878" s="7" t="str">
        <x:v>QE-01</x:v>
      </x:c>
      <x:c r="H878" s="7" t="str">
        <x:v>P08</x:v>
      </x:c>
      <x:c r="I878" s="7" t="str">
        <x:v>T-60min</x:v>
      </x:c>
      <x:c r="J878" s="10" t="str">
        <x:v>neighbor inert-state proof</x:v>
      </x:c>
      <x:c r="K878" s="7" t="str"/>
      <x:c r="L878" s="10" t="str"/>
      <x:c r="M878" s="7" t="str">
        <x:v>OPEN</x:v>
      </x:c>
    </x:row>
    <x:row r="879" ht="36" customHeight="1">
      <x:c r="B879" s="7" t="str">
        <x:v>RAE-E-37-P09</x:v>
      </x:c>
      <x:c r="C879" s="7" t="str">
        <x:v>RAE-E-37</x:v>
      </x:c>
      <x:c r="D879" s="7" t="str">
        <x:v>RFP-C1</x:v>
      </x:c>
      <x:c r="E879" s="7" t="str">
        <x:v>AM-06</x:v>
      </x:c>
      <x:c r="F879" s="7" t="str">
        <x:v>TR-A</x:v>
      </x:c>
      <x:c r="G879" s="7" t="str">
        <x:v>QE-01</x:v>
      </x:c>
      <x:c r="H879" s="7" t="str">
        <x:v>P09</x:v>
      </x:c>
      <x:c r="I879" s="7" t="str">
        <x:v>T-30min</x:v>
      </x:c>
      <x:c r="J879" s="10" t="str">
        <x:v>native evidence armed</x:v>
      </x:c>
      <x:c r="K879" s="7" t="str"/>
      <x:c r="L879" s="10" t="str"/>
      <x:c r="M879" s="7" t="str">
        <x:v>OPEN</x:v>
      </x:c>
    </x:row>
    <x:row r="880" ht="36" customHeight="1">
      <x:c r="B880" s="7" t="str">
        <x:v>RAE-E-37-P10</x:v>
      </x:c>
      <x:c r="C880" s="7" t="str">
        <x:v>RAE-E-37</x:v>
      </x:c>
      <x:c r="D880" s="7" t="str">
        <x:v>RFP-C1</x:v>
      </x:c>
      <x:c r="E880" s="7" t="str">
        <x:v>AM-06</x:v>
      </x:c>
      <x:c r="F880" s="7" t="str">
        <x:v>TR-A</x:v>
      </x:c>
      <x:c r="G880" s="7" t="str">
        <x:v>QE-01</x:v>
      </x:c>
      <x:c r="H880" s="7" t="str">
        <x:v>P10</x:v>
      </x:c>
      <x:c r="I880" s="7" t="str">
        <x:v>T-10min</x:v>
      </x:c>
      <x:c r="J880" s="10" t="str">
        <x:v>final control poll</x:v>
      </x:c>
      <x:c r="K880" s="7" t="str"/>
      <x:c r="L880" s="10" t="str"/>
      <x:c r="M880" s="7" t="str">
        <x:v>OPEN</x:v>
      </x:c>
    </x:row>
    <x:row r="881" ht="36" customHeight="1">
      <x:c r="B881" s="7" t="str">
        <x:v>RAE-E-37-P11</x:v>
      </x:c>
      <x:c r="C881" s="7" t="str">
        <x:v>RAE-E-37</x:v>
      </x:c>
      <x:c r="D881" s="7" t="str">
        <x:v>RFP-C1</x:v>
      </x:c>
      <x:c r="E881" s="7" t="str">
        <x:v>AM-06</x:v>
      </x:c>
      <x:c r="F881" s="7" t="str">
        <x:v>TR-A</x:v>
      </x:c>
      <x:c r="G881" s="7" t="str">
        <x:v>QE-01</x:v>
      </x:c>
      <x:c r="H881" s="7" t="str">
        <x:v>P11</x:v>
      </x:c>
      <x:c r="I881" s="7" t="str">
        <x:v>T-60s</x:v>
      </x:c>
      <x:c r="J881" s="10" t="str">
        <x:v>full-rate capture</x:v>
      </x:c>
      <x:c r="K881" s="7" t="str"/>
      <x:c r="L881" s="10" t="str"/>
      <x:c r="M881" s="7" t="str">
        <x:v>OPEN</x:v>
      </x:c>
    </x:row>
    <x:row r="882" ht="36" customHeight="1">
      <x:c r="B882" s="7" t="str">
        <x:v>RAE-E-37-P12</x:v>
      </x:c>
      <x:c r="C882" s="7" t="str">
        <x:v>RAE-E-37</x:v>
      </x:c>
      <x:c r="D882" s="7" t="str">
        <x:v>RFP-C1</x:v>
      </x:c>
      <x:c r="E882" s="7" t="str">
        <x:v>AM-06</x:v>
      </x:c>
      <x:c r="F882" s="7" t="str">
        <x:v>TR-A</x:v>
      </x:c>
      <x:c r="G882" s="7" t="str">
        <x:v>QE-01</x:v>
      </x:c>
      <x:c r="H882" s="7" t="str">
        <x:v>P12</x:v>
      </x:c>
      <x:c r="I882" s="7" t="str">
        <x:v>T-10s</x:v>
      </x:c>
      <x:c r="J882" s="10" t="str">
        <x:v>registered challenge state</x:v>
      </x:c>
      <x:c r="K882" s="7" t="str"/>
      <x:c r="L882" s="10" t="str"/>
      <x:c r="M882" s="7" t="str">
        <x:v>OPEN</x:v>
      </x:c>
    </x:row>
    <x:row r="883" ht="36" customHeight="1">
      <x:c r="B883" s="7" t="str">
        <x:v>RAE-E-37-P13</x:v>
      </x:c>
      <x:c r="C883" s="7" t="str">
        <x:v>RAE-E-37</x:v>
      </x:c>
      <x:c r="D883" s="7" t="str">
        <x:v>RFP-C1</x:v>
      </x:c>
      <x:c r="E883" s="7" t="str">
        <x:v>AM-06</x:v>
      </x:c>
      <x:c r="F883" s="7" t="str">
        <x:v>TR-A</x:v>
      </x:c>
      <x:c r="G883" s="7" t="str">
        <x:v>QE-01</x:v>
      </x:c>
      <x:c r="H883" s="7" t="str">
        <x:v>P13</x:v>
      </x:c>
      <x:c r="I883" s="7" t="str">
        <x:v>T0</x:v>
      </x:c>
      <x:c r="J883" s="10" t="str">
        <x:v>source command or zero-source marker</x:v>
      </x:c>
      <x:c r="K883" s="7" t="str"/>
      <x:c r="L883" s="10" t="str"/>
      <x:c r="M883" s="7" t="str">
        <x:v>OPEN</x:v>
      </x:c>
    </x:row>
    <x:row r="884" ht="36" customHeight="1">
      <x:c r="B884" s="7" t="str">
        <x:v>RAE-E-37-P14</x:v>
      </x:c>
      <x:c r="C884" s="7" t="str">
        <x:v>RAE-E-37</x:v>
      </x:c>
      <x:c r="D884" s="7" t="str">
        <x:v>RFP-C1</x:v>
      </x:c>
      <x:c r="E884" s="7" t="str">
        <x:v>AM-06</x:v>
      </x:c>
      <x:c r="F884" s="7" t="str">
        <x:v>TR-A</x:v>
      </x:c>
      <x:c r="G884" s="7" t="str">
        <x:v>QE-01</x:v>
      </x:c>
      <x:c r="H884" s="7" t="str">
        <x:v>P14</x:v>
      </x:c>
      <x:c r="I884" s="7" t="str">
        <x:v>T+2s</x:v>
      </x:c>
      <x:c r="J884" s="10" t="str">
        <x:v>inlet and dispenser final state</x:v>
      </x:c>
      <x:c r="K884" s="7" t="str"/>
      <x:c r="L884" s="10" t="str"/>
      <x:c r="M884" s="7" t="str">
        <x:v>OPEN</x:v>
      </x:c>
    </x:row>
    <x:row r="885" ht="36" customHeight="1">
      <x:c r="B885" s="7" t="str">
        <x:v>RAE-E-37-P15</x:v>
      </x:c>
      <x:c r="C885" s="7" t="str">
        <x:v>RAE-E-37</x:v>
      </x:c>
      <x:c r="D885" s="7" t="str">
        <x:v>RFP-C1</x:v>
      </x:c>
      <x:c r="E885" s="7" t="str">
        <x:v>AM-06</x:v>
      </x:c>
      <x:c r="F885" s="7" t="str">
        <x:v>TR-A</x:v>
      </x:c>
      <x:c r="G885" s="7" t="str">
        <x:v>QE-01</x:v>
      </x:c>
      <x:c r="H885" s="7" t="str">
        <x:v>P15</x:v>
      </x:c>
      <x:c r="I885" s="7" t="str">
        <x:v>T+15s</x:v>
      </x:c>
      <x:c r="J885" s="10" t="str">
        <x:v>AM-06 QE-02 ignition opportunity</x:v>
      </x:c>
      <x:c r="K885" s="7" t="str"/>
      <x:c r="L885" s="10" t="str"/>
      <x:c r="M885" s="7" t="str">
        <x:v>OPEN</x:v>
      </x:c>
    </x:row>
    <x:row r="886" ht="36" customHeight="1">
      <x:c r="B886" s="7" t="str">
        <x:v>RAE-E-37-P16</x:v>
      </x:c>
      <x:c r="C886" s="7" t="str">
        <x:v>RAE-E-37</x:v>
      </x:c>
      <x:c r="D886" s="7" t="str">
        <x:v>RFP-C1</x:v>
      </x:c>
      <x:c r="E886" s="7" t="str">
        <x:v>AM-06</x:v>
      </x:c>
      <x:c r="F886" s="7" t="str">
        <x:v>TR-A</x:v>
      </x:c>
      <x:c r="G886" s="7" t="str">
        <x:v>QE-01</x:v>
      </x:c>
      <x:c r="H886" s="7" t="str">
        <x:v>P16</x:v>
      </x:c>
      <x:c r="I886" s="7" t="str">
        <x:v>T+30s</x:v>
      </x:c>
      <x:c r="J886" s="10" t="str">
        <x:v>terminal-source decision</x:v>
      </x:c>
      <x:c r="K886" s="7" t="str"/>
      <x:c r="L886" s="10" t="str"/>
      <x:c r="M886" s="7" t="str">
        <x:v>OPEN</x:v>
      </x:c>
    </x:row>
    <x:row r="887" ht="36" customHeight="1">
      <x:c r="B887" s="7" t="str">
        <x:v>RAE-E-37-P17</x:v>
      </x:c>
      <x:c r="C887" s="7" t="str">
        <x:v>RAE-E-37</x:v>
      </x:c>
      <x:c r="D887" s="7" t="str">
        <x:v>RFP-C1</x:v>
      </x:c>
      <x:c r="E887" s="7" t="str">
        <x:v>AM-06</x:v>
      </x:c>
      <x:c r="F887" s="7" t="str">
        <x:v>TR-A</x:v>
      </x:c>
      <x:c r="G887" s="7" t="str">
        <x:v>QE-01</x:v>
      </x:c>
      <x:c r="H887" s="7" t="str">
        <x:v>P17</x:v>
      </x:c>
      <x:c r="I887" s="7" t="str">
        <x:v>T+120s</x:v>
      </x:c>
      <x:c r="J887" s="10" t="str">
        <x:v>public schedule end</x:v>
      </x:c>
      <x:c r="K887" s="7" t="str"/>
      <x:c r="L887" s="10" t="str"/>
      <x:c r="M887" s="7" t="str">
        <x:v>OPEN</x:v>
      </x:c>
    </x:row>
    <x:row r="888" ht="36" customHeight="1">
      <x:c r="B888" s="7" t="str">
        <x:v>RAE-E-37-P18</x:v>
      </x:c>
      <x:c r="C888" s="7" t="str">
        <x:v>RAE-E-37</x:v>
      </x:c>
      <x:c r="D888" s="7" t="str">
        <x:v>RFP-C1</x:v>
      </x:c>
      <x:c r="E888" s="7" t="str">
        <x:v>AM-06</x:v>
      </x:c>
      <x:c r="F888" s="7" t="str">
        <x:v>TR-A</x:v>
      </x:c>
      <x:c r="G888" s="7" t="str">
        <x:v>QE-01</x:v>
      </x:c>
      <x:c r="H888" s="7" t="str">
        <x:v>P18</x:v>
      </x:c>
      <x:c r="I888" s="7" t="str">
        <x:v>T+15min</x:v>
      </x:c>
      <x:c r="J888" s="10" t="str">
        <x:v>thermal and water classification</x:v>
      </x:c>
      <x:c r="K888" s="7" t="str"/>
      <x:c r="L888" s="10" t="str"/>
      <x:c r="M888" s="7" t="str">
        <x:v>OPEN</x:v>
      </x:c>
    </x:row>
    <x:row r="889" ht="36" customHeight="1">
      <x:c r="B889" s="7" t="str">
        <x:v>RAE-E-37-P19</x:v>
      </x:c>
      <x:c r="C889" s="7" t="str">
        <x:v>RAE-E-37</x:v>
      </x:c>
      <x:c r="D889" s="7" t="str">
        <x:v>RFP-C1</x:v>
      </x:c>
      <x:c r="E889" s="7" t="str">
        <x:v>AM-06</x:v>
      </x:c>
      <x:c r="F889" s="7" t="str">
        <x:v>TR-A</x:v>
      </x:c>
      <x:c r="G889" s="7" t="str">
        <x:v>QE-01</x:v>
      </x:c>
      <x:c r="H889" s="7" t="str">
        <x:v>P19</x:v>
      </x:c>
      <x:c r="I889" s="7" t="str">
        <x:v>T+30min</x:v>
      </x:c>
      <x:c r="J889" s="10" t="str">
        <x:v>public intervention classification</x:v>
      </x:c>
      <x:c r="K889" s="7" t="str"/>
      <x:c r="L889" s="10" t="str"/>
      <x:c r="M889" s="7" t="str">
        <x:v>OPEN</x:v>
      </x:c>
    </x:row>
    <x:row r="890" ht="36" customHeight="1">
      <x:c r="B890" s="7" t="str">
        <x:v>RAE-E-37-P20</x:v>
      </x:c>
      <x:c r="C890" s="7" t="str">
        <x:v>RAE-E-37</x:v>
      </x:c>
      <x:c r="D890" s="7" t="str">
        <x:v>RFP-C1</x:v>
      </x:c>
      <x:c r="E890" s="7" t="str">
        <x:v>AM-06</x:v>
      </x:c>
      <x:c r="F890" s="7" t="str">
        <x:v>TR-A</x:v>
      </x:c>
      <x:c r="G890" s="7" t="str">
        <x:v>QE-01</x:v>
      </x:c>
      <x:c r="H890" s="7" t="str">
        <x:v>P20</x:v>
      </x:c>
      <x:c r="I890" s="7" t="str">
        <x:v>T+60min</x:v>
      </x:c>
      <x:c r="J890" s="10" t="str">
        <x:v>remote-entry classification</x:v>
      </x:c>
      <x:c r="K890" s="7" t="str"/>
      <x:c r="L890" s="10" t="str"/>
      <x:c r="M890" s="7" t="str">
        <x:v>OPEN</x:v>
      </x:c>
    </x:row>
    <x:row r="891" ht="36" customHeight="1">
      <x:c r="B891" s="7" t="str">
        <x:v>RAE-E-37-P21</x:v>
      </x:c>
      <x:c r="C891" s="7" t="str">
        <x:v>RAE-E-37</x:v>
      </x:c>
      <x:c r="D891" s="7" t="str">
        <x:v>RFP-C1</x:v>
      </x:c>
      <x:c r="E891" s="7" t="str">
        <x:v>AM-06</x:v>
      </x:c>
      <x:c r="F891" s="7" t="str">
        <x:v>TR-A</x:v>
      </x:c>
      <x:c r="G891" s="7" t="str">
        <x:v>QE-01</x:v>
      </x:c>
      <x:c r="H891" s="7" t="str">
        <x:v>P21</x:v>
      </x:c>
      <x:c r="I891" s="7" t="str">
        <x:v>T+6h</x:v>
      </x:c>
      <x:c r="J891" s="10" t="str">
        <x:v>evidence tail closure</x:v>
      </x:c>
      <x:c r="K891" s="7" t="str"/>
      <x:c r="L891" s="10" t="str"/>
      <x:c r="M891" s="7" t="str">
        <x:v>OPEN</x:v>
      </x:c>
    </x:row>
    <x:row r="892" ht="36" customHeight="1">
      <x:c r="B892" s="7" t="str">
        <x:v>RAE-E-37-P22</x:v>
      </x:c>
      <x:c r="C892" s="7" t="str">
        <x:v>RAE-E-37</x:v>
      </x:c>
      <x:c r="D892" s="7" t="str">
        <x:v>RFP-C1</x:v>
      </x:c>
      <x:c r="E892" s="7" t="str">
        <x:v>AM-06</x:v>
      </x:c>
      <x:c r="F892" s="7" t="str">
        <x:v>TR-A</x:v>
      </x:c>
      <x:c r="G892" s="7" t="str">
        <x:v>QE-01</x:v>
      </x:c>
      <x:c r="H892" s="7" t="str">
        <x:v>P22</x:v>
      </x:c>
      <x:c r="I892" s="7" t="str">
        <x:v>T+24h</x:v>
      </x:c>
      <x:c r="J892" s="10" t="str">
        <x:v>physical ledger closure</x:v>
      </x:c>
      <x:c r="K892" s="7" t="str"/>
      <x:c r="L892" s="10" t="str"/>
      <x:c r="M892" s="7" t="str">
        <x:v>OPEN</x:v>
      </x:c>
    </x:row>
    <x:row r="893" ht="36" customHeight="1">
      <x:c r="B893" s="7" t="str">
        <x:v>RAE-E-37-P23</x:v>
      </x:c>
      <x:c r="C893" s="7" t="str">
        <x:v>RAE-E-37</x:v>
      </x:c>
      <x:c r="D893" s="7" t="str">
        <x:v>RFP-C1</x:v>
      </x:c>
      <x:c r="E893" s="7" t="str">
        <x:v>AM-06</x:v>
      </x:c>
      <x:c r="F893" s="7" t="str">
        <x:v>TR-A</x:v>
      </x:c>
      <x:c r="G893" s="7" t="str">
        <x:v>QE-01</x:v>
      </x:c>
      <x:c r="H893" s="7" t="str">
        <x:v>P23</x:v>
      </x:c>
      <x:c r="I893" s="7" t="str">
        <x:v>T+72h</x:v>
      </x:c>
      <x:c r="J893" s="10" t="str">
        <x:v>immutable packet freeze</x:v>
      </x:c>
      <x:c r="K893" s="7" t="str"/>
      <x:c r="L893" s="10" t="str"/>
      <x:c r="M893" s="7" t="str">
        <x:v>OPEN</x:v>
      </x:c>
    </x:row>
    <x:row r="894" ht="36" customHeight="1">
      <x:c r="B894" s="7" t="str">
        <x:v>RAE-E-37-P24</x:v>
      </x:c>
      <x:c r="C894" s="7" t="str">
        <x:v>RAE-E-37</x:v>
      </x:c>
      <x:c r="D894" s="7" t="str">
        <x:v>RFP-C1</x:v>
      </x:c>
      <x:c r="E894" s="7" t="str">
        <x:v>AM-06</x:v>
      </x:c>
      <x:c r="F894" s="7" t="str">
        <x:v>TR-A</x:v>
      </x:c>
      <x:c r="G894" s="7" t="str">
        <x:v>QE-01</x:v>
      </x:c>
      <x:c r="H894" s="7" t="str">
        <x:v>P24</x:v>
      </x:c>
      <x:c r="I894" s="7" t="str">
        <x:v>day 7</x:v>
      </x:c>
      <x:c r="J894" s="10" t="str">
        <x:v>validity and outcome board</x:v>
      </x:c>
      <x:c r="K894" s="7" t="str"/>
      <x:c r="L894" s="10" t="str"/>
      <x:c r="M894" s="7" t="str">
        <x:v>OPEN</x:v>
      </x:c>
    </x:row>
    <x:row r="895" ht="36" customHeight="1">
      <x:c r="B895" s="7" t="str">
        <x:v>RAE-E-38-P01</x:v>
      </x:c>
      <x:c r="C895" s="7" t="str">
        <x:v>RAE-E-38</x:v>
      </x:c>
      <x:c r="D895" s="7" t="str">
        <x:v>RFP-C1</x:v>
      </x:c>
      <x:c r="E895" s="7" t="str">
        <x:v>AM-06</x:v>
      </x:c>
      <x:c r="F895" s="7" t="str">
        <x:v>TR-A</x:v>
      </x:c>
      <x:c r="G895" s="7" t="str">
        <x:v>QE-02</x:v>
      </x:c>
      <x:c r="H895" s="7" t="str">
        <x:v>P01</x:v>
      </x:c>
      <x:c r="I895" s="7" t="str">
        <x:v>T-96h</x:v>
      </x:c>
      <x:c r="J895" s="10" t="str">
        <x:v>baseline freeze</x:v>
      </x:c>
      <x:c r="K895" s="7" t="str"/>
      <x:c r="L895" s="10" t="str"/>
      <x:c r="M895" s="7" t="str">
        <x:v>OPEN</x:v>
      </x:c>
    </x:row>
    <x:row r="896" ht="36" customHeight="1">
      <x:c r="B896" s="7" t="str">
        <x:v>RAE-E-38-P02</x:v>
      </x:c>
      <x:c r="C896" s="7" t="str">
        <x:v>RAE-E-38</x:v>
      </x:c>
      <x:c r="D896" s="7" t="str">
        <x:v>RFP-C1</x:v>
      </x:c>
      <x:c r="E896" s="7" t="str">
        <x:v>AM-06</x:v>
      </x:c>
      <x:c r="F896" s="7" t="str">
        <x:v>TR-A</x:v>
      </x:c>
      <x:c r="G896" s="7" t="str">
        <x:v>QE-02</x:v>
      </x:c>
      <x:c r="H896" s="7" t="str">
        <x:v>P02</x:v>
      </x:c>
      <x:c r="I896" s="7" t="str">
        <x:v>T-72h</x:v>
      </x:c>
      <x:c r="J896" s="10" t="str">
        <x:v>source and water custody freeze</x:v>
      </x:c>
      <x:c r="K896" s="7" t="str"/>
      <x:c r="L896" s="10" t="str"/>
      <x:c r="M896" s="7" t="str">
        <x:v>OPEN</x:v>
      </x:c>
    </x:row>
    <x:row r="897" ht="36" customHeight="1">
      <x:c r="B897" s="7" t="str">
        <x:v>RAE-E-38-P03</x:v>
      </x:c>
      <x:c r="C897" s="7" t="str">
        <x:v>RAE-E-38</x:v>
      </x:c>
      <x:c r="D897" s="7" t="str">
        <x:v>RFP-C1</x:v>
      </x:c>
      <x:c r="E897" s="7" t="str">
        <x:v>AM-06</x:v>
      </x:c>
      <x:c r="F897" s="7" t="str">
        <x:v>TR-A</x:v>
      </x:c>
      <x:c r="G897" s="7" t="str">
        <x:v>QE-02</x:v>
      </x:c>
      <x:c r="H897" s="7" t="str">
        <x:v>P03</x:v>
      </x:c>
      <x:c r="I897" s="7" t="str">
        <x:v>T-48h</x:v>
      </x:c>
      <x:c r="J897" s="10" t="str">
        <x:v>article and configuration identity</x:v>
      </x:c>
      <x:c r="K897" s="7" t="str"/>
      <x:c r="L897" s="10" t="str"/>
      <x:c r="M897" s="7" t="str">
        <x:v>OPEN</x:v>
      </x:c>
    </x:row>
    <x:row r="898" ht="36" customHeight="1">
      <x:c r="B898" s="7" t="str">
        <x:v>RAE-E-38-P04</x:v>
      </x:c>
      <x:c r="C898" s="7" t="str">
        <x:v>RAE-E-38</x:v>
      </x:c>
      <x:c r="D898" s="7" t="str">
        <x:v>RFP-C1</x:v>
      </x:c>
      <x:c r="E898" s="7" t="str">
        <x:v>AM-06</x:v>
      </x:c>
      <x:c r="F898" s="7" t="str">
        <x:v>TR-A</x:v>
      </x:c>
      <x:c r="G898" s="7" t="str">
        <x:v>QE-02</x:v>
      </x:c>
      <x:c r="H898" s="7" t="str">
        <x:v>P04</x:v>
      </x:c>
      <x:c r="I898" s="7" t="str">
        <x:v>T-24h</x:v>
      </x:c>
      <x:c r="J898" s="10" t="str">
        <x:v>environment and recovery readiness</x:v>
      </x:c>
      <x:c r="K898" s="7" t="str"/>
      <x:c r="L898" s="10" t="str"/>
      <x:c r="M898" s="7" t="str">
        <x:v>OPEN</x:v>
      </x:c>
    </x:row>
    <x:row r="899" ht="36" customHeight="1">
      <x:c r="B899" s="7" t="str">
        <x:v>RAE-E-38-P05</x:v>
      </x:c>
      <x:c r="C899" s="7" t="str">
        <x:v>RAE-E-38</x:v>
      </x:c>
      <x:c r="D899" s="7" t="str">
        <x:v>RFP-C1</x:v>
      </x:c>
      <x:c r="E899" s="7" t="str">
        <x:v>AM-06</x:v>
      </x:c>
      <x:c r="F899" s="7" t="str">
        <x:v>TR-A</x:v>
      </x:c>
      <x:c r="G899" s="7" t="str">
        <x:v>QE-02</x:v>
      </x:c>
      <x:c r="H899" s="7" t="str">
        <x:v>P05</x:v>
      </x:c>
      <x:c r="I899" s="7" t="str">
        <x:v>T-12h</x:v>
      </x:c>
      <x:c r="J899" s="10" t="str">
        <x:v>rescue posture</x:v>
      </x:c>
      <x:c r="K899" s="7" t="str"/>
      <x:c r="L899" s="10" t="str"/>
      <x:c r="M899" s="7" t="str">
        <x:v>OPEN</x:v>
      </x:c>
    </x:row>
    <x:row r="900" ht="36" customHeight="1">
      <x:c r="B900" s="7" t="str">
        <x:v>RAE-E-38-P06</x:v>
      </x:c>
      <x:c r="C900" s="7" t="str">
        <x:v>RAE-E-38</x:v>
      </x:c>
      <x:c r="D900" s="7" t="str">
        <x:v>RFP-C1</x:v>
      </x:c>
      <x:c r="E900" s="7" t="str">
        <x:v>AM-06</x:v>
      </x:c>
      <x:c r="F900" s="7" t="str">
        <x:v>TR-A</x:v>
      </x:c>
      <x:c r="G900" s="7" t="str">
        <x:v>QE-02</x:v>
      </x:c>
      <x:c r="H900" s="7" t="str">
        <x:v>P06</x:v>
      </x:c>
      <x:c r="I900" s="7" t="str">
        <x:v>T-6h</x:v>
      </x:c>
      <x:c r="J900" s="10" t="str">
        <x:v>calibration before state</x:v>
      </x:c>
      <x:c r="K900" s="7" t="str"/>
      <x:c r="L900" s="10" t="str"/>
      <x:c r="M900" s="7" t="str">
        <x:v>OPEN</x:v>
      </x:c>
    </x:row>
    <x:row r="901" ht="36" customHeight="1">
      <x:c r="B901" s="7" t="str">
        <x:v>RAE-E-38-P07</x:v>
      </x:c>
      <x:c r="C901" s="7" t="str">
        <x:v>RAE-E-38</x:v>
      </x:c>
      <x:c r="D901" s="7" t="str">
        <x:v>RFP-C1</x:v>
      </x:c>
      <x:c r="E901" s="7" t="str">
        <x:v>AM-06</x:v>
      </x:c>
      <x:c r="F901" s="7" t="str">
        <x:v>TR-A</x:v>
      </x:c>
      <x:c r="G901" s="7" t="str">
        <x:v>QE-02</x:v>
      </x:c>
      <x:c r="H901" s="7" t="str">
        <x:v>P07</x:v>
      </x:c>
      <x:c r="I901" s="7" t="str">
        <x:v>T-2h</x:v>
      </x:c>
      <x:c r="J901" s="10" t="str">
        <x:v>receiver initial-volume proof</x:v>
      </x:c>
      <x:c r="K901" s="7" t="str"/>
      <x:c r="L901" s="10" t="str"/>
      <x:c r="M901" s="7" t="str">
        <x:v>OPEN</x:v>
      </x:c>
    </x:row>
    <x:row r="902" ht="36" customHeight="1">
      <x:c r="B902" s="7" t="str">
        <x:v>RAE-E-38-P08</x:v>
      </x:c>
      <x:c r="C902" s="7" t="str">
        <x:v>RAE-E-38</x:v>
      </x:c>
      <x:c r="D902" s="7" t="str">
        <x:v>RFP-C1</x:v>
      </x:c>
      <x:c r="E902" s="7" t="str">
        <x:v>AM-06</x:v>
      </x:c>
      <x:c r="F902" s="7" t="str">
        <x:v>TR-A</x:v>
      </x:c>
      <x:c r="G902" s="7" t="str">
        <x:v>QE-02</x:v>
      </x:c>
      <x:c r="H902" s="7" t="str">
        <x:v>P08</x:v>
      </x:c>
      <x:c r="I902" s="7" t="str">
        <x:v>T-60min</x:v>
      </x:c>
      <x:c r="J902" s="10" t="str">
        <x:v>neighbor inert-state proof</x:v>
      </x:c>
      <x:c r="K902" s="7" t="str"/>
      <x:c r="L902" s="10" t="str"/>
      <x:c r="M902" s="7" t="str">
        <x:v>OPEN</x:v>
      </x:c>
    </x:row>
    <x:row r="903" ht="36" customHeight="1">
      <x:c r="B903" s="7" t="str">
        <x:v>RAE-E-38-P09</x:v>
      </x:c>
      <x:c r="C903" s="7" t="str">
        <x:v>RAE-E-38</x:v>
      </x:c>
      <x:c r="D903" s="7" t="str">
        <x:v>RFP-C1</x:v>
      </x:c>
      <x:c r="E903" s="7" t="str">
        <x:v>AM-06</x:v>
      </x:c>
      <x:c r="F903" s="7" t="str">
        <x:v>TR-A</x:v>
      </x:c>
      <x:c r="G903" s="7" t="str">
        <x:v>QE-02</x:v>
      </x:c>
      <x:c r="H903" s="7" t="str">
        <x:v>P09</x:v>
      </x:c>
      <x:c r="I903" s="7" t="str">
        <x:v>T-30min</x:v>
      </x:c>
      <x:c r="J903" s="10" t="str">
        <x:v>native evidence armed</x:v>
      </x:c>
      <x:c r="K903" s="7" t="str"/>
      <x:c r="L903" s="10" t="str"/>
      <x:c r="M903" s="7" t="str">
        <x:v>OPEN</x:v>
      </x:c>
    </x:row>
    <x:row r="904" ht="36" customHeight="1">
      <x:c r="B904" s="7" t="str">
        <x:v>RAE-E-38-P10</x:v>
      </x:c>
      <x:c r="C904" s="7" t="str">
        <x:v>RAE-E-38</x:v>
      </x:c>
      <x:c r="D904" s="7" t="str">
        <x:v>RFP-C1</x:v>
      </x:c>
      <x:c r="E904" s="7" t="str">
        <x:v>AM-06</x:v>
      </x:c>
      <x:c r="F904" s="7" t="str">
        <x:v>TR-A</x:v>
      </x:c>
      <x:c r="G904" s="7" t="str">
        <x:v>QE-02</x:v>
      </x:c>
      <x:c r="H904" s="7" t="str">
        <x:v>P10</x:v>
      </x:c>
      <x:c r="I904" s="7" t="str">
        <x:v>T-10min</x:v>
      </x:c>
      <x:c r="J904" s="10" t="str">
        <x:v>final control poll</x:v>
      </x:c>
      <x:c r="K904" s="7" t="str"/>
      <x:c r="L904" s="10" t="str"/>
      <x:c r="M904" s="7" t="str">
        <x:v>OPEN</x:v>
      </x:c>
    </x:row>
    <x:row r="905" ht="36" customHeight="1">
      <x:c r="B905" s="7" t="str">
        <x:v>RAE-E-38-P11</x:v>
      </x:c>
      <x:c r="C905" s="7" t="str">
        <x:v>RAE-E-38</x:v>
      </x:c>
      <x:c r="D905" s="7" t="str">
        <x:v>RFP-C1</x:v>
      </x:c>
      <x:c r="E905" s="7" t="str">
        <x:v>AM-06</x:v>
      </x:c>
      <x:c r="F905" s="7" t="str">
        <x:v>TR-A</x:v>
      </x:c>
      <x:c r="G905" s="7" t="str">
        <x:v>QE-02</x:v>
      </x:c>
      <x:c r="H905" s="7" t="str">
        <x:v>P11</x:v>
      </x:c>
      <x:c r="I905" s="7" t="str">
        <x:v>T-60s</x:v>
      </x:c>
      <x:c r="J905" s="10" t="str">
        <x:v>full-rate capture</x:v>
      </x:c>
      <x:c r="K905" s="7" t="str"/>
      <x:c r="L905" s="10" t="str"/>
      <x:c r="M905" s="7" t="str">
        <x:v>OPEN</x:v>
      </x:c>
    </x:row>
    <x:row r="906" ht="36" customHeight="1">
      <x:c r="B906" s="7" t="str">
        <x:v>RAE-E-38-P12</x:v>
      </x:c>
      <x:c r="C906" s="7" t="str">
        <x:v>RAE-E-38</x:v>
      </x:c>
      <x:c r="D906" s="7" t="str">
        <x:v>RFP-C1</x:v>
      </x:c>
      <x:c r="E906" s="7" t="str">
        <x:v>AM-06</x:v>
      </x:c>
      <x:c r="F906" s="7" t="str">
        <x:v>TR-A</x:v>
      </x:c>
      <x:c r="G906" s="7" t="str">
        <x:v>QE-02</x:v>
      </x:c>
      <x:c r="H906" s="7" t="str">
        <x:v>P12</x:v>
      </x:c>
      <x:c r="I906" s="7" t="str">
        <x:v>T-10s</x:v>
      </x:c>
      <x:c r="J906" s="10" t="str">
        <x:v>registered challenge state</x:v>
      </x:c>
      <x:c r="K906" s="7" t="str"/>
      <x:c r="L906" s="10" t="str"/>
      <x:c r="M906" s="7" t="str">
        <x:v>OPEN</x:v>
      </x:c>
    </x:row>
    <x:row r="907" ht="36" customHeight="1">
      <x:c r="B907" s="7" t="str">
        <x:v>RAE-E-38-P13</x:v>
      </x:c>
      <x:c r="C907" s="7" t="str">
        <x:v>RAE-E-38</x:v>
      </x:c>
      <x:c r="D907" s="7" t="str">
        <x:v>RFP-C1</x:v>
      </x:c>
      <x:c r="E907" s="7" t="str">
        <x:v>AM-06</x:v>
      </x:c>
      <x:c r="F907" s="7" t="str">
        <x:v>TR-A</x:v>
      </x:c>
      <x:c r="G907" s="7" t="str">
        <x:v>QE-02</x:v>
      </x:c>
      <x:c r="H907" s="7" t="str">
        <x:v>P13</x:v>
      </x:c>
      <x:c r="I907" s="7" t="str">
        <x:v>T0</x:v>
      </x:c>
      <x:c r="J907" s="10" t="str">
        <x:v>source command or zero-source marker</x:v>
      </x:c>
      <x:c r="K907" s="7" t="str"/>
      <x:c r="L907" s="10" t="str"/>
      <x:c r="M907" s="7" t="str">
        <x:v>OPEN</x:v>
      </x:c>
    </x:row>
    <x:row r="908" ht="36" customHeight="1">
      <x:c r="B908" s="7" t="str">
        <x:v>RAE-E-38-P14</x:v>
      </x:c>
      <x:c r="C908" s="7" t="str">
        <x:v>RAE-E-38</x:v>
      </x:c>
      <x:c r="D908" s="7" t="str">
        <x:v>RFP-C1</x:v>
      </x:c>
      <x:c r="E908" s="7" t="str">
        <x:v>AM-06</x:v>
      </x:c>
      <x:c r="F908" s="7" t="str">
        <x:v>TR-A</x:v>
      </x:c>
      <x:c r="G908" s="7" t="str">
        <x:v>QE-02</x:v>
      </x:c>
      <x:c r="H908" s="7" t="str">
        <x:v>P14</x:v>
      </x:c>
      <x:c r="I908" s="7" t="str">
        <x:v>T+2s</x:v>
      </x:c>
      <x:c r="J908" s="10" t="str">
        <x:v>inlet and dispenser final state</x:v>
      </x:c>
      <x:c r="K908" s="7" t="str"/>
      <x:c r="L908" s="10" t="str"/>
      <x:c r="M908" s="7" t="str">
        <x:v>OPEN</x:v>
      </x:c>
    </x:row>
    <x:row r="909" ht="36" customHeight="1">
      <x:c r="B909" s="7" t="str">
        <x:v>RAE-E-38-P15</x:v>
      </x:c>
      <x:c r="C909" s="7" t="str">
        <x:v>RAE-E-38</x:v>
      </x:c>
      <x:c r="D909" s="7" t="str">
        <x:v>RFP-C1</x:v>
      </x:c>
      <x:c r="E909" s="7" t="str">
        <x:v>AM-06</x:v>
      </x:c>
      <x:c r="F909" s="7" t="str">
        <x:v>TR-A</x:v>
      </x:c>
      <x:c r="G909" s="7" t="str">
        <x:v>QE-02</x:v>
      </x:c>
      <x:c r="H909" s="7" t="str">
        <x:v>P15</x:v>
      </x:c>
      <x:c r="I909" s="7" t="str">
        <x:v>T+15s</x:v>
      </x:c>
      <x:c r="J909" s="10" t="str">
        <x:v>AM-06 QE-02 ignition opportunity</x:v>
      </x:c>
      <x:c r="K909" s="7" t="str"/>
      <x:c r="L909" s="10" t="str"/>
      <x:c r="M909" s="7" t="str">
        <x:v>OPEN</x:v>
      </x:c>
    </x:row>
    <x:row r="910" ht="36" customHeight="1">
      <x:c r="B910" s="7" t="str">
        <x:v>RAE-E-38-P16</x:v>
      </x:c>
      <x:c r="C910" s="7" t="str">
        <x:v>RAE-E-38</x:v>
      </x:c>
      <x:c r="D910" s="7" t="str">
        <x:v>RFP-C1</x:v>
      </x:c>
      <x:c r="E910" s="7" t="str">
        <x:v>AM-06</x:v>
      </x:c>
      <x:c r="F910" s="7" t="str">
        <x:v>TR-A</x:v>
      </x:c>
      <x:c r="G910" s="7" t="str">
        <x:v>QE-02</x:v>
      </x:c>
      <x:c r="H910" s="7" t="str">
        <x:v>P16</x:v>
      </x:c>
      <x:c r="I910" s="7" t="str">
        <x:v>T+30s</x:v>
      </x:c>
      <x:c r="J910" s="10" t="str">
        <x:v>terminal-source decision</x:v>
      </x:c>
      <x:c r="K910" s="7" t="str"/>
      <x:c r="L910" s="10" t="str"/>
      <x:c r="M910" s="7" t="str">
        <x:v>OPEN</x:v>
      </x:c>
    </x:row>
    <x:row r="911" ht="36" customHeight="1">
      <x:c r="B911" s="7" t="str">
        <x:v>RAE-E-38-P17</x:v>
      </x:c>
      <x:c r="C911" s="7" t="str">
        <x:v>RAE-E-38</x:v>
      </x:c>
      <x:c r="D911" s="7" t="str">
        <x:v>RFP-C1</x:v>
      </x:c>
      <x:c r="E911" s="7" t="str">
        <x:v>AM-06</x:v>
      </x:c>
      <x:c r="F911" s="7" t="str">
        <x:v>TR-A</x:v>
      </x:c>
      <x:c r="G911" s="7" t="str">
        <x:v>QE-02</x:v>
      </x:c>
      <x:c r="H911" s="7" t="str">
        <x:v>P17</x:v>
      </x:c>
      <x:c r="I911" s="7" t="str">
        <x:v>T+120s</x:v>
      </x:c>
      <x:c r="J911" s="10" t="str">
        <x:v>public schedule end</x:v>
      </x:c>
      <x:c r="K911" s="7" t="str"/>
      <x:c r="L911" s="10" t="str"/>
      <x:c r="M911" s="7" t="str">
        <x:v>OPEN</x:v>
      </x:c>
    </x:row>
    <x:row r="912" ht="36" customHeight="1">
      <x:c r="B912" s="7" t="str">
        <x:v>RAE-E-38-P18</x:v>
      </x:c>
      <x:c r="C912" s="7" t="str">
        <x:v>RAE-E-38</x:v>
      </x:c>
      <x:c r="D912" s="7" t="str">
        <x:v>RFP-C1</x:v>
      </x:c>
      <x:c r="E912" s="7" t="str">
        <x:v>AM-06</x:v>
      </x:c>
      <x:c r="F912" s="7" t="str">
        <x:v>TR-A</x:v>
      </x:c>
      <x:c r="G912" s="7" t="str">
        <x:v>QE-02</x:v>
      </x:c>
      <x:c r="H912" s="7" t="str">
        <x:v>P18</x:v>
      </x:c>
      <x:c r="I912" s="7" t="str">
        <x:v>T+15min</x:v>
      </x:c>
      <x:c r="J912" s="10" t="str">
        <x:v>thermal and water classification</x:v>
      </x:c>
      <x:c r="K912" s="7" t="str"/>
      <x:c r="L912" s="10" t="str"/>
      <x:c r="M912" s="7" t="str">
        <x:v>OPEN</x:v>
      </x:c>
    </x:row>
    <x:row r="913" ht="36" customHeight="1">
      <x:c r="B913" s="7" t="str">
        <x:v>RAE-E-38-P19</x:v>
      </x:c>
      <x:c r="C913" s="7" t="str">
        <x:v>RAE-E-38</x:v>
      </x:c>
      <x:c r="D913" s="7" t="str">
        <x:v>RFP-C1</x:v>
      </x:c>
      <x:c r="E913" s="7" t="str">
        <x:v>AM-06</x:v>
      </x:c>
      <x:c r="F913" s="7" t="str">
        <x:v>TR-A</x:v>
      </x:c>
      <x:c r="G913" s="7" t="str">
        <x:v>QE-02</x:v>
      </x:c>
      <x:c r="H913" s="7" t="str">
        <x:v>P19</x:v>
      </x:c>
      <x:c r="I913" s="7" t="str">
        <x:v>T+30min</x:v>
      </x:c>
      <x:c r="J913" s="10" t="str">
        <x:v>public intervention classification</x:v>
      </x:c>
      <x:c r="K913" s="7" t="str"/>
      <x:c r="L913" s="10" t="str"/>
      <x:c r="M913" s="7" t="str">
        <x:v>OPEN</x:v>
      </x:c>
    </x:row>
    <x:row r="914" ht="36" customHeight="1">
      <x:c r="B914" s="7" t="str">
        <x:v>RAE-E-38-P20</x:v>
      </x:c>
      <x:c r="C914" s="7" t="str">
        <x:v>RAE-E-38</x:v>
      </x:c>
      <x:c r="D914" s="7" t="str">
        <x:v>RFP-C1</x:v>
      </x:c>
      <x:c r="E914" s="7" t="str">
        <x:v>AM-06</x:v>
      </x:c>
      <x:c r="F914" s="7" t="str">
        <x:v>TR-A</x:v>
      </x:c>
      <x:c r="G914" s="7" t="str">
        <x:v>QE-02</x:v>
      </x:c>
      <x:c r="H914" s="7" t="str">
        <x:v>P20</x:v>
      </x:c>
      <x:c r="I914" s="7" t="str">
        <x:v>T+60min</x:v>
      </x:c>
      <x:c r="J914" s="10" t="str">
        <x:v>remote-entry classification</x:v>
      </x:c>
      <x:c r="K914" s="7" t="str"/>
      <x:c r="L914" s="10" t="str"/>
      <x:c r="M914" s="7" t="str">
        <x:v>OPEN</x:v>
      </x:c>
    </x:row>
    <x:row r="915" ht="36" customHeight="1">
      <x:c r="B915" s="7" t="str">
        <x:v>RAE-E-38-P21</x:v>
      </x:c>
      <x:c r="C915" s="7" t="str">
        <x:v>RAE-E-38</x:v>
      </x:c>
      <x:c r="D915" s="7" t="str">
        <x:v>RFP-C1</x:v>
      </x:c>
      <x:c r="E915" s="7" t="str">
        <x:v>AM-06</x:v>
      </x:c>
      <x:c r="F915" s="7" t="str">
        <x:v>TR-A</x:v>
      </x:c>
      <x:c r="G915" s="7" t="str">
        <x:v>QE-02</x:v>
      </x:c>
      <x:c r="H915" s="7" t="str">
        <x:v>P21</x:v>
      </x:c>
      <x:c r="I915" s="7" t="str">
        <x:v>T+6h</x:v>
      </x:c>
      <x:c r="J915" s="10" t="str">
        <x:v>evidence tail closure</x:v>
      </x:c>
      <x:c r="K915" s="7" t="str"/>
      <x:c r="L915" s="10" t="str"/>
      <x:c r="M915" s="7" t="str">
        <x:v>OPEN</x:v>
      </x:c>
    </x:row>
    <x:row r="916" ht="36" customHeight="1">
      <x:c r="B916" s="7" t="str">
        <x:v>RAE-E-38-P22</x:v>
      </x:c>
      <x:c r="C916" s="7" t="str">
        <x:v>RAE-E-38</x:v>
      </x:c>
      <x:c r="D916" s="7" t="str">
        <x:v>RFP-C1</x:v>
      </x:c>
      <x:c r="E916" s="7" t="str">
        <x:v>AM-06</x:v>
      </x:c>
      <x:c r="F916" s="7" t="str">
        <x:v>TR-A</x:v>
      </x:c>
      <x:c r="G916" s="7" t="str">
        <x:v>QE-02</x:v>
      </x:c>
      <x:c r="H916" s="7" t="str">
        <x:v>P22</x:v>
      </x:c>
      <x:c r="I916" s="7" t="str">
        <x:v>T+24h</x:v>
      </x:c>
      <x:c r="J916" s="10" t="str">
        <x:v>physical ledger closure</x:v>
      </x:c>
      <x:c r="K916" s="7" t="str"/>
      <x:c r="L916" s="10" t="str"/>
      <x:c r="M916" s="7" t="str">
        <x:v>OPEN</x:v>
      </x:c>
    </x:row>
    <x:row r="917" ht="36" customHeight="1">
      <x:c r="B917" s="7" t="str">
        <x:v>RAE-E-38-P23</x:v>
      </x:c>
      <x:c r="C917" s="7" t="str">
        <x:v>RAE-E-38</x:v>
      </x:c>
      <x:c r="D917" s="7" t="str">
        <x:v>RFP-C1</x:v>
      </x:c>
      <x:c r="E917" s="7" t="str">
        <x:v>AM-06</x:v>
      </x:c>
      <x:c r="F917" s="7" t="str">
        <x:v>TR-A</x:v>
      </x:c>
      <x:c r="G917" s="7" t="str">
        <x:v>QE-02</x:v>
      </x:c>
      <x:c r="H917" s="7" t="str">
        <x:v>P23</x:v>
      </x:c>
      <x:c r="I917" s="7" t="str">
        <x:v>T+72h</x:v>
      </x:c>
      <x:c r="J917" s="10" t="str">
        <x:v>immutable packet freeze</x:v>
      </x:c>
      <x:c r="K917" s="7" t="str"/>
      <x:c r="L917" s="10" t="str"/>
      <x:c r="M917" s="7" t="str">
        <x:v>OPEN</x:v>
      </x:c>
    </x:row>
    <x:row r="918" ht="36" customHeight="1">
      <x:c r="B918" s="7" t="str">
        <x:v>RAE-E-38-P24</x:v>
      </x:c>
      <x:c r="C918" s="7" t="str">
        <x:v>RAE-E-38</x:v>
      </x:c>
      <x:c r="D918" s="7" t="str">
        <x:v>RFP-C1</x:v>
      </x:c>
      <x:c r="E918" s="7" t="str">
        <x:v>AM-06</x:v>
      </x:c>
      <x:c r="F918" s="7" t="str">
        <x:v>TR-A</x:v>
      </x:c>
      <x:c r="G918" s="7" t="str">
        <x:v>QE-02</x:v>
      </x:c>
      <x:c r="H918" s="7" t="str">
        <x:v>P24</x:v>
      </x:c>
      <x:c r="I918" s="7" t="str">
        <x:v>day 7</x:v>
      </x:c>
      <x:c r="J918" s="10" t="str">
        <x:v>validity and outcome board</x:v>
      </x:c>
      <x:c r="K918" s="7" t="str"/>
      <x:c r="L918" s="10" t="str"/>
      <x:c r="M918" s="7" t="str">
        <x:v>OPEN</x:v>
      </x:c>
    </x:row>
    <x:row r="919" ht="36" customHeight="1">
      <x:c r="B919" s="7" t="str">
        <x:v>RAE-E-39-P01</x:v>
      </x:c>
      <x:c r="C919" s="7" t="str">
        <x:v>RAE-E-39</x:v>
      </x:c>
      <x:c r="D919" s="7" t="str">
        <x:v>RFP-C1</x:v>
      </x:c>
      <x:c r="E919" s="7" t="str">
        <x:v>AM-06</x:v>
      </x:c>
      <x:c r="F919" s="7" t="str">
        <x:v>TR-B</x:v>
      </x:c>
      <x:c r="G919" s="7" t="str">
        <x:v>QE-01</x:v>
      </x:c>
      <x:c r="H919" s="7" t="str">
        <x:v>P01</x:v>
      </x:c>
      <x:c r="I919" s="7" t="str">
        <x:v>T-96h</x:v>
      </x:c>
      <x:c r="J919" s="10" t="str">
        <x:v>baseline freeze</x:v>
      </x:c>
      <x:c r="K919" s="7" t="str"/>
      <x:c r="L919" s="10" t="str"/>
      <x:c r="M919" s="7" t="str">
        <x:v>OPEN</x:v>
      </x:c>
    </x:row>
    <x:row r="920" ht="36" customHeight="1">
      <x:c r="B920" s="7" t="str">
        <x:v>RAE-E-39-P02</x:v>
      </x:c>
      <x:c r="C920" s="7" t="str">
        <x:v>RAE-E-39</x:v>
      </x:c>
      <x:c r="D920" s="7" t="str">
        <x:v>RFP-C1</x:v>
      </x:c>
      <x:c r="E920" s="7" t="str">
        <x:v>AM-06</x:v>
      </x:c>
      <x:c r="F920" s="7" t="str">
        <x:v>TR-B</x:v>
      </x:c>
      <x:c r="G920" s="7" t="str">
        <x:v>QE-01</x:v>
      </x:c>
      <x:c r="H920" s="7" t="str">
        <x:v>P02</x:v>
      </x:c>
      <x:c r="I920" s="7" t="str">
        <x:v>T-72h</x:v>
      </x:c>
      <x:c r="J920" s="10" t="str">
        <x:v>source and water custody freeze</x:v>
      </x:c>
      <x:c r="K920" s="7" t="str"/>
      <x:c r="L920" s="10" t="str"/>
      <x:c r="M920" s="7" t="str">
        <x:v>OPEN</x:v>
      </x:c>
    </x:row>
    <x:row r="921" ht="36" customHeight="1">
      <x:c r="B921" s="7" t="str">
        <x:v>RAE-E-39-P03</x:v>
      </x:c>
      <x:c r="C921" s="7" t="str">
        <x:v>RAE-E-39</x:v>
      </x:c>
      <x:c r="D921" s="7" t="str">
        <x:v>RFP-C1</x:v>
      </x:c>
      <x:c r="E921" s="7" t="str">
        <x:v>AM-06</x:v>
      </x:c>
      <x:c r="F921" s="7" t="str">
        <x:v>TR-B</x:v>
      </x:c>
      <x:c r="G921" s="7" t="str">
        <x:v>QE-01</x:v>
      </x:c>
      <x:c r="H921" s="7" t="str">
        <x:v>P03</x:v>
      </x:c>
      <x:c r="I921" s="7" t="str">
        <x:v>T-48h</x:v>
      </x:c>
      <x:c r="J921" s="10" t="str">
        <x:v>article and configuration identity</x:v>
      </x:c>
      <x:c r="K921" s="7" t="str"/>
      <x:c r="L921" s="10" t="str"/>
      <x:c r="M921" s="7" t="str">
        <x:v>OPEN</x:v>
      </x:c>
    </x:row>
    <x:row r="922" ht="36" customHeight="1">
      <x:c r="B922" s="7" t="str">
        <x:v>RAE-E-39-P04</x:v>
      </x:c>
      <x:c r="C922" s="7" t="str">
        <x:v>RAE-E-39</x:v>
      </x:c>
      <x:c r="D922" s="7" t="str">
        <x:v>RFP-C1</x:v>
      </x:c>
      <x:c r="E922" s="7" t="str">
        <x:v>AM-06</x:v>
      </x:c>
      <x:c r="F922" s="7" t="str">
        <x:v>TR-B</x:v>
      </x:c>
      <x:c r="G922" s="7" t="str">
        <x:v>QE-01</x:v>
      </x:c>
      <x:c r="H922" s="7" t="str">
        <x:v>P04</x:v>
      </x:c>
      <x:c r="I922" s="7" t="str">
        <x:v>T-24h</x:v>
      </x:c>
      <x:c r="J922" s="10" t="str">
        <x:v>environment and recovery readiness</x:v>
      </x:c>
      <x:c r="K922" s="7" t="str"/>
      <x:c r="L922" s="10" t="str"/>
      <x:c r="M922" s="7" t="str">
        <x:v>OPEN</x:v>
      </x:c>
    </x:row>
    <x:row r="923" ht="36" customHeight="1">
      <x:c r="B923" s="7" t="str">
        <x:v>RAE-E-39-P05</x:v>
      </x:c>
      <x:c r="C923" s="7" t="str">
        <x:v>RAE-E-39</x:v>
      </x:c>
      <x:c r="D923" s="7" t="str">
        <x:v>RFP-C1</x:v>
      </x:c>
      <x:c r="E923" s="7" t="str">
        <x:v>AM-06</x:v>
      </x:c>
      <x:c r="F923" s="7" t="str">
        <x:v>TR-B</x:v>
      </x:c>
      <x:c r="G923" s="7" t="str">
        <x:v>QE-01</x:v>
      </x:c>
      <x:c r="H923" s="7" t="str">
        <x:v>P05</x:v>
      </x:c>
      <x:c r="I923" s="7" t="str">
        <x:v>T-12h</x:v>
      </x:c>
      <x:c r="J923" s="10" t="str">
        <x:v>rescue posture</x:v>
      </x:c>
      <x:c r="K923" s="7" t="str"/>
      <x:c r="L923" s="10" t="str"/>
      <x:c r="M923" s="7" t="str">
        <x:v>OPEN</x:v>
      </x:c>
    </x:row>
    <x:row r="924" ht="36" customHeight="1">
      <x:c r="B924" s="7" t="str">
        <x:v>RAE-E-39-P06</x:v>
      </x:c>
      <x:c r="C924" s="7" t="str">
        <x:v>RAE-E-39</x:v>
      </x:c>
      <x:c r="D924" s="7" t="str">
        <x:v>RFP-C1</x:v>
      </x:c>
      <x:c r="E924" s="7" t="str">
        <x:v>AM-06</x:v>
      </x:c>
      <x:c r="F924" s="7" t="str">
        <x:v>TR-B</x:v>
      </x:c>
      <x:c r="G924" s="7" t="str">
        <x:v>QE-01</x:v>
      </x:c>
      <x:c r="H924" s="7" t="str">
        <x:v>P06</x:v>
      </x:c>
      <x:c r="I924" s="7" t="str">
        <x:v>T-6h</x:v>
      </x:c>
      <x:c r="J924" s="10" t="str">
        <x:v>calibration before state</x:v>
      </x:c>
      <x:c r="K924" s="7" t="str"/>
      <x:c r="L924" s="10" t="str"/>
      <x:c r="M924" s="7" t="str">
        <x:v>OPEN</x:v>
      </x:c>
    </x:row>
    <x:row r="925" ht="36" customHeight="1">
      <x:c r="B925" s="7" t="str">
        <x:v>RAE-E-39-P07</x:v>
      </x:c>
      <x:c r="C925" s="7" t="str">
        <x:v>RAE-E-39</x:v>
      </x:c>
      <x:c r="D925" s="7" t="str">
        <x:v>RFP-C1</x:v>
      </x:c>
      <x:c r="E925" s="7" t="str">
        <x:v>AM-06</x:v>
      </x:c>
      <x:c r="F925" s="7" t="str">
        <x:v>TR-B</x:v>
      </x:c>
      <x:c r="G925" s="7" t="str">
        <x:v>QE-01</x:v>
      </x:c>
      <x:c r="H925" s="7" t="str">
        <x:v>P07</x:v>
      </x:c>
      <x:c r="I925" s="7" t="str">
        <x:v>T-2h</x:v>
      </x:c>
      <x:c r="J925" s="10" t="str">
        <x:v>receiver initial-volume proof</x:v>
      </x:c>
      <x:c r="K925" s="7" t="str"/>
      <x:c r="L925" s="10" t="str"/>
      <x:c r="M925" s="7" t="str">
        <x:v>OPEN</x:v>
      </x:c>
    </x:row>
    <x:row r="926" ht="36" customHeight="1">
      <x:c r="B926" s="7" t="str">
        <x:v>RAE-E-39-P08</x:v>
      </x:c>
      <x:c r="C926" s="7" t="str">
        <x:v>RAE-E-39</x:v>
      </x:c>
      <x:c r="D926" s="7" t="str">
        <x:v>RFP-C1</x:v>
      </x:c>
      <x:c r="E926" s="7" t="str">
        <x:v>AM-06</x:v>
      </x:c>
      <x:c r="F926" s="7" t="str">
        <x:v>TR-B</x:v>
      </x:c>
      <x:c r="G926" s="7" t="str">
        <x:v>QE-01</x:v>
      </x:c>
      <x:c r="H926" s="7" t="str">
        <x:v>P08</x:v>
      </x:c>
      <x:c r="I926" s="7" t="str">
        <x:v>T-60min</x:v>
      </x:c>
      <x:c r="J926" s="10" t="str">
        <x:v>neighbor inert-state proof</x:v>
      </x:c>
      <x:c r="K926" s="7" t="str"/>
      <x:c r="L926" s="10" t="str"/>
      <x:c r="M926" s="7" t="str">
        <x:v>OPEN</x:v>
      </x:c>
    </x:row>
    <x:row r="927" ht="36" customHeight="1">
      <x:c r="B927" s="7" t="str">
        <x:v>RAE-E-39-P09</x:v>
      </x:c>
      <x:c r="C927" s="7" t="str">
        <x:v>RAE-E-39</x:v>
      </x:c>
      <x:c r="D927" s="7" t="str">
        <x:v>RFP-C1</x:v>
      </x:c>
      <x:c r="E927" s="7" t="str">
        <x:v>AM-06</x:v>
      </x:c>
      <x:c r="F927" s="7" t="str">
        <x:v>TR-B</x:v>
      </x:c>
      <x:c r="G927" s="7" t="str">
        <x:v>QE-01</x:v>
      </x:c>
      <x:c r="H927" s="7" t="str">
        <x:v>P09</x:v>
      </x:c>
      <x:c r="I927" s="7" t="str">
        <x:v>T-30min</x:v>
      </x:c>
      <x:c r="J927" s="10" t="str">
        <x:v>native evidence armed</x:v>
      </x:c>
      <x:c r="K927" s="7" t="str"/>
      <x:c r="L927" s="10" t="str"/>
      <x:c r="M927" s="7" t="str">
        <x:v>OPEN</x:v>
      </x:c>
    </x:row>
    <x:row r="928" ht="36" customHeight="1">
      <x:c r="B928" s="7" t="str">
        <x:v>RAE-E-39-P10</x:v>
      </x:c>
      <x:c r="C928" s="7" t="str">
        <x:v>RAE-E-39</x:v>
      </x:c>
      <x:c r="D928" s="7" t="str">
        <x:v>RFP-C1</x:v>
      </x:c>
      <x:c r="E928" s="7" t="str">
        <x:v>AM-06</x:v>
      </x:c>
      <x:c r="F928" s="7" t="str">
        <x:v>TR-B</x:v>
      </x:c>
      <x:c r="G928" s="7" t="str">
        <x:v>QE-01</x:v>
      </x:c>
      <x:c r="H928" s="7" t="str">
        <x:v>P10</x:v>
      </x:c>
      <x:c r="I928" s="7" t="str">
        <x:v>T-10min</x:v>
      </x:c>
      <x:c r="J928" s="10" t="str">
        <x:v>final control poll</x:v>
      </x:c>
      <x:c r="K928" s="7" t="str"/>
      <x:c r="L928" s="10" t="str"/>
      <x:c r="M928" s="7" t="str">
        <x:v>OPEN</x:v>
      </x:c>
    </x:row>
    <x:row r="929" ht="36" customHeight="1">
      <x:c r="B929" s="7" t="str">
        <x:v>RAE-E-39-P11</x:v>
      </x:c>
      <x:c r="C929" s="7" t="str">
        <x:v>RAE-E-39</x:v>
      </x:c>
      <x:c r="D929" s="7" t="str">
        <x:v>RFP-C1</x:v>
      </x:c>
      <x:c r="E929" s="7" t="str">
        <x:v>AM-06</x:v>
      </x:c>
      <x:c r="F929" s="7" t="str">
        <x:v>TR-B</x:v>
      </x:c>
      <x:c r="G929" s="7" t="str">
        <x:v>QE-01</x:v>
      </x:c>
      <x:c r="H929" s="7" t="str">
        <x:v>P11</x:v>
      </x:c>
      <x:c r="I929" s="7" t="str">
        <x:v>T-60s</x:v>
      </x:c>
      <x:c r="J929" s="10" t="str">
        <x:v>full-rate capture</x:v>
      </x:c>
      <x:c r="K929" s="7" t="str"/>
      <x:c r="L929" s="10" t="str"/>
      <x:c r="M929" s="7" t="str">
        <x:v>OPEN</x:v>
      </x:c>
    </x:row>
    <x:row r="930" ht="36" customHeight="1">
      <x:c r="B930" s="7" t="str">
        <x:v>RAE-E-39-P12</x:v>
      </x:c>
      <x:c r="C930" s="7" t="str">
        <x:v>RAE-E-39</x:v>
      </x:c>
      <x:c r="D930" s="7" t="str">
        <x:v>RFP-C1</x:v>
      </x:c>
      <x:c r="E930" s="7" t="str">
        <x:v>AM-06</x:v>
      </x:c>
      <x:c r="F930" s="7" t="str">
        <x:v>TR-B</x:v>
      </x:c>
      <x:c r="G930" s="7" t="str">
        <x:v>QE-01</x:v>
      </x:c>
      <x:c r="H930" s="7" t="str">
        <x:v>P12</x:v>
      </x:c>
      <x:c r="I930" s="7" t="str">
        <x:v>T-10s</x:v>
      </x:c>
      <x:c r="J930" s="10" t="str">
        <x:v>registered challenge state</x:v>
      </x:c>
      <x:c r="K930" s="7" t="str"/>
      <x:c r="L930" s="10" t="str"/>
      <x:c r="M930" s="7" t="str">
        <x:v>OPEN</x:v>
      </x:c>
    </x:row>
    <x:row r="931" ht="36" customHeight="1">
      <x:c r="B931" s="7" t="str">
        <x:v>RAE-E-39-P13</x:v>
      </x:c>
      <x:c r="C931" s="7" t="str">
        <x:v>RAE-E-39</x:v>
      </x:c>
      <x:c r="D931" s="7" t="str">
        <x:v>RFP-C1</x:v>
      </x:c>
      <x:c r="E931" s="7" t="str">
        <x:v>AM-06</x:v>
      </x:c>
      <x:c r="F931" s="7" t="str">
        <x:v>TR-B</x:v>
      </x:c>
      <x:c r="G931" s="7" t="str">
        <x:v>QE-01</x:v>
      </x:c>
      <x:c r="H931" s="7" t="str">
        <x:v>P13</x:v>
      </x:c>
      <x:c r="I931" s="7" t="str">
        <x:v>T0</x:v>
      </x:c>
      <x:c r="J931" s="10" t="str">
        <x:v>source command or zero-source marker</x:v>
      </x:c>
      <x:c r="K931" s="7" t="str"/>
      <x:c r="L931" s="10" t="str"/>
      <x:c r="M931" s="7" t="str">
        <x:v>OPEN</x:v>
      </x:c>
    </x:row>
    <x:row r="932" ht="36" customHeight="1">
      <x:c r="B932" s="7" t="str">
        <x:v>RAE-E-39-P14</x:v>
      </x:c>
      <x:c r="C932" s="7" t="str">
        <x:v>RAE-E-39</x:v>
      </x:c>
      <x:c r="D932" s="7" t="str">
        <x:v>RFP-C1</x:v>
      </x:c>
      <x:c r="E932" s="7" t="str">
        <x:v>AM-06</x:v>
      </x:c>
      <x:c r="F932" s="7" t="str">
        <x:v>TR-B</x:v>
      </x:c>
      <x:c r="G932" s="7" t="str">
        <x:v>QE-01</x:v>
      </x:c>
      <x:c r="H932" s="7" t="str">
        <x:v>P14</x:v>
      </x:c>
      <x:c r="I932" s="7" t="str">
        <x:v>T+2s</x:v>
      </x:c>
      <x:c r="J932" s="10" t="str">
        <x:v>inlet and dispenser final state</x:v>
      </x:c>
      <x:c r="K932" s="7" t="str"/>
      <x:c r="L932" s="10" t="str"/>
      <x:c r="M932" s="7" t="str">
        <x:v>OPEN</x:v>
      </x:c>
    </x:row>
    <x:row r="933" ht="36" customHeight="1">
      <x:c r="B933" s="7" t="str">
        <x:v>RAE-E-39-P15</x:v>
      </x:c>
      <x:c r="C933" s="7" t="str">
        <x:v>RAE-E-39</x:v>
      </x:c>
      <x:c r="D933" s="7" t="str">
        <x:v>RFP-C1</x:v>
      </x:c>
      <x:c r="E933" s="7" t="str">
        <x:v>AM-06</x:v>
      </x:c>
      <x:c r="F933" s="7" t="str">
        <x:v>TR-B</x:v>
      </x:c>
      <x:c r="G933" s="7" t="str">
        <x:v>QE-01</x:v>
      </x:c>
      <x:c r="H933" s="7" t="str">
        <x:v>P15</x:v>
      </x:c>
      <x:c r="I933" s="7" t="str">
        <x:v>T+15s</x:v>
      </x:c>
      <x:c r="J933" s="10" t="str">
        <x:v>AM-06 QE-02 ignition opportunity</x:v>
      </x:c>
      <x:c r="K933" s="7" t="str"/>
      <x:c r="L933" s="10" t="str"/>
      <x:c r="M933" s="7" t="str">
        <x:v>OPEN</x:v>
      </x:c>
    </x:row>
    <x:row r="934" ht="36" customHeight="1">
      <x:c r="B934" s="7" t="str">
        <x:v>RAE-E-39-P16</x:v>
      </x:c>
      <x:c r="C934" s="7" t="str">
        <x:v>RAE-E-39</x:v>
      </x:c>
      <x:c r="D934" s="7" t="str">
        <x:v>RFP-C1</x:v>
      </x:c>
      <x:c r="E934" s="7" t="str">
        <x:v>AM-06</x:v>
      </x:c>
      <x:c r="F934" s="7" t="str">
        <x:v>TR-B</x:v>
      </x:c>
      <x:c r="G934" s="7" t="str">
        <x:v>QE-01</x:v>
      </x:c>
      <x:c r="H934" s="7" t="str">
        <x:v>P16</x:v>
      </x:c>
      <x:c r="I934" s="7" t="str">
        <x:v>T+30s</x:v>
      </x:c>
      <x:c r="J934" s="10" t="str">
        <x:v>terminal-source decision</x:v>
      </x:c>
      <x:c r="K934" s="7" t="str"/>
      <x:c r="L934" s="10" t="str"/>
      <x:c r="M934" s="7" t="str">
        <x:v>OPEN</x:v>
      </x:c>
    </x:row>
    <x:row r="935" ht="36" customHeight="1">
      <x:c r="B935" s="7" t="str">
        <x:v>RAE-E-39-P17</x:v>
      </x:c>
      <x:c r="C935" s="7" t="str">
        <x:v>RAE-E-39</x:v>
      </x:c>
      <x:c r="D935" s="7" t="str">
        <x:v>RFP-C1</x:v>
      </x:c>
      <x:c r="E935" s="7" t="str">
        <x:v>AM-06</x:v>
      </x:c>
      <x:c r="F935" s="7" t="str">
        <x:v>TR-B</x:v>
      </x:c>
      <x:c r="G935" s="7" t="str">
        <x:v>QE-01</x:v>
      </x:c>
      <x:c r="H935" s="7" t="str">
        <x:v>P17</x:v>
      </x:c>
      <x:c r="I935" s="7" t="str">
        <x:v>T+120s</x:v>
      </x:c>
      <x:c r="J935" s="10" t="str">
        <x:v>public schedule end</x:v>
      </x:c>
      <x:c r="K935" s="7" t="str"/>
      <x:c r="L935" s="10" t="str"/>
      <x:c r="M935" s="7" t="str">
        <x:v>OPEN</x:v>
      </x:c>
    </x:row>
    <x:row r="936" ht="36" customHeight="1">
      <x:c r="B936" s="7" t="str">
        <x:v>RAE-E-39-P18</x:v>
      </x:c>
      <x:c r="C936" s="7" t="str">
        <x:v>RAE-E-39</x:v>
      </x:c>
      <x:c r="D936" s="7" t="str">
        <x:v>RFP-C1</x:v>
      </x:c>
      <x:c r="E936" s="7" t="str">
        <x:v>AM-06</x:v>
      </x:c>
      <x:c r="F936" s="7" t="str">
        <x:v>TR-B</x:v>
      </x:c>
      <x:c r="G936" s="7" t="str">
        <x:v>QE-01</x:v>
      </x:c>
      <x:c r="H936" s="7" t="str">
        <x:v>P18</x:v>
      </x:c>
      <x:c r="I936" s="7" t="str">
        <x:v>T+15min</x:v>
      </x:c>
      <x:c r="J936" s="10" t="str">
        <x:v>thermal and water classification</x:v>
      </x:c>
      <x:c r="K936" s="7" t="str"/>
      <x:c r="L936" s="10" t="str"/>
      <x:c r="M936" s="7" t="str">
        <x:v>OPEN</x:v>
      </x:c>
    </x:row>
    <x:row r="937" ht="36" customHeight="1">
      <x:c r="B937" s="7" t="str">
        <x:v>RAE-E-39-P19</x:v>
      </x:c>
      <x:c r="C937" s="7" t="str">
        <x:v>RAE-E-39</x:v>
      </x:c>
      <x:c r="D937" s="7" t="str">
        <x:v>RFP-C1</x:v>
      </x:c>
      <x:c r="E937" s="7" t="str">
        <x:v>AM-06</x:v>
      </x:c>
      <x:c r="F937" s="7" t="str">
        <x:v>TR-B</x:v>
      </x:c>
      <x:c r="G937" s="7" t="str">
        <x:v>QE-01</x:v>
      </x:c>
      <x:c r="H937" s="7" t="str">
        <x:v>P19</x:v>
      </x:c>
      <x:c r="I937" s="7" t="str">
        <x:v>T+30min</x:v>
      </x:c>
      <x:c r="J937" s="10" t="str">
        <x:v>public intervention classification</x:v>
      </x:c>
      <x:c r="K937" s="7" t="str"/>
      <x:c r="L937" s="10" t="str"/>
      <x:c r="M937" s="7" t="str">
        <x:v>OPEN</x:v>
      </x:c>
    </x:row>
    <x:row r="938" ht="36" customHeight="1">
      <x:c r="B938" s="7" t="str">
        <x:v>RAE-E-39-P20</x:v>
      </x:c>
      <x:c r="C938" s="7" t="str">
        <x:v>RAE-E-39</x:v>
      </x:c>
      <x:c r="D938" s="7" t="str">
        <x:v>RFP-C1</x:v>
      </x:c>
      <x:c r="E938" s="7" t="str">
        <x:v>AM-06</x:v>
      </x:c>
      <x:c r="F938" s="7" t="str">
        <x:v>TR-B</x:v>
      </x:c>
      <x:c r="G938" s="7" t="str">
        <x:v>QE-01</x:v>
      </x:c>
      <x:c r="H938" s="7" t="str">
        <x:v>P20</x:v>
      </x:c>
      <x:c r="I938" s="7" t="str">
        <x:v>T+60min</x:v>
      </x:c>
      <x:c r="J938" s="10" t="str">
        <x:v>remote-entry classification</x:v>
      </x:c>
      <x:c r="K938" s="7" t="str"/>
      <x:c r="L938" s="10" t="str"/>
      <x:c r="M938" s="7" t="str">
        <x:v>OPEN</x:v>
      </x:c>
    </x:row>
    <x:row r="939" ht="36" customHeight="1">
      <x:c r="B939" s="7" t="str">
        <x:v>RAE-E-39-P21</x:v>
      </x:c>
      <x:c r="C939" s="7" t="str">
        <x:v>RAE-E-39</x:v>
      </x:c>
      <x:c r="D939" s="7" t="str">
        <x:v>RFP-C1</x:v>
      </x:c>
      <x:c r="E939" s="7" t="str">
        <x:v>AM-06</x:v>
      </x:c>
      <x:c r="F939" s="7" t="str">
        <x:v>TR-B</x:v>
      </x:c>
      <x:c r="G939" s="7" t="str">
        <x:v>QE-01</x:v>
      </x:c>
      <x:c r="H939" s="7" t="str">
        <x:v>P21</x:v>
      </x:c>
      <x:c r="I939" s="7" t="str">
        <x:v>T+6h</x:v>
      </x:c>
      <x:c r="J939" s="10" t="str">
        <x:v>evidence tail closure</x:v>
      </x:c>
      <x:c r="K939" s="7" t="str"/>
      <x:c r="L939" s="10" t="str"/>
      <x:c r="M939" s="7" t="str">
        <x:v>OPEN</x:v>
      </x:c>
    </x:row>
    <x:row r="940" ht="36" customHeight="1">
      <x:c r="B940" s="7" t="str">
        <x:v>RAE-E-39-P22</x:v>
      </x:c>
      <x:c r="C940" s="7" t="str">
        <x:v>RAE-E-39</x:v>
      </x:c>
      <x:c r="D940" s="7" t="str">
        <x:v>RFP-C1</x:v>
      </x:c>
      <x:c r="E940" s="7" t="str">
        <x:v>AM-06</x:v>
      </x:c>
      <x:c r="F940" s="7" t="str">
        <x:v>TR-B</x:v>
      </x:c>
      <x:c r="G940" s="7" t="str">
        <x:v>QE-01</x:v>
      </x:c>
      <x:c r="H940" s="7" t="str">
        <x:v>P22</x:v>
      </x:c>
      <x:c r="I940" s="7" t="str">
        <x:v>T+24h</x:v>
      </x:c>
      <x:c r="J940" s="10" t="str">
        <x:v>physical ledger closure</x:v>
      </x:c>
      <x:c r="K940" s="7" t="str"/>
      <x:c r="L940" s="10" t="str"/>
      <x:c r="M940" s="7" t="str">
        <x:v>OPEN</x:v>
      </x:c>
    </x:row>
    <x:row r="941" ht="36" customHeight="1">
      <x:c r="B941" s="7" t="str">
        <x:v>RAE-E-39-P23</x:v>
      </x:c>
      <x:c r="C941" s="7" t="str">
        <x:v>RAE-E-39</x:v>
      </x:c>
      <x:c r="D941" s="7" t="str">
        <x:v>RFP-C1</x:v>
      </x:c>
      <x:c r="E941" s="7" t="str">
        <x:v>AM-06</x:v>
      </x:c>
      <x:c r="F941" s="7" t="str">
        <x:v>TR-B</x:v>
      </x:c>
      <x:c r="G941" s="7" t="str">
        <x:v>QE-01</x:v>
      </x:c>
      <x:c r="H941" s="7" t="str">
        <x:v>P23</x:v>
      </x:c>
      <x:c r="I941" s="7" t="str">
        <x:v>T+72h</x:v>
      </x:c>
      <x:c r="J941" s="10" t="str">
        <x:v>immutable packet freeze</x:v>
      </x:c>
      <x:c r="K941" s="7" t="str"/>
      <x:c r="L941" s="10" t="str"/>
      <x:c r="M941" s="7" t="str">
        <x:v>OPEN</x:v>
      </x:c>
    </x:row>
    <x:row r="942" ht="36" customHeight="1">
      <x:c r="B942" s="7" t="str">
        <x:v>RAE-E-39-P24</x:v>
      </x:c>
      <x:c r="C942" s="7" t="str">
        <x:v>RAE-E-39</x:v>
      </x:c>
      <x:c r="D942" s="7" t="str">
        <x:v>RFP-C1</x:v>
      </x:c>
      <x:c r="E942" s="7" t="str">
        <x:v>AM-06</x:v>
      </x:c>
      <x:c r="F942" s="7" t="str">
        <x:v>TR-B</x:v>
      </x:c>
      <x:c r="G942" s="7" t="str">
        <x:v>QE-01</x:v>
      </x:c>
      <x:c r="H942" s="7" t="str">
        <x:v>P24</x:v>
      </x:c>
      <x:c r="I942" s="7" t="str">
        <x:v>day 7</x:v>
      </x:c>
      <x:c r="J942" s="10" t="str">
        <x:v>validity and outcome board</x:v>
      </x:c>
      <x:c r="K942" s="7" t="str"/>
      <x:c r="L942" s="10" t="str"/>
      <x:c r="M942" s="7" t="str">
        <x:v>OPEN</x:v>
      </x:c>
    </x:row>
    <x:row r="943" ht="36" customHeight="1">
      <x:c r="B943" s="7" t="str">
        <x:v>RAE-E-40-P01</x:v>
      </x:c>
      <x:c r="C943" s="7" t="str">
        <x:v>RAE-E-40</x:v>
      </x:c>
      <x:c r="D943" s="7" t="str">
        <x:v>RFP-C1</x:v>
      </x:c>
      <x:c r="E943" s="7" t="str">
        <x:v>AM-06</x:v>
      </x:c>
      <x:c r="F943" s="7" t="str">
        <x:v>TR-B</x:v>
      </x:c>
      <x:c r="G943" s="7" t="str">
        <x:v>QE-02</x:v>
      </x:c>
      <x:c r="H943" s="7" t="str">
        <x:v>P01</x:v>
      </x:c>
      <x:c r="I943" s="7" t="str">
        <x:v>T-96h</x:v>
      </x:c>
      <x:c r="J943" s="10" t="str">
        <x:v>baseline freeze</x:v>
      </x:c>
      <x:c r="K943" s="7" t="str"/>
      <x:c r="L943" s="10" t="str"/>
      <x:c r="M943" s="7" t="str">
        <x:v>OPEN</x:v>
      </x:c>
    </x:row>
    <x:row r="944" ht="36" customHeight="1">
      <x:c r="B944" s="7" t="str">
        <x:v>RAE-E-40-P02</x:v>
      </x:c>
      <x:c r="C944" s="7" t="str">
        <x:v>RAE-E-40</x:v>
      </x:c>
      <x:c r="D944" s="7" t="str">
        <x:v>RFP-C1</x:v>
      </x:c>
      <x:c r="E944" s="7" t="str">
        <x:v>AM-06</x:v>
      </x:c>
      <x:c r="F944" s="7" t="str">
        <x:v>TR-B</x:v>
      </x:c>
      <x:c r="G944" s="7" t="str">
        <x:v>QE-02</x:v>
      </x:c>
      <x:c r="H944" s="7" t="str">
        <x:v>P02</x:v>
      </x:c>
      <x:c r="I944" s="7" t="str">
        <x:v>T-72h</x:v>
      </x:c>
      <x:c r="J944" s="10" t="str">
        <x:v>source and water custody freeze</x:v>
      </x:c>
      <x:c r="K944" s="7" t="str"/>
      <x:c r="L944" s="10" t="str"/>
      <x:c r="M944" s="7" t="str">
        <x:v>OPEN</x:v>
      </x:c>
    </x:row>
    <x:row r="945" ht="36" customHeight="1">
      <x:c r="B945" s="7" t="str">
        <x:v>RAE-E-40-P03</x:v>
      </x:c>
      <x:c r="C945" s="7" t="str">
        <x:v>RAE-E-40</x:v>
      </x:c>
      <x:c r="D945" s="7" t="str">
        <x:v>RFP-C1</x:v>
      </x:c>
      <x:c r="E945" s="7" t="str">
        <x:v>AM-06</x:v>
      </x:c>
      <x:c r="F945" s="7" t="str">
        <x:v>TR-B</x:v>
      </x:c>
      <x:c r="G945" s="7" t="str">
        <x:v>QE-02</x:v>
      </x:c>
      <x:c r="H945" s="7" t="str">
        <x:v>P03</x:v>
      </x:c>
      <x:c r="I945" s="7" t="str">
        <x:v>T-48h</x:v>
      </x:c>
      <x:c r="J945" s="10" t="str">
        <x:v>article and configuration identity</x:v>
      </x:c>
      <x:c r="K945" s="7" t="str"/>
      <x:c r="L945" s="10" t="str"/>
      <x:c r="M945" s="7" t="str">
        <x:v>OPEN</x:v>
      </x:c>
    </x:row>
    <x:row r="946" ht="36" customHeight="1">
      <x:c r="B946" s="7" t="str">
        <x:v>RAE-E-40-P04</x:v>
      </x:c>
      <x:c r="C946" s="7" t="str">
        <x:v>RAE-E-40</x:v>
      </x:c>
      <x:c r="D946" s="7" t="str">
        <x:v>RFP-C1</x:v>
      </x:c>
      <x:c r="E946" s="7" t="str">
        <x:v>AM-06</x:v>
      </x:c>
      <x:c r="F946" s="7" t="str">
        <x:v>TR-B</x:v>
      </x:c>
      <x:c r="G946" s="7" t="str">
        <x:v>QE-02</x:v>
      </x:c>
      <x:c r="H946" s="7" t="str">
        <x:v>P04</x:v>
      </x:c>
      <x:c r="I946" s="7" t="str">
        <x:v>T-24h</x:v>
      </x:c>
      <x:c r="J946" s="10" t="str">
        <x:v>environment and recovery readiness</x:v>
      </x:c>
      <x:c r="K946" s="7" t="str"/>
      <x:c r="L946" s="10" t="str"/>
      <x:c r="M946" s="7" t="str">
        <x:v>OPEN</x:v>
      </x:c>
    </x:row>
    <x:row r="947" ht="36" customHeight="1">
      <x:c r="B947" s="7" t="str">
        <x:v>RAE-E-40-P05</x:v>
      </x:c>
      <x:c r="C947" s="7" t="str">
        <x:v>RAE-E-40</x:v>
      </x:c>
      <x:c r="D947" s="7" t="str">
        <x:v>RFP-C1</x:v>
      </x:c>
      <x:c r="E947" s="7" t="str">
        <x:v>AM-06</x:v>
      </x:c>
      <x:c r="F947" s="7" t="str">
        <x:v>TR-B</x:v>
      </x:c>
      <x:c r="G947" s="7" t="str">
        <x:v>QE-02</x:v>
      </x:c>
      <x:c r="H947" s="7" t="str">
        <x:v>P05</x:v>
      </x:c>
      <x:c r="I947" s="7" t="str">
        <x:v>T-12h</x:v>
      </x:c>
      <x:c r="J947" s="10" t="str">
        <x:v>rescue posture</x:v>
      </x:c>
      <x:c r="K947" s="7" t="str"/>
      <x:c r="L947" s="10" t="str"/>
      <x:c r="M947" s="7" t="str">
        <x:v>OPEN</x:v>
      </x:c>
    </x:row>
    <x:row r="948" ht="36" customHeight="1">
      <x:c r="B948" s="7" t="str">
        <x:v>RAE-E-40-P06</x:v>
      </x:c>
      <x:c r="C948" s="7" t="str">
        <x:v>RAE-E-40</x:v>
      </x:c>
      <x:c r="D948" s="7" t="str">
        <x:v>RFP-C1</x:v>
      </x:c>
      <x:c r="E948" s="7" t="str">
        <x:v>AM-06</x:v>
      </x:c>
      <x:c r="F948" s="7" t="str">
        <x:v>TR-B</x:v>
      </x:c>
      <x:c r="G948" s="7" t="str">
        <x:v>QE-02</x:v>
      </x:c>
      <x:c r="H948" s="7" t="str">
        <x:v>P06</x:v>
      </x:c>
      <x:c r="I948" s="7" t="str">
        <x:v>T-6h</x:v>
      </x:c>
      <x:c r="J948" s="10" t="str">
        <x:v>calibration before state</x:v>
      </x:c>
      <x:c r="K948" s="7" t="str"/>
      <x:c r="L948" s="10" t="str"/>
      <x:c r="M948" s="7" t="str">
        <x:v>OPEN</x:v>
      </x:c>
    </x:row>
    <x:row r="949" ht="36" customHeight="1">
      <x:c r="B949" s="7" t="str">
        <x:v>RAE-E-40-P07</x:v>
      </x:c>
      <x:c r="C949" s="7" t="str">
        <x:v>RAE-E-40</x:v>
      </x:c>
      <x:c r="D949" s="7" t="str">
        <x:v>RFP-C1</x:v>
      </x:c>
      <x:c r="E949" s="7" t="str">
        <x:v>AM-06</x:v>
      </x:c>
      <x:c r="F949" s="7" t="str">
        <x:v>TR-B</x:v>
      </x:c>
      <x:c r="G949" s="7" t="str">
        <x:v>QE-02</x:v>
      </x:c>
      <x:c r="H949" s="7" t="str">
        <x:v>P07</x:v>
      </x:c>
      <x:c r="I949" s="7" t="str">
        <x:v>T-2h</x:v>
      </x:c>
      <x:c r="J949" s="10" t="str">
        <x:v>receiver initial-volume proof</x:v>
      </x:c>
      <x:c r="K949" s="7" t="str"/>
      <x:c r="L949" s="10" t="str"/>
      <x:c r="M949" s="7" t="str">
        <x:v>OPEN</x:v>
      </x:c>
    </x:row>
    <x:row r="950" ht="36" customHeight="1">
      <x:c r="B950" s="7" t="str">
        <x:v>RAE-E-40-P08</x:v>
      </x:c>
      <x:c r="C950" s="7" t="str">
        <x:v>RAE-E-40</x:v>
      </x:c>
      <x:c r="D950" s="7" t="str">
        <x:v>RFP-C1</x:v>
      </x:c>
      <x:c r="E950" s="7" t="str">
        <x:v>AM-06</x:v>
      </x:c>
      <x:c r="F950" s="7" t="str">
        <x:v>TR-B</x:v>
      </x:c>
      <x:c r="G950" s="7" t="str">
        <x:v>QE-02</x:v>
      </x:c>
      <x:c r="H950" s="7" t="str">
        <x:v>P08</x:v>
      </x:c>
      <x:c r="I950" s="7" t="str">
        <x:v>T-60min</x:v>
      </x:c>
      <x:c r="J950" s="10" t="str">
        <x:v>neighbor inert-state proof</x:v>
      </x:c>
      <x:c r="K950" s="7" t="str"/>
      <x:c r="L950" s="10" t="str"/>
      <x:c r="M950" s="7" t="str">
        <x:v>OPEN</x:v>
      </x:c>
    </x:row>
    <x:row r="951" ht="36" customHeight="1">
      <x:c r="B951" s="7" t="str">
        <x:v>RAE-E-40-P09</x:v>
      </x:c>
      <x:c r="C951" s="7" t="str">
        <x:v>RAE-E-40</x:v>
      </x:c>
      <x:c r="D951" s="7" t="str">
        <x:v>RFP-C1</x:v>
      </x:c>
      <x:c r="E951" s="7" t="str">
        <x:v>AM-06</x:v>
      </x:c>
      <x:c r="F951" s="7" t="str">
        <x:v>TR-B</x:v>
      </x:c>
      <x:c r="G951" s="7" t="str">
        <x:v>QE-02</x:v>
      </x:c>
      <x:c r="H951" s="7" t="str">
        <x:v>P09</x:v>
      </x:c>
      <x:c r="I951" s="7" t="str">
        <x:v>T-30min</x:v>
      </x:c>
      <x:c r="J951" s="10" t="str">
        <x:v>native evidence armed</x:v>
      </x:c>
      <x:c r="K951" s="7" t="str"/>
      <x:c r="L951" s="10" t="str"/>
      <x:c r="M951" s="7" t="str">
        <x:v>OPEN</x:v>
      </x:c>
    </x:row>
    <x:row r="952" ht="36" customHeight="1">
      <x:c r="B952" s="7" t="str">
        <x:v>RAE-E-40-P10</x:v>
      </x:c>
      <x:c r="C952" s="7" t="str">
        <x:v>RAE-E-40</x:v>
      </x:c>
      <x:c r="D952" s="7" t="str">
        <x:v>RFP-C1</x:v>
      </x:c>
      <x:c r="E952" s="7" t="str">
        <x:v>AM-06</x:v>
      </x:c>
      <x:c r="F952" s="7" t="str">
        <x:v>TR-B</x:v>
      </x:c>
      <x:c r="G952" s="7" t="str">
        <x:v>QE-02</x:v>
      </x:c>
      <x:c r="H952" s="7" t="str">
        <x:v>P10</x:v>
      </x:c>
      <x:c r="I952" s="7" t="str">
        <x:v>T-10min</x:v>
      </x:c>
      <x:c r="J952" s="10" t="str">
        <x:v>final control poll</x:v>
      </x:c>
      <x:c r="K952" s="7" t="str"/>
      <x:c r="L952" s="10" t="str"/>
      <x:c r="M952" s="7" t="str">
        <x:v>OPEN</x:v>
      </x:c>
    </x:row>
    <x:row r="953" ht="36" customHeight="1">
      <x:c r="B953" s="7" t="str">
        <x:v>RAE-E-40-P11</x:v>
      </x:c>
      <x:c r="C953" s="7" t="str">
        <x:v>RAE-E-40</x:v>
      </x:c>
      <x:c r="D953" s="7" t="str">
        <x:v>RFP-C1</x:v>
      </x:c>
      <x:c r="E953" s="7" t="str">
        <x:v>AM-06</x:v>
      </x:c>
      <x:c r="F953" s="7" t="str">
        <x:v>TR-B</x:v>
      </x:c>
      <x:c r="G953" s="7" t="str">
        <x:v>QE-02</x:v>
      </x:c>
      <x:c r="H953" s="7" t="str">
        <x:v>P11</x:v>
      </x:c>
      <x:c r="I953" s="7" t="str">
        <x:v>T-60s</x:v>
      </x:c>
      <x:c r="J953" s="10" t="str">
        <x:v>full-rate capture</x:v>
      </x:c>
      <x:c r="K953" s="7" t="str"/>
      <x:c r="L953" s="10" t="str"/>
      <x:c r="M953" s="7" t="str">
        <x:v>OPEN</x:v>
      </x:c>
    </x:row>
    <x:row r="954" ht="36" customHeight="1">
      <x:c r="B954" s="7" t="str">
        <x:v>RAE-E-40-P12</x:v>
      </x:c>
      <x:c r="C954" s="7" t="str">
        <x:v>RAE-E-40</x:v>
      </x:c>
      <x:c r="D954" s="7" t="str">
        <x:v>RFP-C1</x:v>
      </x:c>
      <x:c r="E954" s="7" t="str">
        <x:v>AM-06</x:v>
      </x:c>
      <x:c r="F954" s="7" t="str">
        <x:v>TR-B</x:v>
      </x:c>
      <x:c r="G954" s="7" t="str">
        <x:v>QE-02</x:v>
      </x:c>
      <x:c r="H954" s="7" t="str">
        <x:v>P12</x:v>
      </x:c>
      <x:c r="I954" s="7" t="str">
        <x:v>T-10s</x:v>
      </x:c>
      <x:c r="J954" s="10" t="str">
        <x:v>registered challenge state</x:v>
      </x:c>
      <x:c r="K954" s="7" t="str"/>
      <x:c r="L954" s="10" t="str"/>
      <x:c r="M954" s="7" t="str">
        <x:v>OPEN</x:v>
      </x:c>
    </x:row>
    <x:row r="955" ht="36" customHeight="1">
      <x:c r="B955" s="7" t="str">
        <x:v>RAE-E-40-P13</x:v>
      </x:c>
      <x:c r="C955" s="7" t="str">
        <x:v>RAE-E-40</x:v>
      </x:c>
      <x:c r="D955" s="7" t="str">
        <x:v>RFP-C1</x:v>
      </x:c>
      <x:c r="E955" s="7" t="str">
        <x:v>AM-06</x:v>
      </x:c>
      <x:c r="F955" s="7" t="str">
        <x:v>TR-B</x:v>
      </x:c>
      <x:c r="G955" s="7" t="str">
        <x:v>QE-02</x:v>
      </x:c>
      <x:c r="H955" s="7" t="str">
        <x:v>P13</x:v>
      </x:c>
      <x:c r="I955" s="7" t="str">
        <x:v>T0</x:v>
      </x:c>
      <x:c r="J955" s="10" t="str">
        <x:v>source command or zero-source marker</x:v>
      </x:c>
      <x:c r="K955" s="7" t="str"/>
      <x:c r="L955" s="10" t="str"/>
      <x:c r="M955" s="7" t="str">
        <x:v>OPEN</x:v>
      </x:c>
    </x:row>
    <x:row r="956" ht="36" customHeight="1">
      <x:c r="B956" s="7" t="str">
        <x:v>RAE-E-40-P14</x:v>
      </x:c>
      <x:c r="C956" s="7" t="str">
        <x:v>RAE-E-40</x:v>
      </x:c>
      <x:c r="D956" s="7" t="str">
        <x:v>RFP-C1</x:v>
      </x:c>
      <x:c r="E956" s="7" t="str">
        <x:v>AM-06</x:v>
      </x:c>
      <x:c r="F956" s="7" t="str">
        <x:v>TR-B</x:v>
      </x:c>
      <x:c r="G956" s="7" t="str">
        <x:v>QE-02</x:v>
      </x:c>
      <x:c r="H956" s="7" t="str">
        <x:v>P14</x:v>
      </x:c>
      <x:c r="I956" s="7" t="str">
        <x:v>T+2s</x:v>
      </x:c>
      <x:c r="J956" s="10" t="str">
        <x:v>inlet and dispenser final state</x:v>
      </x:c>
      <x:c r="K956" s="7" t="str"/>
      <x:c r="L956" s="10" t="str"/>
      <x:c r="M956" s="7" t="str">
        <x:v>OPEN</x:v>
      </x:c>
    </x:row>
    <x:row r="957" ht="36" customHeight="1">
      <x:c r="B957" s="7" t="str">
        <x:v>RAE-E-40-P15</x:v>
      </x:c>
      <x:c r="C957" s="7" t="str">
        <x:v>RAE-E-40</x:v>
      </x:c>
      <x:c r="D957" s="7" t="str">
        <x:v>RFP-C1</x:v>
      </x:c>
      <x:c r="E957" s="7" t="str">
        <x:v>AM-06</x:v>
      </x:c>
      <x:c r="F957" s="7" t="str">
        <x:v>TR-B</x:v>
      </x:c>
      <x:c r="G957" s="7" t="str">
        <x:v>QE-02</x:v>
      </x:c>
      <x:c r="H957" s="7" t="str">
        <x:v>P15</x:v>
      </x:c>
      <x:c r="I957" s="7" t="str">
        <x:v>T+15s</x:v>
      </x:c>
      <x:c r="J957" s="10" t="str">
        <x:v>AM-06 QE-02 ignition opportunity</x:v>
      </x:c>
      <x:c r="K957" s="7" t="str"/>
      <x:c r="L957" s="10" t="str"/>
      <x:c r="M957" s="7" t="str">
        <x:v>OPEN</x:v>
      </x:c>
    </x:row>
    <x:row r="958" ht="36" customHeight="1">
      <x:c r="B958" s="7" t="str">
        <x:v>RAE-E-40-P16</x:v>
      </x:c>
      <x:c r="C958" s="7" t="str">
        <x:v>RAE-E-40</x:v>
      </x:c>
      <x:c r="D958" s="7" t="str">
        <x:v>RFP-C1</x:v>
      </x:c>
      <x:c r="E958" s="7" t="str">
        <x:v>AM-06</x:v>
      </x:c>
      <x:c r="F958" s="7" t="str">
        <x:v>TR-B</x:v>
      </x:c>
      <x:c r="G958" s="7" t="str">
        <x:v>QE-02</x:v>
      </x:c>
      <x:c r="H958" s="7" t="str">
        <x:v>P16</x:v>
      </x:c>
      <x:c r="I958" s="7" t="str">
        <x:v>T+30s</x:v>
      </x:c>
      <x:c r="J958" s="10" t="str">
        <x:v>terminal-source decision</x:v>
      </x:c>
      <x:c r="K958" s="7" t="str"/>
      <x:c r="L958" s="10" t="str"/>
      <x:c r="M958" s="7" t="str">
        <x:v>OPEN</x:v>
      </x:c>
    </x:row>
    <x:row r="959" ht="36" customHeight="1">
      <x:c r="B959" s="7" t="str">
        <x:v>RAE-E-40-P17</x:v>
      </x:c>
      <x:c r="C959" s="7" t="str">
        <x:v>RAE-E-40</x:v>
      </x:c>
      <x:c r="D959" s="7" t="str">
        <x:v>RFP-C1</x:v>
      </x:c>
      <x:c r="E959" s="7" t="str">
        <x:v>AM-06</x:v>
      </x:c>
      <x:c r="F959" s="7" t="str">
        <x:v>TR-B</x:v>
      </x:c>
      <x:c r="G959" s="7" t="str">
        <x:v>QE-02</x:v>
      </x:c>
      <x:c r="H959" s="7" t="str">
        <x:v>P17</x:v>
      </x:c>
      <x:c r="I959" s="7" t="str">
        <x:v>T+120s</x:v>
      </x:c>
      <x:c r="J959" s="10" t="str">
        <x:v>public schedule end</x:v>
      </x:c>
      <x:c r="K959" s="7" t="str"/>
      <x:c r="L959" s="10" t="str"/>
      <x:c r="M959" s="7" t="str">
        <x:v>OPEN</x:v>
      </x:c>
    </x:row>
    <x:row r="960" ht="36" customHeight="1">
      <x:c r="B960" s="7" t="str">
        <x:v>RAE-E-40-P18</x:v>
      </x:c>
      <x:c r="C960" s="7" t="str">
        <x:v>RAE-E-40</x:v>
      </x:c>
      <x:c r="D960" s="7" t="str">
        <x:v>RFP-C1</x:v>
      </x:c>
      <x:c r="E960" s="7" t="str">
        <x:v>AM-06</x:v>
      </x:c>
      <x:c r="F960" s="7" t="str">
        <x:v>TR-B</x:v>
      </x:c>
      <x:c r="G960" s="7" t="str">
        <x:v>QE-02</x:v>
      </x:c>
      <x:c r="H960" s="7" t="str">
        <x:v>P18</x:v>
      </x:c>
      <x:c r="I960" s="7" t="str">
        <x:v>T+15min</x:v>
      </x:c>
      <x:c r="J960" s="10" t="str">
        <x:v>thermal and water classification</x:v>
      </x:c>
      <x:c r="K960" s="7" t="str"/>
      <x:c r="L960" s="10" t="str"/>
      <x:c r="M960" s="7" t="str">
        <x:v>OPEN</x:v>
      </x:c>
    </x:row>
    <x:row r="961" ht="36" customHeight="1">
      <x:c r="B961" s="7" t="str">
        <x:v>RAE-E-40-P19</x:v>
      </x:c>
      <x:c r="C961" s="7" t="str">
        <x:v>RAE-E-40</x:v>
      </x:c>
      <x:c r="D961" s="7" t="str">
        <x:v>RFP-C1</x:v>
      </x:c>
      <x:c r="E961" s="7" t="str">
        <x:v>AM-06</x:v>
      </x:c>
      <x:c r="F961" s="7" t="str">
        <x:v>TR-B</x:v>
      </x:c>
      <x:c r="G961" s="7" t="str">
        <x:v>QE-02</x:v>
      </x:c>
      <x:c r="H961" s="7" t="str">
        <x:v>P19</x:v>
      </x:c>
      <x:c r="I961" s="7" t="str">
        <x:v>T+30min</x:v>
      </x:c>
      <x:c r="J961" s="10" t="str">
        <x:v>public intervention classification</x:v>
      </x:c>
      <x:c r="K961" s="7" t="str"/>
      <x:c r="L961" s="10" t="str"/>
      <x:c r="M961" s="7" t="str">
        <x:v>OPEN</x:v>
      </x:c>
    </x:row>
    <x:row r="962" ht="36" customHeight="1">
      <x:c r="B962" s="7" t="str">
        <x:v>RAE-E-40-P20</x:v>
      </x:c>
      <x:c r="C962" s="7" t="str">
        <x:v>RAE-E-40</x:v>
      </x:c>
      <x:c r="D962" s="7" t="str">
        <x:v>RFP-C1</x:v>
      </x:c>
      <x:c r="E962" s="7" t="str">
        <x:v>AM-06</x:v>
      </x:c>
      <x:c r="F962" s="7" t="str">
        <x:v>TR-B</x:v>
      </x:c>
      <x:c r="G962" s="7" t="str">
        <x:v>QE-02</x:v>
      </x:c>
      <x:c r="H962" s="7" t="str">
        <x:v>P20</x:v>
      </x:c>
      <x:c r="I962" s="7" t="str">
        <x:v>T+60min</x:v>
      </x:c>
      <x:c r="J962" s="10" t="str">
        <x:v>remote-entry classification</x:v>
      </x:c>
      <x:c r="K962" s="7" t="str"/>
      <x:c r="L962" s="10" t="str"/>
      <x:c r="M962" s="7" t="str">
        <x:v>OPEN</x:v>
      </x:c>
    </x:row>
    <x:row r="963" ht="36" customHeight="1">
      <x:c r="B963" s="7" t="str">
        <x:v>RAE-E-40-P21</x:v>
      </x:c>
      <x:c r="C963" s="7" t="str">
        <x:v>RAE-E-40</x:v>
      </x:c>
      <x:c r="D963" s="7" t="str">
        <x:v>RFP-C1</x:v>
      </x:c>
      <x:c r="E963" s="7" t="str">
        <x:v>AM-06</x:v>
      </x:c>
      <x:c r="F963" s="7" t="str">
        <x:v>TR-B</x:v>
      </x:c>
      <x:c r="G963" s="7" t="str">
        <x:v>QE-02</x:v>
      </x:c>
      <x:c r="H963" s="7" t="str">
        <x:v>P21</x:v>
      </x:c>
      <x:c r="I963" s="7" t="str">
        <x:v>T+6h</x:v>
      </x:c>
      <x:c r="J963" s="10" t="str">
        <x:v>evidence tail closure</x:v>
      </x:c>
      <x:c r="K963" s="7" t="str"/>
      <x:c r="L963" s="10" t="str"/>
      <x:c r="M963" s="7" t="str">
        <x:v>OPEN</x:v>
      </x:c>
    </x:row>
    <x:row r="964" ht="36" customHeight="1">
      <x:c r="B964" s="7" t="str">
        <x:v>RAE-E-40-P22</x:v>
      </x:c>
      <x:c r="C964" s="7" t="str">
        <x:v>RAE-E-40</x:v>
      </x:c>
      <x:c r="D964" s="7" t="str">
        <x:v>RFP-C1</x:v>
      </x:c>
      <x:c r="E964" s="7" t="str">
        <x:v>AM-06</x:v>
      </x:c>
      <x:c r="F964" s="7" t="str">
        <x:v>TR-B</x:v>
      </x:c>
      <x:c r="G964" s="7" t="str">
        <x:v>QE-02</x:v>
      </x:c>
      <x:c r="H964" s="7" t="str">
        <x:v>P22</x:v>
      </x:c>
      <x:c r="I964" s="7" t="str">
        <x:v>T+24h</x:v>
      </x:c>
      <x:c r="J964" s="10" t="str">
        <x:v>physical ledger closure</x:v>
      </x:c>
      <x:c r="K964" s="7" t="str"/>
      <x:c r="L964" s="10" t="str"/>
      <x:c r="M964" s="7" t="str">
        <x:v>OPEN</x:v>
      </x:c>
    </x:row>
    <x:row r="965" ht="36" customHeight="1">
      <x:c r="B965" s="7" t="str">
        <x:v>RAE-E-40-P23</x:v>
      </x:c>
      <x:c r="C965" s="7" t="str">
        <x:v>RAE-E-40</x:v>
      </x:c>
      <x:c r="D965" s="7" t="str">
        <x:v>RFP-C1</x:v>
      </x:c>
      <x:c r="E965" s="7" t="str">
        <x:v>AM-06</x:v>
      </x:c>
      <x:c r="F965" s="7" t="str">
        <x:v>TR-B</x:v>
      </x:c>
      <x:c r="G965" s="7" t="str">
        <x:v>QE-02</x:v>
      </x:c>
      <x:c r="H965" s="7" t="str">
        <x:v>P23</x:v>
      </x:c>
      <x:c r="I965" s="7" t="str">
        <x:v>T+72h</x:v>
      </x:c>
      <x:c r="J965" s="10" t="str">
        <x:v>immutable packet freeze</x:v>
      </x:c>
      <x:c r="K965" s="7" t="str"/>
      <x:c r="L965" s="10" t="str"/>
      <x:c r="M965" s="7" t="str">
        <x:v>OPEN</x:v>
      </x:c>
    </x:row>
    <x:row r="966" ht="36" customHeight="1">
      <x:c r="B966" s="7" t="str">
        <x:v>RAE-E-40-P24</x:v>
      </x:c>
      <x:c r="C966" s="7" t="str">
        <x:v>RAE-E-40</x:v>
      </x:c>
      <x:c r="D966" s="7" t="str">
        <x:v>RFP-C1</x:v>
      </x:c>
      <x:c r="E966" s="7" t="str">
        <x:v>AM-06</x:v>
      </x:c>
      <x:c r="F966" s="7" t="str">
        <x:v>TR-B</x:v>
      </x:c>
      <x:c r="G966" s="7" t="str">
        <x:v>QE-02</x:v>
      </x:c>
      <x:c r="H966" s="7" t="str">
        <x:v>P24</x:v>
      </x:c>
      <x:c r="I966" s="7" t="str">
        <x:v>day 7</x:v>
      </x:c>
      <x:c r="J966" s="10" t="str">
        <x:v>validity and outcome board</x:v>
      </x:c>
      <x:c r="K966" s="7" t="str"/>
      <x:c r="L966" s="10" t="str"/>
      <x:c r="M966" s="7" t="str">
        <x:v>OPEN</x:v>
      </x:c>
    </x:row>
    <x:row r="967" ht="36" customHeight="1">
      <x:c r="B967" s="7" t="str">
        <x:v>RAE-E-41-P01</x:v>
      </x:c>
      <x:c r="C967" s="7" t="str">
        <x:v>RAE-E-41</x:v>
      </x:c>
      <x:c r="D967" s="7" t="str">
        <x:v>RFP-C2</x:v>
      </x:c>
      <x:c r="E967" s="7" t="str">
        <x:v>AM-05</x:v>
      </x:c>
      <x:c r="F967" s="7" t="str">
        <x:v>TR-A</x:v>
      </x:c>
      <x:c r="G967" s="7" t="str">
        <x:v>QE-01</x:v>
      </x:c>
      <x:c r="H967" s="7" t="str">
        <x:v>P01</x:v>
      </x:c>
      <x:c r="I967" s="7" t="str">
        <x:v>T-96h</x:v>
      </x:c>
      <x:c r="J967" s="10" t="str">
        <x:v>baseline freeze</x:v>
      </x:c>
      <x:c r="K967" s="7" t="str"/>
      <x:c r="L967" s="10" t="str"/>
      <x:c r="M967" s="7" t="str">
        <x:v>OPEN</x:v>
      </x:c>
    </x:row>
    <x:row r="968" ht="36" customHeight="1">
      <x:c r="B968" s="7" t="str">
        <x:v>RAE-E-41-P02</x:v>
      </x:c>
      <x:c r="C968" s="7" t="str">
        <x:v>RAE-E-41</x:v>
      </x:c>
      <x:c r="D968" s="7" t="str">
        <x:v>RFP-C2</x:v>
      </x:c>
      <x:c r="E968" s="7" t="str">
        <x:v>AM-05</x:v>
      </x:c>
      <x:c r="F968" s="7" t="str">
        <x:v>TR-A</x:v>
      </x:c>
      <x:c r="G968" s="7" t="str">
        <x:v>QE-01</x:v>
      </x:c>
      <x:c r="H968" s="7" t="str">
        <x:v>P02</x:v>
      </x:c>
      <x:c r="I968" s="7" t="str">
        <x:v>T-72h</x:v>
      </x:c>
      <x:c r="J968" s="10" t="str">
        <x:v>source and water custody freeze</x:v>
      </x:c>
      <x:c r="K968" s="7" t="str"/>
      <x:c r="L968" s="10" t="str"/>
      <x:c r="M968" s="7" t="str">
        <x:v>OPEN</x:v>
      </x:c>
    </x:row>
    <x:row r="969" ht="36" customHeight="1">
      <x:c r="B969" s="7" t="str">
        <x:v>RAE-E-41-P03</x:v>
      </x:c>
      <x:c r="C969" s="7" t="str">
        <x:v>RAE-E-41</x:v>
      </x:c>
      <x:c r="D969" s="7" t="str">
        <x:v>RFP-C2</x:v>
      </x:c>
      <x:c r="E969" s="7" t="str">
        <x:v>AM-05</x:v>
      </x:c>
      <x:c r="F969" s="7" t="str">
        <x:v>TR-A</x:v>
      </x:c>
      <x:c r="G969" s="7" t="str">
        <x:v>QE-01</x:v>
      </x:c>
      <x:c r="H969" s="7" t="str">
        <x:v>P03</x:v>
      </x:c>
      <x:c r="I969" s="7" t="str">
        <x:v>T-48h</x:v>
      </x:c>
      <x:c r="J969" s="10" t="str">
        <x:v>article and configuration identity</x:v>
      </x:c>
      <x:c r="K969" s="7" t="str"/>
      <x:c r="L969" s="10" t="str"/>
      <x:c r="M969" s="7" t="str">
        <x:v>OPEN</x:v>
      </x:c>
    </x:row>
    <x:row r="970" ht="36" customHeight="1">
      <x:c r="B970" s="7" t="str">
        <x:v>RAE-E-41-P04</x:v>
      </x:c>
      <x:c r="C970" s="7" t="str">
        <x:v>RAE-E-41</x:v>
      </x:c>
      <x:c r="D970" s="7" t="str">
        <x:v>RFP-C2</x:v>
      </x:c>
      <x:c r="E970" s="7" t="str">
        <x:v>AM-05</x:v>
      </x:c>
      <x:c r="F970" s="7" t="str">
        <x:v>TR-A</x:v>
      </x:c>
      <x:c r="G970" s="7" t="str">
        <x:v>QE-01</x:v>
      </x:c>
      <x:c r="H970" s="7" t="str">
        <x:v>P04</x:v>
      </x:c>
      <x:c r="I970" s="7" t="str">
        <x:v>T-24h</x:v>
      </x:c>
      <x:c r="J970" s="10" t="str">
        <x:v>environment and recovery readiness</x:v>
      </x:c>
      <x:c r="K970" s="7" t="str"/>
      <x:c r="L970" s="10" t="str"/>
      <x:c r="M970" s="7" t="str">
        <x:v>OPEN</x:v>
      </x:c>
    </x:row>
    <x:row r="971" ht="36" customHeight="1">
      <x:c r="B971" s="7" t="str">
        <x:v>RAE-E-41-P05</x:v>
      </x:c>
      <x:c r="C971" s="7" t="str">
        <x:v>RAE-E-41</x:v>
      </x:c>
      <x:c r="D971" s="7" t="str">
        <x:v>RFP-C2</x:v>
      </x:c>
      <x:c r="E971" s="7" t="str">
        <x:v>AM-05</x:v>
      </x:c>
      <x:c r="F971" s="7" t="str">
        <x:v>TR-A</x:v>
      </x:c>
      <x:c r="G971" s="7" t="str">
        <x:v>QE-01</x:v>
      </x:c>
      <x:c r="H971" s="7" t="str">
        <x:v>P05</x:v>
      </x:c>
      <x:c r="I971" s="7" t="str">
        <x:v>T-12h</x:v>
      </x:c>
      <x:c r="J971" s="10" t="str">
        <x:v>rescue posture</x:v>
      </x:c>
      <x:c r="K971" s="7" t="str"/>
      <x:c r="L971" s="10" t="str"/>
      <x:c r="M971" s="7" t="str">
        <x:v>OPEN</x:v>
      </x:c>
    </x:row>
    <x:row r="972" ht="36" customHeight="1">
      <x:c r="B972" s="7" t="str">
        <x:v>RAE-E-41-P06</x:v>
      </x:c>
      <x:c r="C972" s="7" t="str">
        <x:v>RAE-E-41</x:v>
      </x:c>
      <x:c r="D972" s="7" t="str">
        <x:v>RFP-C2</x:v>
      </x:c>
      <x:c r="E972" s="7" t="str">
        <x:v>AM-05</x:v>
      </x:c>
      <x:c r="F972" s="7" t="str">
        <x:v>TR-A</x:v>
      </x:c>
      <x:c r="G972" s="7" t="str">
        <x:v>QE-01</x:v>
      </x:c>
      <x:c r="H972" s="7" t="str">
        <x:v>P06</x:v>
      </x:c>
      <x:c r="I972" s="7" t="str">
        <x:v>T-6h</x:v>
      </x:c>
      <x:c r="J972" s="10" t="str">
        <x:v>calibration before state</x:v>
      </x:c>
      <x:c r="K972" s="7" t="str"/>
      <x:c r="L972" s="10" t="str"/>
      <x:c r="M972" s="7" t="str">
        <x:v>OPEN</x:v>
      </x:c>
    </x:row>
    <x:row r="973" ht="36" customHeight="1">
      <x:c r="B973" s="7" t="str">
        <x:v>RAE-E-41-P07</x:v>
      </x:c>
      <x:c r="C973" s="7" t="str">
        <x:v>RAE-E-41</x:v>
      </x:c>
      <x:c r="D973" s="7" t="str">
        <x:v>RFP-C2</x:v>
      </x:c>
      <x:c r="E973" s="7" t="str">
        <x:v>AM-05</x:v>
      </x:c>
      <x:c r="F973" s="7" t="str">
        <x:v>TR-A</x:v>
      </x:c>
      <x:c r="G973" s="7" t="str">
        <x:v>QE-01</x:v>
      </x:c>
      <x:c r="H973" s="7" t="str">
        <x:v>P07</x:v>
      </x:c>
      <x:c r="I973" s="7" t="str">
        <x:v>T-2h</x:v>
      </x:c>
      <x:c r="J973" s="10" t="str">
        <x:v>receiver initial-volume proof</x:v>
      </x:c>
      <x:c r="K973" s="7" t="str"/>
      <x:c r="L973" s="10" t="str"/>
      <x:c r="M973" s="7" t="str">
        <x:v>OPEN</x:v>
      </x:c>
    </x:row>
    <x:row r="974" ht="36" customHeight="1">
      <x:c r="B974" s="7" t="str">
        <x:v>RAE-E-41-P08</x:v>
      </x:c>
      <x:c r="C974" s="7" t="str">
        <x:v>RAE-E-41</x:v>
      </x:c>
      <x:c r="D974" s="7" t="str">
        <x:v>RFP-C2</x:v>
      </x:c>
      <x:c r="E974" s="7" t="str">
        <x:v>AM-05</x:v>
      </x:c>
      <x:c r="F974" s="7" t="str">
        <x:v>TR-A</x:v>
      </x:c>
      <x:c r="G974" s="7" t="str">
        <x:v>QE-01</x:v>
      </x:c>
      <x:c r="H974" s="7" t="str">
        <x:v>P08</x:v>
      </x:c>
      <x:c r="I974" s="7" t="str">
        <x:v>T-60min</x:v>
      </x:c>
      <x:c r="J974" s="10" t="str">
        <x:v>neighbor inert-state proof</x:v>
      </x:c>
      <x:c r="K974" s="7" t="str"/>
      <x:c r="L974" s="10" t="str"/>
      <x:c r="M974" s="7" t="str">
        <x:v>OPEN</x:v>
      </x:c>
    </x:row>
    <x:row r="975" ht="36" customHeight="1">
      <x:c r="B975" s="7" t="str">
        <x:v>RAE-E-41-P09</x:v>
      </x:c>
      <x:c r="C975" s="7" t="str">
        <x:v>RAE-E-41</x:v>
      </x:c>
      <x:c r="D975" s="7" t="str">
        <x:v>RFP-C2</x:v>
      </x:c>
      <x:c r="E975" s="7" t="str">
        <x:v>AM-05</x:v>
      </x:c>
      <x:c r="F975" s="7" t="str">
        <x:v>TR-A</x:v>
      </x:c>
      <x:c r="G975" s="7" t="str">
        <x:v>QE-01</x:v>
      </x:c>
      <x:c r="H975" s="7" t="str">
        <x:v>P09</x:v>
      </x:c>
      <x:c r="I975" s="7" t="str">
        <x:v>T-30min</x:v>
      </x:c>
      <x:c r="J975" s="10" t="str">
        <x:v>native evidence armed</x:v>
      </x:c>
      <x:c r="K975" s="7" t="str"/>
      <x:c r="L975" s="10" t="str"/>
      <x:c r="M975" s="7" t="str">
        <x:v>OPEN</x:v>
      </x:c>
    </x:row>
    <x:row r="976" ht="36" customHeight="1">
      <x:c r="B976" s="7" t="str">
        <x:v>RAE-E-41-P10</x:v>
      </x:c>
      <x:c r="C976" s="7" t="str">
        <x:v>RAE-E-41</x:v>
      </x:c>
      <x:c r="D976" s="7" t="str">
        <x:v>RFP-C2</x:v>
      </x:c>
      <x:c r="E976" s="7" t="str">
        <x:v>AM-05</x:v>
      </x:c>
      <x:c r="F976" s="7" t="str">
        <x:v>TR-A</x:v>
      </x:c>
      <x:c r="G976" s="7" t="str">
        <x:v>QE-01</x:v>
      </x:c>
      <x:c r="H976" s="7" t="str">
        <x:v>P10</x:v>
      </x:c>
      <x:c r="I976" s="7" t="str">
        <x:v>T-10min</x:v>
      </x:c>
      <x:c r="J976" s="10" t="str">
        <x:v>final control poll</x:v>
      </x:c>
      <x:c r="K976" s="7" t="str"/>
      <x:c r="L976" s="10" t="str"/>
      <x:c r="M976" s="7" t="str">
        <x:v>OPEN</x:v>
      </x:c>
    </x:row>
    <x:row r="977" ht="36" customHeight="1">
      <x:c r="B977" s="7" t="str">
        <x:v>RAE-E-41-P11</x:v>
      </x:c>
      <x:c r="C977" s="7" t="str">
        <x:v>RAE-E-41</x:v>
      </x:c>
      <x:c r="D977" s="7" t="str">
        <x:v>RFP-C2</x:v>
      </x:c>
      <x:c r="E977" s="7" t="str">
        <x:v>AM-05</x:v>
      </x:c>
      <x:c r="F977" s="7" t="str">
        <x:v>TR-A</x:v>
      </x:c>
      <x:c r="G977" s="7" t="str">
        <x:v>QE-01</x:v>
      </x:c>
      <x:c r="H977" s="7" t="str">
        <x:v>P11</x:v>
      </x:c>
      <x:c r="I977" s="7" t="str">
        <x:v>T-60s</x:v>
      </x:c>
      <x:c r="J977" s="10" t="str">
        <x:v>full-rate capture</x:v>
      </x:c>
      <x:c r="K977" s="7" t="str"/>
      <x:c r="L977" s="10" t="str"/>
      <x:c r="M977" s="7" t="str">
        <x:v>OPEN</x:v>
      </x:c>
    </x:row>
    <x:row r="978" ht="36" customHeight="1">
      <x:c r="B978" s="7" t="str">
        <x:v>RAE-E-41-P12</x:v>
      </x:c>
      <x:c r="C978" s="7" t="str">
        <x:v>RAE-E-41</x:v>
      </x:c>
      <x:c r="D978" s="7" t="str">
        <x:v>RFP-C2</x:v>
      </x:c>
      <x:c r="E978" s="7" t="str">
        <x:v>AM-05</x:v>
      </x:c>
      <x:c r="F978" s="7" t="str">
        <x:v>TR-A</x:v>
      </x:c>
      <x:c r="G978" s="7" t="str">
        <x:v>QE-01</x:v>
      </x:c>
      <x:c r="H978" s="7" t="str">
        <x:v>P12</x:v>
      </x:c>
      <x:c r="I978" s="7" t="str">
        <x:v>T-10s</x:v>
      </x:c>
      <x:c r="J978" s="10" t="str">
        <x:v>registered challenge state</x:v>
      </x:c>
      <x:c r="K978" s="7" t="str"/>
      <x:c r="L978" s="10" t="str"/>
      <x:c r="M978" s="7" t="str">
        <x:v>OPEN</x:v>
      </x:c>
    </x:row>
    <x:row r="979" ht="36" customHeight="1">
      <x:c r="B979" s="7" t="str">
        <x:v>RAE-E-41-P13</x:v>
      </x:c>
      <x:c r="C979" s="7" t="str">
        <x:v>RAE-E-41</x:v>
      </x:c>
      <x:c r="D979" s="7" t="str">
        <x:v>RFP-C2</x:v>
      </x:c>
      <x:c r="E979" s="7" t="str">
        <x:v>AM-05</x:v>
      </x:c>
      <x:c r="F979" s="7" t="str">
        <x:v>TR-A</x:v>
      </x:c>
      <x:c r="G979" s="7" t="str">
        <x:v>QE-01</x:v>
      </x:c>
      <x:c r="H979" s="7" t="str">
        <x:v>P13</x:v>
      </x:c>
      <x:c r="I979" s="7" t="str">
        <x:v>T0</x:v>
      </x:c>
      <x:c r="J979" s="10" t="str">
        <x:v>source command or zero-source marker</x:v>
      </x:c>
      <x:c r="K979" s="7" t="str"/>
      <x:c r="L979" s="10" t="str"/>
      <x:c r="M979" s="7" t="str">
        <x:v>OPEN</x:v>
      </x:c>
    </x:row>
    <x:row r="980" ht="36" customHeight="1">
      <x:c r="B980" s="7" t="str">
        <x:v>RAE-E-41-P14</x:v>
      </x:c>
      <x:c r="C980" s="7" t="str">
        <x:v>RAE-E-41</x:v>
      </x:c>
      <x:c r="D980" s="7" t="str">
        <x:v>RFP-C2</x:v>
      </x:c>
      <x:c r="E980" s="7" t="str">
        <x:v>AM-05</x:v>
      </x:c>
      <x:c r="F980" s="7" t="str">
        <x:v>TR-A</x:v>
      </x:c>
      <x:c r="G980" s="7" t="str">
        <x:v>QE-01</x:v>
      </x:c>
      <x:c r="H980" s="7" t="str">
        <x:v>P14</x:v>
      </x:c>
      <x:c r="I980" s="7" t="str">
        <x:v>T+2s</x:v>
      </x:c>
      <x:c r="J980" s="10" t="str">
        <x:v>inlet and dispenser final state</x:v>
      </x:c>
      <x:c r="K980" s="7" t="str"/>
      <x:c r="L980" s="10" t="str"/>
      <x:c r="M980" s="7" t="str">
        <x:v>OPEN</x:v>
      </x:c>
    </x:row>
    <x:row r="981" ht="36" customHeight="1">
      <x:c r="B981" s="7" t="str">
        <x:v>RAE-E-41-P15</x:v>
      </x:c>
      <x:c r="C981" s="7" t="str">
        <x:v>RAE-E-41</x:v>
      </x:c>
      <x:c r="D981" s="7" t="str">
        <x:v>RFP-C2</x:v>
      </x:c>
      <x:c r="E981" s="7" t="str">
        <x:v>AM-05</x:v>
      </x:c>
      <x:c r="F981" s="7" t="str">
        <x:v>TR-A</x:v>
      </x:c>
      <x:c r="G981" s="7" t="str">
        <x:v>QE-01</x:v>
      </x:c>
      <x:c r="H981" s="7" t="str">
        <x:v>P15</x:v>
      </x:c>
      <x:c r="I981" s="7" t="str">
        <x:v>T+15s</x:v>
      </x:c>
      <x:c r="J981" s="10" t="str">
        <x:v>AM-06 QE-02 ignition opportunity</x:v>
      </x:c>
      <x:c r="K981" s="7" t="str"/>
      <x:c r="L981" s="10" t="str"/>
      <x:c r="M981" s="7" t="str">
        <x:v>OPEN</x:v>
      </x:c>
    </x:row>
    <x:row r="982" ht="36" customHeight="1">
      <x:c r="B982" s="7" t="str">
        <x:v>RAE-E-41-P16</x:v>
      </x:c>
      <x:c r="C982" s="7" t="str">
        <x:v>RAE-E-41</x:v>
      </x:c>
      <x:c r="D982" s="7" t="str">
        <x:v>RFP-C2</x:v>
      </x:c>
      <x:c r="E982" s="7" t="str">
        <x:v>AM-05</x:v>
      </x:c>
      <x:c r="F982" s="7" t="str">
        <x:v>TR-A</x:v>
      </x:c>
      <x:c r="G982" s="7" t="str">
        <x:v>QE-01</x:v>
      </x:c>
      <x:c r="H982" s="7" t="str">
        <x:v>P16</x:v>
      </x:c>
      <x:c r="I982" s="7" t="str">
        <x:v>T+30s</x:v>
      </x:c>
      <x:c r="J982" s="10" t="str">
        <x:v>terminal-source decision</x:v>
      </x:c>
      <x:c r="K982" s="7" t="str"/>
      <x:c r="L982" s="10" t="str"/>
      <x:c r="M982" s="7" t="str">
        <x:v>OPEN</x:v>
      </x:c>
    </x:row>
    <x:row r="983" ht="36" customHeight="1">
      <x:c r="B983" s="7" t="str">
        <x:v>RAE-E-41-P17</x:v>
      </x:c>
      <x:c r="C983" s="7" t="str">
        <x:v>RAE-E-41</x:v>
      </x:c>
      <x:c r="D983" s="7" t="str">
        <x:v>RFP-C2</x:v>
      </x:c>
      <x:c r="E983" s="7" t="str">
        <x:v>AM-05</x:v>
      </x:c>
      <x:c r="F983" s="7" t="str">
        <x:v>TR-A</x:v>
      </x:c>
      <x:c r="G983" s="7" t="str">
        <x:v>QE-01</x:v>
      </x:c>
      <x:c r="H983" s="7" t="str">
        <x:v>P17</x:v>
      </x:c>
      <x:c r="I983" s="7" t="str">
        <x:v>T+120s</x:v>
      </x:c>
      <x:c r="J983" s="10" t="str">
        <x:v>public schedule end</x:v>
      </x:c>
      <x:c r="K983" s="7" t="str"/>
      <x:c r="L983" s="10" t="str"/>
      <x:c r="M983" s="7" t="str">
        <x:v>OPEN</x:v>
      </x:c>
    </x:row>
    <x:row r="984" ht="36" customHeight="1">
      <x:c r="B984" s="7" t="str">
        <x:v>RAE-E-41-P18</x:v>
      </x:c>
      <x:c r="C984" s="7" t="str">
        <x:v>RAE-E-41</x:v>
      </x:c>
      <x:c r="D984" s="7" t="str">
        <x:v>RFP-C2</x:v>
      </x:c>
      <x:c r="E984" s="7" t="str">
        <x:v>AM-05</x:v>
      </x:c>
      <x:c r="F984" s="7" t="str">
        <x:v>TR-A</x:v>
      </x:c>
      <x:c r="G984" s="7" t="str">
        <x:v>QE-01</x:v>
      </x:c>
      <x:c r="H984" s="7" t="str">
        <x:v>P18</x:v>
      </x:c>
      <x:c r="I984" s="7" t="str">
        <x:v>T+15min</x:v>
      </x:c>
      <x:c r="J984" s="10" t="str">
        <x:v>thermal and water classification</x:v>
      </x:c>
      <x:c r="K984" s="7" t="str"/>
      <x:c r="L984" s="10" t="str"/>
      <x:c r="M984" s="7" t="str">
        <x:v>OPEN</x:v>
      </x:c>
    </x:row>
    <x:row r="985" ht="36" customHeight="1">
      <x:c r="B985" s="7" t="str">
        <x:v>RAE-E-41-P19</x:v>
      </x:c>
      <x:c r="C985" s="7" t="str">
        <x:v>RAE-E-41</x:v>
      </x:c>
      <x:c r="D985" s="7" t="str">
        <x:v>RFP-C2</x:v>
      </x:c>
      <x:c r="E985" s="7" t="str">
        <x:v>AM-05</x:v>
      </x:c>
      <x:c r="F985" s="7" t="str">
        <x:v>TR-A</x:v>
      </x:c>
      <x:c r="G985" s="7" t="str">
        <x:v>QE-01</x:v>
      </x:c>
      <x:c r="H985" s="7" t="str">
        <x:v>P19</x:v>
      </x:c>
      <x:c r="I985" s="7" t="str">
        <x:v>T+30min</x:v>
      </x:c>
      <x:c r="J985" s="10" t="str">
        <x:v>public intervention classification</x:v>
      </x:c>
      <x:c r="K985" s="7" t="str"/>
      <x:c r="L985" s="10" t="str"/>
      <x:c r="M985" s="7" t="str">
        <x:v>OPEN</x:v>
      </x:c>
    </x:row>
    <x:row r="986" ht="36" customHeight="1">
      <x:c r="B986" s="7" t="str">
        <x:v>RAE-E-41-P20</x:v>
      </x:c>
      <x:c r="C986" s="7" t="str">
        <x:v>RAE-E-41</x:v>
      </x:c>
      <x:c r="D986" s="7" t="str">
        <x:v>RFP-C2</x:v>
      </x:c>
      <x:c r="E986" s="7" t="str">
        <x:v>AM-05</x:v>
      </x:c>
      <x:c r="F986" s="7" t="str">
        <x:v>TR-A</x:v>
      </x:c>
      <x:c r="G986" s="7" t="str">
        <x:v>QE-01</x:v>
      </x:c>
      <x:c r="H986" s="7" t="str">
        <x:v>P20</x:v>
      </x:c>
      <x:c r="I986" s="7" t="str">
        <x:v>T+60min</x:v>
      </x:c>
      <x:c r="J986" s="10" t="str">
        <x:v>remote-entry classification</x:v>
      </x:c>
      <x:c r="K986" s="7" t="str"/>
      <x:c r="L986" s="10" t="str"/>
      <x:c r="M986" s="7" t="str">
        <x:v>OPEN</x:v>
      </x:c>
    </x:row>
    <x:row r="987" ht="36" customHeight="1">
      <x:c r="B987" s="7" t="str">
        <x:v>RAE-E-41-P21</x:v>
      </x:c>
      <x:c r="C987" s="7" t="str">
        <x:v>RAE-E-41</x:v>
      </x:c>
      <x:c r="D987" s="7" t="str">
        <x:v>RFP-C2</x:v>
      </x:c>
      <x:c r="E987" s="7" t="str">
        <x:v>AM-05</x:v>
      </x:c>
      <x:c r="F987" s="7" t="str">
        <x:v>TR-A</x:v>
      </x:c>
      <x:c r="G987" s="7" t="str">
        <x:v>QE-01</x:v>
      </x:c>
      <x:c r="H987" s="7" t="str">
        <x:v>P21</x:v>
      </x:c>
      <x:c r="I987" s="7" t="str">
        <x:v>T+6h</x:v>
      </x:c>
      <x:c r="J987" s="10" t="str">
        <x:v>evidence tail closure</x:v>
      </x:c>
      <x:c r="K987" s="7" t="str"/>
      <x:c r="L987" s="10" t="str"/>
      <x:c r="M987" s="7" t="str">
        <x:v>OPEN</x:v>
      </x:c>
    </x:row>
    <x:row r="988" ht="36" customHeight="1">
      <x:c r="B988" s="7" t="str">
        <x:v>RAE-E-41-P22</x:v>
      </x:c>
      <x:c r="C988" s="7" t="str">
        <x:v>RAE-E-41</x:v>
      </x:c>
      <x:c r="D988" s="7" t="str">
        <x:v>RFP-C2</x:v>
      </x:c>
      <x:c r="E988" s="7" t="str">
        <x:v>AM-05</x:v>
      </x:c>
      <x:c r="F988" s="7" t="str">
        <x:v>TR-A</x:v>
      </x:c>
      <x:c r="G988" s="7" t="str">
        <x:v>QE-01</x:v>
      </x:c>
      <x:c r="H988" s="7" t="str">
        <x:v>P22</x:v>
      </x:c>
      <x:c r="I988" s="7" t="str">
        <x:v>T+24h</x:v>
      </x:c>
      <x:c r="J988" s="10" t="str">
        <x:v>physical ledger closure</x:v>
      </x:c>
      <x:c r="K988" s="7" t="str"/>
      <x:c r="L988" s="10" t="str"/>
      <x:c r="M988" s="7" t="str">
        <x:v>OPEN</x:v>
      </x:c>
    </x:row>
    <x:row r="989" ht="36" customHeight="1">
      <x:c r="B989" s="7" t="str">
        <x:v>RAE-E-41-P23</x:v>
      </x:c>
      <x:c r="C989" s="7" t="str">
        <x:v>RAE-E-41</x:v>
      </x:c>
      <x:c r="D989" s="7" t="str">
        <x:v>RFP-C2</x:v>
      </x:c>
      <x:c r="E989" s="7" t="str">
        <x:v>AM-05</x:v>
      </x:c>
      <x:c r="F989" s="7" t="str">
        <x:v>TR-A</x:v>
      </x:c>
      <x:c r="G989" s="7" t="str">
        <x:v>QE-01</x:v>
      </x:c>
      <x:c r="H989" s="7" t="str">
        <x:v>P23</x:v>
      </x:c>
      <x:c r="I989" s="7" t="str">
        <x:v>T+72h</x:v>
      </x:c>
      <x:c r="J989" s="10" t="str">
        <x:v>immutable packet freeze</x:v>
      </x:c>
      <x:c r="K989" s="7" t="str"/>
      <x:c r="L989" s="10" t="str"/>
      <x:c r="M989" s="7" t="str">
        <x:v>OPEN</x:v>
      </x:c>
    </x:row>
    <x:row r="990" ht="36" customHeight="1">
      <x:c r="B990" s="7" t="str">
        <x:v>RAE-E-41-P24</x:v>
      </x:c>
      <x:c r="C990" s="7" t="str">
        <x:v>RAE-E-41</x:v>
      </x:c>
      <x:c r="D990" s="7" t="str">
        <x:v>RFP-C2</x:v>
      </x:c>
      <x:c r="E990" s="7" t="str">
        <x:v>AM-05</x:v>
      </x:c>
      <x:c r="F990" s="7" t="str">
        <x:v>TR-A</x:v>
      </x:c>
      <x:c r="G990" s="7" t="str">
        <x:v>QE-01</x:v>
      </x:c>
      <x:c r="H990" s="7" t="str">
        <x:v>P24</x:v>
      </x:c>
      <x:c r="I990" s="7" t="str">
        <x:v>day 7</x:v>
      </x:c>
      <x:c r="J990" s="10" t="str">
        <x:v>validity and outcome board</x:v>
      </x:c>
      <x:c r="K990" s="7" t="str"/>
      <x:c r="L990" s="10" t="str"/>
      <x:c r="M990" s="7" t="str">
        <x:v>OPEN</x:v>
      </x:c>
    </x:row>
    <x:row r="991" ht="36" customHeight="1">
      <x:c r="B991" s="7" t="str">
        <x:v>RAE-E-42-P01</x:v>
      </x:c>
      <x:c r="C991" s="7" t="str">
        <x:v>RAE-E-42</x:v>
      </x:c>
      <x:c r="D991" s="7" t="str">
        <x:v>RFP-C2</x:v>
      </x:c>
      <x:c r="E991" s="7" t="str">
        <x:v>AM-05</x:v>
      </x:c>
      <x:c r="F991" s="7" t="str">
        <x:v>TR-A</x:v>
      </x:c>
      <x:c r="G991" s="7" t="str">
        <x:v>QE-02</x:v>
      </x:c>
      <x:c r="H991" s="7" t="str">
        <x:v>P01</x:v>
      </x:c>
      <x:c r="I991" s="7" t="str">
        <x:v>T-96h</x:v>
      </x:c>
      <x:c r="J991" s="10" t="str">
        <x:v>baseline freeze</x:v>
      </x:c>
      <x:c r="K991" s="7" t="str"/>
      <x:c r="L991" s="10" t="str"/>
      <x:c r="M991" s="7" t="str">
        <x:v>OPEN</x:v>
      </x:c>
    </x:row>
    <x:row r="992" ht="36" customHeight="1">
      <x:c r="B992" s="7" t="str">
        <x:v>RAE-E-42-P02</x:v>
      </x:c>
      <x:c r="C992" s="7" t="str">
        <x:v>RAE-E-42</x:v>
      </x:c>
      <x:c r="D992" s="7" t="str">
        <x:v>RFP-C2</x:v>
      </x:c>
      <x:c r="E992" s="7" t="str">
        <x:v>AM-05</x:v>
      </x:c>
      <x:c r="F992" s="7" t="str">
        <x:v>TR-A</x:v>
      </x:c>
      <x:c r="G992" s="7" t="str">
        <x:v>QE-02</x:v>
      </x:c>
      <x:c r="H992" s="7" t="str">
        <x:v>P02</x:v>
      </x:c>
      <x:c r="I992" s="7" t="str">
        <x:v>T-72h</x:v>
      </x:c>
      <x:c r="J992" s="10" t="str">
        <x:v>source and water custody freeze</x:v>
      </x:c>
      <x:c r="K992" s="7" t="str"/>
      <x:c r="L992" s="10" t="str"/>
      <x:c r="M992" s="7" t="str">
        <x:v>OPEN</x:v>
      </x:c>
    </x:row>
    <x:row r="993" ht="36" customHeight="1">
      <x:c r="B993" s="7" t="str">
        <x:v>RAE-E-42-P03</x:v>
      </x:c>
      <x:c r="C993" s="7" t="str">
        <x:v>RAE-E-42</x:v>
      </x:c>
      <x:c r="D993" s="7" t="str">
        <x:v>RFP-C2</x:v>
      </x:c>
      <x:c r="E993" s="7" t="str">
        <x:v>AM-05</x:v>
      </x:c>
      <x:c r="F993" s="7" t="str">
        <x:v>TR-A</x:v>
      </x:c>
      <x:c r="G993" s="7" t="str">
        <x:v>QE-02</x:v>
      </x:c>
      <x:c r="H993" s="7" t="str">
        <x:v>P03</x:v>
      </x:c>
      <x:c r="I993" s="7" t="str">
        <x:v>T-48h</x:v>
      </x:c>
      <x:c r="J993" s="10" t="str">
        <x:v>article and configuration identity</x:v>
      </x:c>
      <x:c r="K993" s="7" t="str"/>
      <x:c r="L993" s="10" t="str"/>
      <x:c r="M993" s="7" t="str">
        <x:v>OPEN</x:v>
      </x:c>
    </x:row>
    <x:row r="994" ht="36" customHeight="1">
      <x:c r="B994" s="7" t="str">
        <x:v>RAE-E-42-P04</x:v>
      </x:c>
      <x:c r="C994" s="7" t="str">
        <x:v>RAE-E-42</x:v>
      </x:c>
      <x:c r="D994" s="7" t="str">
        <x:v>RFP-C2</x:v>
      </x:c>
      <x:c r="E994" s="7" t="str">
        <x:v>AM-05</x:v>
      </x:c>
      <x:c r="F994" s="7" t="str">
        <x:v>TR-A</x:v>
      </x:c>
      <x:c r="G994" s="7" t="str">
        <x:v>QE-02</x:v>
      </x:c>
      <x:c r="H994" s="7" t="str">
        <x:v>P04</x:v>
      </x:c>
      <x:c r="I994" s="7" t="str">
        <x:v>T-24h</x:v>
      </x:c>
      <x:c r="J994" s="10" t="str">
        <x:v>environment and recovery readiness</x:v>
      </x:c>
      <x:c r="K994" s="7" t="str"/>
      <x:c r="L994" s="10" t="str"/>
      <x:c r="M994" s="7" t="str">
        <x:v>OPEN</x:v>
      </x:c>
    </x:row>
    <x:row r="995" ht="36" customHeight="1">
      <x:c r="B995" s="7" t="str">
        <x:v>RAE-E-42-P05</x:v>
      </x:c>
      <x:c r="C995" s="7" t="str">
        <x:v>RAE-E-42</x:v>
      </x:c>
      <x:c r="D995" s="7" t="str">
        <x:v>RFP-C2</x:v>
      </x:c>
      <x:c r="E995" s="7" t="str">
        <x:v>AM-05</x:v>
      </x:c>
      <x:c r="F995" s="7" t="str">
        <x:v>TR-A</x:v>
      </x:c>
      <x:c r="G995" s="7" t="str">
        <x:v>QE-02</x:v>
      </x:c>
      <x:c r="H995" s="7" t="str">
        <x:v>P05</x:v>
      </x:c>
      <x:c r="I995" s="7" t="str">
        <x:v>T-12h</x:v>
      </x:c>
      <x:c r="J995" s="10" t="str">
        <x:v>rescue posture</x:v>
      </x:c>
      <x:c r="K995" s="7" t="str"/>
      <x:c r="L995" s="10" t="str"/>
      <x:c r="M995" s="7" t="str">
        <x:v>OPEN</x:v>
      </x:c>
    </x:row>
    <x:row r="996" ht="36" customHeight="1">
      <x:c r="B996" s="7" t="str">
        <x:v>RAE-E-42-P06</x:v>
      </x:c>
      <x:c r="C996" s="7" t="str">
        <x:v>RAE-E-42</x:v>
      </x:c>
      <x:c r="D996" s="7" t="str">
        <x:v>RFP-C2</x:v>
      </x:c>
      <x:c r="E996" s="7" t="str">
        <x:v>AM-05</x:v>
      </x:c>
      <x:c r="F996" s="7" t="str">
        <x:v>TR-A</x:v>
      </x:c>
      <x:c r="G996" s="7" t="str">
        <x:v>QE-02</x:v>
      </x:c>
      <x:c r="H996" s="7" t="str">
        <x:v>P06</x:v>
      </x:c>
      <x:c r="I996" s="7" t="str">
        <x:v>T-6h</x:v>
      </x:c>
      <x:c r="J996" s="10" t="str">
        <x:v>calibration before state</x:v>
      </x:c>
      <x:c r="K996" s="7" t="str"/>
      <x:c r="L996" s="10" t="str"/>
      <x:c r="M996" s="7" t="str">
        <x:v>OPEN</x:v>
      </x:c>
    </x:row>
    <x:row r="997" ht="36" customHeight="1">
      <x:c r="B997" s="7" t="str">
        <x:v>RAE-E-42-P07</x:v>
      </x:c>
      <x:c r="C997" s="7" t="str">
        <x:v>RAE-E-42</x:v>
      </x:c>
      <x:c r="D997" s="7" t="str">
        <x:v>RFP-C2</x:v>
      </x:c>
      <x:c r="E997" s="7" t="str">
        <x:v>AM-05</x:v>
      </x:c>
      <x:c r="F997" s="7" t="str">
        <x:v>TR-A</x:v>
      </x:c>
      <x:c r="G997" s="7" t="str">
        <x:v>QE-02</x:v>
      </x:c>
      <x:c r="H997" s="7" t="str">
        <x:v>P07</x:v>
      </x:c>
      <x:c r="I997" s="7" t="str">
        <x:v>T-2h</x:v>
      </x:c>
      <x:c r="J997" s="10" t="str">
        <x:v>receiver initial-volume proof</x:v>
      </x:c>
      <x:c r="K997" s="7" t="str"/>
      <x:c r="L997" s="10" t="str"/>
      <x:c r="M997" s="7" t="str">
        <x:v>OPEN</x:v>
      </x:c>
    </x:row>
    <x:row r="998" ht="36" customHeight="1">
      <x:c r="B998" s="7" t="str">
        <x:v>RAE-E-42-P08</x:v>
      </x:c>
      <x:c r="C998" s="7" t="str">
        <x:v>RAE-E-42</x:v>
      </x:c>
      <x:c r="D998" s="7" t="str">
        <x:v>RFP-C2</x:v>
      </x:c>
      <x:c r="E998" s="7" t="str">
        <x:v>AM-05</x:v>
      </x:c>
      <x:c r="F998" s="7" t="str">
        <x:v>TR-A</x:v>
      </x:c>
      <x:c r="G998" s="7" t="str">
        <x:v>QE-02</x:v>
      </x:c>
      <x:c r="H998" s="7" t="str">
        <x:v>P08</x:v>
      </x:c>
      <x:c r="I998" s="7" t="str">
        <x:v>T-60min</x:v>
      </x:c>
      <x:c r="J998" s="10" t="str">
        <x:v>neighbor inert-state proof</x:v>
      </x:c>
      <x:c r="K998" s="7" t="str"/>
      <x:c r="L998" s="10" t="str"/>
      <x:c r="M998" s="7" t="str">
        <x:v>OPEN</x:v>
      </x:c>
    </x:row>
    <x:row r="999" ht="36" customHeight="1">
      <x:c r="B999" s="7" t="str">
        <x:v>RAE-E-42-P09</x:v>
      </x:c>
      <x:c r="C999" s="7" t="str">
        <x:v>RAE-E-42</x:v>
      </x:c>
      <x:c r="D999" s="7" t="str">
        <x:v>RFP-C2</x:v>
      </x:c>
      <x:c r="E999" s="7" t="str">
        <x:v>AM-05</x:v>
      </x:c>
      <x:c r="F999" s="7" t="str">
        <x:v>TR-A</x:v>
      </x:c>
      <x:c r="G999" s="7" t="str">
        <x:v>QE-02</x:v>
      </x:c>
      <x:c r="H999" s="7" t="str">
        <x:v>P09</x:v>
      </x:c>
      <x:c r="I999" s="7" t="str">
        <x:v>T-30min</x:v>
      </x:c>
      <x:c r="J999" s="10" t="str">
        <x:v>native evidence armed</x:v>
      </x:c>
      <x:c r="K999" s="7" t="str"/>
      <x:c r="L999" s="10" t="str"/>
      <x:c r="M999" s="7" t="str">
        <x:v>OPEN</x:v>
      </x:c>
    </x:row>
    <x:row r="1000" ht="36" customHeight="1">
      <x:c r="B1000" s="7" t="str">
        <x:v>RAE-E-42-P10</x:v>
      </x:c>
      <x:c r="C1000" s="7" t="str">
        <x:v>RAE-E-42</x:v>
      </x:c>
      <x:c r="D1000" s="7" t="str">
        <x:v>RFP-C2</x:v>
      </x:c>
      <x:c r="E1000" s="7" t="str">
        <x:v>AM-05</x:v>
      </x:c>
      <x:c r="F1000" s="7" t="str">
        <x:v>TR-A</x:v>
      </x:c>
      <x:c r="G1000" s="7" t="str">
        <x:v>QE-02</x:v>
      </x:c>
      <x:c r="H1000" s="7" t="str">
        <x:v>P10</x:v>
      </x:c>
      <x:c r="I1000" s="7" t="str">
        <x:v>T-10min</x:v>
      </x:c>
      <x:c r="J1000" s="10" t="str">
        <x:v>final control poll</x:v>
      </x:c>
      <x:c r="K1000" s="7" t="str"/>
      <x:c r="L1000" s="10" t="str"/>
      <x:c r="M1000" s="7" t="str">
        <x:v>OPEN</x:v>
      </x:c>
    </x:row>
    <x:row r="1001" ht="36" customHeight="1">
      <x:c r="B1001" s="7" t="str">
        <x:v>RAE-E-42-P11</x:v>
      </x:c>
      <x:c r="C1001" s="7" t="str">
        <x:v>RAE-E-42</x:v>
      </x:c>
      <x:c r="D1001" s="7" t="str">
        <x:v>RFP-C2</x:v>
      </x:c>
      <x:c r="E1001" s="7" t="str">
        <x:v>AM-05</x:v>
      </x:c>
      <x:c r="F1001" s="7" t="str">
        <x:v>TR-A</x:v>
      </x:c>
      <x:c r="G1001" s="7" t="str">
        <x:v>QE-02</x:v>
      </x:c>
      <x:c r="H1001" s="7" t="str">
        <x:v>P11</x:v>
      </x:c>
      <x:c r="I1001" s="7" t="str">
        <x:v>T-60s</x:v>
      </x:c>
      <x:c r="J1001" s="10" t="str">
        <x:v>full-rate capture</x:v>
      </x:c>
      <x:c r="K1001" s="7" t="str"/>
      <x:c r="L1001" s="10" t="str"/>
      <x:c r="M1001" s="7" t="str">
        <x:v>OPEN</x:v>
      </x:c>
    </x:row>
    <x:row r="1002" ht="36" customHeight="1">
      <x:c r="B1002" s="7" t="str">
        <x:v>RAE-E-42-P12</x:v>
      </x:c>
      <x:c r="C1002" s="7" t="str">
        <x:v>RAE-E-42</x:v>
      </x:c>
      <x:c r="D1002" s="7" t="str">
        <x:v>RFP-C2</x:v>
      </x:c>
      <x:c r="E1002" s="7" t="str">
        <x:v>AM-05</x:v>
      </x:c>
      <x:c r="F1002" s="7" t="str">
        <x:v>TR-A</x:v>
      </x:c>
      <x:c r="G1002" s="7" t="str">
        <x:v>QE-02</x:v>
      </x:c>
      <x:c r="H1002" s="7" t="str">
        <x:v>P12</x:v>
      </x:c>
      <x:c r="I1002" s="7" t="str">
        <x:v>T-10s</x:v>
      </x:c>
      <x:c r="J1002" s="10" t="str">
        <x:v>registered challenge state</x:v>
      </x:c>
      <x:c r="K1002" s="7" t="str"/>
      <x:c r="L1002" s="10" t="str"/>
      <x:c r="M1002" s="7" t="str">
        <x:v>OPEN</x:v>
      </x:c>
    </x:row>
    <x:row r="1003" ht="36" customHeight="1">
      <x:c r="B1003" s="7" t="str">
        <x:v>RAE-E-42-P13</x:v>
      </x:c>
      <x:c r="C1003" s="7" t="str">
        <x:v>RAE-E-42</x:v>
      </x:c>
      <x:c r="D1003" s="7" t="str">
        <x:v>RFP-C2</x:v>
      </x:c>
      <x:c r="E1003" s="7" t="str">
        <x:v>AM-05</x:v>
      </x:c>
      <x:c r="F1003" s="7" t="str">
        <x:v>TR-A</x:v>
      </x:c>
      <x:c r="G1003" s="7" t="str">
        <x:v>QE-02</x:v>
      </x:c>
      <x:c r="H1003" s="7" t="str">
        <x:v>P13</x:v>
      </x:c>
      <x:c r="I1003" s="7" t="str">
        <x:v>T0</x:v>
      </x:c>
      <x:c r="J1003" s="10" t="str">
        <x:v>source command or zero-source marker</x:v>
      </x:c>
      <x:c r="K1003" s="7" t="str"/>
      <x:c r="L1003" s="10" t="str"/>
      <x:c r="M1003" s="7" t="str">
        <x:v>OPEN</x:v>
      </x:c>
    </x:row>
    <x:row r="1004" ht="36" customHeight="1">
      <x:c r="B1004" s="7" t="str">
        <x:v>RAE-E-42-P14</x:v>
      </x:c>
      <x:c r="C1004" s="7" t="str">
        <x:v>RAE-E-42</x:v>
      </x:c>
      <x:c r="D1004" s="7" t="str">
        <x:v>RFP-C2</x:v>
      </x:c>
      <x:c r="E1004" s="7" t="str">
        <x:v>AM-05</x:v>
      </x:c>
      <x:c r="F1004" s="7" t="str">
        <x:v>TR-A</x:v>
      </x:c>
      <x:c r="G1004" s="7" t="str">
        <x:v>QE-02</x:v>
      </x:c>
      <x:c r="H1004" s="7" t="str">
        <x:v>P14</x:v>
      </x:c>
      <x:c r="I1004" s="7" t="str">
        <x:v>T+2s</x:v>
      </x:c>
      <x:c r="J1004" s="10" t="str">
        <x:v>inlet and dispenser final state</x:v>
      </x:c>
      <x:c r="K1004" s="7" t="str"/>
      <x:c r="L1004" s="10" t="str"/>
      <x:c r="M1004" s="7" t="str">
        <x:v>OPEN</x:v>
      </x:c>
    </x:row>
    <x:row r="1005" ht="36" customHeight="1">
      <x:c r="B1005" s="7" t="str">
        <x:v>RAE-E-42-P15</x:v>
      </x:c>
      <x:c r="C1005" s="7" t="str">
        <x:v>RAE-E-42</x:v>
      </x:c>
      <x:c r="D1005" s="7" t="str">
        <x:v>RFP-C2</x:v>
      </x:c>
      <x:c r="E1005" s="7" t="str">
        <x:v>AM-05</x:v>
      </x:c>
      <x:c r="F1005" s="7" t="str">
        <x:v>TR-A</x:v>
      </x:c>
      <x:c r="G1005" s="7" t="str">
        <x:v>QE-02</x:v>
      </x:c>
      <x:c r="H1005" s="7" t="str">
        <x:v>P15</x:v>
      </x:c>
      <x:c r="I1005" s="7" t="str">
        <x:v>T+15s</x:v>
      </x:c>
      <x:c r="J1005" s="10" t="str">
        <x:v>AM-06 QE-02 ignition opportunity</x:v>
      </x:c>
      <x:c r="K1005" s="7" t="str"/>
      <x:c r="L1005" s="10" t="str"/>
      <x:c r="M1005" s="7" t="str">
        <x:v>OPEN</x:v>
      </x:c>
    </x:row>
    <x:row r="1006" ht="36" customHeight="1">
      <x:c r="B1006" s="7" t="str">
        <x:v>RAE-E-42-P16</x:v>
      </x:c>
      <x:c r="C1006" s="7" t="str">
        <x:v>RAE-E-42</x:v>
      </x:c>
      <x:c r="D1006" s="7" t="str">
        <x:v>RFP-C2</x:v>
      </x:c>
      <x:c r="E1006" s="7" t="str">
        <x:v>AM-05</x:v>
      </x:c>
      <x:c r="F1006" s="7" t="str">
        <x:v>TR-A</x:v>
      </x:c>
      <x:c r="G1006" s="7" t="str">
        <x:v>QE-02</x:v>
      </x:c>
      <x:c r="H1006" s="7" t="str">
        <x:v>P16</x:v>
      </x:c>
      <x:c r="I1006" s="7" t="str">
        <x:v>T+30s</x:v>
      </x:c>
      <x:c r="J1006" s="10" t="str">
        <x:v>terminal-source decision</x:v>
      </x:c>
      <x:c r="K1006" s="7" t="str"/>
      <x:c r="L1006" s="10" t="str"/>
      <x:c r="M1006" s="7" t="str">
        <x:v>OPEN</x:v>
      </x:c>
    </x:row>
    <x:row r="1007" ht="36" customHeight="1">
      <x:c r="B1007" s="7" t="str">
        <x:v>RAE-E-42-P17</x:v>
      </x:c>
      <x:c r="C1007" s="7" t="str">
        <x:v>RAE-E-42</x:v>
      </x:c>
      <x:c r="D1007" s="7" t="str">
        <x:v>RFP-C2</x:v>
      </x:c>
      <x:c r="E1007" s="7" t="str">
        <x:v>AM-05</x:v>
      </x:c>
      <x:c r="F1007" s="7" t="str">
        <x:v>TR-A</x:v>
      </x:c>
      <x:c r="G1007" s="7" t="str">
        <x:v>QE-02</x:v>
      </x:c>
      <x:c r="H1007" s="7" t="str">
        <x:v>P17</x:v>
      </x:c>
      <x:c r="I1007" s="7" t="str">
        <x:v>T+120s</x:v>
      </x:c>
      <x:c r="J1007" s="10" t="str">
        <x:v>public schedule end</x:v>
      </x:c>
      <x:c r="K1007" s="7" t="str"/>
      <x:c r="L1007" s="10" t="str"/>
      <x:c r="M1007" s="7" t="str">
        <x:v>OPEN</x:v>
      </x:c>
    </x:row>
    <x:row r="1008" ht="36" customHeight="1">
      <x:c r="B1008" s="7" t="str">
        <x:v>RAE-E-42-P18</x:v>
      </x:c>
      <x:c r="C1008" s="7" t="str">
        <x:v>RAE-E-42</x:v>
      </x:c>
      <x:c r="D1008" s="7" t="str">
        <x:v>RFP-C2</x:v>
      </x:c>
      <x:c r="E1008" s="7" t="str">
        <x:v>AM-05</x:v>
      </x:c>
      <x:c r="F1008" s="7" t="str">
        <x:v>TR-A</x:v>
      </x:c>
      <x:c r="G1008" s="7" t="str">
        <x:v>QE-02</x:v>
      </x:c>
      <x:c r="H1008" s="7" t="str">
        <x:v>P18</x:v>
      </x:c>
      <x:c r="I1008" s="7" t="str">
        <x:v>T+15min</x:v>
      </x:c>
      <x:c r="J1008" s="10" t="str">
        <x:v>thermal and water classification</x:v>
      </x:c>
      <x:c r="K1008" s="7" t="str"/>
      <x:c r="L1008" s="10" t="str"/>
      <x:c r="M1008" s="7" t="str">
        <x:v>OPEN</x:v>
      </x:c>
    </x:row>
    <x:row r="1009" ht="36" customHeight="1">
      <x:c r="B1009" s="7" t="str">
        <x:v>RAE-E-42-P19</x:v>
      </x:c>
      <x:c r="C1009" s="7" t="str">
        <x:v>RAE-E-42</x:v>
      </x:c>
      <x:c r="D1009" s="7" t="str">
        <x:v>RFP-C2</x:v>
      </x:c>
      <x:c r="E1009" s="7" t="str">
        <x:v>AM-05</x:v>
      </x:c>
      <x:c r="F1009" s="7" t="str">
        <x:v>TR-A</x:v>
      </x:c>
      <x:c r="G1009" s="7" t="str">
        <x:v>QE-02</x:v>
      </x:c>
      <x:c r="H1009" s="7" t="str">
        <x:v>P19</x:v>
      </x:c>
      <x:c r="I1009" s="7" t="str">
        <x:v>T+30min</x:v>
      </x:c>
      <x:c r="J1009" s="10" t="str">
        <x:v>public intervention classification</x:v>
      </x:c>
      <x:c r="K1009" s="7" t="str"/>
      <x:c r="L1009" s="10" t="str"/>
      <x:c r="M1009" s="7" t="str">
        <x:v>OPEN</x:v>
      </x:c>
    </x:row>
    <x:row r="1010" ht="36" customHeight="1">
      <x:c r="B1010" s="7" t="str">
        <x:v>RAE-E-42-P20</x:v>
      </x:c>
      <x:c r="C1010" s="7" t="str">
        <x:v>RAE-E-42</x:v>
      </x:c>
      <x:c r="D1010" s="7" t="str">
        <x:v>RFP-C2</x:v>
      </x:c>
      <x:c r="E1010" s="7" t="str">
        <x:v>AM-05</x:v>
      </x:c>
      <x:c r="F1010" s="7" t="str">
        <x:v>TR-A</x:v>
      </x:c>
      <x:c r="G1010" s="7" t="str">
        <x:v>QE-02</x:v>
      </x:c>
      <x:c r="H1010" s="7" t="str">
        <x:v>P20</x:v>
      </x:c>
      <x:c r="I1010" s="7" t="str">
        <x:v>T+60min</x:v>
      </x:c>
      <x:c r="J1010" s="10" t="str">
        <x:v>remote-entry classification</x:v>
      </x:c>
      <x:c r="K1010" s="7" t="str"/>
      <x:c r="L1010" s="10" t="str"/>
      <x:c r="M1010" s="7" t="str">
        <x:v>OPEN</x:v>
      </x:c>
    </x:row>
    <x:row r="1011" ht="36" customHeight="1">
      <x:c r="B1011" s="7" t="str">
        <x:v>RAE-E-42-P21</x:v>
      </x:c>
      <x:c r="C1011" s="7" t="str">
        <x:v>RAE-E-42</x:v>
      </x:c>
      <x:c r="D1011" s="7" t="str">
        <x:v>RFP-C2</x:v>
      </x:c>
      <x:c r="E1011" s="7" t="str">
        <x:v>AM-05</x:v>
      </x:c>
      <x:c r="F1011" s="7" t="str">
        <x:v>TR-A</x:v>
      </x:c>
      <x:c r="G1011" s="7" t="str">
        <x:v>QE-02</x:v>
      </x:c>
      <x:c r="H1011" s="7" t="str">
        <x:v>P21</x:v>
      </x:c>
      <x:c r="I1011" s="7" t="str">
        <x:v>T+6h</x:v>
      </x:c>
      <x:c r="J1011" s="10" t="str">
        <x:v>evidence tail closure</x:v>
      </x:c>
      <x:c r="K1011" s="7" t="str"/>
      <x:c r="L1011" s="10" t="str"/>
      <x:c r="M1011" s="7" t="str">
        <x:v>OPEN</x:v>
      </x:c>
    </x:row>
    <x:row r="1012" ht="36" customHeight="1">
      <x:c r="B1012" s="7" t="str">
        <x:v>RAE-E-42-P22</x:v>
      </x:c>
      <x:c r="C1012" s="7" t="str">
        <x:v>RAE-E-42</x:v>
      </x:c>
      <x:c r="D1012" s="7" t="str">
        <x:v>RFP-C2</x:v>
      </x:c>
      <x:c r="E1012" s="7" t="str">
        <x:v>AM-05</x:v>
      </x:c>
      <x:c r="F1012" s="7" t="str">
        <x:v>TR-A</x:v>
      </x:c>
      <x:c r="G1012" s="7" t="str">
        <x:v>QE-02</x:v>
      </x:c>
      <x:c r="H1012" s="7" t="str">
        <x:v>P22</x:v>
      </x:c>
      <x:c r="I1012" s="7" t="str">
        <x:v>T+24h</x:v>
      </x:c>
      <x:c r="J1012" s="10" t="str">
        <x:v>physical ledger closure</x:v>
      </x:c>
      <x:c r="K1012" s="7" t="str"/>
      <x:c r="L1012" s="10" t="str"/>
      <x:c r="M1012" s="7" t="str">
        <x:v>OPEN</x:v>
      </x:c>
    </x:row>
    <x:row r="1013" ht="36" customHeight="1">
      <x:c r="B1013" s="7" t="str">
        <x:v>RAE-E-42-P23</x:v>
      </x:c>
      <x:c r="C1013" s="7" t="str">
        <x:v>RAE-E-42</x:v>
      </x:c>
      <x:c r="D1013" s="7" t="str">
        <x:v>RFP-C2</x:v>
      </x:c>
      <x:c r="E1013" s="7" t="str">
        <x:v>AM-05</x:v>
      </x:c>
      <x:c r="F1013" s="7" t="str">
        <x:v>TR-A</x:v>
      </x:c>
      <x:c r="G1013" s="7" t="str">
        <x:v>QE-02</x:v>
      </x:c>
      <x:c r="H1013" s="7" t="str">
        <x:v>P23</x:v>
      </x:c>
      <x:c r="I1013" s="7" t="str">
        <x:v>T+72h</x:v>
      </x:c>
      <x:c r="J1013" s="10" t="str">
        <x:v>immutable packet freeze</x:v>
      </x:c>
      <x:c r="K1013" s="7" t="str"/>
      <x:c r="L1013" s="10" t="str"/>
      <x:c r="M1013" s="7" t="str">
        <x:v>OPEN</x:v>
      </x:c>
    </x:row>
    <x:row r="1014" ht="36" customHeight="1">
      <x:c r="B1014" s="7" t="str">
        <x:v>RAE-E-42-P24</x:v>
      </x:c>
      <x:c r="C1014" s="7" t="str">
        <x:v>RAE-E-42</x:v>
      </x:c>
      <x:c r="D1014" s="7" t="str">
        <x:v>RFP-C2</x:v>
      </x:c>
      <x:c r="E1014" s="7" t="str">
        <x:v>AM-05</x:v>
      </x:c>
      <x:c r="F1014" s="7" t="str">
        <x:v>TR-A</x:v>
      </x:c>
      <x:c r="G1014" s="7" t="str">
        <x:v>QE-02</x:v>
      </x:c>
      <x:c r="H1014" s="7" t="str">
        <x:v>P24</x:v>
      </x:c>
      <x:c r="I1014" s="7" t="str">
        <x:v>day 7</x:v>
      </x:c>
      <x:c r="J1014" s="10" t="str">
        <x:v>validity and outcome board</x:v>
      </x:c>
      <x:c r="K1014" s="7" t="str"/>
      <x:c r="L1014" s="10" t="str"/>
      <x:c r="M1014" s="7" t="str">
        <x:v>OPEN</x:v>
      </x:c>
    </x:row>
    <x:row r="1015" ht="36" customHeight="1">
      <x:c r="B1015" s="7" t="str">
        <x:v>RAE-E-43-P01</x:v>
      </x:c>
      <x:c r="C1015" s="7" t="str">
        <x:v>RAE-E-43</x:v>
      </x:c>
      <x:c r="D1015" s="7" t="str">
        <x:v>RFP-C2</x:v>
      </x:c>
      <x:c r="E1015" s="7" t="str">
        <x:v>AM-05</x:v>
      </x:c>
      <x:c r="F1015" s="7" t="str">
        <x:v>TR-B</x:v>
      </x:c>
      <x:c r="G1015" s="7" t="str">
        <x:v>QE-01</x:v>
      </x:c>
      <x:c r="H1015" s="7" t="str">
        <x:v>P01</x:v>
      </x:c>
      <x:c r="I1015" s="7" t="str">
        <x:v>T-96h</x:v>
      </x:c>
      <x:c r="J1015" s="10" t="str">
        <x:v>baseline freeze</x:v>
      </x:c>
      <x:c r="K1015" s="7" t="str"/>
      <x:c r="L1015" s="10" t="str"/>
      <x:c r="M1015" s="7" t="str">
        <x:v>OPEN</x:v>
      </x:c>
    </x:row>
    <x:row r="1016" ht="36" customHeight="1">
      <x:c r="B1016" s="7" t="str">
        <x:v>RAE-E-43-P02</x:v>
      </x:c>
      <x:c r="C1016" s="7" t="str">
        <x:v>RAE-E-43</x:v>
      </x:c>
      <x:c r="D1016" s="7" t="str">
        <x:v>RFP-C2</x:v>
      </x:c>
      <x:c r="E1016" s="7" t="str">
        <x:v>AM-05</x:v>
      </x:c>
      <x:c r="F1016" s="7" t="str">
        <x:v>TR-B</x:v>
      </x:c>
      <x:c r="G1016" s="7" t="str">
        <x:v>QE-01</x:v>
      </x:c>
      <x:c r="H1016" s="7" t="str">
        <x:v>P02</x:v>
      </x:c>
      <x:c r="I1016" s="7" t="str">
        <x:v>T-72h</x:v>
      </x:c>
      <x:c r="J1016" s="10" t="str">
        <x:v>source and water custody freeze</x:v>
      </x:c>
      <x:c r="K1016" s="7" t="str"/>
      <x:c r="L1016" s="10" t="str"/>
      <x:c r="M1016" s="7" t="str">
        <x:v>OPEN</x:v>
      </x:c>
    </x:row>
    <x:row r="1017" ht="36" customHeight="1">
      <x:c r="B1017" s="7" t="str">
        <x:v>RAE-E-43-P03</x:v>
      </x:c>
      <x:c r="C1017" s="7" t="str">
        <x:v>RAE-E-43</x:v>
      </x:c>
      <x:c r="D1017" s="7" t="str">
        <x:v>RFP-C2</x:v>
      </x:c>
      <x:c r="E1017" s="7" t="str">
        <x:v>AM-05</x:v>
      </x:c>
      <x:c r="F1017" s="7" t="str">
        <x:v>TR-B</x:v>
      </x:c>
      <x:c r="G1017" s="7" t="str">
        <x:v>QE-01</x:v>
      </x:c>
      <x:c r="H1017" s="7" t="str">
        <x:v>P03</x:v>
      </x:c>
      <x:c r="I1017" s="7" t="str">
        <x:v>T-48h</x:v>
      </x:c>
      <x:c r="J1017" s="10" t="str">
        <x:v>article and configuration identity</x:v>
      </x:c>
      <x:c r="K1017" s="7" t="str"/>
      <x:c r="L1017" s="10" t="str"/>
      <x:c r="M1017" s="7" t="str">
        <x:v>OPEN</x:v>
      </x:c>
    </x:row>
    <x:row r="1018" ht="36" customHeight="1">
      <x:c r="B1018" s="7" t="str">
        <x:v>RAE-E-43-P04</x:v>
      </x:c>
      <x:c r="C1018" s="7" t="str">
        <x:v>RAE-E-43</x:v>
      </x:c>
      <x:c r="D1018" s="7" t="str">
        <x:v>RFP-C2</x:v>
      </x:c>
      <x:c r="E1018" s="7" t="str">
        <x:v>AM-05</x:v>
      </x:c>
      <x:c r="F1018" s="7" t="str">
        <x:v>TR-B</x:v>
      </x:c>
      <x:c r="G1018" s="7" t="str">
        <x:v>QE-01</x:v>
      </x:c>
      <x:c r="H1018" s="7" t="str">
        <x:v>P04</x:v>
      </x:c>
      <x:c r="I1018" s="7" t="str">
        <x:v>T-24h</x:v>
      </x:c>
      <x:c r="J1018" s="10" t="str">
        <x:v>environment and recovery readiness</x:v>
      </x:c>
      <x:c r="K1018" s="7" t="str"/>
      <x:c r="L1018" s="10" t="str"/>
      <x:c r="M1018" s="7" t="str">
        <x:v>OPEN</x:v>
      </x:c>
    </x:row>
    <x:row r="1019" ht="36" customHeight="1">
      <x:c r="B1019" s="7" t="str">
        <x:v>RAE-E-43-P05</x:v>
      </x:c>
      <x:c r="C1019" s="7" t="str">
        <x:v>RAE-E-43</x:v>
      </x:c>
      <x:c r="D1019" s="7" t="str">
        <x:v>RFP-C2</x:v>
      </x:c>
      <x:c r="E1019" s="7" t="str">
        <x:v>AM-05</x:v>
      </x:c>
      <x:c r="F1019" s="7" t="str">
        <x:v>TR-B</x:v>
      </x:c>
      <x:c r="G1019" s="7" t="str">
        <x:v>QE-01</x:v>
      </x:c>
      <x:c r="H1019" s="7" t="str">
        <x:v>P05</x:v>
      </x:c>
      <x:c r="I1019" s="7" t="str">
        <x:v>T-12h</x:v>
      </x:c>
      <x:c r="J1019" s="10" t="str">
        <x:v>rescue posture</x:v>
      </x:c>
      <x:c r="K1019" s="7" t="str"/>
      <x:c r="L1019" s="10" t="str"/>
      <x:c r="M1019" s="7" t="str">
        <x:v>OPEN</x:v>
      </x:c>
    </x:row>
    <x:row r="1020" ht="36" customHeight="1">
      <x:c r="B1020" s="7" t="str">
        <x:v>RAE-E-43-P06</x:v>
      </x:c>
      <x:c r="C1020" s="7" t="str">
        <x:v>RAE-E-43</x:v>
      </x:c>
      <x:c r="D1020" s="7" t="str">
        <x:v>RFP-C2</x:v>
      </x:c>
      <x:c r="E1020" s="7" t="str">
        <x:v>AM-05</x:v>
      </x:c>
      <x:c r="F1020" s="7" t="str">
        <x:v>TR-B</x:v>
      </x:c>
      <x:c r="G1020" s="7" t="str">
        <x:v>QE-01</x:v>
      </x:c>
      <x:c r="H1020" s="7" t="str">
        <x:v>P06</x:v>
      </x:c>
      <x:c r="I1020" s="7" t="str">
        <x:v>T-6h</x:v>
      </x:c>
      <x:c r="J1020" s="10" t="str">
        <x:v>calibration before state</x:v>
      </x:c>
      <x:c r="K1020" s="7" t="str"/>
      <x:c r="L1020" s="10" t="str"/>
      <x:c r="M1020" s="7" t="str">
        <x:v>OPEN</x:v>
      </x:c>
    </x:row>
    <x:row r="1021" ht="36" customHeight="1">
      <x:c r="B1021" s="7" t="str">
        <x:v>RAE-E-43-P07</x:v>
      </x:c>
      <x:c r="C1021" s="7" t="str">
        <x:v>RAE-E-43</x:v>
      </x:c>
      <x:c r="D1021" s="7" t="str">
        <x:v>RFP-C2</x:v>
      </x:c>
      <x:c r="E1021" s="7" t="str">
        <x:v>AM-05</x:v>
      </x:c>
      <x:c r="F1021" s="7" t="str">
        <x:v>TR-B</x:v>
      </x:c>
      <x:c r="G1021" s="7" t="str">
        <x:v>QE-01</x:v>
      </x:c>
      <x:c r="H1021" s="7" t="str">
        <x:v>P07</x:v>
      </x:c>
      <x:c r="I1021" s="7" t="str">
        <x:v>T-2h</x:v>
      </x:c>
      <x:c r="J1021" s="10" t="str">
        <x:v>receiver initial-volume proof</x:v>
      </x:c>
      <x:c r="K1021" s="7" t="str"/>
      <x:c r="L1021" s="10" t="str"/>
      <x:c r="M1021" s="7" t="str">
        <x:v>OPEN</x:v>
      </x:c>
    </x:row>
    <x:row r="1022" ht="36" customHeight="1">
      <x:c r="B1022" s="7" t="str">
        <x:v>RAE-E-43-P08</x:v>
      </x:c>
      <x:c r="C1022" s="7" t="str">
        <x:v>RAE-E-43</x:v>
      </x:c>
      <x:c r="D1022" s="7" t="str">
        <x:v>RFP-C2</x:v>
      </x:c>
      <x:c r="E1022" s="7" t="str">
        <x:v>AM-05</x:v>
      </x:c>
      <x:c r="F1022" s="7" t="str">
        <x:v>TR-B</x:v>
      </x:c>
      <x:c r="G1022" s="7" t="str">
        <x:v>QE-01</x:v>
      </x:c>
      <x:c r="H1022" s="7" t="str">
        <x:v>P08</x:v>
      </x:c>
      <x:c r="I1022" s="7" t="str">
        <x:v>T-60min</x:v>
      </x:c>
      <x:c r="J1022" s="10" t="str">
        <x:v>neighbor inert-state proof</x:v>
      </x:c>
      <x:c r="K1022" s="7" t="str"/>
      <x:c r="L1022" s="10" t="str"/>
      <x:c r="M1022" s="7" t="str">
        <x:v>OPEN</x:v>
      </x:c>
    </x:row>
    <x:row r="1023" ht="36" customHeight="1">
      <x:c r="B1023" s="7" t="str">
        <x:v>RAE-E-43-P09</x:v>
      </x:c>
      <x:c r="C1023" s="7" t="str">
        <x:v>RAE-E-43</x:v>
      </x:c>
      <x:c r="D1023" s="7" t="str">
        <x:v>RFP-C2</x:v>
      </x:c>
      <x:c r="E1023" s="7" t="str">
        <x:v>AM-05</x:v>
      </x:c>
      <x:c r="F1023" s="7" t="str">
        <x:v>TR-B</x:v>
      </x:c>
      <x:c r="G1023" s="7" t="str">
        <x:v>QE-01</x:v>
      </x:c>
      <x:c r="H1023" s="7" t="str">
        <x:v>P09</x:v>
      </x:c>
      <x:c r="I1023" s="7" t="str">
        <x:v>T-30min</x:v>
      </x:c>
      <x:c r="J1023" s="10" t="str">
        <x:v>native evidence armed</x:v>
      </x:c>
      <x:c r="K1023" s="7" t="str"/>
      <x:c r="L1023" s="10" t="str"/>
      <x:c r="M1023" s="7" t="str">
        <x:v>OPEN</x:v>
      </x:c>
    </x:row>
    <x:row r="1024" ht="36" customHeight="1">
      <x:c r="B1024" s="7" t="str">
        <x:v>RAE-E-43-P10</x:v>
      </x:c>
      <x:c r="C1024" s="7" t="str">
        <x:v>RAE-E-43</x:v>
      </x:c>
      <x:c r="D1024" s="7" t="str">
        <x:v>RFP-C2</x:v>
      </x:c>
      <x:c r="E1024" s="7" t="str">
        <x:v>AM-05</x:v>
      </x:c>
      <x:c r="F1024" s="7" t="str">
        <x:v>TR-B</x:v>
      </x:c>
      <x:c r="G1024" s="7" t="str">
        <x:v>QE-01</x:v>
      </x:c>
      <x:c r="H1024" s="7" t="str">
        <x:v>P10</x:v>
      </x:c>
      <x:c r="I1024" s="7" t="str">
        <x:v>T-10min</x:v>
      </x:c>
      <x:c r="J1024" s="10" t="str">
        <x:v>final control poll</x:v>
      </x:c>
      <x:c r="K1024" s="7" t="str"/>
      <x:c r="L1024" s="10" t="str"/>
      <x:c r="M1024" s="7" t="str">
        <x:v>OPEN</x:v>
      </x:c>
    </x:row>
    <x:row r="1025" ht="36" customHeight="1">
      <x:c r="B1025" s="7" t="str">
        <x:v>RAE-E-43-P11</x:v>
      </x:c>
      <x:c r="C1025" s="7" t="str">
        <x:v>RAE-E-43</x:v>
      </x:c>
      <x:c r="D1025" s="7" t="str">
        <x:v>RFP-C2</x:v>
      </x:c>
      <x:c r="E1025" s="7" t="str">
        <x:v>AM-05</x:v>
      </x:c>
      <x:c r="F1025" s="7" t="str">
        <x:v>TR-B</x:v>
      </x:c>
      <x:c r="G1025" s="7" t="str">
        <x:v>QE-01</x:v>
      </x:c>
      <x:c r="H1025" s="7" t="str">
        <x:v>P11</x:v>
      </x:c>
      <x:c r="I1025" s="7" t="str">
        <x:v>T-60s</x:v>
      </x:c>
      <x:c r="J1025" s="10" t="str">
        <x:v>full-rate capture</x:v>
      </x:c>
      <x:c r="K1025" s="7" t="str"/>
      <x:c r="L1025" s="10" t="str"/>
      <x:c r="M1025" s="7" t="str">
        <x:v>OPEN</x:v>
      </x:c>
    </x:row>
    <x:row r="1026" ht="36" customHeight="1">
      <x:c r="B1026" s="7" t="str">
        <x:v>RAE-E-43-P12</x:v>
      </x:c>
      <x:c r="C1026" s="7" t="str">
        <x:v>RAE-E-43</x:v>
      </x:c>
      <x:c r="D1026" s="7" t="str">
        <x:v>RFP-C2</x:v>
      </x:c>
      <x:c r="E1026" s="7" t="str">
        <x:v>AM-05</x:v>
      </x:c>
      <x:c r="F1026" s="7" t="str">
        <x:v>TR-B</x:v>
      </x:c>
      <x:c r="G1026" s="7" t="str">
        <x:v>QE-01</x:v>
      </x:c>
      <x:c r="H1026" s="7" t="str">
        <x:v>P12</x:v>
      </x:c>
      <x:c r="I1026" s="7" t="str">
        <x:v>T-10s</x:v>
      </x:c>
      <x:c r="J1026" s="10" t="str">
        <x:v>registered challenge state</x:v>
      </x:c>
      <x:c r="K1026" s="7" t="str"/>
      <x:c r="L1026" s="10" t="str"/>
      <x:c r="M1026" s="7" t="str">
        <x:v>OPEN</x:v>
      </x:c>
    </x:row>
    <x:row r="1027" ht="36" customHeight="1">
      <x:c r="B1027" s="7" t="str">
        <x:v>RAE-E-43-P13</x:v>
      </x:c>
      <x:c r="C1027" s="7" t="str">
        <x:v>RAE-E-43</x:v>
      </x:c>
      <x:c r="D1027" s="7" t="str">
        <x:v>RFP-C2</x:v>
      </x:c>
      <x:c r="E1027" s="7" t="str">
        <x:v>AM-05</x:v>
      </x:c>
      <x:c r="F1027" s="7" t="str">
        <x:v>TR-B</x:v>
      </x:c>
      <x:c r="G1027" s="7" t="str">
        <x:v>QE-01</x:v>
      </x:c>
      <x:c r="H1027" s="7" t="str">
        <x:v>P13</x:v>
      </x:c>
      <x:c r="I1027" s="7" t="str">
        <x:v>T0</x:v>
      </x:c>
      <x:c r="J1027" s="10" t="str">
        <x:v>source command or zero-source marker</x:v>
      </x:c>
      <x:c r="K1027" s="7" t="str"/>
      <x:c r="L1027" s="10" t="str"/>
      <x:c r="M1027" s="7" t="str">
        <x:v>OPEN</x:v>
      </x:c>
    </x:row>
    <x:row r="1028" ht="36" customHeight="1">
      <x:c r="B1028" s="7" t="str">
        <x:v>RAE-E-43-P14</x:v>
      </x:c>
      <x:c r="C1028" s="7" t="str">
        <x:v>RAE-E-43</x:v>
      </x:c>
      <x:c r="D1028" s="7" t="str">
        <x:v>RFP-C2</x:v>
      </x:c>
      <x:c r="E1028" s="7" t="str">
        <x:v>AM-05</x:v>
      </x:c>
      <x:c r="F1028" s="7" t="str">
        <x:v>TR-B</x:v>
      </x:c>
      <x:c r="G1028" s="7" t="str">
        <x:v>QE-01</x:v>
      </x:c>
      <x:c r="H1028" s="7" t="str">
        <x:v>P14</x:v>
      </x:c>
      <x:c r="I1028" s="7" t="str">
        <x:v>T+2s</x:v>
      </x:c>
      <x:c r="J1028" s="10" t="str">
        <x:v>inlet and dispenser final state</x:v>
      </x:c>
      <x:c r="K1028" s="7" t="str"/>
      <x:c r="L1028" s="10" t="str"/>
      <x:c r="M1028" s="7" t="str">
        <x:v>OPEN</x:v>
      </x:c>
    </x:row>
    <x:row r="1029" ht="36" customHeight="1">
      <x:c r="B1029" s="7" t="str">
        <x:v>RAE-E-43-P15</x:v>
      </x:c>
      <x:c r="C1029" s="7" t="str">
        <x:v>RAE-E-43</x:v>
      </x:c>
      <x:c r="D1029" s="7" t="str">
        <x:v>RFP-C2</x:v>
      </x:c>
      <x:c r="E1029" s="7" t="str">
        <x:v>AM-05</x:v>
      </x:c>
      <x:c r="F1029" s="7" t="str">
        <x:v>TR-B</x:v>
      </x:c>
      <x:c r="G1029" s="7" t="str">
        <x:v>QE-01</x:v>
      </x:c>
      <x:c r="H1029" s="7" t="str">
        <x:v>P15</x:v>
      </x:c>
      <x:c r="I1029" s="7" t="str">
        <x:v>T+15s</x:v>
      </x:c>
      <x:c r="J1029" s="10" t="str">
        <x:v>AM-06 QE-02 ignition opportunity</x:v>
      </x:c>
      <x:c r="K1029" s="7" t="str"/>
      <x:c r="L1029" s="10" t="str"/>
      <x:c r="M1029" s="7" t="str">
        <x:v>OPEN</x:v>
      </x:c>
    </x:row>
    <x:row r="1030" ht="36" customHeight="1">
      <x:c r="B1030" s="7" t="str">
        <x:v>RAE-E-43-P16</x:v>
      </x:c>
      <x:c r="C1030" s="7" t="str">
        <x:v>RAE-E-43</x:v>
      </x:c>
      <x:c r="D1030" s="7" t="str">
        <x:v>RFP-C2</x:v>
      </x:c>
      <x:c r="E1030" s="7" t="str">
        <x:v>AM-05</x:v>
      </x:c>
      <x:c r="F1030" s="7" t="str">
        <x:v>TR-B</x:v>
      </x:c>
      <x:c r="G1030" s="7" t="str">
        <x:v>QE-01</x:v>
      </x:c>
      <x:c r="H1030" s="7" t="str">
        <x:v>P16</x:v>
      </x:c>
      <x:c r="I1030" s="7" t="str">
        <x:v>T+30s</x:v>
      </x:c>
      <x:c r="J1030" s="10" t="str">
        <x:v>terminal-source decision</x:v>
      </x:c>
      <x:c r="K1030" s="7" t="str"/>
      <x:c r="L1030" s="10" t="str"/>
      <x:c r="M1030" s="7" t="str">
        <x:v>OPEN</x:v>
      </x:c>
    </x:row>
    <x:row r="1031" ht="36" customHeight="1">
      <x:c r="B1031" s="7" t="str">
        <x:v>RAE-E-43-P17</x:v>
      </x:c>
      <x:c r="C1031" s="7" t="str">
        <x:v>RAE-E-43</x:v>
      </x:c>
      <x:c r="D1031" s="7" t="str">
        <x:v>RFP-C2</x:v>
      </x:c>
      <x:c r="E1031" s="7" t="str">
        <x:v>AM-05</x:v>
      </x:c>
      <x:c r="F1031" s="7" t="str">
        <x:v>TR-B</x:v>
      </x:c>
      <x:c r="G1031" s="7" t="str">
        <x:v>QE-01</x:v>
      </x:c>
      <x:c r="H1031" s="7" t="str">
        <x:v>P17</x:v>
      </x:c>
      <x:c r="I1031" s="7" t="str">
        <x:v>T+120s</x:v>
      </x:c>
      <x:c r="J1031" s="10" t="str">
        <x:v>public schedule end</x:v>
      </x:c>
      <x:c r="K1031" s="7" t="str"/>
      <x:c r="L1031" s="10" t="str"/>
      <x:c r="M1031" s="7" t="str">
        <x:v>OPEN</x:v>
      </x:c>
    </x:row>
    <x:row r="1032" ht="36" customHeight="1">
      <x:c r="B1032" s="7" t="str">
        <x:v>RAE-E-43-P18</x:v>
      </x:c>
      <x:c r="C1032" s="7" t="str">
        <x:v>RAE-E-43</x:v>
      </x:c>
      <x:c r="D1032" s="7" t="str">
        <x:v>RFP-C2</x:v>
      </x:c>
      <x:c r="E1032" s="7" t="str">
        <x:v>AM-05</x:v>
      </x:c>
      <x:c r="F1032" s="7" t="str">
        <x:v>TR-B</x:v>
      </x:c>
      <x:c r="G1032" s="7" t="str">
        <x:v>QE-01</x:v>
      </x:c>
      <x:c r="H1032" s="7" t="str">
        <x:v>P18</x:v>
      </x:c>
      <x:c r="I1032" s="7" t="str">
        <x:v>T+15min</x:v>
      </x:c>
      <x:c r="J1032" s="10" t="str">
        <x:v>thermal and water classification</x:v>
      </x:c>
      <x:c r="K1032" s="7" t="str"/>
      <x:c r="L1032" s="10" t="str"/>
      <x:c r="M1032" s="7" t="str">
        <x:v>OPEN</x:v>
      </x:c>
    </x:row>
    <x:row r="1033" ht="36" customHeight="1">
      <x:c r="B1033" s="7" t="str">
        <x:v>RAE-E-43-P19</x:v>
      </x:c>
      <x:c r="C1033" s="7" t="str">
        <x:v>RAE-E-43</x:v>
      </x:c>
      <x:c r="D1033" s="7" t="str">
        <x:v>RFP-C2</x:v>
      </x:c>
      <x:c r="E1033" s="7" t="str">
        <x:v>AM-05</x:v>
      </x:c>
      <x:c r="F1033" s="7" t="str">
        <x:v>TR-B</x:v>
      </x:c>
      <x:c r="G1033" s="7" t="str">
        <x:v>QE-01</x:v>
      </x:c>
      <x:c r="H1033" s="7" t="str">
        <x:v>P19</x:v>
      </x:c>
      <x:c r="I1033" s="7" t="str">
        <x:v>T+30min</x:v>
      </x:c>
      <x:c r="J1033" s="10" t="str">
        <x:v>public intervention classification</x:v>
      </x:c>
      <x:c r="K1033" s="7" t="str"/>
      <x:c r="L1033" s="10" t="str"/>
      <x:c r="M1033" s="7" t="str">
        <x:v>OPEN</x:v>
      </x:c>
    </x:row>
    <x:row r="1034" ht="36" customHeight="1">
      <x:c r="B1034" s="7" t="str">
        <x:v>RAE-E-43-P20</x:v>
      </x:c>
      <x:c r="C1034" s="7" t="str">
        <x:v>RAE-E-43</x:v>
      </x:c>
      <x:c r="D1034" s="7" t="str">
        <x:v>RFP-C2</x:v>
      </x:c>
      <x:c r="E1034" s="7" t="str">
        <x:v>AM-05</x:v>
      </x:c>
      <x:c r="F1034" s="7" t="str">
        <x:v>TR-B</x:v>
      </x:c>
      <x:c r="G1034" s="7" t="str">
        <x:v>QE-01</x:v>
      </x:c>
      <x:c r="H1034" s="7" t="str">
        <x:v>P20</x:v>
      </x:c>
      <x:c r="I1034" s="7" t="str">
        <x:v>T+60min</x:v>
      </x:c>
      <x:c r="J1034" s="10" t="str">
        <x:v>remote-entry classification</x:v>
      </x:c>
      <x:c r="K1034" s="7" t="str"/>
      <x:c r="L1034" s="10" t="str"/>
      <x:c r="M1034" s="7" t="str">
        <x:v>OPEN</x:v>
      </x:c>
    </x:row>
    <x:row r="1035" ht="36" customHeight="1">
      <x:c r="B1035" s="7" t="str">
        <x:v>RAE-E-43-P21</x:v>
      </x:c>
      <x:c r="C1035" s="7" t="str">
        <x:v>RAE-E-43</x:v>
      </x:c>
      <x:c r="D1035" s="7" t="str">
        <x:v>RFP-C2</x:v>
      </x:c>
      <x:c r="E1035" s="7" t="str">
        <x:v>AM-05</x:v>
      </x:c>
      <x:c r="F1035" s="7" t="str">
        <x:v>TR-B</x:v>
      </x:c>
      <x:c r="G1035" s="7" t="str">
        <x:v>QE-01</x:v>
      </x:c>
      <x:c r="H1035" s="7" t="str">
        <x:v>P21</x:v>
      </x:c>
      <x:c r="I1035" s="7" t="str">
        <x:v>T+6h</x:v>
      </x:c>
      <x:c r="J1035" s="10" t="str">
        <x:v>evidence tail closure</x:v>
      </x:c>
      <x:c r="K1035" s="7" t="str"/>
      <x:c r="L1035" s="10" t="str"/>
      <x:c r="M1035" s="7" t="str">
        <x:v>OPEN</x:v>
      </x:c>
    </x:row>
    <x:row r="1036" ht="36" customHeight="1">
      <x:c r="B1036" s="7" t="str">
        <x:v>RAE-E-43-P22</x:v>
      </x:c>
      <x:c r="C1036" s="7" t="str">
        <x:v>RAE-E-43</x:v>
      </x:c>
      <x:c r="D1036" s="7" t="str">
        <x:v>RFP-C2</x:v>
      </x:c>
      <x:c r="E1036" s="7" t="str">
        <x:v>AM-05</x:v>
      </x:c>
      <x:c r="F1036" s="7" t="str">
        <x:v>TR-B</x:v>
      </x:c>
      <x:c r="G1036" s="7" t="str">
        <x:v>QE-01</x:v>
      </x:c>
      <x:c r="H1036" s="7" t="str">
        <x:v>P22</x:v>
      </x:c>
      <x:c r="I1036" s="7" t="str">
        <x:v>T+24h</x:v>
      </x:c>
      <x:c r="J1036" s="10" t="str">
        <x:v>physical ledger closure</x:v>
      </x:c>
      <x:c r="K1036" s="7" t="str"/>
      <x:c r="L1036" s="10" t="str"/>
      <x:c r="M1036" s="7" t="str">
        <x:v>OPEN</x:v>
      </x:c>
    </x:row>
    <x:row r="1037" ht="36" customHeight="1">
      <x:c r="B1037" s="7" t="str">
        <x:v>RAE-E-43-P23</x:v>
      </x:c>
      <x:c r="C1037" s="7" t="str">
        <x:v>RAE-E-43</x:v>
      </x:c>
      <x:c r="D1037" s="7" t="str">
        <x:v>RFP-C2</x:v>
      </x:c>
      <x:c r="E1037" s="7" t="str">
        <x:v>AM-05</x:v>
      </x:c>
      <x:c r="F1037" s="7" t="str">
        <x:v>TR-B</x:v>
      </x:c>
      <x:c r="G1037" s="7" t="str">
        <x:v>QE-01</x:v>
      </x:c>
      <x:c r="H1037" s="7" t="str">
        <x:v>P23</x:v>
      </x:c>
      <x:c r="I1037" s="7" t="str">
        <x:v>T+72h</x:v>
      </x:c>
      <x:c r="J1037" s="10" t="str">
        <x:v>immutable packet freeze</x:v>
      </x:c>
      <x:c r="K1037" s="7" t="str"/>
      <x:c r="L1037" s="10" t="str"/>
      <x:c r="M1037" s="7" t="str">
        <x:v>OPEN</x:v>
      </x:c>
    </x:row>
    <x:row r="1038" ht="36" customHeight="1">
      <x:c r="B1038" s="7" t="str">
        <x:v>RAE-E-43-P24</x:v>
      </x:c>
      <x:c r="C1038" s="7" t="str">
        <x:v>RAE-E-43</x:v>
      </x:c>
      <x:c r="D1038" s="7" t="str">
        <x:v>RFP-C2</x:v>
      </x:c>
      <x:c r="E1038" s="7" t="str">
        <x:v>AM-05</x:v>
      </x:c>
      <x:c r="F1038" s="7" t="str">
        <x:v>TR-B</x:v>
      </x:c>
      <x:c r="G1038" s="7" t="str">
        <x:v>QE-01</x:v>
      </x:c>
      <x:c r="H1038" s="7" t="str">
        <x:v>P24</x:v>
      </x:c>
      <x:c r="I1038" s="7" t="str">
        <x:v>day 7</x:v>
      </x:c>
      <x:c r="J1038" s="10" t="str">
        <x:v>validity and outcome board</x:v>
      </x:c>
      <x:c r="K1038" s="7" t="str"/>
      <x:c r="L1038" s="10" t="str"/>
      <x:c r="M1038" s="7" t="str">
        <x:v>OPEN</x:v>
      </x:c>
    </x:row>
    <x:row r="1039" ht="36" customHeight="1">
      <x:c r="B1039" s="7" t="str">
        <x:v>RAE-E-44-P01</x:v>
      </x:c>
      <x:c r="C1039" s="7" t="str">
        <x:v>RAE-E-44</x:v>
      </x:c>
      <x:c r="D1039" s="7" t="str">
        <x:v>RFP-C2</x:v>
      </x:c>
      <x:c r="E1039" s="7" t="str">
        <x:v>AM-05</x:v>
      </x:c>
      <x:c r="F1039" s="7" t="str">
        <x:v>TR-B</x:v>
      </x:c>
      <x:c r="G1039" s="7" t="str">
        <x:v>QE-02</x:v>
      </x:c>
      <x:c r="H1039" s="7" t="str">
        <x:v>P01</x:v>
      </x:c>
      <x:c r="I1039" s="7" t="str">
        <x:v>T-96h</x:v>
      </x:c>
      <x:c r="J1039" s="10" t="str">
        <x:v>baseline freeze</x:v>
      </x:c>
      <x:c r="K1039" s="7" t="str"/>
      <x:c r="L1039" s="10" t="str"/>
      <x:c r="M1039" s="7" t="str">
        <x:v>OPEN</x:v>
      </x:c>
    </x:row>
    <x:row r="1040" ht="36" customHeight="1">
      <x:c r="B1040" s="7" t="str">
        <x:v>RAE-E-44-P02</x:v>
      </x:c>
      <x:c r="C1040" s="7" t="str">
        <x:v>RAE-E-44</x:v>
      </x:c>
      <x:c r="D1040" s="7" t="str">
        <x:v>RFP-C2</x:v>
      </x:c>
      <x:c r="E1040" s="7" t="str">
        <x:v>AM-05</x:v>
      </x:c>
      <x:c r="F1040" s="7" t="str">
        <x:v>TR-B</x:v>
      </x:c>
      <x:c r="G1040" s="7" t="str">
        <x:v>QE-02</x:v>
      </x:c>
      <x:c r="H1040" s="7" t="str">
        <x:v>P02</x:v>
      </x:c>
      <x:c r="I1040" s="7" t="str">
        <x:v>T-72h</x:v>
      </x:c>
      <x:c r="J1040" s="10" t="str">
        <x:v>source and water custody freeze</x:v>
      </x:c>
      <x:c r="K1040" s="7" t="str"/>
      <x:c r="L1040" s="10" t="str"/>
      <x:c r="M1040" s="7" t="str">
        <x:v>OPEN</x:v>
      </x:c>
    </x:row>
    <x:row r="1041" ht="36" customHeight="1">
      <x:c r="B1041" s="7" t="str">
        <x:v>RAE-E-44-P03</x:v>
      </x:c>
      <x:c r="C1041" s="7" t="str">
        <x:v>RAE-E-44</x:v>
      </x:c>
      <x:c r="D1041" s="7" t="str">
        <x:v>RFP-C2</x:v>
      </x:c>
      <x:c r="E1041" s="7" t="str">
        <x:v>AM-05</x:v>
      </x:c>
      <x:c r="F1041" s="7" t="str">
        <x:v>TR-B</x:v>
      </x:c>
      <x:c r="G1041" s="7" t="str">
        <x:v>QE-02</x:v>
      </x:c>
      <x:c r="H1041" s="7" t="str">
        <x:v>P03</x:v>
      </x:c>
      <x:c r="I1041" s="7" t="str">
        <x:v>T-48h</x:v>
      </x:c>
      <x:c r="J1041" s="10" t="str">
        <x:v>article and configuration identity</x:v>
      </x:c>
      <x:c r="K1041" s="7" t="str"/>
      <x:c r="L1041" s="10" t="str"/>
      <x:c r="M1041" s="7" t="str">
        <x:v>OPEN</x:v>
      </x:c>
    </x:row>
    <x:row r="1042" ht="36" customHeight="1">
      <x:c r="B1042" s="7" t="str">
        <x:v>RAE-E-44-P04</x:v>
      </x:c>
      <x:c r="C1042" s="7" t="str">
        <x:v>RAE-E-44</x:v>
      </x:c>
      <x:c r="D1042" s="7" t="str">
        <x:v>RFP-C2</x:v>
      </x:c>
      <x:c r="E1042" s="7" t="str">
        <x:v>AM-05</x:v>
      </x:c>
      <x:c r="F1042" s="7" t="str">
        <x:v>TR-B</x:v>
      </x:c>
      <x:c r="G1042" s="7" t="str">
        <x:v>QE-02</x:v>
      </x:c>
      <x:c r="H1042" s="7" t="str">
        <x:v>P04</x:v>
      </x:c>
      <x:c r="I1042" s="7" t="str">
        <x:v>T-24h</x:v>
      </x:c>
      <x:c r="J1042" s="10" t="str">
        <x:v>environment and recovery readiness</x:v>
      </x:c>
      <x:c r="K1042" s="7" t="str"/>
      <x:c r="L1042" s="10" t="str"/>
      <x:c r="M1042" s="7" t="str">
        <x:v>OPEN</x:v>
      </x:c>
    </x:row>
    <x:row r="1043" ht="36" customHeight="1">
      <x:c r="B1043" s="7" t="str">
        <x:v>RAE-E-44-P05</x:v>
      </x:c>
      <x:c r="C1043" s="7" t="str">
        <x:v>RAE-E-44</x:v>
      </x:c>
      <x:c r="D1043" s="7" t="str">
        <x:v>RFP-C2</x:v>
      </x:c>
      <x:c r="E1043" s="7" t="str">
        <x:v>AM-05</x:v>
      </x:c>
      <x:c r="F1043" s="7" t="str">
        <x:v>TR-B</x:v>
      </x:c>
      <x:c r="G1043" s="7" t="str">
        <x:v>QE-02</x:v>
      </x:c>
      <x:c r="H1043" s="7" t="str">
        <x:v>P05</x:v>
      </x:c>
      <x:c r="I1043" s="7" t="str">
        <x:v>T-12h</x:v>
      </x:c>
      <x:c r="J1043" s="10" t="str">
        <x:v>rescue posture</x:v>
      </x:c>
      <x:c r="K1043" s="7" t="str"/>
      <x:c r="L1043" s="10" t="str"/>
      <x:c r="M1043" s="7" t="str">
        <x:v>OPEN</x:v>
      </x:c>
    </x:row>
    <x:row r="1044" ht="36" customHeight="1">
      <x:c r="B1044" s="7" t="str">
        <x:v>RAE-E-44-P06</x:v>
      </x:c>
      <x:c r="C1044" s="7" t="str">
        <x:v>RAE-E-44</x:v>
      </x:c>
      <x:c r="D1044" s="7" t="str">
        <x:v>RFP-C2</x:v>
      </x:c>
      <x:c r="E1044" s="7" t="str">
        <x:v>AM-05</x:v>
      </x:c>
      <x:c r="F1044" s="7" t="str">
        <x:v>TR-B</x:v>
      </x:c>
      <x:c r="G1044" s="7" t="str">
        <x:v>QE-02</x:v>
      </x:c>
      <x:c r="H1044" s="7" t="str">
        <x:v>P06</x:v>
      </x:c>
      <x:c r="I1044" s="7" t="str">
        <x:v>T-6h</x:v>
      </x:c>
      <x:c r="J1044" s="10" t="str">
        <x:v>calibration before state</x:v>
      </x:c>
      <x:c r="K1044" s="7" t="str"/>
      <x:c r="L1044" s="10" t="str"/>
      <x:c r="M1044" s="7" t="str">
        <x:v>OPEN</x:v>
      </x:c>
    </x:row>
    <x:row r="1045" ht="36" customHeight="1">
      <x:c r="B1045" s="7" t="str">
        <x:v>RAE-E-44-P07</x:v>
      </x:c>
      <x:c r="C1045" s="7" t="str">
        <x:v>RAE-E-44</x:v>
      </x:c>
      <x:c r="D1045" s="7" t="str">
        <x:v>RFP-C2</x:v>
      </x:c>
      <x:c r="E1045" s="7" t="str">
        <x:v>AM-05</x:v>
      </x:c>
      <x:c r="F1045" s="7" t="str">
        <x:v>TR-B</x:v>
      </x:c>
      <x:c r="G1045" s="7" t="str">
        <x:v>QE-02</x:v>
      </x:c>
      <x:c r="H1045" s="7" t="str">
        <x:v>P07</x:v>
      </x:c>
      <x:c r="I1045" s="7" t="str">
        <x:v>T-2h</x:v>
      </x:c>
      <x:c r="J1045" s="10" t="str">
        <x:v>receiver initial-volume proof</x:v>
      </x:c>
      <x:c r="K1045" s="7" t="str"/>
      <x:c r="L1045" s="10" t="str"/>
      <x:c r="M1045" s="7" t="str">
        <x:v>OPEN</x:v>
      </x:c>
    </x:row>
    <x:row r="1046" ht="36" customHeight="1">
      <x:c r="B1046" s="7" t="str">
        <x:v>RAE-E-44-P08</x:v>
      </x:c>
      <x:c r="C1046" s="7" t="str">
        <x:v>RAE-E-44</x:v>
      </x:c>
      <x:c r="D1046" s="7" t="str">
        <x:v>RFP-C2</x:v>
      </x:c>
      <x:c r="E1046" s="7" t="str">
        <x:v>AM-05</x:v>
      </x:c>
      <x:c r="F1046" s="7" t="str">
        <x:v>TR-B</x:v>
      </x:c>
      <x:c r="G1046" s="7" t="str">
        <x:v>QE-02</x:v>
      </x:c>
      <x:c r="H1046" s="7" t="str">
        <x:v>P08</x:v>
      </x:c>
      <x:c r="I1046" s="7" t="str">
        <x:v>T-60min</x:v>
      </x:c>
      <x:c r="J1046" s="10" t="str">
        <x:v>neighbor inert-state proof</x:v>
      </x:c>
      <x:c r="K1046" s="7" t="str"/>
      <x:c r="L1046" s="10" t="str"/>
      <x:c r="M1046" s="7" t="str">
        <x:v>OPEN</x:v>
      </x:c>
    </x:row>
    <x:row r="1047" ht="36" customHeight="1">
      <x:c r="B1047" s="7" t="str">
        <x:v>RAE-E-44-P09</x:v>
      </x:c>
      <x:c r="C1047" s="7" t="str">
        <x:v>RAE-E-44</x:v>
      </x:c>
      <x:c r="D1047" s="7" t="str">
        <x:v>RFP-C2</x:v>
      </x:c>
      <x:c r="E1047" s="7" t="str">
        <x:v>AM-05</x:v>
      </x:c>
      <x:c r="F1047" s="7" t="str">
        <x:v>TR-B</x:v>
      </x:c>
      <x:c r="G1047" s="7" t="str">
        <x:v>QE-02</x:v>
      </x:c>
      <x:c r="H1047" s="7" t="str">
        <x:v>P09</x:v>
      </x:c>
      <x:c r="I1047" s="7" t="str">
        <x:v>T-30min</x:v>
      </x:c>
      <x:c r="J1047" s="10" t="str">
        <x:v>native evidence armed</x:v>
      </x:c>
      <x:c r="K1047" s="7" t="str"/>
      <x:c r="L1047" s="10" t="str"/>
      <x:c r="M1047" s="7" t="str">
        <x:v>OPEN</x:v>
      </x:c>
    </x:row>
    <x:row r="1048" ht="36" customHeight="1">
      <x:c r="B1048" s="7" t="str">
        <x:v>RAE-E-44-P10</x:v>
      </x:c>
      <x:c r="C1048" s="7" t="str">
        <x:v>RAE-E-44</x:v>
      </x:c>
      <x:c r="D1048" s="7" t="str">
        <x:v>RFP-C2</x:v>
      </x:c>
      <x:c r="E1048" s="7" t="str">
        <x:v>AM-05</x:v>
      </x:c>
      <x:c r="F1048" s="7" t="str">
        <x:v>TR-B</x:v>
      </x:c>
      <x:c r="G1048" s="7" t="str">
        <x:v>QE-02</x:v>
      </x:c>
      <x:c r="H1048" s="7" t="str">
        <x:v>P10</x:v>
      </x:c>
      <x:c r="I1048" s="7" t="str">
        <x:v>T-10min</x:v>
      </x:c>
      <x:c r="J1048" s="10" t="str">
        <x:v>final control poll</x:v>
      </x:c>
      <x:c r="K1048" s="7" t="str"/>
      <x:c r="L1048" s="10" t="str"/>
      <x:c r="M1048" s="7" t="str">
        <x:v>OPEN</x:v>
      </x:c>
    </x:row>
    <x:row r="1049" ht="36" customHeight="1">
      <x:c r="B1049" s="7" t="str">
        <x:v>RAE-E-44-P11</x:v>
      </x:c>
      <x:c r="C1049" s="7" t="str">
        <x:v>RAE-E-44</x:v>
      </x:c>
      <x:c r="D1049" s="7" t="str">
        <x:v>RFP-C2</x:v>
      </x:c>
      <x:c r="E1049" s="7" t="str">
        <x:v>AM-05</x:v>
      </x:c>
      <x:c r="F1049" s="7" t="str">
        <x:v>TR-B</x:v>
      </x:c>
      <x:c r="G1049" s="7" t="str">
        <x:v>QE-02</x:v>
      </x:c>
      <x:c r="H1049" s="7" t="str">
        <x:v>P11</x:v>
      </x:c>
      <x:c r="I1049" s="7" t="str">
        <x:v>T-60s</x:v>
      </x:c>
      <x:c r="J1049" s="10" t="str">
        <x:v>full-rate capture</x:v>
      </x:c>
      <x:c r="K1049" s="7" t="str"/>
      <x:c r="L1049" s="10" t="str"/>
      <x:c r="M1049" s="7" t="str">
        <x:v>OPEN</x:v>
      </x:c>
    </x:row>
    <x:row r="1050" ht="36" customHeight="1">
      <x:c r="B1050" s="7" t="str">
        <x:v>RAE-E-44-P12</x:v>
      </x:c>
      <x:c r="C1050" s="7" t="str">
        <x:v>RAE-E-44</x:v>
      </x:c>
      <x:c r="D1050" s="7" t="str">
        <x:v>RFP-C2</x:v>
      </x:c>
      <x:c r="E1050" s="7" t="str">
        <x:v>AM-05</x:v>
      </x:c>
      <x:c r="F1050" s="7" t="str">
        <x:v>TR-B</x:v>
      </x:c>
      <x:c r="G1050" s="7" t="str">
        <x:v>QE-02</x:v>
      </x:c>
      <x:c r="H1050" s="7" t="str">
        <x:v>P12</x:v>
      </x:c>
      <x:c r="I1050" s="7" t="str">
        <x:v>T-10s</x:v>
      </x:c>
      <x:c r="J1050" s="10" t="str">
        <x:v>registered challenge state</x:v>
      </x:c>
      <x:c r="K1050" s="7" t="str"/>
      <x:c r="L1050" s="10" t="str"/>
      <x:c r="M1050" s="7" t="str">
        <x:v>OPEN</x:v>
      </x:c>
    </x:row>
    <x:row r="1051" ht="36" customHeight="1">
      <x:c r="B1051" s="7" t="str">
        <x:v>RAE-E-44-P13</x:v>
      </x:c>
      <x:c r="C1051" s="7" t="str">
        <x:v>RAE-E-44</x:v>
      </x:c>
      <x:c r="D1051" s="7" t="str">
        <x:v>RFP-C2</x:v>
      </x:c>
      <x:c r="E1051" s="7" t="str">
        <x:v>AM-05</x:v>
      </x:c>
      <x:c r="F1051" s="7" t="str">
        <x:v>TR-B</x:v>
      </x:c>
      <x:c r="G1051" s="7" t="str">
        <x:v>QE-02</x:v>
      </x:c>
      <x:c r="H1051" s="7" t="str">
        <x:v>P13</x:v>
      </x:c>
      <x:c r="I1051" s="7" t="str">
        <x:v>T0</x:v>
      </x:c>
      <x:c r="J1051" s="10" t="str">
        <x:v>source command or zero-source marker</x:v>
      </x:c>
      <x:c r="K1051" s="7" t="str"/>
      <x:c r="L1051" s="10" t="str"/>
      <x:c r="M1051" s="7" t="str">
        <x:v>OPEN</x:v>
      </x:c>
    </x:row>
    <x:row r="1052" ht="36" customHeight="1">
      <x:c r="B1052" s="7" t="str">
        <x:v>RAE-E-44-P14</x:v>
      </x:c>
      <x:c r="C1052" s="7" t="str">
        <x:v>RAE-E-44</x:v>
      </x:c>
      <x:c r="D1052" s="7" t="str">
        <x:v>RFP-C2</x:v>
      </x:c>
      <x:c r="E1052" s="7" t="str">
        <x:v>AM-05</x:v>
      </x:c>
      <x:c r="F1052" s="7" t="str">
        <x:v>TR-B</x:v>
      </x:c>
      <x:c r="G1052" s="7" t="str">
        <x:v>QE-02</x:v>
      </x:c>
      <x:c r="H1052" s="7" t="str">
        <x:v>P14</x:v>
      </x:c>
      <x:c r="I1052" s="7" t="str">
        <x:v>T+2s</x:v>
      </x:c>
      <x:c r="J1052" s="10" t="str">
        <x:v>inlet and dispenser final state</x:v>
      </x:c>
      <x:c r="K1052" s="7" t="str"/>
      <x:c r="L1052" s="10" t="str"/>
      <x:c r="M1052" s="7" t="str">
        <x:v>OPEN</x:v>
      </x:c>
    </x:row>
    <x:row r="1053" ht="36" customHeight="1">
      <x:c r="B1053" s="7" t="str">
        <x:v>RAE-E-44-P15</x:v>
      </x:c>
      <x:c r="C1053" s="7" t="str">
        <x:v>RAE-E-44</x:v>
      </x:c>
      <x:c r="D1053" s="7" t="str">
        <x:v>RFP-C2</x:v>
      </x:c>
      <x:c r="E1053" s="7" t="str">
        <x:v>AM-05</x:v>
      </x:c>
      <x:c r="F1053" s="7" t="str">
        <x:v>TR-B</x:v>
      </x:c>
      <x:c r="G1053" s="7" t="str">
        <x:v>QE-02</x:v>
      </x:c>
      <x:c r="H1053" s="7" t="str">
        <x:v>P15</x:v>
      </x:c>
      <x:c r="I1053" s="7" t="str">
        <x:v>T+15s</x:v>
      </x:c>
      <x:c r="J1053" s="10" t="str">
        <x:v>AM-06 QE-02 ignition opportunity</x:v>
      </x:c>
      <x:c r="K1053" s="7" t="str"/>
      <x:c r="L1053" s="10" t="str"/>
      <x:c r="M1053" s="7" t="str">
        <x:v>OPEN</x:v>
      </x:c>
    </x:row>
    <x:row r="1054" ht="36" customHeight="1">
      <x:c r="B1054" s="7" t="str">
        <x:v>RAE-E-44-P16</x:v>
      </x:c>
      <x:c r="C1054" s="7" t="str">
        <x:v>RAE-E-44</x:v>
      </x:c>
      <x:c r="D1054" s="7" t="str">
        <x:v>RFP-C2</x:v>
      </x:c>
      <x:c r="E1054" s="7" t="str">
        <x:v>AM-05</x:v>
      </x:c>
      <x:c r="F1054" s="7" t="str">
        <x:v>TR-B</x:v>
      </x:c>
      <x:c r="G1054" s="7" t="str">
        <x:v>QE-02</x:v>
      </x:c>
      <x:c r="H1054" s="7" t="str">
        <x:v>P16</x:v>
      </x:c>
      <x:c r="I1054" s="7" t="str">
        <x:v>T+30s</x:v>
      </x:c>
      <x:c r="J1054" s="10" t="str">
        <x:v>terminal-source decision</x:v>
      </x:c>
      <x:c r="K1054" s="7" t="str"/>
      <x:c r="L1054" s="10" t="str"/>
      <x:c r="M1054" s="7" t="str">
        <x:v>OPEN</x:v>
      </x:c>
    </x:row>
    <x:row r="1055" ht="36" customHeight="1">
      <x:c r="B1055" s="7" t="str">
        <x:v>RAE-E-44-P17</x:v>
      </x:c>
      <x:c r="C1055" s="7" t="str">
        <x:v>RAE-E-44</x:v>
      </x:c>
      <x:c r="D1055" s="7" t="str">
        <x:v>RFP-C2</x:v>
      </x:c>
      <x:c r="E1055" s="7" t="str">
        <x:v>AM-05</x:v>
      </x:c>
      <x:c r="F1055" s="7" t="str">
        <x:v>TR-B</x:v>
      </x:c>
      <x:c r="G1055" s="7" t="str">
        <x:v>QE-02</x:v>
      </x:c>
      <x:c r="H1055" s="7" t="str">
        <x:v>P17</x:v>
      </x:c>
      <x:c r="I1055" s="7" t="str">
        <x:v>T+120s</x:v>
      </x:c>
      <x:c r="J1055" s="10" t="str">
        <x:v>public schedule end</x:v>
      </x:c>
      <x:c r="K1055" s="7" t="str"/>
      <x:c r="L1055" s="10" t="str"/>
      <x:c r="M1055" s="7" t="str">
        <x:v>OPEN</x:v>
      </x:c>
    </x:row>
    <x:row r="1056" ht="36" customHeight="1">
      <x:c r="B1056" s="7" t="str">
        <x:v>RAE-E-44-P18</x:v>
      </x:c>
      <x:c r="C1056" s="7" t="str">
        <x:v>RAE-E-44</x:v>
      </x:c>
      <x:c r="D1056" s="7" t="str">
        <x:v>RFP-C2</x:v>
      </x:c>
      <x:c r="E1056" s="7" t="str">
        <x:v>AM-05</x:v>
      </x:c>
      <x:c r="F1056" s="7" t="str">
        <x:v>TR-B</x:v>
      </x:c>
      <x:c r="G1056" s="7" t="str">
        <x:v>QE-02</x:v>
      </x:c>
      <x:c r="H1056" s="7" t="str">
        <x:v>P18</x:v>
      </x:c>
      <x:c r="I1056" s="7" t="str">
        <x:v>T+15min</x:v>
      </x:c>
      <x:c r="J1056" s="10" t="str">
        <x:v>thermal and water classification</x:v>
      </x:c>
      <x:c r="K1056" s="7" t="str"/>
      <x:c r="L1056" s="10" t="str"/>
      <x:c r="M1056" s="7" t="str">
        <x:v>OPEN</x:v>
      </x:c>
    </x:row>
    <x:row r="1057" ht="36" customHeight="1">
      <x:c r="B1057" s="7" t="str">
        <x:v>RAE-E-44-P19</x:v>
      </x:c>
      <x:c r="C1057" s="7" t="str">
        <x:v>RAE-E-44</x:v>
      </x:c>
      <x:c r="D1057" s="7" t="str">
        <x:v>RFP-C2</x:v>
      </x:c>
      <x:c r="E1057" s="7" t="str">
        <x:v>AM-05</x:v>
      </x:c>
      <x:c r="F1057" s="7" t="str">
        <x:v>TR-B</x:v>
      </x:c>
      <x:c r="G1057" s="7" t="str">
        <x:v>QE-02</x:v>
      </x:c>
      <x:c r="H1057" s="7" t="str">
        <x:v>P19</x:v>
      </x:c>
      <x:c r="I1057" s="7" t="str">
        <x:v>T+30min</x:v>
      </x:c>
      <x:c r="J1057" s="10" t="str">
        <x:v>public intervention classification</x:v>
      </x:c>
      <x:c r="K1057" s="7" t="str"/>
      <x:c r="L1057" s="10" t="str"/>
      <x:c r="M1057" s="7" t="str">
        <x:v>OPEN</x:v>
      </x:c>
    </x:row>
    <x:row r="1058" ht="36" customHeight="1">
      <x:c r="B1058" s="7" t="str">
        <x:v>RAE-E-44-P20</x:v>
      </x:c>
      <x:c r="C1058" s="7" t="str">
        <x:v>RAE-E-44</x:v>
      </x:c>
      <x:c r="D1058" s="7" t="str">
        <x:v>RFP-C2</x:v>
      </x:c>
      <x:c r="E1058" s="7" t="str">
        <x:v>AM-05</x:v>
      </x:c>
      <x:c r="F1058" s="7" t="str">
        <x:v>TR-B</x:v>
      </x:c>
      <x:c r="G1058" s="7" t="str">
        <x:v>QE-02</x:v>
      </x:c>
      <x:c r="H1058" s="7" t="str">
        <x:v>P20</x:v>
      </x:c>
      <x:c r="I1058" s="7" t="str">
        <x:v>T+60min</x:v>
      </x:c>
      <x:c r="J1058" s="10" t="str">
        <x:v>remote-entry classification</x:v>
      </x:c>
      <x:c r="K1058" s="7" t="str"/>
      <x:c r="L1058" s="10" t="str"/>
      <x:c r="M1058" s="7" t="str">
        <x:v>OPEN</x:v>
      </x:c>
    </x:row>
    <x:row r="1059" ht="36" customHeight="1">
      <x:c r="B1059" s="7" t="str">
        <x:v>RAE-E-44-P21</x:v>
      </x:c>
      <x:c r="C1059" s="7" t="str">
        <x:v>RAE-E-44</x:v>
      </x:c>
      <x:c r="D1059" s="7" t="str">
        <x:v>RFP-C2</x:v>
      </x:c>
      <x:c r="E1059" s="7" t="str">
        <x:v>AM-05</x:v>
      </x:c>
      <x:c r="F1059" s="7" t="str">
        <x:v>TR-B</x:v>
      </x:c>
      <x:c r="G1059" s="7" t="str">
        <x:v>QE-02</x:v>
      </x:c>
      <x:c r="H1059" s="7" t="str">
        <x:v>P21</x:v>
      </x:c>
      <x:c r="I1059" s="7" t="str">
        <x:v>T+6h</x:v>
      </x:c>
      <x:c r="J1059" s="10" t="str">
        <x:v>evidence tail closure</x:v>
      </x:c>
      <x:c r="K1059" s="7" t="str"/>
      <x:c r="L1059" s="10" t="str"/>
      <x:c r="M1059" s="7" t="str">
        <x:v>OPEN</x:v>
      </x:c>
    </x:row>
    <x:row r="1060" ht="36" customHeight="1">
      <x:c r="B1060" s="7" t="str">
        <x:v>RAE-E-44-P22</x:v>
      </x:c>
      <x:c r="C1060" s="7" t="str">
        <x:v>RAE-E-44</x:v>
      </x:c>
      <x:c r="D1060" s="7" t="str">
        <x:v>RFP-C2</x:v>
      </x:c>
      <x:c r="E1060" s="7" t="str">
        <x:v>AM-05</x:v>
      </x:c>
      <x:c r="F1060" s="7" t="str">
        <x:v>TR-B</x:v>
      </x:c>
      <x:c r="G1060" s="7" t="str">
        <x:v>QE-02</x:v>
      </x:c>
      <x:c r="H1060" s="7" t="str">
        <x:v>P22</x:v>
      </x:c>
      <x:c r="I1060" s="7" t="str">
        <x:v>T+24h</x:v>
      </x:c>
      <x:c r="J1060" s="10" t="str">
        <x:v>physical ledger closure</x:v>
      </x:c>
      <x:c r="K1060" s="7" t="str"/>
      <x:c r="L1060" s="10" t="str"/>
      <x:c r="M1060" s="7" t="str">
        <x:v>OPEN</x:v>
      </x:c>
    </x:row>
    <x:row r="1061" ht="36" customHeight="1">
      <x:c r="B1061" s="7" t="str">
        <x:v>RAE-E-44-P23</x:v>
      </x:c>
      <x:c r="C1061" s="7" t="str">
        <x:v>RAE-E-44</x:v>
      </x:c>
      <x:c r="D1061" s="7" t="str">
        <x:v>RFP-C2</x:v>
      </x:c>
      <x:c r="E1061" s="7" t="str">
        <x:v>AM-05</x:v>
      </x:c>
      <x:c r="F1061" s="7" t="str">
        <x:v>TR-B</x:v>
      </x:c>
      <x:c r="G1061" s="7" t="str">
        <x:v>QE-02</x:v>
      </x:c>
      <x:c r="H1061" s="7" t="str">
        <x:v>P23</x:v>
      </x:c>
      <x:c r="I1061" s="7" t="str">
        <x:v>T+72h</x:v>
      </x:c>
      <x:c r="J1061" s="10" t="str">
        <x:v>immutable packet freeze</x:v>
      </x:c>
      <x:c r="K1061" s="7" t="str"/>
      <x:c r="L1061" s="10" t="str"/>
      <x:c r="M1061" s="7" t="str">
        <x:v>OPEN</x:v>
      </x:c>
    </x:row>
    <x:row r="1062" ht="36" customHeight="1">
      <x:c r="B1062" s="7" t="str">
        <x:v>RAE-E-44-P24</x:v>
      </x:c>
      <x:c r="C1062" s="7" t="str">
        <x:v>RAE-E-44</x:v>
      </x:c>
      <x:c r="D1062" s="7" t="str">
        <x:v>RFP-C2</x:v>
      </x:c>
      <x:c r="E1062" s="7" t="str">
        <x:v>AM-05</x:v>
      </x:c>
      <x:c r="F1062" s="7" t="str">
        <x:v>TR-B</x:v>
      </x:c>
      <x:c r="G1062" s="7" t="str">
        <x:v>QE-02</x:v>
      </x:c>
      <x:c r="H1062" s="7" t="str">
        <x:v>P24</x:v>
      </x:c>
      <x:c r="I1062" s="7" t="str">
        <x:v>day 7</x:v>
      </x:c>
      <x:c r="J1062" s="10" t="str">
        <x:v>validity and outcome board</x:v>
      </x:c>
      <x:c r="K1062" s="7" t="str"/>
      <x:c r="L1062" s="10" t="str"/>
      <x:c r="M1062" s="7" t="str">
        <x:v>OPEN</x:v>
      </x:c>
    </x:row>
    <x:row r="1063" ht="36" customHeight="1">
      <x:c r="B1063" s="7" t="str">
        <x:v>RAE-E-45-P01</x:v>
      </x:c>
      <x:c r="C1063" s="7" t="str">
        <x:v>RAE-E-45</x:v>
      </x:c>
      <x:c r="D1063" s="7" t="str">
        <x:v>RFP-C2</x:v>
      </x:c>
      <x:c r="E1063" s="7" t="str">
        <x:v>AM-06</x:v>
      </x:c>
      <x:c r="F1063" s="7" t="str">
        <x:v>TR-A</x:v>
      </x:c>
      <x:c r="G1063" s="7" t="str">
        <x:v>QE-01</x:v>
      </x:c>
      <x:c r="H1063" s="7" t="str">
        <x:v>P01</x:v>
      </x:c>
      <x:c r="I1063" s="7" t="str">
        <x:v>T-96h</x:v>
      </x:c>
      <x:c r="J1063" s="10" t="str">
        <x:v>baseline freeze</x:v>
      </x:c>
      <x:c r="K1063" s="7" t="str"/>
      <x:c r="L1063" s="10" t="str"/>
      <x:c r="M1063" s="7" t="str">
        <x:v>OPEN</x:v>
      </x:c>
    </x:row>
    <x:row r="1064" ht="36" customHeight="1">
      <x:c r="B1064" s="7" t="str">
        <x:v>RAE-E-45-P02</x:v>
      </x:c>
      <x:c r="C1064" s="7" t="str">
        <x:v>RAE-E-45</x:v>
      </x:c>
      <x:c r="D1064" s="7" t="str">
        <x:v>RFP-C2</x:v>
      </x:c>
      <x:c r="E1064" s="7" t="str">
        <x:v>AM-06</x:v>
      </x:c>
      <x:c r="F1064" s="7" t="str">
        <x:v>TR-A</x:v>
      </x:c>
      <x:c r="G1064" s="7" t="str">
        <x:v>QE-01</x:v>
      </x:c>
      <x:c r="H1064" s="7" t="str">
        <x:v>P02</x:v>
      </x:c>
      <x:c r="I1064" s="7" t="str">
        <x:v>T-72h</x:v>
      </x:c>
      <x:c r="J1064" s="10" t="str">
        <x:v>source and water custody freeze</x:v>
      </x:c>
      <x:c r="K1064" s="7" t="str"/>
      <x:c r="L1064" s="10" t="str"/>
      <x:c r="M1064" s="7" t="str">
        <x:v>OPEN</x:v>
      </x:c>
    </x:row>
    <x:row r="1065" ht="36" customHeight="1">
      <x:c r="B1065" s="7" t="str">
        <x:v>RAE-E-45-P03</x:v>
      </x:c>
      <x:c r="C1065" s="7" t="str">
        <x:v>RAE-E-45</x:v>
      </x:c>
      <x:c r="D1065" s="7" t="str">
        <x:v>RFP-C2</x:v>
      </x:c>
      <x:c r="E1065" s="7" t="str">
        <x:v>AM-06</x:v>
      </x:c>
      <x:c r="F1065" s="7" t="str">
        <x:v>TR-A</x:v>
      </x:c>
      <x:c r="G1065" s="7" t="str">
        <x:v>QE-01</x:v>
      </x:c>
      <x:c r="H1065" s="7" t="str">
        <x:v>P03</x:v>
      </x:c>
      <x:c r="I1065" s="7" t="str">
        <x:v>T-48h</x:v>
      </x:c>
      <x:c r="J1065" s="10" t="str">
        <x:v>article and configuration identity</x:v>
      </x:c>
      <x:c r="K1065" s="7" t="str"/>
      <x:c r="L1065" s="10" t="str"/>
      <x:c r="M1065" s="7" t="str">
        <x:v>OPEN</x:v>
      </x:c>
    </x:row>
    <x:row r="1066" ht="36" customHeight="1">
      <x:c r="B1066" s="7" t="str">
        <x:v>RAE-E-45-P04</x:v>
      </x:c>
      <x:c r="C1066" s="7" t="str">
        <x:v>RAE-E-45</x:v>
      </x:c>
      <x:c r="D1066" s="7" t="str">
        <x:v>RFP-C2</x:v>
      </x:c>
      <x:c r="E1066" s="7" t="str">
        <x:v>AM-06</x:v>
      </x:c>
      <x:c r="F1066" s="7" t="str">
        <x:v>TR-A</x:v>
      </x:c>
      <x:c r="G1066" s="7" t="str">
        <x:v>QE-01</x:v>
      </x:c>
      <x:c r="H1066" s="7" t="str">
        <x:v>P04</x:v>
      </x:c>
      <x:c r="I1066" s="7" t="str">
        <x:v>T-24h</x:v>
      </x:c>
      <x:c r="J1066" s="10" t="str">
        <x:v>environment and recovery readiness</x:v>
      </x:c>
      <x:c r="K1066" s="7" t="str"/>
      <x:c r="L1066" s="10" t="str"/>
      <x:c r="M1066" s="7" t="str">
        <x:v>OPEN</x:v>
      </x:c>
    </x:row>
    <x:row r="1067" ht="36" customHeight="1">
      <x:c r="B1067" s="7" t="str">
        <x:v>RAE-E-45-P05</x:v>
      </x:c>
      <x:c r="C1067" s="7" t="str">
        <x:v>RAE-E-45</x:v>
      </x:c>
      <x:c r="D1067" s="7" t="str">
        <x:v>RFP-C2</x:v>
      </x:c>
      <x:c r="E1067" s="7" t="str">
        <x:v>AM-06</x:v>
      </x:c>
      <x:c r="F1067" s="7" t="str">
        <x:v>TR-A</x:v>
      </x:c>
      <x:c r="G1067" s="7" t="str">
        <x:v>QE-01</x:v>
      </x:c>
      <x:c r="H1067" s="7" t="str">
        <x:v>P05</x:v>
      </x:c>
      <x:c r="I1067" s="7" t="str">
        <x:v>T-12h</x:v>
      </x:c>
      <x:c r="J1067" s="10" t="str">
        <x:v>rescue posture</x:v>
      </x:c>
      <x:c r="K1067" s="7" t="str"/>
      <x:c r="L1067" s="10" t="str"/>
      <x:c r="M1067" s="7" t="str">
        <x:v>OPEN</x:v>
      </x:c>
    </x:row>
    <x:row r="1068" ht="36" customHeight="1">
      <x:c r="B1068" s="7" t="str">
        <x:v>RAE-E-45-P06</x:v>
      </x:c>
      <x:c r="C1068" s="7" t="str">
        <x:v>RAE-E-45</x:v>
      </x:c>
      <x:c r="D1068" s="7" t="str">
        <x:v>RFP-C2</x:v>
      </x:c>
      <x:c r="E1068" s="7" t="str">
        <x:v>AM-06</x:v>
      </x:c>
      <x:c r="F1068" s="7" t="str">
        <x:v>TR-A</x:v>
      </x:c>
      <x:c r="G1068" s="7" t="str">
        <x:v>QE-01</x:v>
      </x:c>
      <x:c r="H1068" s="7" t="str">
        <x:v>P06</x:v>
      </x:c>
      <x:c r="I1068" s="7" t="str">
        <x:v>T-6h</x:v>
      </x:c>
      <x:c r="J1068" s="10" t="str">
        <x:v>calibration before state</x:v>
      </x:c>
      <x:c r="K1068" s="7" t="str"/>
      <x:c r="L1068" s="10" t="str"/>
      <x:c r="M1068" s="7" t="str">
        <x:v>OPEN</x:v>
      </x:c>
    </x:row>
    <x:row r="1069" ht="36" customHeight="1">
      <x:c r="B1069" s="7" t="str">
        <x:v>RAE-E-45-P07</x:v>
      </x:c>
      <x:c r="C1069" s="7" t="str">
        <x:v>RAE-E-45</x:v>
      </x:c>
      <x:c r="D1069" s="7" t="str">
        <x:v>RFP-C2</x:v>
      </x:c>
      <x:c r="E1069" s="7" t="str">
        <x:v>AM-06</x:v>
      </x:c>
      <x:c r="F1069" s="7" t="str">
        <x:v>TR-A</x:v>
      </x:c>
      <x:c r="G1069" s="7" t="str">
        <x:v>QE-01</x:v>
      </x:c>
      <x:c r="H1069" s="7" t="str">
        <x:v>P07</x:v>
      </x:c>
      <x:c r="I1069" s="7" t="str">
        <x:v>T-2h</x:v>
      </x:c>
      <x:c r="J1069" s="10" t="str">
        <x:v>receiver initial-volume proof</x:v>
      </x:c>
      <x:c r="K1069" s="7" t="str"/>
      <x:c r="L1069" s="10" t="str"/>
      <x:c r="M1069" s="7" t="str">
        <x:v>OPEN</x:v>
      </x:c>
    </x:row>
    <x:row r="1070" ht="36" customHeight="1">
      <x:c r="B1070" s="7" t="str">
        <x:v>RAE-E-45-P08</x:v>
      </x:c>
      <x:c r="C1070" s="7" t="str">
        <x:v>RAE-E-45</x:v>
      </x:c>
      <x:c r="D1070" s="7" t="str">
        <x:v>RFP-C2</x:v>
      </x:c>
      <x:c r="E1070" s="7" t="str">
        <x:v>AM-06</x:v>
      </x:c>
      <x:c r="F1070" s="7" t="str">
        <x:v>TR-A</x:v>
      </x:c>
      <x:c r="G1070" s="7" t="str">
        <x:v>QE-01</x:v>
      </x:c>
      <x:c r="H1070" s="7" t="str">
        <x:v>P08</x:v>
      </x:c>
      <x:c r="I1070" s="7" t="str">
        <x:v>T-60min</x:v>
      </x:c>
      <x:c r="J1070" s="10" t="str">
        <x:v>neighbor inert-state proof</x:v>
      </x:c>
      <x:c r="K1070" s="7" t="str"/>
      <x:c r="L1070" s="10" t="str"/>
      <x:c r="M1070" s="7" t="str">
        <x:v>OPEN</x:v>
      </x:c>
    </x:row>
    <x:row r="1071" ht="36" customHeight="1">
      <x:c r="B1071" s="7" t="str">
        <x:v>RAE-E-45-P09</x:v>
      </x:c>
      <x:c r="C1071" s="7" t="str">
        <x:v>RAE-E-45</x:v>
      </x:c>
      <x:c r="D1071" s="7" t="str">
        <x:v>RFP-C2</x:v>
      </x:c>
      <x:c r="E1071" s="7" t="str">
        <x:v>AM-06</x:v>
      </x:c>
      <x:c r="F1071" s="7" t="str">
        <x:v>TR-A</x:v>
      </x:c>
      <x:c r="G1071" s="7" t="str">
        <x:v>QE-01</x:v>
      </x:c>
      <x:c r="H1071" s="7" t="str">
        <x:v>P09</x:v>
      </x:c>
      <x:c r="I1071" s="7" t="str">
        <x:v>T-30min</x:v>
      </x:c>
      <x:c r="J1071" s="10" t="str">
        <x:v>native evidence armed</x:v>
      </x:c>
      <x:c r="K1071" s="7" t="str"/>
      <x:c r="L1071" s="10" t="str"/>
      <x:c r="M1071" s="7" t="str">
        <x:v>OPEN</x:v>
      </x:c>
    </x:row>
    <x:row r="1072" ht="36" customHeight="1">
      <x:c r="B1072" s="7" t="str">
        <x:v>RAE-E-45-P10</x:v>
      </x:c>
      <x:c r="C1072" s="7" t="str">
        <x:v>RAE-E-45</x:v>
      </x:c>
      <x:c r="D1072" s="7" t="str">
        <x:v>RFP-C2</x:v>
      </x:c>
      <x:c r="E1072" s="7" t="str">
        <x:v>AM-06</x:v>
      </x:c>
      <x:c r="F1072" s="7" t="str">
        <x:v>TR-A</x:v>
      </x:c>
      <x:c r="G1072" s="7" t="str">
        <x:v>QE-01</x:v>
      </x:c>
      <x:c r="H1072" s="7" t="str">
        <x:v>P10</x:v>
      </x:c>
      <x:c r="I1072" s="7" t="str">
        <x:v>T-10min</x:v>
      </x:c>
      <x:c r="J1072" s="10" t="str">
        <x:v>final control poll</x:v>
      </x:c>
      <x:c r="K1072" s="7" t="str"/>
      <x:c r="L1072" s="10" t="str"/>
      <x:c r="M1072" s="7" t="str">
        <x:v>OPEN</x:v>
      </x:c>
    </x:row>
    <x:row r="1073" ht="36" customHeight="1">
      <x:c r="B1073" s="7" t="str">
        <x:v>RAE-E-45-P11</x:v>
      </x:c>
      <x:c r="C1073" s="7" t="str">
        <x:v>RAE-E-45</x:v>
      </x:c>
      <x:c r="D1073" s="7" t="str">
        <x:v>RFP-C2</x:v>
      </x:c>
      <x:c r="E1073" s="7" t="str">
        <x:v>AM-06</x:v>
      </x:c>
      <x:c r="F1073" s="7" t="str">
        <x:v>TR-A</x:v>
      </x:c>
      <x:c r="G1073" s="7" t="str">
        <x:v>QE-01</x:v>
      </x:c>
      <x:c r="H1073" s="7" t="str">
        <x:v>P11</x:v>
      </x:c>
      <x:c r="I1073" s="7" t="str">
        <x:v>T-60s</x:v>
      </x:c>
      <x:c r="J1073" s="10" t="str">
        <x:v>full-rate capture</x:v>
      </x:c>
      <x:c r="K1073" s="7" t="str"/>
      <x:c r="L1073" s="10" t="str"/>
      <x:c r="M1073" s="7" t="str">
        <x:v>OPEN</x:v>
      </x:c>
    </x:row>
    <x:row r="1074" ht="36" customHeight="1">
      <x:c r="B1074" s="7" t="str">
        <x:v>RAE-E-45-P12</x:v>
      </x:c>
      <x:c r="C1074" s="7" t="str">
        <x:v>RAE-E-45</x:v>
      </x:c>
      <x:c r="D1074" s="7" t="str">
        <x:v>RFP-C2</x:v>
      </x:c>
      <x:c r="E1074" s="7" t="str">
        <x:v>AM-06</x:v>
      </x:c>
      <x:c r="F1074" s="7" t="str">
        <x:v>TR-A</x:v>
      </x:c>
      <x:c r="G1074" s="7" t="str">
        <x:v>QE-01</x:v>
      </x:c>
      <x:c r="H1074" s="7" t="str">
        <x:v>P12</x:v>
      </x:c>
      <x:c r="I1074" s="7" t="str">
        <x:v>T-10s</x:v>
      </x:c>
      <x:c r="J1074" s="10" t="str">
        <x:v>registered challenge state</x:v>
      </x:c>
      <x:c r="K1074" s="7" t="str"/>
      <x:c r="L1074" s="10" t="str"/>
      <x:c r="M1074" s="7" t="str">
        <x:v>OPEN</x:v>
      </x:c>
    </x:row>
    <x:row r="1075" ht="36" customHeight="1">
      <x:c r="B1075" s="7" t="str">
        <x:v>RAE-E-45-P13</x:v>
      </x:c>
      <x:c r="C1075" s="7" t="str">
        <x:v>RAE-E-45</x:v>
      </x:c>
      <x:c r="D1075" s="7" t="str">
        <x:v>RFP-C2</x:v>
      </x:c>
      <x:c r="E1075" s="7" t="str">
        <x:v>AM-06</x:v>
      </x:c>
      <x:c r="F1075" s="7" t="str">
        <x:v>TR-A</x:v>
      </x:c>
      <x:c r="G1075" s="7" t="str">
        <x:v>QE-01</x:v>
      </x:c>
      <x:c r="H1075" s="7" t="str">
        <x:v>P13</x:v>
      </x:c>
      <x:c r="I1075" s="7" t="str">
        <x:v>T0</x:v>
      </x:c>
      <x:c r="J1075" s="10" t="str">
        <x:v>source command or zero-source marker</x:v>
      </x:c>
      <x:c r="K1075" s="7" t="str"/>
      <x:c r="L1075" s="10" t="str"/>
      <x:c r="M1075" s="7" t="str">
        <x:v>OPEN</x:v>
      </x:c>
    </x:row>
    <x:row r="1076" ht="36" customHeight="1">
      <x:c r="B1076" s="7" t="str">
        <x:v>RAE-E-45-P14</x:v>
      </x:c>
      <x:c r="C1076" s="7" t="str">
        <x:v>RAE-E-45</x:v>
      </x:c>
      <x:c r="D1076" s="7" t="str">
        <x:v>RFP-C2</x:v>
      </x:c>
      <x:c r="E1076" s="7" t="str">
        <x:v>AM-06</x:v>
      </x:c>
      <x:c r="F1076" s="7" t="str">
        <x:v>TR-A</x:v>
      </x:c>
      <x:c r="G1076" s="7" t="str">
        <x:v>QE-01</x:v>
      </x:c>
      <x:c r="H1076" s="7" t="str">
        <x:v>P14</x:v>
      </x:c>
      <x:c r="I1076" s="7" t="str">
        <x:v>T+2s</x:v>
      </x:c>
      <x:c r="J1076" s="10" t="str">
        <x:v>inlet and dispenser final state</x:v>
      </x:c>
      <x:c r="K1076" s="7" t="str"/>
      <x:c r="L1076" s="10" t="str"/>
      <x:c r="M1076" s="7" t="str">
        <x:v>OPEN</x:v>
      </x:c>
    </x:row>
    <x:row r="1077" ht="36" customHeight="1">
      <x:c r="B1077" s="7" t="str">
        <x:v>RAE-E-45-P15</x:v>
      </x:c>
      <x:c r="C1077" s="7" t="str">
        <x:v>RAE-E-45</x:v>
      </x:c>
      <x:c r="D1077" s="7" t="str">
        <x:v>RFP-C2</x:v>
      </x:c>
      <x:c r="E1077" s="7" t="str">
        <x:v>AM-06</x:v>
      </x:c>
      <x:c r="F1077" s="7" t="str">
        <x:v>TR-A</x:v>
      </x:c>
      <x:c r="G1077" s="7" t="str">
        <x:v>QE-01</x:v>
      </x:c>
      <x:c r="H1077" s="7" t="str">
        <x:v>P15</x:v>
      </x:c>
      <x:c r="I1077" s="7" t="str">
        <x:v>T+15s</x:v>
      </x:c>
      <x:c r="J1077" s="10" t="str">
        <x:v>AM-06 QE-02 ignition opportunity</x:v>
      </x:c>
      <x:c r="K1077" s="7" t="str"/>
      <x:c r="L1077" s="10" t="str"/>
      <x:c r="M1077" s="7" t="str">
        <x:v>OPEN</x:v>
      </x:c>
    </x:row>
    <x:row r="1078" ht="36" customHeight="1">
      <x:c r="B1078" s="7" t="str">
        <x:v>RAE-E-45-P16</x:v>
      </x:c>
      <x:c r="C1078" s="7" t="str">
        <x:v>RAE-E-45</x:v>
      </x:c>
      <x:c r="D1078" s="7" t="str">
        <x:v>RFP-C2</x:v>
      </x:c>
      <x:c r="E1078" s="7" t="str">
        <x:v>AM-06</x:v>
      </x:c>
      <x:c r="F1078" s="7" t="str">
        <x:v>TR-A</x:v>
      </x:c>
      <x:c r="G1078" s="7" t="str">
        <x:v>QE-01</x:v>
      </x:c>
      <x:c r="H1078" s="7" t="str">
        <x:v>P16</x:v>
      </x:c>
      <x:c r="I1078" s="7" t="str">
        <x:v>T+30s</x:v>
      </x:c>
      <x:c r="J1078" s="10" t="str">
        <x:v>terminal-source decision</x:v>
      </x:c>
      <x:c r="K1078" s="7" t="str"/>
      <x:c r="L1078" s="10" t="str"/>
      <x:c r="M1078" s="7" t="str">
        <x:v>OPEN</x:v>
      </x:c>
    </x:row>
    <x:row r="1079" ht="36" customHeight="1">
      <x:c r="B1079" s="7" t="str">
        <x:v>RAE-E-45-P17</x:v>
      </x:c>
      <x:c r="C1079" s="7" t="str">
        <x:v>RAE-E-45</x:v>
      </x:c>
      <x:c r="D1079" s="7" t="str">
        <x:v>RFP-C2</x:v>
      </x:c>
      <x:c r="E1079" s="7" t="str">
        <x:v>AM-06</x:v>
      </x:c>
      <x:c r="F1079" s="7" t="str">
        <x:v>TR-A</x:v>
      </x:c>
      <x:c r="G1079" s="7" t="str">
        <x:v>QE-01</x:v>
      </x:c>
      <x:c r="H1079" s="7" t="str">
        <x:v>P17</x:v>
      </x:c>
      <x:c r="I1079" s="7" t="str">
        <x:v>T+120s</x:v>
      </x:c>
      <x:c r="J1079" s="10" t="str">
        <x:v>public schedule end</x:v>
      </x:c>
      <x:c r="K1079" s="7" t="str"/>
      <x:c r="L1079" s="10" t="str"/>
      <x:c r="M1079" s="7" t="str">
        <x:v>OPEN</x:v>
      </x:c>
    </x:row>
    <x:row r="1080" ht="36" customHeight="1">
      <x:c r="B1080" s="7" t="str">
        <x:v>RAE-E-45-P18</x:v>
      </x:c>
      <x:c r="C1080" s="7" t="str">
        <x:v>RAE-E-45</x:v>
      </x:c>
      <x:c r="D1080" s="7" t="str">
        <x:v>RFP-C2</x:v>
      </x:c>
      <x:c r="E1080" s="7" t="str">
        <x:v>AM-06</x:v>
      </x:c>
      <x:c r="F1080" s="7" t="str">
        <x:v>TR-A</x:v>
      </x:c>
      <x:c r="G1080" s="7" t="str">
        <x:v>QE-01</x:v>
      </x:c>
      <x:c r="H1080" s="7" t="str">
        <x:v>P18</x:v>
      </x:c>
      <x:c r="I1080" s="7" t="str">
        <x:v>T+15min</x:v>
      </x:c>
      <x:c r="J1080" s="10" t="str">
        <x:v>thermal and water classification</x:v>
      </x:c>
      <x:c r="K1080" s="7" t="str"/>
      <x:c r="L1080" s="10" t="str"/>
      <x:c r="M1080" s="7" t="str">
        <x:v>OPEN</x:v>
      </x:c>
    </x:row>
    <x:row r="1081" ht="36" customHeight="1">
      <x:c r="B1081" s="7" t="str">
        <x:v>RAE-E-45-P19</x:v>
      </x:c>
      <x:c r="C1081" s="7" t="str">
        <x:v>RAE-E-45</x:v>
      </x:c>
      <x:c r="D1081" s="7" t="str">
        <x:v>RFP-C2</x:v>
      </x:c>
      <x:c r="E1081" s="7" t="str">
        <x:v>AM-06</x:v>
      </x:c>
      <x:c r="F1081" s="7" t="str">
        <x:v>TR-A</x:v>
      </x:c>
      <x:c r="G1081" s="7" t="str">
        <x:v>QE-01</x:v>
      </x:c>
      <x:c r="H1081" s="7" t="str">
        <x:v>P19</x:v>
      </x:c>
      <x:c r="I1081" s="7" t="str">
        <x:v>T+30min</x:v>
      </x:c>
      <x:c r="J1081" s="10" t="str">
        <x:v>public intervention classification</x:v>
      </x:c>
      <x:c r="K1081" s="7" t="str"/>
      <x:c r="L1081" s="10" t="str"/>
      <x:c r="M1081" s="7" t="str">
        <x:v>OPEN</x:v>
      </x:c>
    </x:row>
    <x:row r="1082" ht="36" customHeight="1">
      <x:c r="B1082" s="7" t="str">
        <x:v>RAE-E-45-P20</x:v>
      </x:c>
      <x:c r="C1082" s="7" t="str">
        <x:v>RAE-E-45</x:v>
      </x:c>
      <x:c r="D1082" s="7" t="str">
        <x:v>RFP-C2</x:v>
      </x:c>
      <x:c r="E1082" s="7" t="str">
        <x:v>AM-06</x:v>
      </x:c>
      <x:c r="F1082" s="7" t="str">
        <x:v>TR-A</x:v>
      </x:c>
      <x:c r="G1082" s="7" t="str">
        <x:v>QE-01</x:v>
      </x:c>
      <x:c r="H1082" s="7" t="str">
        <x:v>P20</x:v>
      </x:c>
      <x:c r="I1082" s="7" t="str">
        <x:v>T+60min</x:v>
      </x:c>
      <x:c r="J1082" s="10" t="str">
        <x:v>remote-entry classification</x:v>
      </x:c>
      <x:c r="K1082" s="7" t="str"/>
      <x:c r="L1082" s="10" t="str"/>
      <x:c r="M1082" s="7" t="str">
        <x:v>OPEN</x:v>
      </x:c>
    </x:row>
    <x:row r="1083" ht="36" customHeight="1">
      <x:c r="B1083" s="7" t="str">
        <x:v>RAE-E-45-P21</x:v>
      </x:c>
      <x:c r="C1083" s="7" t="str">
        <x:v>RAE-E-45</x:v>
      </x:c>
      <x:c r="D1083" s="7" t="str">
        <x:v>RFP-C2</x:v>
      </x:c>
      <x:c r="E1083" s="7" t="str">
        <x:v>AM-06</x:v>
      </x:c>
      <x:c r="F1083" s="7" t="str">
        <x:v>TR-A</x:v>
      </x:c>
      <x:c r="G1083" s="7" t="str">
        <x:v>QE-01</x:v>
      </x:c>
      <x:c r="H1083" s="7" t="str">
        <x:v>P21</x:v>
      </x:c>
      <x:c r="I1083" s="7" t="str">
        <x:v>T+6h</x:v>
      </x:c>
      <x:c r="J1083" s="10" t="str">
        <x:v>evidence tail closure</x:v>
      </x:c>
      <x:c r="K1083" s="7" t="str"/>
      <x:c r="L1083" s="10" t="str"/>
      <x:c r="M1083" s="7" t="str">
        <x:v>OPEN</x:v>
      </x:c>
    </x:row>
    <x:row r="1084" ht="36" customHeight="1">
      <x:c r="B1084" s="7" t="str">
        <x:v>RAE-E-45-P22</x:v>
      </x:c>
      <x:c r="C1084" s="7" t="str">
        <x:v>RAE-E-45</x:v>
      </x:c>
      <x:c r="D1084" s="7" t="str">
        <x:v>RFP-C2</x:v>
      </x:c>
      <x:c r="E1084" s="7" t="str">
        <x:v>AM-06</x:v>
      </x:c>
      <x:c r="F1084" s="7" t="str">
        <x:v>TR-A</x:v>
      </x:c>
      <x:c r="G1084" s="7" t="str">
        <x:v>QE-01</x:v>
      </x:c>
      <x:c r="H1084" s="7" t="str">
        <x:v>P22</x:v>
      </x:c>
      <x:c r="I1084" s="7" t="str">
        <x:v>T+24h</x:v>
      </x:c>
      <x:c r="J1084" s="10" t="str">
        <x:v>physical ledger closure</x:v>
      </x:c>
      <x:c r="K1084" s="7" t="str"/>
      <x:c r="L1084" s="10" t="str"/>
      <x:c r="M1084" s="7" t="str">
        <x:v>OPEN</x:v>
      </x:c>
    </x:row>
    <x:row r="1085" ht="36" customHeight="1">
      <x:c r="B1085" s="7" t="str">
        <x:v>RAE-E-45-P23</x:v>
      </x:c>
      <x:c r="C1085" s="7" t="str">
        <x:v>RAE-E-45</x:v>
      </x:c>
      <x:c r="D1085" s="7" t="str">
        <x:v>RFP-C2</x:v>
      </x:c>
      <x:c r="E1085" s="7" t="str">
        <x:v>AM-06</x:v>
      </x:c>
      <x:c r="F1085" s="7" t="str">
        <x:v>TR-A</x:v>
      </x:c>
      <x:c r="G1085" s="7" t="str">
        <x:v>QE-01</x:v>
      </x:c>
      <x:c r="H1085" s="7" t="str">
        <x:v>P23</x:v>
      </x:c>
      <x:c r="I1085" s="7" t="str">
        <x:v>T+72h</x:v>
      </x:c>
      <x:c r="J1085" s="10" t="str">
        <x:v>immutable packet freeze</x:v>
      </x:c>
      <x:c r="K1085" s="7" t="str"/>
      <x:c r="L1085" s="10" t="str"/>
      <x:c r="M1085" s="7" t="str">
        <x:v>OPEN</x:v>
      </x:c>
    </x:row>
    <x:row r="1086" ht="36" customHeight="1">
      <x:c r="B1086" s="7" t="str">
        <x:v>RAE-E-45-P24</x:v>
      </x:c>
      <x:c r="C1086" s="7" t="str">
        <x:v>RAE-E-45</x:v>
      </x:c>
      <x:c r="D1086" s="7" t="str">
        <x:v>RFP-C2</x:v>
      </x:c>
      <x:c r="E1086" s="7" t="str">
        <x:v>AM-06</x:v>
      </x:c>
      <x:c r="F1086" s="7" t="str">
        <x:v>TR-A</x:v>
      </x:c>
      <x:c r="G1086" s="7" t="str">
        <x:v>QE-01</x:v>
      </x:c>
      <x:c r="H1086" s="7" t="str">
        <x:v>P24</x:v>
      </x:c>
      <x:c r="I1086" s="7" t="str">
        <x:v>day 7</x:v>
      </x:c>
      <x:c r="J1086" s="10" t="str">
        <x:v>validity and outcome board</x:v>
      </x:c>
      <x:c r="K1086" s="7" t="str"/>
      <x:c r="L1086" s="10" t="str"/>
      <x:c r="M1086" s="7" t="str">
        <x:v>OPEN</x:v>
      </x:c>
    </x:row>
    <x:row r="1087" ht="36" customHeight="1">
      <x:c r="B1087" s="7" t="str">
        <x:v>RAE-E-46-P01</x:v>
      </x:c>
      <x:c r="C1087" s="7" t="str">
        <x:v>RAE-E-46</x:v>
      </x:c>
      <x:c r="D1087" s="7" t="str">
        <x:v>RFP-C2</x:v>
      </x:c>
      <x:c r="E1087" s="7" t="str">
        <x:v>AM-06</x:v>
      </x:c>
      <x:c r="F1087" s="7" t="str">
        <x:v>TR-A</x:v>
      </x:c>
      <x:c r="G1087" s="7" t="str">
        <x:v>QE-02</x:v>
      </x:c>
      <x:c r="H1087" s="7" t="str">
        <x:v>P01</x:v>
      </x:c>
      <x:c r="I1087" s="7" t="str">
        <x:v>T-96h</x:v>
      </x:c>
      <x:c r="J1087" s="10" t="str">
        <x:v>baseline freeze</x:v>
      </x:c>
      <x:c r="K1087" s="7" t="str"/>
      <x:c r="L1087" s="10" t="str"/>
      <x:c r="M1087" s="7" t="str">
        <x:v>OPEN</x:v>
      </x:c>
    </x:row>
    <x:row r="1088" ht="36" customHeight="1">
      <x:c r="B1088" s="7" t="str">
        <x:v>RAE-E-46-P02</x:v>
      </x:c>
      <x:c r="C1088" s="7" t="str">
        <x:v>RAE-E-46</x:v>
      </x:c>
      <x:c r="D1088" s="7" t="str">
        <x:v>RFP-C2</x:v>
      </x:c>
      <x:c r="E1088" s="7" t="str">
        <x:v>AM-06</x:v>
      </x:c>
      <x:c r="F1088" s="7" t="str">
        <x:v>TR-A</x:v>
      </x:c>
      <x:c r="G1088" s="7" t="str">
        <x:v>QE-02</x:v>
      </x:c>
      <x:c r="H1088" s="7" t="str">
        <x:v>P02</x:v>
      </x:c>
      <x:c r="I1088" s="7" t="str">
        <x:v>T-72h</x:v>
      </x:c>
      <x:c r="J1088" s="10" t="str">
        <x:v>source and water custody freeze</x:v>
      </x:c>
      <x:c r="K1088" s="7" t="str"/>
      <x:c r="L1088" s="10" t="str"/>
      <x:c r="M1088" s="7" t="str">
        <x:v>OPEN</x:v>
      </x:c>
    </x:row>
    <x:row r="1089" ht="36" customHeight="1">
      <x:c r="B1089" s="7" t="str">
        <x:v>RAE-E-46-P03</x:v>
      </x:c>
      <x:c r="C1089" s="7" t="str">
        <x:v>RAE-E-46</x:v>
      </x:c>
      <x:c r="D1089" s="7" t="str">
        <x:v>RFP-C2</x:v>
      </x:c>
      <x:c r="E1089" s="7" t="str">
        <x:v>AM-06</x:v>
      </x:c>
      <x:c r="F1089" s="7" t="str">
        <x:v>TR-A</x:v>
      </x:c>
      <x:c r="G1089" s="7" t="str">
        <x:v>QE-02</x:v>
      </x:c>
      <x:c r="H1089" s="7" t="str">
        <x:v>P03</x:v>
      </x:c>
      <x:c r="I1089" s="7" t="str">
        <x:v>T-48h</x:v>
      </x:c>
      <x:c r="J1089" s="10" t="str">
        <x:v>article and configuration identity</x:v>
      </x:c>
      <x:c r="K1089" s="7" t="str"/>
      <x:c r="L1089" s="10" t="str"/>
      <x:c r="M1089" s="7" t="str">
        <x:v>OPEN</x:v>
      </x:c>
    </x:row>
    <x:row r="1090" ht="36" customHeight="1">
      <x:c r="B1090" s="7" t="str">
        <x:v>RAE-E-46-P04</x:v>
      </x:c>
      <x:c r="C1090" s="7" t="str">
        <x:v>RAE-E-46</x:v>
      </x:c>
      <x:c r="D1090" s="7" t="str">
        <x:v>RFP-C2</x:v>
      </x:c>
      <x:c r="E1090" s="7" t="str">
        <x:v>AM-06</x:v>
      </x:c>
      <x:c r="F1090" s="7" t="str">
        <x:v>TR-A</x:v>
      </x:c>
      <x:c r="G1090" s="7" t="str">
        <x:v>QE-02</x:v>
      </x:c>
      <x:c r="H1090" s="7" t="str">
        <x:v>P04</x:v>
      </x:c>
      <x:c r="I1090" s="7" t="str">
        <x:v>T-24h</x:v>
      </x:c>
      <x:c r="J1090" s="10" t="str">
        <x:v>environment and recovery readiness</x:v>
      </x:c>
      <x:c r="K1090" s="7" t="str"/>
      <x:c r="L1090" s="10" t="str"/>
      <x:c r="M1090" s="7" t="str">
        <x:v>OPEN</x:v>
      </x:c>
    </x:row>
    <x:row r="1091" ht="36" customHeight="1">
      <x:c r="B1091" s="7" t="str">
        <x:v>RAE-E-46-P05</x:v>
      </x:c>
      <x:c r="C1091" s="7" t="str">
        <x:v>RAE-E-46</x:v>
      </x:c>
      <x:c r="D1091" s="7" t="str">
        <x:v>RFP-C2</x:v>
      </x:c>
      <x:c r="E1091" s="7" t="str">
        <x:v>AM-06</x:v>
      </x:c>
      <x:c r="F1091" s="7" t="str">
        <x:v>TR-A</x:v>
      </x:c>
      <x:c r="G1091" s="7" t="str">
        <x:v>QE-02</x:v>
      </x:c>
      <x:c r="H1091" s="7" t="str">
        <x:v>P05</x:v>
      </x:c>
      <x:c r="I1091" s="7" t="str">
        <x:v>T-12h</x:v>
      </x:c>
      <x:c r="J1091" s="10" t="str">
        <x:v>rescue posture</x:v>
      </x:c>
      <x:c r="K1091" s="7" t="str"/>
      <x:c r="L1091" s="10" t="str"/>
      <x:c r="M1091" s="7" t="str">
        <x:v>OPEN</x:v>
      </x:c>
    </x:row>
    <x:row r="1092" ht="36" customHeight="1">
      <x:c r="B1092" s="7" t="str">
        <x:v>RAE-E-46-P06</x:v>
      </x:c>
      <x:c r="C1092" s="7" t="str">
        <x:v>RAE-E-46</x:v>
      </x:c>
      <x:c r="D1092" s="7" t="str">
        <x:v>RFP-C2</x:v>
      </x:c>
      <x:c r="E1092" s="7" t="str">
        <x:v>AM-06</x:v>
      </x:c>
      <x:c r="F1092" s="7" t="str">
        <x:v>TR-A</x:v>
      </x:c>
      <x:c r="G1092" s="7" t="str">
        <x:v>QE-02</x:v>
      </x:c>
      <x:c r="H1092" s="7" t="str">
        <x:v>P06</x:v>
      </x:c>
      <x:c r="I1092" s="7" t="str">
        <x:v>T-6h</x:v>
      </x:c>
      <x:c r="J1092" s="10" t="str">
        <x:v>calibration before state</x:v>
      </x:c>
      <x:c r="K1092" s="7" t="str"/>
      <x:c r="L1092" s="10" t="str"/>
      <x:c r="M1092" s="7" t="str">
        <x:v>OPEN</x:v>
      </x:c>
    </x:row>
    <x:row r="1093" ht="36" customHeight="1">
      <x:c r="B1093" s="7" t="str">
        <x:v>RAE-E-46-P07</x:v>
      </x:c>
      <x:c r="C1093" s="7" t="str">
        <x:v>RAE-E-46</x:v>
      </x:c>
      <x:c r="D1093" s="7" t="str">
        <x:v>RFP-C2</x:v>
      </x:c>
      <x:c r="E1093" s="7" t="str">
        <x:v>AM-06</x:v>
      </x:c>
      <x:c r="F1093" s="7" t="str">
        <x:v>TR-A</x:v>
      </x:c>
      <x:c r="G1093" s="7" t="str">
        <x:v>QE-02</x:v>
      </x:c>
      <x:c r="H1093" s="7" t="str">
        <x:v>P07</x:v>
      </x:c>
      <x:c r="I1093" s="7" t="str">
        <x:v>T-2h</x:v>
      </x:c>
      <x:c r="J1093" s="10" t="str">
        <x:v>receiver initial-volume proof</x:v>
      </x:c>
      <x:c r="K1093" s="7" t="str"/>
      <x:c r="L1093" s="10" t="str"/>
      <x:c r="M1093" s="7" t="str">
        <x:v>OPEN</x:v>
      </x:c>
    </x:row>
    <x:row r="1094" ht="36" customHeight="1">
      <x:c r="B1094" s="7" t="str">
        <x:v>RAE-E-46-P08</x:v>
      </x:c>
      <x:c r="C1094" s="7" t="str">
        <x:v>RAE-E-46</x:v>
      </x:c>
      <x:c r="D1094" s="7" t="str">
        <x:v>RFP-C2</x:v>
      </x:c>
      <x:c r="E1094" s="7" t="str">
        <x:v>AM-06</x:v>
      </x:c>
      <x:c r="F1094" s="7" t="str">
        <x:v>TR-A</x:v>
      </x:c>
      <x:c r="G1094" s="7" t="str">
        <x:v>QE-02</x:v>
      </x:c>
      <x:c r="H1094" s="7" t="str">
        <x:v>P08</x:v>
      </x:c>
      <x:c r="I1094" s="7" t="str">
        <x:v>T-60min</x:v>
      </x:c>
      <x:c r="J1094" s="10" t="str">
        <x:v>neighbor inert-state proof</x:v>
      </x:c>
      <x:c r="K1094" s="7" t="str"/>
      <x:c r="L1094" s="10" t="str"/>
      <x:c r="M1094" s="7" t="str">
        <x:v>OPEN</x:v>
      </x:c>
    </x:row>
    <x:row r="1095" ht="36" customHeight="1">
      <x:c r="B1095" s="7" t="str">
        <x:v>RAE-E-46-P09</x:v>
      </x:c>
      <x:c r="C1095" s="7" t="str">
        <x:v>RAE-E-46</x:v>
      </x:c>
      <x:c r="D1095" s="7" t="str">
        <x:v>RFP-C2</x:v>
      </x:c>
      <x:c r="E1095" s="7" t="str">
        <x:v>AM-06</x:v>
      </x:c>
      <x:c r="F1095" s="7" t="str">
        <x:v>TR-A</x:v>
      </x:c>
      <x:c r="G1095" s="7" t="str">
        <x:v>QE-02</x:v>
      </x:c>
      <x:c r="H1095" s="7" t="str">
        <x:v>P09</x:v>
      </x:c>
      <x:c r="I1095" s="7" t="str">
        <x:v>T-30min</x:v>
      </x:c>
      <x:c r="J1095" s="10" t="str">
        <x:v>native evidence armed</x:v>
      </x:c>
      <x:c r="K1095" s="7" t="str"/>
      <x:c r="L1095" s="10" t="str"/>
      <x:c r="M1095" s="7" t="str">
        <x:v>OPEN</x:v>
      </x:c>
    </x:row>
    <x:row r="1096" ht="36" customHeight="1">
      <x:c r="B1096" s="7" t="str">
        <x:v>RAE-E-46-P10</x:v>
      </x:c>
      <x:c r="C1096" s="7" t="str">
        <x:v>RAE-E-46</x:v>
      </x:c>
      <x:c r="D1096" s="7" t="str">
        <x:v>RFP-C2</x:v>
      </x:c>
      <x:c r="E1096" s="7" t="str">
        <x:v>AM-06</x:v>
      </x:c>
      <x:c r="F1096" s="7" t="str">
        <x:v>TR-A</x:v>
      </x:c>
      <x:c r="G1096" s="7" t="str">
        <x:v>QE-02</x:v>
      </x:c>
      <x:c r="H1096" s="7" t="str">
        <x:v>P10</x:v>
      </x:c>
      <x:c r="I1096" s="7" t="str">
        <x:v>T-10min</x:v>
      </x:c>
      <x:c r="J1096" s="10" t="str">
        <x:v>final control poll</x:v>
      </x:c>
      <x:c r="K1096" s="7" t="str"/>
      <x:c r="L1096" s="10" t="str"/>
      <x:c r="M1096" s="7" t="str">
        <x:v>OPEN</x:v>
      </x:c>
    </x:row>
    <x:row r="1097" ht="36" customHeight="1">
      <x:c r="B1097" s="7" t="str">
        <x:v>RAE-E-46-P11</x:v>
      </x:c>
      <x:c r="C1097" s="7" t="str">
        <x:v>RAE-E-46</x:v>
      </x:c>
      <x:c r="D1097" s="7" t="str">
        <x:v>RFP-C2</x:v>
      </x:c>
      <x:c r="E1097" s="7" t="str">
        <x:v>AM-06</x:v>
      </x:c>
      <x:c r="F1097" s="7" t="str">
        <x:v>TR-A</x:v>
      </x:c>
      <x:c r="G1097" s="7" t="str">
        <x:v>QE-02</x:v>
      </x:c>
      <x:c r="H1097" s="7" t="str">
        <x:v>P11</x:v>
      </x:c>
      <x:c r="I1097" s="7" t="str">
        <x:v>T-60s</x:v>
      </x:c>
      <x:c r="J1097" s="10" t="str">
        <x:v>full-rate capture</x:v>
      </x:c>
      <x:c r="K1097" s="7" t="str"/>
      <x:c r="L1097" s="10" t="str"/>
      <x:c r="M1097" s="7" t="str">
        <x:v>OPEN</x:v>
      </x:c>
    </x:row>
    <x:row r="1098" ht="36" customHeight="1">
      <x:c r="B1098" s="7" t="str">
        <x:v>RAE-E-46-P12</x:v>
      </x:c>
      <x:c r="C1098" s="7" t="str">
        <x:v>RAE-E-46</x:v>
      </x:c>
      <x:c r="D1098" s="7" t="str">
        <x:v>RFP-C2</x:v>
      </x:c>
      <x:c r="E1098" s="7" t="str">
        <x:v>AM-06</x:v>
      </x:c>
      <x:c r="F1098" s="7" t="str">
        <x:v>TR-A</x:v>
      </x:c>
      <x:c r="G1098" s="7" t="str">
        <x:v>QE-02</x:v>
      </x:c>
      <x:c r="H1098" s="7" t="str">
        <x:v>P12</x:v>
      </x:c>
      <x:c r="I1098" s="7" t="str">
        <x:v>T-10s</x:v>
      </x:c>
      <x:c r="J1098" s="10" t="str">
        <x:v>registered challenge state</x:v>
      </x:c>
      <x:c r="K1098" s="7" t="str"/>
      <x:c r="L1098" s="10" t="str"/>
      <x:c r="M1098" s="7" t="str">
        <x:v>OPEN</x:v>
      </x:c>
    </x:row>
    <x:row r="1099" ht="36" customHeight="1">
      <x:c r="B1099" s="7" t="str">
        <x:v>RAE-E-46-P13</x:v>
      </x:c>
      <x:c r="C1099" s="7" t="str">
        <x:v>RAE-E-46</x:v>
      </x:c>
      <x:c r="D1099" s="7" t="str">
        <x:v>RFP-C2</x:v>
      </x:c>
      <x:c r="E1099" s="7" t="str">
        <x:v>AM-06</x:v>
      </x:c>
      <x:c r="F1099" s="7" t="str">
        <x:v>TR-A</x:v>
      </x:c>
      <x:c r="G1099" s="7" t="str">
        <x:v>QE-02</x:v>
      </x:c>
      <x:c r="H1099" s="7" t="str">
        <x:v>P13</x:v>
      </x:c>
      <x:c r="I1099" s="7" t="str">
        <x:v>T0</x:v>
      </x:c>
      <x:c r="J1099" s="10" t="str">
        <x:v>source command or zero-source marker</x:v>
      </x:c>
      <x:c r="K1099" s="7" t="str"/>
      <x:c r="L1099" s="10" t="str"/>
      <x:c r="M1099" s="7" t="str">
        <x:v>OPEN</x:v>
      </x:c>
    </x:row>
    <x:row r="1100" ht="36" customHeight="1">
      <x:c r="B1100" s="7" t="str">
        <x:v>RAE-E-46-P14</x:v>
      </x:c>
      <x:c r="C1100" s="7" t="str">
        <x:v>RAE-E-46</x:v>
      </x:c>
      <x:c r="D1100" s="7" t="str">
        <x:v>RFP-C2</x:v>
      </x:c>
      <x:c r="E1100" s="7" t="str">
        <x:v>AM-06</x:v>
      </x:c>
      <x:c r="F1100" s="7" t="str">
        <x:v>TR-A</x:v>
      </x:c>
      <x:c r="G1100" s="7" t="str">
        <x:v>QE-02</x:v>
      </x:c>
      <x:c r="H1100" s="7" t="str">
        <x:v>P14</x:v>
      </x:c>
      <x:c r="I1100" s="7" t="str">
        <x:v>T+2s</x:v>
      </x:c>
      <x:c r="J1100" s="10" t="str">
        <x:v>inlet and dispenser final state</x:v>
      </x:c>
      <x:c r="K1100" s="7" t="str"/>
      <x:c r="L1100" s="10" t="str"/>
      <x:c r="M1100" s="7" t="str">
        <x:v>OPEN</x:v>
      </x:c>
    </x:row>
    <x:row r="1101" ht="36" customHeight="1">
      <x:c r="B1101" s="7" t="str">
        <x:v>RAE-E-46-P15</x:v>
      </x:c>
      <x:c r="C1101" s="7" t="str">
        <x:v>RAE-E-46</x:v>
      </x:c>
      <x:c r="D1101" s="7" t="str">
        <x:v>RFP-C2</x:v>
      </x:c>
      <x:c r="E1101" s="7" t="str">
        <x:v>AM-06</x:v>
      </x:c>
      <x:c r="F1101" s="7" t="str">
        <x:v>TR-A</x:v>
      </x:c>
      <x:c r="G1101" s="7" t="str">
        <x:v>QE-02</x:v>
      </x:c>
      <x:c r="H1101" s="7" t="str">
        <x:v>P15</x:v>
      </x:c>
      <x:c r="I1101" s="7" t="str">
        <x:v>T+15s</x:v>
      </x:c>
      <x:c r="J1101" s="10" t="str">
        <x:v>AM-06 QE-02 ignition opportunity</x:v>
      </x:c>
      <x:c r="K1101" s="7" t="str"/>
      <x:c r="L1101" s="10" t="str"/>
      <x:c r="M1101" s="7" t="str">
        <x:v>OPEN</x:v>
      </x:c>
    </x:row>
    <x:row r="1102" ht="36" customHeight="1">
      <x:c r="B1102" s="7" t="str">
        <x:v>RAE-E-46-P16</x:v>
      </x:c>
      <x:c r="C1102" s="7" t="str">
        <x:v>RAE-E-46</x:v>
      </x:c>
      <x:c r="D1102" s="7" t="str">
        <x:v>RFP-C2</x:v>
      </x:c>
      <x:c r="E1102" s="7" t="str">
        <x:v>AM-06</x:v>
      </x:c>
      <x:c r="F1102" s="7" t="str">
        <x:v>TR-A</x:v>
      </x:c>
      <x:c r="G1102" s="7" t="str">
        <x:v>QE-02</x:v>
      </x:c>
      <x:c r="H1102" s="7" t="str">
        <x:v>P16</x:v>
      </x:c>
      <x:c r="I1102" s="7" t="str">
        <x:v>T+30s</x:v>
      </x:c>
      <x:c r="J1102" s="10" t="str">
        <x:v>terminal-source decision</x:v>
      </x:c>
      <x:c r="K1102" s="7" t="str"/>
      <x:c r="L1102" s="10" t="str"/>
      <x:c r="M1102" s="7" t="str">
        <x:v>OPEN</x:v>
      </x:c>
    </x:row>
    <x:row r="1103" ht="36" customHeight="1">
      <x:c r="B1103" s="7" t="str">
        <x:v>RAE-E-46-P17</x:v>
      </x:c>
      <x:c r="C1103" s="7" t="str">
        <x:v>RAE-E-46</x:v>
      </x:c>
      <x:c r="D1103" s="7" t="str">
        <x:v>RFP-C2</x:v>
      </x:c>
      <x:c r="E1103" s="7" t="str">
        <x:v>AM-06</x:v>
      </x:c>
      <x:c r="F1103" s="7" t="str">
        <x:v>TR-A</x:v>
      </x:c>
      <x:c r="G1103" s="7" t="str">
        <x:v>QE-02</x:v>
      </x:c>
      <x:c r="H1103" s="7" t="str">
        <x:v>P17</x:v>
      </x:c>
      <x:c r="I1103" s="7" t="str">
        <x:v>T+120s</x:v>
      </x:c>
      <x:c r="J1103" s="10" t="str">
        <x:v>public schedule end</x:v>
      </x:c>
      <x:c r="K1103" s="7" t="str"/>
      <x:c r="L1103" s="10" t="str"/>
      <x:c r="M1103" s="7" t="str">
        <x:v>OPEN</x:v>
      </x:c>
    </x:row>
    <x:row r="1104" ht="36" customHeight="1">
      <x:c r="B1104" s="7" t="str">
        <x:v>RAE-E-46-P18</x:v>
      </x:c>
      <x:c r="C1104" s="7" t="str">
        <x:v>RAE-E-46</x:v>
      </x:c>
      <x:c r="D1104" s="7" t="str">
        <x:v>RFP-C2</x:v>
      </x:c>
      <x:c r="E1104" s="7" t="str">
        <x:v>AM-06</x:v>
      </x:c>
      <x:c r="F1104" s="7" t="str">
        <x:v>TR-A</x:v>
      </x:c>
      <x:c r="G1104" s="7" t="str">
        <x:v>QE-02</x:v>
      </x:c>
      <x:c r="H1104" s="7" t="str">
        <x:v>P18</x:v>
      </x:c>
      <x:c r="I1104" s="7" t="str">
        <x:v>T+15min</x:v>
      </x:c>
      <x:c r="J1104" s="10" t="str">
        <x:v>thermal and water classification</x:v>
      </x:c>
      <x:c r="K1104" s="7" t="str"/>
      <x:c r="L1104" s="10" t="str"/>
      <x:c r="M1104" s="7" t="str">
        <x:v>OPEN</x:v>
      </x:c>
    </x:row>
    <x:row r="1105" ht="36" customHeight="1">
      <x:c r="B1105" s="7" t="str">
        <x:v>RAE-E-46-P19</x:v>
      </x:c>
      <x:c r="C1105" s="7" t="str">
        <x:v>RAE-E-46</x:v>
      </x:c>
      <x:c r="D1105" s="7" t="str">
        <x:v>RFP-C2</x:v>
      </x:c>
      <x:c r="E1105" s="7" t="str">
        <x:v>AM-06</x:v>
      </x:c>
      <x:c r="F1105" s="7" t="str">
        <x:v>TR-A</x:v>
      </x:c>
      <x:c r="G1105" s="7" t="str">
        <x:v>QE-02</x:v>
      </x:c>
      <x:c r="H1105" s="7" t="str">
        <x:v>P19</x:v>
      </x:c>
      <x:c r="I1105" s="7" t="str">
        <x:v>T+30min</x:v>
      </x:c>
      <x:c r="J1105" s="10" t="str">
        <x:v>public intervention classification</x:v>
      </x:c>
      <x:c r="K1105" s="7" t="str"/>
      <x:c r="L1105" s="10" t="str"/>
      <x:c r="M1105" s="7" t="str">
        <x:v>OPEN</x:v>
      </x:c>
    </x:row>
    <x:row r="1106" ht="36" customHeight="1">
      <x:c r="B1106" s="7" t="str">
        <x:v>RAE-E-46-P20</x:v>
      </x:c>
      <x:c r="C1106" s="7" t="str">
        <x:v>RAE-E-46</x:v>
      </x:c>
      <x:c r="D1106" s="7" t="str">
        <x:v>RFP-C2</x:v>
      </x:c>
      <x:c r="E1106" s="7" t="str">
        <x:v>AM-06</x:v>
      </x:c>
      <x:c r="F1106" s="7" t="str">
        <x:v>TR-A</x:v>
      </x:c>
      <x:c r="G1106" s="7" t="str">
        <x:v>QE-02</x:v>
      </x:c>
      <x:c r="H1106" s="7" t="str">
        <x:v>P20</x:v>
      </x:c>
      <x:c r="I1106" s="7" t="str">
        <x:v>T+60min</x:v>
      </x:c>
      <x:c r="J1106" s="10" t="str">
        <x:v>remote-entry classification</x:v>
      </x:c>
      <x:c r="K1106" s="7" t="str"/>
      <x:c r="L1106" s="10" t="str"/>
      <x:c r="M1106" s="7" t="str">
        <x:v>OPEN</x:v>
      </x:c>
    </x:row>
    <x:row r="1107" ht="36" customHeight="1">
      <x:c r="B1107" s="7" t="str">
        <x:v>RAE-E-46-P21</x:v>
      </x:c>
      <x:c r="C1107" s="7" t="str">
        <x:v>RAE-E-46</x:v>
      </x:c>
      <x:c r="D1107" s="7" t="str">
        <x:v>RFP-C2</x:v>
      </x:c>
      <x:c r="E1107" s="7" t="str">
        <x:v>AM-06</x:v>
      </x:c>
      <x:c r="F1107" s="7" t="str">
        <x:v>TR-A</x:v>
      </x:c>
      <x:c r="G1107" s="7" t="str">
        <x:v>QE-02</x:v>
      </x:c>
      <x:c r="H1107" s="7" t="str">
        <x:v>P21</x:v>
      </x:c>
      <x:c r="I1107" s="7" t="str">
        <x:v>T+6h</x:v>
      </x:c>
      <x:c r="J1107" s="10" t="str">
        <x:v>evidence tail closure</x:v>
      </x:c>
      <x:c r="K1107" s="7" t="str"/>
      <x:c r="L1107" s="10" t="str"/>
      <x:c r="M1107" s="7" t="str">
        <x:v>OPEN</x:v>
      </x:c>
    </x:row>
    <x:row r="1108" ht="36" customHeight="1">
      <x:c r="B1108" s="7" t="str">
        <x:v>RAE-E-46-P22</x:v>
      </x:c>
      <x:c r="C1108" s="7" t="str">
        <x:v>RAE-E-46</x:v>
      </x:c>
      <x:c r="D1108" s="7" t="str">
        <x:v>RFP-C2</x:v>
      </x:c>
      <x:c r="E1108" s="7" t="str">
        <x:v>AM-06</x:v>
      </x:c>
      <x:c r="F1108" s="7" t="str">
        <x:v>TR-A</x:v>
      </x:c>
      <x:c r="G1108" s="7" t="str">
        <x:v>QE-02</x:v>
      </x:c>
      <x:c r="H1108" s="7" t="str">
        <x:v>P22</x:v>
      </x:c>
      <x:c r="I1108" s="7" t="str">
        <x:v>T+24h</x:v>
      </x:c>
      <x:c r="J1108" s="10" t="str">
        <x:v>physical ledger closure</x:v>
      </x:c>
      <x:c r="K1108" s="7" t="str"/>
      <x:c r="L1108" s="10" t="str"/>
      <x:c r="M1108" s="7" t="str">
        <x:v>OPEN</x:v>
      </x:c>
    </x:row>
    <x:row r="1109" ht="36" customHeight="1">
      <x:c r="B1109" s="7" t="str">
        <x:v>RAE-E-46-P23</x:v>
      </x:c>
      <x:c r="C1109" s="7" t="str">
        <x:v>RAE-E-46</x:v>
      </x:c>
      <x:c r="D1109" s="7" t="str">
        <x:v>RFP-C2</x:v>
      </x:c>
      <x:c r="E1109" s="7" t="str">
        <x:v>AM-06</x:v>
      </x:c>
      <x:c r="F1109" s="7" t="str">
        <x:v>TR-A</x:v>
      </x:c>
      <x:c r="G1109" s="7" t="str">
        <x:v>QE-02</x:v>
      </x:c>
      <x:c r="H1109" s="7" t="str">
        <x:v>P23</x:v>
      </x:c>
      <x:c r="I1109" s="7" t="str">
        <x:v>T+72h</x:v>
      </x:c>
      <x:c r="J1109" s="10" t="str">
        <x:v>immutable packet freeze</x:v>
      </x:c>
      <x:c r="K1109" s="7" t="str"/>
      <x:c r="L1109" s="10" t="str"/>
      <x:c r="M1109" s="7" t="str">
        <x:v>OPEN</x:v>
      </x:c>
    </x:row>
    <x:row r="1110" ht="36" customHeight="1">
      <x:c r="B1110" s="7" t="str">
        <x:v>RAE-E-46-P24</x:v>
      </x:c>
      <x:c r="C1110" s="7" t="str">
        <x:v>RAE-E-46</x:v>
      </x:c>
      <x:c r="D1110" s="7" t="str">
        <x:v>RFP-C2</x:v>
      </x:c>
      <x:c r="E1110" s="7" t="str">
        <x:v>AM-06</x:v>
      </x:c>
      <x:c r="F1110" s="7" t="str">
        <x:v>TR-A</x:v>
      </x:c>
      <x:c r="G1110" s="7" t="str">
        <x:v>QE-02</x:v>
      </x:c>
      <x:c r="H1110" s="7" t="str">
        <x:v>P24</x:v>
      </x:c>
      <x:c r="I1110" s="7" t="str">
        <x:v>day 7</x:v>
      </x:c>
      <x:c r="J1110" s="10" t="str">
        <x:v>validity and outcome board</x:v>
      </x:c>
      <x:c r="K1110" s="7" t="str"/>
      <x:c r="L1110" s="10" t="str"/>
      <x:c r="M1110" s="7" t="str">
        <x:v>OPEN</x:v>
      </x:c>
    </x:row>
    <x:row r="1111" ht="36" customHeight="1">
      <x:c r="B1111" s="7" t="str">
        <x:v>RAE-E-47-P01</x:v>
      </x:c>
      <x:c r="C1111" s="7" t="str">
        <x:v>RAE-E-47</x:v>
      </x:c>
      <x:c r="D1111" s="7" t="str">
        <x:v>RFP-C2</x:v>
      </x:c>
      <x:c r="E1111" s="7" t="str">
        <x:v>AM-06</x:v>
      </x:c>
      <x:c r="F1111" s="7" t="str">
        <x:v>TR-B</x:v>
      </x:c>
      <x:c r="G1111" s="7" t="str">
        <x:v>QE-01</x:v>
      </x:c>
      <x:c r="H1111" s="7" t="str">
        <x:v>P01</x:v>
      </x:c>
      <x:c r="I1111" s="7" t="str">
        <x:v>T-96h</x:v>
      </x:c>
      <x:c r="J1111" s="10" t="str">
        <x:v>baseline freeze</x:v>
      </x:c>
      <x:c r="K1111" s="7" t="str"/>
      <x:c r="L1111" s="10" t="str"/>
      <x:c r="M1111" s="7" t="str">
        <x:v>OPEN</x:v>
      </x:c>
    </x:row>
    <x:row r="1112" ht="36" customHeight="1">
      <x:c r="B1112" s="7" t="str">
        <x:v>RAE-E-47-P02</x:v>
      </x:c>
      <x:c r="C1112" s="7" t="str">
        <x:v>RAE-E-47</x:v>
      </x:c>
      <x:c r="D1112" s="7" t="str">
        <x:v>RFP-C2</x:v>
      </x:c>
      <x:c r="E1112" s="7" t="str">
        <x:v>AM-06</x:v>
      </x:c>
      <x:c r="F1112" s="7" t="str">
        <x:v>TR-B</x:v>
      </x:c>
      <x:c r="G1112" s="7" t="str">
        <x:v>QE-01</x:v>
      </x:c>
      <x:c r="H1112" s="7" t="str">
        <x:v>P02</x:v>
      </x:c>
      <x:c r="I1112" s="7" t="str">
        <x:v>T-72h</x:v>
      </x:c>
      <x:c r="J1112" s="10" t="str">
        <x:v>source and water custody freeze</x:v>
      </x:c>
      <x:c r="K1112" s="7" t="str"/>
      <x:c r="L1112" s="10" t="str"/>
      <x:c r="M1112" s="7" t="str">
        <x:v>OPEN</x:v>
      </x:c>
    </x:row>
    <x:row r="1113" ht="36" customHeight="1">
      <x:c r="B1113" s="7" t="str">
        <x:v>RAE-E-47-P03</x:v>
      </x:c>
      <x:c r="C1113" s="7" t="str">
        <x:v>RAE-E-47</x:v>
      </x:c>
      <x:c r="D1113" s="7" t="str">
        <x:v>RFP-C2</x:v>
      </x:c>
      <x:c r="E1113" s="7" t="str">
        <x:v>AM-06</x:v>
      </x:c>
      <x:c r="F1113" s="7" t="str">
        <x:v>TR-B</x:v>
      </x:c>
      <x:c r="G1113" s="7" t="str">
        <x:v>QE-01</x:v>
      </x:c>
      <x:c r="H1113" s="7" t="str">
        <x:v>P03</x:v>
      </x:c>
      <x:c r="I1113" s="7" t="str">
        <x:v>T-48h</x:v>
      </x:c>
      <x:c r="J1113" s="10" t="str">
        <x:v>article and configuration identity</x:v>
      </x:c>
      <x:c r="K1113" s="7" t="str"/>
      <x:c r="L1113" s="10" t="str"/>
      <x:c r="M1113" s="7" t="str">
        <x:v>OPEN</x:v>
      </x:c>
    </x:row>
    <x:row r="1114" ht="36" customHeight="1">
      <x:c r="B1114" s="7" t="str">
        <x:v>RAE-E-47-P04</x:v>
      </x:c>
      <x:c r="C1114" s="7" t="str">
        <x:v>RAE-E-47</x:v>
      </x:c>
      <x:c r="D1114" s="7" t="str">
        <x:v>RFP-C2</x:v>
      </x:c>
      <x:c r="E1114" s="7" t="str">
        <x:v>AM-06</x:v>
      </x:c>
      <x:c r="F1114" s="7" t="str">
        <x:v>TR-B</x:v>
      </x:c>
      <x:c r="G1114" s="7" t="str">
        <x:v>QE-01</x:v>
      </x:c>
      <x:c r="H1114" s="7" t="str">
        <x:v>P04</x:v>
      </x:c>
      <x:c r="I1114" s="7" t="str">
        <x:v>T-24h</x:v>
      </x:c>
      <x:c r="J1114" s="10" t="str">
        <x:v>environment and recovery readiness</x:v>
      </x:c>
      <x:c r="K1114" s="7" t="str"/>
      <x:c r="L1114" s="10" t="str"/>
      <x:c r="M1114" s="7" t="str">
        <x:v>OPEN</x:v>
      </x:c>
    </x:row>
    <x:row r="1115" ht="36" customHeight="1">
      <x:c r="B1115" s="7" t="str">
        <x:v>RAE-E-47-P05</x:v>
      </x:c>
      <x:c r="C1115" s="7" t="str">
        <x:v>RAE-E-47</x:v>
      </x:c>
      <x:c r="D1115" s="7" t="str">
        <x:v>RFP-C2</x:v>
      </x:c>
      <x:c r="E1115" s="7" t="str">
        <x:v>AM-06</x:v>
      </x:c>
      <x:c r="F1115" s="7" t="str">
        <x:v>TR-B</x:v>
      </x:c>
      <x:c r="G1115" s="7" t="str">
        <x:v>QE-01</x:v>
      </x:c>
      <x:c r="H1115" s="7" t="str">
        <x:v>P05</x:v>
      </x:c>
      <x:c r="I1115" s="7" t="str">
        <x:v>T-12h</x:v>
      </x:c>
      <x:c r="J1115" s="10" t="str">
        <x:v>rescue posture</x:v>
      </x:c>
      <x:c r="K1115" s="7" t="str"/>
      <x:c r="L1115" s="10" t="str"/>
      <x:c r="M1115" s="7" t="str">
        <x:v>OPEN</x:v>
      </x:c>
    </x:row>
    <x:row r="1116" ht="36" customHeight="1">
      <x:c r="B1116" s="7" t="str">
        <x:v>RAE-E-47-P06</x:v>
      </x:c>
      <x:c r="C1116" s="7" t="str">
        <x:v>RAE-E-47</x:v>
      </x:c>
      <x:c r="D1116" s="7" t="str">
        <x:v>RFP-C2</x:v>
      </x:c>
      <x:c r="E1116" s="7" t="str">
        <x:v>AM-06</x:v>
      </x:c>
      <x:c r="F1116" s="7" t="str">
        <x:v>TR-B</x:v>
      </x:c>
      <x:c r="G1116" s="7" t="str">
        <x:v>QE-01</x:v>
      </x:c>
      <x:c r="H1116" s="7" t="str">
        <x:v>P06</x:v>
      </x:c>
      <x:c r="I1116" s="7" t="str">
        <x:v>T-6h</x:v>
      </x:c>
      <x:c r="J1116" s="10" t="str">
        <x:v>calibration before state</x:v>
      </x:c>
      <x:c r="K1116" s="7" t="str"/>
      <x:c r="L1116" s="10" t="str"/>
      <x:c r="M1116" s="7" t="str">
        <x:v>OPEN</x:v>
      </x:c>
    </x:row>
    <x:row r="1117" ht="36" customHeight="1">
      <x:c r="B1117" s="7" t="str">
        <x:v>RAE-E-47-P07</x:v>
      </x:c>
      <x:c r="C1117" s="7" t="str">
        <x:v>RAE-E-47</x:v>
      </x:c>
      <x:c r="D1117" s="7" t="str">
        <x:v>RFP-C2</x:v>
      </x:c>
      <x:c r="E1117" s="7" t="str">
        <x:v>AM-06</x:v>
      </x:c>
      <x:c r="F1117" s="7" t="str">
        <x:v>TR-B</x:v>
      </x:c>
      <x:c r="G1117" s="7" t="str">
        <x:v>QE-01</x:v>
      </x:c>
      <x:c r="H1117" s="7" t="str">
        <x:v>P07</x:v>
      </x:c>
      <x:c r="I1117" s="7" t="str">
        <x:v>T-2h</x:v>
      </x:c>
      <x:c r="J1117" s="10" t="str">
        <x:v>receiver initial-volume proof</x:v>
      </x:c>
      <x:c r="K1117" s="7" t="str"/>
      <x:c r="L1117" s="10" t="str"/>
      <x:c r="M1117" s="7" t="str">
        <x:v>OPEN</x:v>
      </x:c>
    </x:row>
    <x:row r="1118" ht="36" customHeight="1">
      <x:c r="B1118" s="7" t="str">
        <x:v>RAE-E-47-P08</x:v>
      </x:c>
      <x:c r="C1118" s="7" t="str">
        <x:v>RAE-E-47</x:v>
      </x:c>
      <x:c r="D1118" s="7" t="str">
        <x:v>RFP-C2</x:v>
      </x:c>
      <x:c r="E1118" s="7" t="str">
        <x:v>AM-06</x:v>
      </x:c>
      <x:c r="F1118" s="7" t="str">
        <x:v>TR-B</x:v>
      </x:c>
      <x:c r="G1118" s="7" t="str">
        <x:v>QE-01</x:v>
      </x:c>
      <x:c r="H1118" s="7" t="str">
        <x:v>P08</x:v>
      </x:c>
      <x:c r="I1118" s="7" t="str">
        <x:v>T-60min</x:v>
      </x:c>
      <x:c r="J1118" s="10" t="str">
        <x:v>neighbor inert-state proof</x:v>
      </x:c>
      <x:c r="K1118" s="7" t="str"/>
      <x:c r="L1118" s="10" t="str"/>
      <x:c r="M1118" s="7" t="str">
        <x:v>OPEN</x:v>
      </x:c>
    </x:row>
    <x:row r="1119" ht="36" customHeight="1">
      <x:c r="B1119" s="7" t="str">
        <x:v>RAE-E-47-P09</x:v>
      </x:c>
      <x:c r="C1119" s="7" t="str">
        <x:v>RAE-E-47</x:v>
      </x:c>
      <x:c r="D1119" s="7" t="str">
        <x:v>RFP-C2</x:v>
      </x:c>
      <x:c r="E1119" s="7" t="str">
        <x:v>AM-06</x:v>
      </x:c>
      <x:c r="F1119" s="7" t="str">
        <x:v>TR-B</x:v>
      </x:c>
      <x:c r="G1119" s="7" t="str">
        <x:v>QE-01</x:v>
      </x:c>
      <x:c r="H1119" s="7" t="str">
        <x:v>P09</x:v>
      </x:c>
      <x:c r="I1119" s="7" t="str">
        <x:v>T-30min</x:v>
      </x:c>
      <x:c r="J1119" s="10" t="str">
        <x:v>native evidence armed</x:v>
      </x:c>
      <x:c r="K1119" s="7" t="str"/>
      <x:c r="L1119" s="10" t="str"/>
      <x:c r="M1119" s="7" t="str">
        <x:v>OPEN</x:v>
      </x:c>
    </x:row>
    <x:row r="1120" ht="36" customHeight="1">
      <x:c r="B1120" s="7" t="str">
        <x:v>RAE-E-47-P10</x:v>
      </x:c>
      <x:c r="C1120" s="7" t="str">
        <x:v>RAE-E-47</x:v>
      </x:c>
      <x:c r="D1120" s="7" t="str">
        <x:v>RFP-C2</x:v>
      </x:c>
      <x:c r="E1120" s="7" t="str">
        <x:v>AM-06</x:v>
      </x:c>
      <x:c r="F1120" s="7" t="str">
        <x:v>TR-B</x:v>
      </x:c>
      <x:c r="G1120" s="7" t="str">
        <x:v>QE-01</x:v>
      </x:c>
      <x:c r="H1120" s="7" t="str">
        <x:v>P10</x:v>
      </x:c>
      <x:c r="I1120" s="7" t="str">
        <x:v>T-10min</x:v>
      </x:c>
      <x:c r="J1120" s="10" t="str">
        <x:v>final control poll</x:v>
      </x:c>
      <x:c r="K1120" s="7" t="str"/>
      <x:c r="L1120" s="10" t="str"/>
      <x:c r="M1120" s="7" t="str">
        <x:v>OPEN</x:v>
      </x:c>
    </x:row>
    <x:row r="1121" ht="36" customHeight="1">
      <x:c r="B1121" s="7" t="str">
        <x:v>RAE-E-47-P11</x:v>
      </x:c>
      <x:c r="C1121" s="7" t="str">
        <x:v>RAE-E-47</x:v>
      </x:c>
      <x:c r="D1121" s="7" t="str">
        <x:v>RFP-C2</x:v>
      </x:c>
      <x:c r="E1121" s="7" t="str">
        <x:v>AM-06</x:v>
      </x:c>
      <x:c r="F1121" s="7" t="str">
        <x:v>TR-B</x:v>
      </x:c>
      <x:c r="G1121" s="7" t="str">
        <x:v>QE-01</x:v>
      </x:c>
      <x:c r="H1121" s="7" t="str">
        <x:v>P11</x:v>
      </x:c>
      <x:c r="I1121" s="7" t="str">
        <x:v>T-60s</x:v>
      </x:c>
      <x:c r="J1121" s="10" t="str">
        <x:v>full-rate capture</x:v>
      </x:c>
      <x:c r="K1121" s="7" t="str"/>
      <x:c r="L1121" s="10" t="str"/>
      <x:c r="M1121" s="7" t="str">
        <x:v>OPEN</x:v>
      </x:c>
    </x:row>
    <x:row r="1122" ht="36" customHeight="1">
      <x:c r="B1122" s="7" t="str">
        <x:v>RAE-E-47-P12</x:v>
      </x:c>
      <x:c r="C1122" s="7" t="str">
        <x:v>RAE-E-47</x:v>
      </x:c>
      <x:c r="D1122" s="7" t="str">
        <x:v>RFP-C2</x:v>
      </x:c>
      <x:c r="E1122" s="7" t="str">
        <x:v>AM-06</x:v>
      </x:c>
      <x:c r="F1122" s="7" t="str">
        <x:v>TR-B</x:v>
      </x:c>
      <x:c r="G1122" s="7" t="str">
        <x:v>QE-01</x:v>
      </x:c>
      <x:c r="H1122" s="7" t="str">
        <x:v>P12</x:v>
      </x:c>
      <x:c r="I1122" s="7" t="str">
        <x:v>T-10s</x:v>
      </x:c>
      <x:c r="J1122" s="10" t="str">
        <x:v>registered challenge state</x:v>
      </x:c>
      <x:c r="K1122" s="7" t="str"/>
      <x:c r="L1122" s="10" t="str"/>
      <x:c r="M1122" s="7" t="str">
        <x:v>OPEN</x:v>
      </x:c>
    </x:row>
    <x:row r="1123" ht="36" customHeight="1">
      <x:c r="B1123" s="7" t="str">
        <x:v>RAE-E-47-P13</x:v>
      </x:c>
      <x:c r="C1123" s="7" t="str">
        <x:v>RAE-E-47</x:v>
      </x:c>
      <x:c r="D1123" s="7" t="str">
        <x:v>RFP-C2</x:v>
      </x:c>
      <x:c r="E1123" s="7" t="str">
        <x:v>AM-06</x:v>
      </x:c>
      <x:c r="F1123" s="7" t="str">
        <x:v>TR-B</x:v>
      </x:c>
      <x:c r="G1123" s="7" t="str">
        <x:v>QE-01</x:v>
      </x:c>
      <x:c r="H1123" s="7" t="str">
        <x:v>P13</x:v>
      </x:c>
      <x:c r="I1123" s="7" t="str">
        <x:v>T0</x:v>
      </x:c>
      <x:c r="J1123" s="10" t="str">
        <x:v>source command or zero-source marker</x:v>
      </x:c>
      <x:c r="K1123" s="7" t="str"/>
      <x:c r="L1123" s="10" t="str"/>
      <x:c r="M1123" s="7" t="str">
        <x:v>OPEN</x:v>
      </x:c>
    </x:row>
    <x:row r="1124" ht="36" customHeight="1">
      <x:c r="B1124" s="7" t="str">
        <x:v>RAE-E-47-P14</x:v>
      </x:c>
      <x:c r="C1124" s="7" t="str">
        <x:v>RAE-E-47</x:v>
      </x:c>
      <x:c r="D1124" s="7" t="str">
        <x:v>RFP-C2</x:v>
      </x:c>
      <x:c r="E1124" s="7" t="str">
        <x:v>AM-06</x:v>
      </x:c>
      <x:c r="F1124" s="7" t="str">
        <x:v>TR-B</x:v>
      </x:c>
      <x:c r="G1124" s="7" t="str">
        <x:v>QE-01</x:v>
      </x:c>
      <x:c r="H1124" s="7" t="str">
        <x:v>P14</x:v>
      </x:c>
      <x:c r="I1124" s="7" t="str">
        <x:v>T+2s</x:v>
      </x:c>
      <x:c r="J1124" s="10" t="str">
        <x:v>inlet and dispenser final state</x:v>
      </x:c>
      <x:c r="K1124" s="7" t="str"/>
      <x:c r="L1124" s="10" t="str"/>
      <x:c r="M1124" s="7" t="str">
        <x:v>OPEN</x:v>
      </x:c>
    </x:row>
    <x:row r="1125" ht="36" customHeight="1">
      <x:c r="B1125" s="7" t="str">
        <x:v>RAE-E-47-P15</x:v>
      </x:c>
      <x:c r="C1125" s="7" t="str">
        <x:v>RAE-E-47</x:v>
      </x:c>
      <x:c r="D1125" s="7" t="str">
        <x:v>RFP-C2</x:v>
      </x:c>
      <x:c r="E1125" s="7" t="str">
        <x:v>AM-06</x:v>
      </x:c>
      <x:c r="F1125" s="7" t="str">
        <x:v>TR-B</x:v>
      </x:c>
      <x:c r="G1125" s="7" t="str">
        <x:v>QE-01</x:v>
      </x:c>
      <x:c r="H1125" s="7" t="str">
        <x:v>P15</x:v>
      </x:c>
      <x:c r="I1125" s="7" t="str">
        <x:v>T+15s</x:v>
      </x:c>
      <x:c r="J1125" s="10" t="str">
        <x:v>AM-06 QE-02 ignition opportunity</x:v>
      </x:c>
      <x:c r="K1125" s="7" t="str"/>
      <x:c r="L1125" s="10" t="str"/>
      <x:c r="M1125" s="7" t="str">
        <x:v>OPEN</x:v>
      </x:c>
    </x:row>
    <x:row r="1126" ht="36" customHeight="1">
      <x:c r="B1126" s="7" t="str">
        <x:v>RAE-E-47-P16</x:v>
      </x:c>
      <x:c r="C1126" s="7" t="str">
        <x:v>RAE-E-47</x:v>
      </x:c>
      <x:c r="D1126" s="7" t="str">
        <x:v>RFP-C2</x:v>
      </x:c>
      <x:c r="E1126" s="7" t="str">
        <x:v>AM-06</x:v>
      </x:c>
      <x:c r="F1126" s="7" t="str">
        <x:v>TR-B</x:v>
      </x:c>
      <x:c r="G1126" s="7" t="str">
        <x:v>QE-01</x:v>
      </x:c>
      <x:c r="H1126" s="7" t="str">
        <x:v>P16</x:v>
      </x:c>
      <x:c r="I1126" s="7" t="str">
        <x:v>T+30s</x:v>
      </x:c>
      <x:c r="J1126" s="10" t="str">
        <x:v>terminal-source decision</x:v>
      </x:c>
      <x:c r="K1126" s="7" t="str"/>
      <x:c r="L1126" s="10" t="str"/>
      <x:c r="M1126" s="7" t="str">
        <x:v>OPEN</x:v>
      </x:c>
    </x:row>
    <x:row r="1127" ht="36" customHeight="1">
      <x:c r="B1127" s="7" t="str">
        <x:v>RAE-E-47-P17</x:v>
      </x:c>
      <x:c r="C1127" s="7" t="str">
        <x:v>RAE-E-47</x:v>
      </x:c>
      <x:c r="D1127" s="7" t="str">
        <x:v>RFP-C2</x:v>
      </x:c>
      <x:c r="E1127" s="7" t="str">
        <x:v>AM-06</x:v>
      </x:c>
      <x:c r="F1127" s="7" t="str">
        <x:v>TR-B</x:v>
      </x:c>
      <x:c r="G1127" s="7" t="str">
        <x:v>QE-01</x:v>
      </x:c>
      <x:c r="H1127" s="7" t="str">
        <x:v>P17</x:v>
      </x:c>
      <x:c r="I1127" s="7" t="str">
        <x:v>T+120s</x:v>
      </x:c>
      <x:c r="J1127" s="10" t="str">
        <x:v>public schedule end</x:v>
      </x:c>
      <x:c r="K1127" s="7" t="str"/>
      <x:c r="L1127" s="10" t="str"/>
      <x:c r="M1127" s="7" t="str">
        <x:v>OPEN</x:v>
      </x:c>
    </x:row>
    <x:row r="1128" ht="36" customHeight="1">
      <x:c r="B1128" s="7" t="str">
        <x:v>RAE-E-47-P18</x:v>
      </x:c>
      <x:c r="C1128" s="7" t="str">
        <x:v>RAE-E-47</x:v>
      </x:c>
      <x:c r="D1128" s="7" t="str">
        <x:v>RFP-C2</x:v>
      </x:c>
      <x:c r="E1128" s="7" t="str">
        <x:v>AM-06</x:v>
      </x:c>
      <x:c r="F1128" s="7" t="str">
        <x:v>TR-B</x:v>
      </x:c>
      <x:c r="G1128" s="7" t="str">
        <x:v>QE-01</x:v>
      </x:c>
      <x:c r="H1128" s="7" t="str">
        <x:v>P18</x:v>
      </x:c>
      <x:c r="I1128" s="7" t="str">
        <x:v>T+15min</x:v>
      </x:c>
      <x:c r="J1128" s="10" t="str">
        <x:v>thermal and water classification</x:v>
      </x:c>
      <x:c r="K1128" s="7" t="str"/>
      <x:c r="L1128" s="10" t="str"/>
      <x:c r="M1128" s="7" t="str">
        <x:v>OPEN</x:v>
      </x:c>
    </x:row>
    <x:row r="1129" ht="36" customHeight="1">
      <x:c r="B1129" s="7" t="str">
        <x:v>RAE-E-47-P19</x:v>
      </x:c>
      <x:c r="C1129" s="7" t="str">
        <x:v>RAE-E-47</x:v>
      </x:c>
      <x:c r="D1129" s="7" t="str">
        <x:v>RFP-C2</x:v>
      </x:c>
      <x:c r="E1129" s="7" t="str">
        <x:v>AM-06</x:v>
      </x:c>
      <x:c r="F1129" s="7" t="str">
        <x:v>TR-B</x:v>
      </x:c>
      <x:c r="G1129" s="7" t="str">
        <x:v>QE-01</x:v>
      </x:c>
      <x:c r="H1129" s="7" t="str">
        <x:v>P19</x:v>
      </x:c>
      <x:c r="I1129" s="7" t="str">
        <x:v>T+30min</x:v>
      </x:c>
      <x:c r="J1129" s="10" t="str">
        <x:v>public intervention classification</x:v>
      </x:c>
      <x:c r="K1129" s="7" t="str"/>
      <x:c r="L1129" s="10" t="str"/>
      <x:c r="M1129" s="7" t="str">
        <x:v>OPEN</x:v>
      </x:c>
    </x:row>
    <x:row r="1130" ht="36" customHeight="1">
      <x:c r="B1130" s="7" t="str">
        <x:v>RAE-E-47-P20</x:v>
      </x:c>
      <x:c r="C1130" s="7" t="str">
        <x:v>RAE-E-47</x:v>
      </x:c>
      <x:c r="D1130" s="7" t="str">
        <x:v>RFP-C2</x:v>
      </x:c>
      <x:c r="E1130" s="7" t="str">
        <x:v>AM-06</x:v>
      </x:c>
      <x:c r="F1130" s="7" t="str">
        <x:v>TR-B</x:v>
      </x:c>
      <x:c r="G1130" s="7" t="str">
        <x:v>QE-01</x:v>
      </x:c>
      <x:c r="H1130" s="7" t="str">
        <x:v>P20</x:v>
      </x:c>
      <x:c r="I1130" s="7" t="str">
        <x:v>T+60min</x:v>
      </x:c>
      <x:c r="J1130" s="10" t="str">
        <x:v>remote-entry classification</x:v>
      </x:c>
      <x:c r="K1130" s="7" t="str"/>
      <x:c r="L1130" s="10" t="str"/>
      <x:c r="M1130" s="7" t="str">
        <x:v>OPEN</x:v>
      </x:c>
    </x:row>
    <x:row r="1131" ht="36" customHeight="1">
      <x:c r="B1131" s="7" t="str">
        <x:v>RAE-E-47-P21</x:v>
      </x:c>
      <x:c r="C1131" s="7" t="str">
        <x:v>RAE-E-47</x:v>
      </x:c>
      <x:c r="D1131" s="7" t="str">
        <x:v>RFP-C2</x:v>
      </x:c>
      <x:c r="E1131" s="7" t="str">
        <x:v>AM-06</x:v>
      </x:c>
      <x:c r="F1131" s="7" t="str">
        <x:v>TR-B</x:v>
      </x:c>
      <x:c r="G1131" s="7" t="str">
        <x:v>QE-01</x:v>
      </x:c>
      <x:c r="H1131" s="7" t="str">
        <x:v>P21</x:v>
      </x:c>
      <x:c r="I1131" s="7" t="str">
        <x:v>T+6h</x:v>
      </x:c>
      <x:c r="J1131" s="10" t="str">
        <x:v>evidence tail closure</x:v>
      </x:c>
      <x:c r="K1131" s="7" t="str"/>
      <x:c r="L1131" s="10" t="str"/>
      <x:c r="M1131" s="7" t="str">
        <x:v>OPEN</x:v>
      </x:c>
    </x:row>
    <x:row r="1132" ht="36" customHeight="1">
      <x:c r="B1132" s="7" t="str">
        <x:v>RAE-E-47-P22</x:v>
      </x:c>
      <x:c r="C1132" s="7" t="str">
        <x:v>RAE-E-47</x:v>
      </x:c>
      <x:c r="D1132" s="7" t="str">
        <x:v>RFP-C2</x:v>
      </x:c>
      <x:c r="E1132" s="7" t="str">
        <x:v>AM-06</x:v>
      </x:c>
      <x:c r="F1132" s="7" t="str">
        <x:v>TR-B</x:v>
      </x:c>
      <x:c r="G1132" s="7" t="str">
        <x:v>QE-01</x:v>
      </x:c>
      <x:c r="H1132" s="7" t="str">
        <x:v>P22</x:v>
      </x:c>
      <x:c r="I1132" s="7" t="str">
        <x:v>T+24h</x:v>
      </x:c>
      <x:c r="J1132" s="10" t="str">
        <x:v>physical ledger closure</x:v>
      </x:c>
      <x:c r="K1132" s="7" t="str"/>
      <x:c r="L1132" s="10" t="str"/>
      <x:c r="M1132" s="7" t="str">
        <x:v>OPEN</x:v>
      </x:c>
    </x:row>
    <x:row r="1133" ht="36" customHeight="1">
      <x:c r="B1133" s="7" t="str">
        <x:v>RAE-E-47-P23</x:v>
      </x:c>
      <x:c r="C1133" s="7" t="str">
        <x:v>RAE-E-47</x:v>
      </x:c>
      <x:c r="D1133" s="7" t="str">
        <x:v>RFP-C2</x:v>
      </x:c>
      <x:c r="E1133" s="7" t="str">
        <x:v>AM-06</x:v>
      </x:c>
      <x:c r="F1133" s="7" t="str">
        <x:v>TR-B</x:v>
      </x:c>
      <x:c r="G1133" s="7" t="str">
        <x:v>QE-01</x:v>
      </x:c>
      <x:c r="H1133" s="7" t="str">
        <x:v>P23</x:v>
      </x:c>
      <x:c r="I1133" s="7" t="str">
        <x:v>T+72h</x:v>
      </x:c>
      <x:c r="J1133" s="10" t="str">
        <x:v>immutable packet freeze</x:v>
      </x:c>
      <x:c r="K1133" s="7" t="str"/>
      <x:c r="L1133" s="10" t="str"/>
      <x:c r="M1133" s="7" t="str">
        <x:v>OPEN</x:v>
      </x:c>
    </x:row>
    <x:row r="1134" ht="36" customHeight="1">
      <x:c r="B1134" s="7" t="str">
        <x:v>RAE-E-47-P24</x:v>
      </x:c>
      <x:c r="C1134" s="7" t="str">
        <x:v>RAE-E-47</x:v>
      </x:c>
      <x:c r="D1134" s="7" t="str">
        <x:v>RFP-C2</x:v>
      </x:c>
      <x:c r="E1134" s="7" t="str">
        <x:v>AM-06</x:v>
      </x:c>
      <x:c r="F1134" s="7" t="str">
        <x:v>TR-B</x:v>
      </x:c>
      <x:c r="G1134" s="7" t="str">
        <x:v>QE-01</x:v>
      </x:c>
      <x:c r="H1134" s="7" t="str">
        <x:v>P24</x:v>
      </x:c>
      <x:c r="I1134" s="7" t="str">
        <x:v>day 7</x:v>
      </x:c>
      <x:c r="J1134" s="10" t="str">
        <x:v>validity and outcome board</x:v>
      </x:c>
      <x:c r="K1134" s="7" t="str"/>
      <x:c r="L1134" s="10" t="str"/>
      <x:c r="M1134" s="7" t="str">
        <x:v>OPEN</x:v>
      </x:c>
    </x:row>
    <x:row r="1135" ht="36" customHeight="1">
      <x:c r="B1135" s="7" t="str">
        <x:v>RAE-E-48-P01</x:v>
      </x:c>
      <x:c r="C1135" s="7" t="str">
        <x:v>RAE-E-48</x:v>
      </x:c>
      <x:c r="D1135" s="7" t="str">
        <x:v>RFP-C2</x:v>
      </x:c>
      <x:c r="E1135" s="7" t="str">
        <x:v>AM-06</x:v>
      </x:c>
      <x:c r="F1135" s="7" t="str">
        <x:v>TR-B</x:v>
      </x:c>
      <x:c r="G1135" s="7" t="str">
        <x:v>QE-02</x:v>
      </x:c>
      <x:c r="H1135" s="7" t="str">
        <x:v>P01</x:v>
      </x:c>
      <x:c r="I1135" s="7" t="str">
        <x:v>T-96h</x:v>
      </x:c>
      <x:c r="J1135" s="10" t="str">
        <x:v>baseline freeze</x:v>
      </x:c>
      <x:c r="K1135" s="7" t="str"/>
      <x:c r="L1135" s="10" t="str"/>
      <x:c r="M1135" s="7" t="str">
        <x:v>OPEN</x:v>
      </x:c>
    </x:row>
    <x:row r="1136" ht="36" customHeight="1">
      <x:c r="B1136" s="7" t="str">
        <x:v>RAE-E-48-P02</x:v>
      </x:c>
      <x:c r="C1136" s="7" t="str">
        <x:v>RAE-E-48</x:v>
      </x:c>
      <x:c r="D1136" s="7" t="str">
        <x:v>RFP-C2</x:v>
      </x:c>
      <x:c r="E1136" s="7" t="str">
        <x:v>AM-06</x:v>
      </x:c>
      <x:c r="F1136" s="7" t="str">
        <x:v>TR-B</x:v>
      </x:c>
      <x:c r="G1136" s="7" t="str">
        <x:v>QE-02</x:v>
      </x:c>
      <x:c r="H1136" s="7" t="str">
        <x:v>P02</x:v>
      </x:c>
      <x:c r="I1136" s="7" t="str">
        <x:v>T-72h</x:v>
      </x:c>
      <x:c r="J1136" s="10" t="str">
        <x:v>source and water custody freeze</x:v>
      </x:c>
      <x:c r="K1136" s="7" t="str"/>
      <x:c r="L1136" s="10" t="str"/>
      <x:c r="M1136" s="7" t="str">
        <x:v>OPEN</x:v>
      </x:c>
    </x:row>
    <x:row r="1137" ht="36" customHeight="1">
      <x:c r="B1137" s="7" t="str">
        <x:v>RAE-E-48-P03</x:v>
      </x:c>
      <x:c r="C1137" s="7" t="str">
        <x:v>RAE-E-48</x:v>
      </x:c>
      <x:c r="D1137" s="7" t="str">
        <x:v>RFP-C2</x:v>
      </x:c>
      <x:c r="E1137" s="7" t="str">
        <x:v>AM-06</x:v>
      </x:c>
      <x:c r="F1137" s="7" t="str">
        <x:v>TR-B</x:v>
      </x:c>
      <x:c r="G1137" s="7" t="str">
        <x:v>QE-02</x:v>
      </x:c>
      <x:c r="H1137" s="7" t="str">
        <x:v>P03</x:v>
      </x:c>
      <x:c r="I1137" s="7" t="str">
        <x:v>T-48h</x:v>
      </x:c>
      <x:c r="J1137" s="10" t="str">
        <x:v>article and configuration identity</x:v>
      </x:c>
      <x:c r="K1137" s="7" t="str"/>
      <x:c r="L1137" s="10" t="str"/>
      <x:c r="M1137" s="7" t="str">
        <x:v>OPEN</x:v>
      </x:c>
    </x:row>
    <x:row r="1138" ht="36" customHeight="1">
      <x:c r="B1138" s="7" t="str">
        <x:v>RAE-E-48-P04</x:v>
      </x:c>
      <x:c r="C1138" s="7" t="str">
        <x:v>RAE-E-48</x:v>
      </x:c>
      <x:c r="D1138" s="7" t="str">
        <x:v>RFP-C2</x:v>
      </x:c>
      <x:c r="E1138" s="7" t="str">
        <x:v>AM-06</x:v>
      </x:c>
      <x:c r="F1138" s="7" t="str">
        <x:v>TR-B</x:v>
      </x:c>
      <x:c r="G1138" s="7" t="str">
        <x:v>QE-02</x:v>
      </x:c>
      <x:c r="H1138" s="7" t="str">
        <x:v>P04</x:v>
      </x:c>
      <x:c r="I1138" s="7" t="str">
        <x:v>T-24h</x:v>
      </x:c>
      <x:c r="J1138" s="10" t="str">
        <x:v>environment and recovery readiness</x:v>
      </x:c>
      <x:c r="K1138" s="7" t="str"/>
      <x:c r="L1138" s="10" t="str"/>
      <x:c r="M1138" s="7" t="str">
        <x:v>OPEN</x:v>
      </x:c>
    </x:row>
    <x:row r="1139" ht="36" customHeight="1">
      <x:c r="B1139" s="7" t="str">
        <x:v>RAE-E-48-P05</x:v>
      </x:c>
      <x:c r="C1139" s="7" t="str">
        <x:v>RAE-E-48</x:v>
      </x:c>
      <x:c r="D1139" s="7" t="str">
        <x:v>RFP-C2</x:v>
      </x:c>
      <x:c r="E1139" s="7" t="str">
        <x:v>AM-06</x:v>
      </x:c>
      <x:c r="F1139" s="7" t="str">
        <x:v>TR-B</x:v>
      </x:c>
      <x:c r="G1139" s="7" t="str">
        <x:v>QE-02</x:v>
      </x:c>
      <x:c r="H1139" s="7" t="str">
        <x:v>P05</x:v>
      </x:c>
      <x:c r="I1139" s="7" t="str">
        <x:v>T-12h</x:v>
      </x:c>
      <x:c r="J1139" s="10" t="str">
        <x:v>rescue posture</x:v>
      </x:c>
      <x:c r="K1139" s="7" t="str"/>
      <x:c r="L1139" s="10" t="str"/>
      <x:c r="M1139" s="7" t="str">
        <x:v>OPEN</x:v>
      </x:c>
    </x:row>
    <x:row r="1140" ht="36" customHeight="1">
      <x:c r="B1140" s="7" t="str">
        <x:v>RAE-E-48-P06</x:v>
      </x:c>
      <x:c r="C1140" s="7" t="str">
        <x:v>RAE-E-48</x:v>
      </x:c>
      <x:c r="D1140" s="7" t="str">
        <x:v>RFP-C2</x:v>
      </x:c>
      <x:c r="E1140" s="7" t="str">
        <x:v>AM-06</x:v>
      </x:c>
      <x:c r="F1140" s="7" t="str">
        <x:v>TR-B</x:v>
      </x:c>
      <x:c r="G1140" s="7" t="str">
        <x:v>QE-02</x:v>
      </x:c>
      <x:c r="H1140" s="7" t="str">
        <x:v>P06</x:v>
      </x:c>
      <x:c r="I1140" s="7" t="str">
        <x:v>T-6h</x:v>
      </x:c>
      <x:c r="J1140" s="10" t="str">
        <x:v>calibration before state</x:v>
      </x:c>
      <x:c r="K1140" s="7" t="str"/>
      <x:c r="L1140" s="10" t="str"/>
      <x:c r="M1140" s="7" t="str">
        <x:v>OPEN</x:v>
      </x:c>
    </x:row>
    <x:row r="1141" ht="36" customHeight="1">
      <x:c r="B1141" s="7" t="str">
        <x:v>RAE-E-48-P07</x:v>
      </x:c>
      <x:c r="C1141" s="7" t="str">
        <x:v>RAE-E-48</x:v>
      </x:c>
      <x:c r="D1141" s="7" t="str">
        <x:v>RFP-C2</x:v>
      </x:c>
      <x:c r="E1141" s="7" t="str">
        <x:v>AM-06</x:v>
      </x:c>
      <x:c r="F1141" s="7" t="str">
        <x:v>TR-B</x:v>
      </x:c>
      <x:c r="G1141" s="7" t="str">
        <x:v>QE-02</x:v>
      </x:c>
      <x:c r="H1141" s="7" t="str">
        <x:v>P07</x:v>
      </x:c>
      <x:c r="I1141" s="7" t="str">
        <x:v>T-2h</x:v>
      </x:c>
      <x:c r="J1141" s="10" t="str">
        <x:v>receiver initial-volume proof</x:v>
      </x:c>
      <x:c r="K1141" s="7" t="str"/>
      <x:c r="L1141" s="10" t="str"/>
      <x:c r="M1141" s="7" t="str">
        <x:v>OPEN</x:v>
      </x:c>
    </x:row>
    <x:row r="1142" ht="36" customHeight="1">
      <x:c r="B1142" s="7" t="str">
        <x:v>RAE-E-48-P08</x:v>
      </x:c>
      <x:c r="C1142" s="7" t="str">
        <x:v>RAE-E-48</x:v>
      </x:c>
      <x:c r="D1142" s="7" t="str">
        <x:v>RFP-C2</x:v>
      </x:c>
      <x:c r="E1142" s="7" t="str">
        <x:v>AM-06</x:v>
      </x:c>
      <x:c r="F1142" s="7" t="str">
        <x:v>TR-B</x:v>
      </x:c>
      <x:c r="G1142" s="7" t="str">
        <x:v>QE-02</x:v>
      </x:c>
      <x:c r="H1142" s="7" t="str">
        <x:v>P08</x:v>
      </x:c>
      <x:c r="I1142" s="7" t="str">
        <x:v>T-60min</x:v>
      </x:c>
      <x:c r="J1142" s="10" t="str">
        <x:v>neighbor inert-state proof</x:v>
      </x:c>
      <x:c r="K1142" s="7" t="str"/>
      <x:c r="L1142" s="10" t="str"/>
      <x:c r="M1142" s="7" t="str">
        <x:v>OPEN</x:v>
      </x:c>
    </x:row>
    <x:row r="1143" ht="36" customHeight="1">
      <x:c r="B1143" s="7" t="str">
        <x:v>RAE-E-48-P09</x:v>
      </x:c>
      <x:c r="C1143" s="7" t="str">
        <x:v>RAE-E-48</x:v>
      </x:c>
      <x:c r="D1143" s="7" t="str">
        <x:v>RFP-C2</x:v>
      </x:c>
      <x:c r="E1143" s="7" t="str">
        <x:v>AM-06</x:v>
      </x:c>
      <x:c r="F1143" s="7" t="str">
        <x:v>TR-B</x:v>
      </x:c>
      <x:c r="G1143" s="7" t="str">
        <x:v>QE-02</x:v>
      </x:c>
      <x:c r="H1143" s="7" t="str">
        <x:v>P09</x:v>
      </x:c>
      <x:c r="I1143" s="7" t="str">
        <x:v>T-30min</x:v>
      </x:c>
      <x:c r="J1143" s="10" t="str">
        <x:v>native evidence armed</x:v>
      </x:c>
      <x:c r="K1143" s="7" t="str"/>
      <x:c r="L1143" s="10" t="str"/>
      <x:c r="M1143" s="7" t="str">
        <x:v>OPEN</x:v>
      </x:c>
    </x:row>
    <x:row r="1144" ht="36" customHeight="1">
      <x:c r="B1144" s="7" t="str">
        <x:v>RAE-E-48-P10</x:v>
      </x:c>
      <x:c r="C1144" s="7" t="str">
        <x:v>RAE-E-48</x:v>
      </x:c>
      <x:c r="D1144" s="7" t="str">
        <x:v>RFP-C2</x:v>
      </x:c>
      <x:c r="E1144" s="7" t="str">
        <x:v>AM-06</x:v>
      </x:c>
      <x:c r="F1144" s="7" t="str">
        <x:v>TR-B</x:v>
      </x:c>
      <x:c r="G1144" s="7" t="str">
        <x:v>QE-02</x:v>
      </x:c>
      <x:c r="H1144" s="7" t="str">
        <x:v>P10</x:v>
      </x:c>
      <x:c r="I1144" s="7" t="str">
        <x:v>T-10min</x:v>
      </x:c>
      <x:c r="J1144" s="10" t="str">
        <x:v>final control poll</x:v>
      </x:c>
      <x:c r="K1144" s="7" t="str"/>
      <x:c r="L1144" s="10" t="str"/>
      <x:c r="M1144" s="7" t="str">
        <x:v>OPEN</x:v>
      </x:c>
    </x:row>
    <x:row r="1145" ht="36" customHeight="1">
      <x:c r="B1145" s="7" t="str">
        <x:v>RAE-E-48-P11</x:v>
      </x:c>
      <x:c r="C1145" s="7" t="str">
        <x:v>RAE-E-48</x:v>
      </x:c>
      <x:c r="D1145" s="7" t="str">
        <x:v>RFP-C2</x:v>
      </x:c>
      <x:c r="E1145" s="7" t="str">
        <x:v>AM-06</x:v>
      </x:c>
      <x:c r="F1145" s="7" t="str">
        <x:v>TR-B</x:v>
      </x:c>
      <x:c r="G1145" s="7" t="str">
        <x:v>QE-02</x:v>
      </x:c>
      <x:c r="H1145" s="7" t="str">
        <x:v>P11</x:v>
      </x:c>
      <x:c r="I1145" s="7" t="str">
        <x:v>T-60s</x:v>
      </x:c>
      <x:c r="J1145" s="10" t="str">
        <x:v>full-rate capture</x:v>
      </x:c>
      <x:c r="K1145" s="7" t="str"/>
      <x:c r="L1145" s="10" t="str"/>
      <x:c r="M1145" s="7" t="str">
        <x:v>OPEN</x:v>
      </x:c>
    </x:row>
    <x:row r="1146" ht="36" customHeight="1">
      <x:c r="B1146" s="7" t="str">
        <x:v>RAE-E-48-P12</x:v>
      </x:c>
      <x:c r="C1146" s="7" t="str">
        <x:v>RAE-E-48</x:v>
      </x:c>
      <x:c r="D1146" s="7" t="str">
        <x:v>RFP-C2</x:v>
      </x:c>
      <x:c r="E1146" s="7" t="str">
        <x:v>AM-06</x:v>
      </x:c>
      <x:c r="F1146" s="7" t="str">
        <x:v>TR-B</x:v>
      </x:c>
      <x:c r="G1146" s="7" t="str">
        <x:v>QE-02</x:v>
      </x:c>
      <x:c r="H1146" s="7" t="str">
        <x:v>P12</x:v>
      </x:c>
      <x:c r="I1146" s="7" t="str">
        <x:v>T-10s</x:v>
      </x:c>
      <x:c r="J1146" s="10" t="str">
        <x:v>registered challenge state</x:v>
      </x:c>
      <x:c r="K1146" s="7" t="str"/>
      <x:c r="L1146" s="10" t="str"/>
      <x:c r="M1146" s="7" t="str">
        <x:v>OPEN</x:v>
      </x:c>
    </x:row>
    <x:row r="1147" ht="36" customHeight="1">
      <x:c r="B1147" s="7" t="str">
        <x:v>RAE-E-48-P13</x:v>
      </x:c>
      <x:c r="C1147" s="7" t="str">
        <x:v>RAE-E-48</x:v>
      </x:c>
      <x:c r="D1147" s="7" t="str">
        <x:v>RFP-C2</x:v>
      </x:c>
      <x:c r="E1147" s="7" t="str">
        <x:v>AM-06</x:v>
      </x:c>
      <x:c r="F1147" s="7" t="str">
        <x:v>TR-B</x:v>
      </x:c>
      <x:c r="G1147" s="7" t="str">
        <x:v>QE-02</x:v>
      </x:c>
      <x:c r="H1147" s="7" t="str">
        <x:v>P13</x:v>
      </x:c>
      <x:c r="I1147" s="7" t="str">
        <x:v>T0</x:v>
      </x:c>
      <x:c r="J1147" s="10" t="str">
        <x:v>source command or zero-source marker</x:v>
      </x:c>
      <x:c r="K1147" s="7" t="str"/>
      <x:c r="L1147" s="10" t="str"/>
      <x:c r="M1147" s="7" t="str">
        <x:v>OPEN</x:v>
      </x:c>
    </x:row>
    <x:row r="1148" ht="36" customHeight="1">
      <x:c r="B1148" s="7" t="str">
        <x:v>RAE-E-48-P14</x:v>
      </x:c>
      <x:c r="C1148" s="7" t="str">
        <x:v>RAE-E-48</x:v>
      </x:c>
      <x:c r="D1148" s="7" t="str">
        <x:v>RFP-C2</x:v>
      </x:c>
      <x:c r="E1148" s="7" t="str">
        <x:v>AM-06</x:v>
      </x:c>
      <x:c r="F1148" s="7" t="str">
        <x:v>TR-B</x:v>
      </x:c>
      <x:c r="G1148" s="7" t="str">
        <x:v>QE-02</x:v>
      </x:c>
      <x:c r="H1148" s="7" t="str">
        <x:v>P14</x:v>
      </x:c>
      <x:c r="I1148" s="7" t="str">
        <x:v>T+2s</x:v>
      </x:c>
      <x:c r="J1148" s="10" t="str">
        <x:v>inlet and dispenser final state</x:v>
      </x:c>
      <x:c r="K1148" s="7" t="str"/>
      <x:c r="L1148" s="10" t="str"/>
      <x:c r="M1148" s="7" t="str">
        <x:v>OPEN</x:v>
      </x:c>
    </x:row>
    <x:row r="1149" ht="36" customHeight="1">
      <x:c r="B1149" s="7" t="str">
        <x:v>RAE-E-48-P15</x:v>
      </x:c>
      <x:c r="C1149" s="7" t="str">
        <x:v>RAE-E-48</x:v>
      </x:c>
      <x:c r="D1149" s="7" t="str">
        <x:v>RFP-C2</x:v>
      </x:c>
      <x:c r="E1149" s="7" t="str">
        <x:v>AM-06</x:v>
      </x:c>
      <x:c r="F1149" s="7" t="str">
        <x:v>TR-B</x:v>
      </x:c>
      <x:c r="G1149" s="7" t="str">
        <x:v>QE-02</x:v>
      </x:c>
      <x:c r="H1149" s="7" t="str">
        <x:v>P15</x:v>
      </x:c>
      <x:c r="I1149" s="7" t="str">
        <x:v>T+15s</x:v>
      </x:c>
      <x:c r="J1149" s="10" t="str">
        <x:v>AM-06 QE-02 ignition opportunity</x:v>
      </x:c>
      <x:c r="K1149" s="7" t="str"/>
      <x:c r="L1149" s="10" t="str"/>
      <x:c r="M1149" s="7" t="str">
        <x:v>OPEN</x:v>
      </x:c>
    </x:row>
    <x:row r="1150" ht="36" customHeight="1">
      <x:c r="B1150" s="7" t="str">
        <x:v>RAE-E-48-P16</x:v>
      </x:c>
      <x:c r="C1150" s="7" t="str">
        <x:v>RAE-E-48</x:v>
      </x:c>
      <x:c r="D1150" s="7" t="str">
        <x:v>RFP-C2</x:v>
      </x:c>
      <x:c r="E1150" s="7" t="str">
        <x:v>AM-06</x:v>
      </x:c>
      <x:c r="F1150" s="7" t="str">
        <x:v>TR-B</x:v>
      </x:c>
      <x:c r="G1150" s="7" t="str">
        <x:v>QE-02</x:v>
      </x:c>
      <x:c r="H1150" s="7" t="str">
        <x:v>P16</x:v>
      </x:c>
      <x:c r="I1150" s="7" t="str">
        <x:v>T+30s</x:v>
      </x:c>
      <x:c r="J1150" s="10" t="str">
        <x:v>terminal-source decision</x:v>
      </x:c>
      <x:c r="K1150" s="7" t="str"/>
      <x:c r="L1150" s="10" t="str"/>
      <x:c r="M1150" s="7" t="str">
        <x:v>OPEN</x:v>
      </x:c>
    </x:row>
    <x:row r="1151" ht="36" customHeight="1">
      <x:c r="B1151" s="7" t="str">
        <x:v>RAE-E-48-P17</x:v>
      </x:c>
      <x:c r="C1151" s="7" t="str">
        <x:v>RAE-E-48</x:v>
      </x:c>
      <x:c r="D1151" s="7" t="str">
        <x:v>RFP-C2</x:v>
      </x:c>
      <x:c r="E1151" s="7" t="str">
        <x:v>AM-06</x:v>
      </x:c>
      <x:c r="F1151" s="7" t="str">
        <x:v>TR-B</x:v>
      </x:c>
      <x:c r="G1151" s="7" t="str">
        <x:v>QE-02</x:v>
      </x:c>
      <x:c r="H1151" s="7" t="str">
        <x:v>P17</x:v>
      </x:c>
      <x:c r="I1151" s="7" t="str">
        <x:v>T+120s</x:v>
      </x:c>
      <x:c r="J1151" s="10" t="str">
        <x:v>public schedule end</x:v>
      </x:c>
      <x:c r="K1151" s="7" t="str"/>
      <x:c r="L1151" s="10" t="str"/>
      <x:c r="M1151" s="7" t="str">
        <x:v>OPEN</x:v>
      </x:c>
    </x:row>
    <x:row r="1152" ht="36" customHeight="1">
      <x:c r="B1152" s="7" t="str">
        <x:v>RAE-E-48-P18</x:v>
      </x:c>
      <x:c r="C1152" s="7" t="str">
        <x:v>RAE-E-48</x:v>
      </x:c>
      <x:c r="D1152" s="7" t="str">
        <x:v>RFP-C2</x:v>
      </x:c>
      <x:c r="E1152" s="7" t="str">
        <x:v>AM-06</x:v>
      </x:c>
      <x:c r="F1152" s="7" t="str">
        <x:v>TR-B</x:v>
      </x:c>
      <x:c r="G1152" s="7" t="str">
        <x:v>QE-02</x:v>
      </x:c>
      <x:c r="H1152" s="7" t="str">
        <x:v>P18</x:v>
      </x:c>
      <x:c r="I1152" s="7" t="str">
        <x:v>T+15min</x:v>
      </x:c>
      <x:c r="J1152" s="10" t="str">
        <x:v>thermal and water classification</x:v>
      </x:c>
      <x:c r="K1152" s="7" t="str"/>
      <x:c r="L1152" s="10" t="str"/>
      <x:c r="M1152" s="7" t="str">
        <x:v>OPEN</x:v>
      </x:c>
    </x:row>
    <x:row r="1153" ht="36" customHeight="1">
      <x:c r="B1153" s="7" t="str">
        <x:v>RAE-E-48-P19</x:v>
      </x:c>
      <x:c r="C1153" s="7" t="str">
        <x:v>RAE-E-48</x:v>
      </x:c>
      <x:c r="D1153" s="7" t="str">
        <x:v>RFP-C2</x:v>
      </x:c>
      <x:c r="E1153" s="7" t="str">
        <x:v>AM-06</x:v>
      </x:c>
      <x:c r="F1153" s="7" t="str">
        <x:v>TR-B</x:v>
      </x:c>
      <x:c r="G1153" s="7" t="str">
        <x:v>QE-02</x:v>
      </x:c>
      <x:c r="H1153" s="7" t="str">
        <x:v>P19</x:v>
      </x:c>
      <x:c r="I1153" s="7" t="str">
        <x:v>T+30min</x:v>
      </x:c>
      <x:c r="J1153" s="10" t="str">
        <x:v>public intervention classification</x:v>
      </x:c>
      <x:c r="K1153" s="7" t="str"/>
      <x:c r="L1153" s="10" t="str"/>
      <x:c r="M1153" s="7" t="str">
        <x:v>OPEN</x:v>
      </x:c>
    </x:row>
    <x:row r="1154" ht="36" customHeight="1">
      <x:c r="B1154" s="7" t="str">
        <x:v>RAE-E-48-P20</x:v>
      </x:c>
      <x:c r="C1154" s="7" t="str">
        <x:v>RAE-E-48</x:v>
      </x:c>
      <x:c r="D1154" s="7" t="str">
        <x:v>RFP-C2</x:v>
      </x:c>
      <x:c r="E1154" s="7" t="str">
        <x:v>AM-06</x:v>
      </x:c>
      <x:c r="F1154" s="7" t="str">
        <x:v>TR-B</x:v>
      </x:c>
      <x:c r="G1154" s="7" t="str">
        <x:v>QE-02</x:v>
      </x:c>
      <x:c r="H1154" s="7" t="str">
        <x:v>P20</x:v>
      </x:c>
      <x:c r="I1154" s="7" t="str">
        <x:v>T+60min</x:v>
      </x:c>
      <x:c r="J1154" s="10" t="str">
        <x:v>remote-entry classification</x:v>
      </x:c>
      <x:c r="K1154" s="7" t="str"/>
      <x:c r="L1154" s="10" t="str"/>
      <x:c r="M1154" s="7" t="str">
        <x:v>OPEN</x:v>
      </x:c>
    </x:row>
    <x:row r="1155" ht="36" customHeight="1">
      <x:c r="B1155" s="7" t="str">
        <x:v>RAE-E-48-P21</x:v>
      </x:c>
      <x:c r="C1155" s="7" t="str">
        <x:v>RAE-E-48</x:v>
      </x:c>
      <x:c r="D1155" s="7" t="str">
        <x:v>RFP-C2</x:v>
      </x:c>
      <x:c r="E1155" s="7" t="str">
        <x:v>AM-06</x:v>
      </x:c>
      <x:c r="F1155" s="7" t="str">
        <x:v>TR-B</x:v>
      </x:c>
      <x:c r="G1155" s="7" t="str">
        <x:v>QE-02</x:v>
      </x:c>
      <x:c r="H1155" s="7" t="str">
        <x:v>P21</x:v>
      </x:c>
      <x:c r="I1155" s="7" t="str">
        <x:v>T+6h</x:v>
      </x:c>
      <x:c r="J1155" s="10" t="str">
        <x:v>evidence tail closure</x:v>
      </x:c>
      <x:c r="K1155" s="7" t="str"/>
      <x:c r="L1155" s="10" t="str"/>
      <x:c r="M1155" s="7" t="str">
        <x:v>OPEN</x:v>
      </x:c>
    </x:row>
    <x:row r="1156" ht="36" customHeight="1">
      <x:c r="B1156" s="7" t="str">
        <x:v>RAE-E-48-P22</x:v>
      </x:c>
      <x:c r="C1156" s="7" t="str">
        <x:v>RAE-E-48</x:v>
      </x:c>
      <x:c r="D1156" s="7" t="str">
        <x:v>RFP-C2</x:v>
      </x:c>
      <x:c r="E1156" s="7" t="str">
        <x:v>AM-06</x:v>
      </x:c>
      <x:c r="F1156" s="7" t="str">
        <x:v>TR-B</x:v>
      </x:c>
      <x:c r="G1156" s="7" t="str">
        <x:v>QE-02</x:v>
      </x:c>
      <x:c r="H1156" s="7" t="str">
        <x:v>P22</x:v>
      </x:c>
      <x:c r="I1156" s="7" t="str">
        <x:v>T+24h</x:v>
      </x:c>
      <x:c r="J1156" s="10" t="str">
        <x:v>physical ledger closure</x:v>
      </x:c>
      <x:c r="K1156" s="7" t="str"/>
      <x:c r="L1156" s="10" t="str"/>
      <x:c r="M1156" s="7" t="str">
        <x:v>OPEN</x:v>
      </x:c>
    </x:row>
    <x:row r="1157" ht="36" customHeight="1">
      <x:c r="B1157" s="7" t="str">
        <x:v>RAE-E-48-P23</x:v>
      </x:c>
      <x:c r="C1157" s="7" t="str">
        <x:v>RAE-E-48</x:v>
      </x:c>
      <x:c r="D1157" s="7" t="str">
        <x:v>RFP-C2</x:v>
      </x:c>
      <x:c r="E1157" s="7" t="str">
        <x:v>AM-06</x:v>
      </x:c>
      <x:c r="F1157" s="7" t="str">
        <x:v>TR-B</x:v>
      </x:c>
      <x:c r="G1157" s="7" t="str">
        <x:v>QE-02</x:v>
      </x:c>
      <x:c r="H1157" s="7" t="str">
        <x:v>P23</x:v>
      </x:c>
      <x:c r="I1157" s="7" t="str">
        <x:v>T+72h</x:v>
      </x:c>
      <x:c r="J1157" s="10" t="str">
        <x:v>immutable packet freeze</x:v>
      </x:c>
      <x:c r="K1157" s="7" t="str"/>
      <x:c r="L1157" s="10" t="str"/>
      <x:c r="M1157" s="7" t="str">
        <x:v>OPEN</x:v>
      </x:c>
    </x:row>
    <x:row r="1158" ht="36" customHeight="1">
      <x:c r="B1158" s="7" t="str">
        <x:v>RAE-E-48-P24</x:v>
      </x:c>
      <x:c r="C1158" s="7" t="str">
        <x:v>RAE-E-48</x:v>
      </x:c>
      <x:c r="D1158" s="7" t="str">
        <x:v>RFP-C2</x:v>
      </x:c>
      <x:c r="E1158" s="7" t="str">
        <x:v>AM-06</x:v>
      </x:c>
      <x:c r="F1158" s="7" t="str">
        <x:v>TR-B</x:v>
      </x:c>
      <x:c r="G1158" s="7" t="str">
        <x:v>QE-02</x:v>
      </x:c>
      <x:c r="H1158" s="7" t="str">
        <x:v>P24</x:v>
      </x:c>
      <x:c r="I1158" s="7" t="str">
        <x:v>day 7</x:v>
      </x:c>
      <x:c r="J1158" s="10" t="str">
        <x:v>validity and outcome board</x:v>
      </x:c>
      <x:c r="K1158" s="7" t="str"/>
      <x:c r="L1158" s="10" t="str"/>
      <x:c r="M1158" s="7" t="str">
        <x:v>OPEN</x:v>
      </x:c>
    </x:row>
  </x:sheetData>
  <x:conditionalFormatting sqref="M7:M1158">
    <x:cfRule type="containsText" dxfId="126" priority="1" operator="containsText" text="FAIL"/>
    <x:cfRule type="containsText" dxfId="127" priority="2" operator="containsText" text="INVALID"/>
    <x:cfRule type="containsText" dxfId="128" priority="3" operator="containsText" text="BLOCKED"/>
    <x:cfRule type="containsText" dxfId="129" priority="4" operator="containsText" text="OPEN"/>
    <x:cfRule type="containsText" dxfId="130" priority="5" operator="containsText" text="HELD"/>
    <x:cfRule type="containsText" dxfId="131" priority="6" operator="containsText" text="DORMANT"/>
    <x:cfRule type="containsText" dxfId="132" priority="7" operator="containsText" text="PASS"/>
    <x:cfRule type="containsText" dxfId="133" priority="8" operator="containsText" text="VALID"/>
    <x:cfRule type="containsText" dxfId="134" priority="9" operator="containsText" text="ISSUED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1" hidden="0" customWidth="1"/>
    <x:col min="4" max="4" width="16" hidden="0" customWidth="1"/>
    <x:col min="5" max="5" width="55" hidden="0" customWidth="1"/>
    <x:col min="6" max="6" width="61" hidden="0" customWidth="1"/>
    <x:col min="7" max="7" width="31" hidden="0" customWidth="1"/>
  </x:cols>
  <x:sheetData>
    <x:row r="2">
      <x:c r="B2" s="1" t="str">
        <x:v>Thirty-two pre-entry hold definitions</x:v>
      </x:c>
    </x:row>
    <x:row r="3">
      <x:c r="B3" s="2" t="str">
        <x:v>These are conjunctive controls: an unanswered hold remains open and cannot be averaged away.</x:v>
      </x:c>
    </x:row>
    <x:row r="6" ht="24" customHeight="1">
      <x:c r="B6" s="6" t="str">
        <x:v>Hold</x:v>
      </x:c>
      <x:c r="C6" s="6" t="str">
        <x:v>Domain</x:v>
      </x:c>
      <x:c r="D6" s="6" t="str">
        <x:v>Question</x:v>
      </x:c>
      <x:c r="E6" s="6" t="str">
        <x:v>Object boundary</x:v>
      </x:c>
      <x:c r="F6" s="6" t="str">
        <x:v>Acceptance question</x:v>
      </x:c>
      <x:c r="G6" s="6" t="str">
        <x:v>Rule</x:v>
      </x:c>
    </x:row>
    <x:row r="7" ht="40" customHeight="1">
      <x:c r="B7" s="7" t="str">
        <x:v>HP-01</x:v>
      </x:c>
      <x:c r="C7" s="7" t="str">
        <x:v>configuration</x:v>
      </x:c>
      <x:c r="D7" s="7" t="str">
        <x:v>identity</x:v>
      </x:c>
      <x:c r="E7" s="10" t="str">
        <x:v>article, cell sections and configuration master</x:v>
      </x:c>
      <x:c r="F7" s="10" t="str">
        <x:v>does the serialized object match the frozen baseline?</x:v>
      </x:c>
      <x:c r="G7" s="7" t="str">
        <x:v>mandatory before event issue</x:v>
      </x:c>
    </x:row>
    <x:row r="8" ht="40" customHeight="1">
      <x:c r="B8" s="7" t="str">
        <x:v>HP-02</x:v>
      </x:c>
      <x:c r="C8" s="7" t="str">
        <x:v>configuration</x:v>
      </x:c>
      <x:c r="D8" s="7" t="str">
        <x:v>capacity</x:v>
      </x:c>
      <x:c r="E8" s="10" t="str">
        <x:v>article, cell sections and configuration master</x:v>
      </x:c>
      <x:c r="F8" s="10" t="str">
        <x:v>is measured capacity sufficient for the registered event?</x:v>
      </x:c>
      <x:c r="G8" s="7" t="str">
        <x:v>mandatory before event issue</x:v>
      </x:c>
    </x:row>
    <x:row r="9" ht="40" customHeight="1">
      <x:c r="B9" s="7" t="str">
        <x:v>HP-03</x:v>
      </x:c>
      <x:c r="C9" s="7" t="str">
        <x:v>configuration</x:v>
      </x:c>
      <x:c r="D9" s="7" t="str">
        <x:v>state</x:v>
      </x:c>
      <x:c r="E9" s="10" t="str">
        <x:v>article, cell sections and configuration master</x:v>
      </x:c>
      <x:c r="F9" s="10" t="str">
        <x:v>is the required pre-event state directly observed?</x:v>
      </x:c>
      <x:c r="G9" s="7" t="str">
        <x:v>mandatory before event issue</x:v>
      </x:c>
    </x:row>
    <x:row r="10" ht="40" customHeight="1">
      <x:c r="B10" s="7" t="str">
        <x:v>HP-04</x:v>
      </x:c>
      <x:c r="C10" s="7" t="str">
        <x:v>configuration</x:v>
      </x:c>
      <x:c r="D10" s="7" t="str">
        <x:v>authority</x:v>
      </x:c>
      <x:c r="E10" s="10" t="str">
        <x:v>article, cell sections and configuration master</x:v>
      </x:c>
      <x:c r="F10" s="10" t="str">
        <x:v>has the accountable accepter signed this exact state?</x:v>
      </x:c>
      <x:c r="G10" s="7" t="str">
        <x:v>mandatory before event issue</x:v>
      </x:c>
    </x:row>
    <x:row r="11" ht="40" customHeight="1">
      <x:c r="B11" s="7" t="str">
        <x:v>HP-05</x:v>
      </x:c>
      <x:c r="C11" s="7" t="str">
        <x:v>source</x:v>
      </x:c>
      <x:c r="D11" s="7" t="str">
        <x:v>identity</x:v>
      </x:c>
      <x:c r="E11" s="10" t="str">
        <x:v>package identity, characteristics and custody</x:v>
      </x:c>
      <x:c r="F11" s="10" t="str">
        <x:v>does the serialized object match the frozen baseline?</x:v>
      </x:c>
      <x:c r="G11" s="7" t="str">
        <x:v>mandatory before event issue</x:v>
      </x:c>
    </x:row>
    <x:row r="12" ht="40" customHeight="1">
      <x:c r="B12" s="7" t="str">
        <x:v>HP-06</x:v>
      </x:c>
      <x:c r="C12" s="7" t="str">
        <x:v>source</x:v>
      </x:c>
      <x:c r="D12" s="7" t="str">
        <x:v>capacity</x:v>
      </x:c>
      <x:c r="E12" s="10" t="str">
        <x:v>package identity, characteristics and custody</x:v>
      </x:c>
      <x:c r="F12" s="10" t="str">
        <x:v>is measured capacity sufficient for the registered event?</x:v>
      </x:c>
      <x:c r="G12" s="7" t="str">
        <x:v>mandatory before event issue</x:v>
      </x:c>
    </x:row>
    <x:row r="13" ht="40" customHeight="1">
      <x:c r="B13" s="7" t="str">
        <x:v>HP-07</x:v>
      </x:c>
      <x:c r="C13" s="7" t="str">
        <x:v>source</x:v>
      </x:c>
      <x:c r="D13" s="7" t="str">
        <x:v>state</x:v>
      </x:c>
      <x:c r="E13" s="10" t="str">
        <x:v>package identity, characteristics and custody</x:v>
      </x:c>
      <x:c r="F13" s="10" t="str">
        <x:v>is the required pre-event state directly observed?</x:v>
      </x:c>
      <x:c r="G13" s="7" t="str">
        <x:v>mandatory before event issue</x:v>
      </x:c>
    </x:row>
    <x:row r="14" ht="40" customHeight="1">
      <x:c r="B14" s="7" t="str">
        <x:v>HP-08</x:v>
      </x:c>
      <x:c r="C14" s="7" t="str">
        <x:v>source</x:v>
      </x:c>
      <x:c r="D14" s="7" t="str">
        <x:v>authority</x:v>
      </x:c>
      <x:c r="E14" s="10" t="str">
        <x:v>package identity, characteristics and custody</x:v>
      </x:c>
      <x:c r="F14" s="10" t="str">
        <x:v>has the accountable accepter signed this exact state?</x:v>
      </x:c>
      <x:c r="G14" s="7" t="str">
        <x:v>mandatory before event issue</x:v>
      </x:c>
    </x:row>
    <x:row r="15" ht="40" customHeight="1">
      <x:c r="B15" s="7" t="str">
        <x:v>HP-09</x:v>
      </x:c>
      <x:c r="C15" s="7" t="str">
        <x:v>containment</x:v>
      </x:c>
      <x:c r="D15" s="7" t="str">
        <x:v>identity</x:v>
      </x:c>
      <x:c r="E15" s="10" t="str">
        <x:v>pan, catchment and receiver route</x:v>
      </x:c>
      <x:c r="F15" s="10" t="str">
        <x:v>does the serialized object match the frozen baseline?</x:v>
      </x:c>
      <x:c r="G15" s="7" t="str">
        <x:v>mandatory before event issue</x:v>
      </x:c>
    </x:row>
    <x:row r="16" ht="40" customHeight="1">
      <x:c r="B16" s="7" t="str">
        <x:v>HP-10</x:v>
      </x:c>
      <x:c r="C16" s="7" t="str">
        <x:v>containment</x:v>
      </x:c>
      <x:c r="D16" s="7" t="str">
        <x:v>capacity</x:v>
      </x:c>
      <x:c r="E16" s="10" t="str">
        <x:v>pan, catchment and receiver route</x:v>
      </x:c>
      <x:c r="F16" s="10" t="str">
        <x:v>is measured capacity sufficient for the registered event?</x:v>
      </x:c>
      <x:c r="G16" s="7" t="str">
        <x:v>mandatory before event issue</x:v>
      </x:c>
    </x:row>
    <x:row r="17" ht="40" customHeight="1">
      <x:c r="B17" s="7" t="str">
        <x:v>HP-11</x:v>
      </x:c>
      <x:c r="C17" s="7" t="str">
        <x:v>containment</x:v>
      </x:c>
      <x:c r="D17" s="7" t="str">
        <x:v>state</x:v>
      </x:c>
      <x:c r="E17" s="10" t="str">
        <x:v>pan, catchment and receiver route</x:v>
      </x:c>
      <x:c r="F17" s="10" t="str">
        <x:v>is the required pre-event state directly observed?</x:v>
      </x:c>
      <x:c r="G17" s="7" t="str">
        <x:v>mandatory before event issue</x:v>
      </x:c>
    </x:row>
    <x:row r="18" ht="40" customHeight="1">
      <x:c r="B18" s="7" t="str">
        <x:v>HP-12</x:v>
      </x:c>
      <x:c r="C18" s="7" t="str">
        <x:v>containment</x:v>
      </x:c>
      <x:c r="D18" s="7" t="str">
        <x:v>authority</x:v>
      </x:c>
      <x:c r="E18" s="10" t="str">
        <x:v>pan, catchment and receiver route</x:v>
      </x:c>
      <x:c r="F18" s="10" t="str">
        <x:v>has the accountable accepter signed this exact state?</x:v>
      </x:c>
      <x:c r="G18" s="7" t="str">
        <x:v>mandatory before event issue</x:v>
      </x:c>
    </x:row>
    <x:row r="19" ht="40" customHeight="1">
      <x:c r="B19" s="7" t="str">
        <x:v>HP-13</x:v>
      </x:c>
      <x:c r="C19" s="7" t="str">
        <x:v>water</x:v>
      </x:c>
      <x:c r="D19" s="7" t="str">
        <x:v>identity</x:v>
      </x:c>
      <x:c r="E19" s="10" t="str">
        <x:v>water ancestry, initial inventory and casualty headroom</x:v>
      </x:c>
      <x:c r="F19" s="10" t="str">
        <x:v>does the serialized object match the frozen baseline?</x:v>
      </x:c>
      <x:c r="G19" s="7" t="str">
        <x:v>mandatory before event issue</x:v>
      </x:c>
    </x:row>
    <x:row r="20" ht="40" customHeight="1">
      <x:c r="B20" s="7" t="str">
        <x:v>HP-14</x:v>
      </x:c>
      <x:c r="C20" s="7" t="str">
        <x:v>water</x:v>
      </x:c>
      <x:c r="D20" s="7" t="str">
        <x:v>capacity</x:v>
      </x:c>
      <x:c r="E20" s="10" t="str">
        <x:v>water ancestry, initial inventory and casualty headroom</x:v>
      </x:c>
      <x:c r="F20" s="10" t="str">
        <x:v>is measured capacity sufficient for the registered event?</x:v>
      </x:c>
      <x:c r="G20" s="7" t="str">
        <x:v>mandatory before event issue</x:v>
      </x:c>
    </x:row>
    <x:row r="21" ht="40" customHeight="1">
      <x:c r="B21" s="7" t="str">
        <x:v>HP-15</x:v>
      </x:c>
      <x:c r="C21" s="7" t="str">
        <x:v>water</x:v>
      </x:c>
      <x:c r="D21" s="7" t="str">
        <x:v>state</x:v>
      </x:c>
      <x:c r="E21" s="10" t="str">
        <x:v>water ancestry, initial inventory and casualty headroom</x:v>
      </x:c>
      <x:c r="F21" s="10" t="str">
        <x:v>is the required pre-event state directly observed?</x:v>
      </x:c>
      <x:c r="G21" s="7" t="str">
        <x:v>mandatory before event issue</x:v>
      </x:c>
    </x:row>
    <x:row r="22" ht="40" customHeight="1">
      <x:c r="B22" s="7" t="str">
        <x:v>HP-16</x:v>
      </x:c>
      <x:c r="C22" s="7" t="str">
        <x:v>water</x:v>
      </x:c>
      <x:c r="D22" s="7" t="str">
        <x:v>authority</x:v>
      </x:c>
      <x:c r="E22" s="10" t="str">
        <x:v>water ancestry, initial inventory and casualty headroom</x:v>
      </x:c>
      <x:c r="F22" s="10" t="str">
        <x:v>has the accountable accepter signed this exact state?</x:v>
      </x:c>
      <x:c r="G22" s="7" t="str">
        <x:v>mandatory before event issue</x:v>
      </x:c>
    </x:row>
    <x:row r="23" ht="40" customHeight="1">
      <x:c r="B23" s="7" t="str">
        <x:v>HP-17</x:v>
      </x:c>
      <x:c r="C23" s="7" t="str">
        <x:v>safeing</x:v>
      </x:c>
      <x:c r="D23" s="7" t="str">
        <x:v>identity</x:v>
      </x:c>
      <x:c r="E23" s="10" t="str">
        <x:v>final elements and three unlike paths</x:v>
      </x:c>
      <x:c r="F23" s="10" t="str">
        <x:v>does the serialized object match the frozen baseline?</x:v>
      </x:c>
      <x:c r="G23" s="7" t="str">
        <x:v>mandatory before event issue</x:v>
      </x:c>
    </x:row>
    <x:row r="24" ht="40" customHeight="1">
      <x:c r="B24" s="7" t="str">
        <x:v>HP-18</x:v>
      </x:c>
      <x:c r="C24" s="7" t="str">
        <x:v>safeing</x:v>
      </x:c>
      <x:c r="D24" s="7" t="str">
        <x:v>capacity</x:v>
      </x:c>
      <x:c r="E24" s="10" t="str">
        <x:v>final elements and three unlike paths</x:v>
      </x:c>
      <x:c r="F24" s="10" t="str">
        <x:v>is measured capacity sufficient for the registered event?</x:v>
      </x:c>
      <x:c r="G24" s="7" t="str">
        <x:v>mandatory before event issue</x:v>
      </x:c>
    </x:row>
    <x:row r="25" ht="40" customHeight="1">
      <x:c r="B25" s="7" t="str">
        <x:v>HP-19</x:v>
      </x:c>
      <x:c r="C25" s="7" t="str">
        <x:v>safeing</x:v>
      </x:c>
      <x:c r="D25" s="7" t="str">
        <x:v>state</x:v>
      </x:c>
      <x:c r="E25" s="10" t="str">
        <x:v>final elements and three unlike paths</x:v>
      </x:c>
      <x:c r="F25" s="10" t="str">
        <x:v>is the required pre-event state directly observed?</x:v>
      </x:c>
      <x:c r="G25" s="7" t="str">
        <x:v>mandatory before event issue</x:v>
      </x:c>
    </x:row>
    <x:row r="26" ht="40" customHeight="1">
      <x:c r="B26" s="7" t="str">
        <x:v>HP-20</x:v>
      </x:c>
      <x:c r="C26" s="7" t="str">
        <x:v>safeing</x:v>
      </x:c>
      <x:c r="D26" s="7" t="str">
        <x:v>authority</x:v>
      </x:c>
      <x:c r="E26" s="10" t="str">
        <x:v>final elements and three unlike paths</x:v>
      </x:c>
      <x:c r="F26" s="10" t="str">
        <x:v>has the accountable accepter signed this exact state?</x:v>
      </x:c>
      <x:c r="G26" s="7" t="str">
        <x:v>mandatory before event issue</x:v>
      </x:c>
    </x:row>
    <x:row r="27" ht="40" customHeight="1">
      <x:c r="B27" s="7" t="str">
        <x:v>HP-21</x:v>
      </x:c>
      <x:c r="C27" s="7" t="str">
        <x:v>evidence</x:v>
      </x:c>
      <x:c r="D27" s="7" t="str">
        <x:v>identity</x:v>
      </x:c>
      <x:c r="E27" s="10" t="str">
        <x:v>native capture, time and sample custody</x:v>
      </x:c>
      <x:c r="F27" s="10" t="str">
        <x:v>does the serialized object match the frozen baseline?</x:v>
      </x:c>
      <x:c r="G27" s="7" t="str">
        <x:v>mandatory before event issue</x:v>
      </x:c>
    </x:row>
    <x:row r="28" ht="40" customHeight="1">
      <x:c r="B28" s="7" t="str">
        <x:v>HP-22</x:v>
      </x:c>
      <x:c r="C28" s="7" t="str">
        <x:v>evidence</x:v>
      </x:c>
      <x:c r="D28" s="7" t="str">
        <x:v>capacity</x:v>
      </x:c>
      <x:c r="E28" s="10" t="str">
        <x:v>native capture, time and sample custody</x:v>
      </x:c>
      <x:c r="F28" s="10" t="str">
        <x:v>is measured capacity sufficient for the registered event?</x:v>
      </x:c>
      <x:c r="G28" s="7" t="str">
        <x:v>mandatory before event issue</x:v>
      </x:c>
    </x:row>
    <x:row r="29" ht="40" customHeight="1">
      <x:c r="B29" s="7" t="str">
        <x:v>HP-23</x:v>
      </x:c>
      <x:c r="C29" s="7" t="str">
        <x:v>evidence</x:v>
      </x:c>
      <x:c r="D29" s="7" t="str">
        <x:v>state</x:v>
      </x:c>
      <x:c r="E29" s="10" t="str">
        <x:v>native capture, time and sample custody</x:v>
      </x:c>
      <x:c r="F29" s="10" t="str">
        <x:v>is the required pre-event state directly observed?</x:v>
      </x:c>
      <x:c r="G29" s="7" t="str">
        <x:v>mandatory before event issue</x:v>
      </x:c>
    </x:row>
    <x:row r="30" ht="40" customHeight="1">
      <x:c r="B30" s="7" t="str">
        <x:v>HP-24</x:v>
      </x:c>
      <x:c r="C30" s="7" t="str">
        <x:v>evidence</x:v>
      </x:c>
      <x:c r="D30" s="7" t="str">
        <x:v>authority</x:v>
      </x:c>
      <x:c r="E30" s="10" t="str">
        <x:v>native capture, time and sample custody</x:v>
      </x:c>
      <x:c r="F30" s="10" t="str">
        <x:v>has the accountable accepter signed this exact state?</x:v>
      </x:c>
      <x:c r="G30" s="7" t="str">
        <x:v>mandatory before event issue</x:v>
      </x:c>
    </x:row>
    <x:row r="31" ht="40" customHeight="1">
      <x:c r="B31" s="7" t="str">
        <x:v>HP-25</x:v>
      </x:c>
      <x:c r="C31" s="7" t="str">
        <x:v>environment</x:v>
      </x:c>
      <x:c r="D31" s="7" t="str">
        <x:v>identity</x:v>
      </x:c>
      <x:c r="E31" s="10" t="str">
        <x:v>background, release limits and recovery route</x:v>
      </x:c>
      <x:c r="F31" s="10" t="str">
        <x:v>does the serialized object match the frozen baseline?</x:v>
      </x:c>
      <x:c r="G31" s="7" t="str">
        <x:v>mandatory before event issue</x:v>
      </x:c>
    </x:row>
    <x:row r="32" ht="40" customHeight="1">
      <x:c r="B32" s="7" t="str">
        <x:v>HP-26</x:v>
      </x:c>
      <x:c r="C32" s="7" t="str">
        <x:v>environment</x:v>
      </x:c>
      <x:c r="D32" s="7" t="str">
        <x:v>capacity</x:v>
      </x:c>
      <x:c r="E32" s="10" t="str">
        <x:v>background, release limits and recovery route</x:v>
      </x:c>
      <x:c r="F32" s="10" t="str">
        <x:v>is measured capacity sufficient for the registered event?</x:v>
      </x:c>
      <x:c r="G32" s="7" t="str">
        <x:v>mandatory before event issue</x:v>
      </x:c>
    </x:row>
    <x:row r="33" ht="40" customHeight="1">
      <x:c r="B33" s="7" t="str">
        <x:v>HP-27</x:v>
      </x:c>
      <x:c r="C33" s="7" t="str">
        <x:v>environment</x:v>
      </x:c>
      <x:c r="D33" s="7" t="str">
        <x:v>state</x:v>
      </x:c>
      <x:c r="E33" s="10" t="str">
        <x:v>background, release limits and recovery route</x:v>
      </x:c>
      <x:c r="F33" s="10" t="str">
        <x:v>is the required pre-event state directly observed?</x:v>
      </x:c>
      <x:c r="G33" s="7" t="str">
        <x:v>mandatory before event issue</x:v>
      </x:c>
    </x:row>
    <x:row r="34" ht="40" customHeight="1">
      <x:c r="B34" s="7" t="str">
        <x:v>HP-28</x:v>
      </x:c>
      <x:c r="C34" s="7" t="str">
        <x:v>environment</x:v>
      </x:c>
      <x:c r="D34" s="7" t="str">
        <x:v>authority</x:v>
      </x:c>
      <x:c r="E34" s="10" t="str">
        <x:v>background, release limits and recovery route</x:v>
      </x:c>
      <x:c r="F34" s="10" t="str">
        <x:v>has the accountable accepter signed this exact state?</x:v>
      </x:c>
      <x:c r="G34" s="7" t="str">
        <x:v>mandatory before event issue</x:v>
      </x:c>
    </x:row>
    <x:row r="35" ht="40" customHeight="1">
      <x:c r="B35" s="7" t="str">
        <x:v>HP-29</x:v>
      </x:c>
      <x:c r="C35" s="7" t="str">
        <x:v>authority</x:v>
      </x:c>
      <x:c r="D35" s="7" t="str">
        <x:v>identity</x:v>
      </x:c>
      <x:c r="E35" s="10" t="str">
        <x:v>named witnesses, rescue and event issuer</x:v>
      </x:c>
      <x:c r="F35" s="10" t="str">
        <x:v>does the serialized object match the frozen baseline?</x:v>
      </x:c>
      <x:c r="G35" s="7" t="str">
        <x:v>mandatory before event issue</x:v>
      </x:c>
    </x:row>
    <x:row r="36" ht="40" customHeight="1">
      <x:c r="B36" s="7" t="str">
        <x:v>HP-30</x:v>
      </x:c>
      <x:c r="C36" s="7" t="str">
        <x:v>authority</x:v>
      </x:c>
      <x:c r="D36" s="7" t="str">
        <x:v>capacity</x:v>
      </x:c>
      <x:c r="E36" s="10" t="str">
        <x:v>named witnesses, rescue and event issuer</x:v>
      </x:c>
      <x:c r="F36" s="10" t="str">
        <x:v>is measured capacity sufficient for the registered event?</x:v>
      </x:c>
      <x:c r="G36" s="7" t="str">
        <x:v>mandatory before event issue</x:v>
      </x:c>
    </x:row>
    <x:row r="37" ht="40" customHeight="1">
      <x:c r="B37" s="7" t="str">
        <x:v>HP-31</x:v>
      </x:c>
      <x:c r="C37" s="7" t="str">
        <x:v>authority</x:v>
      </x:c>
      <x:c r="D37" s="7" t="str">
        <x:v>state</x:v>
      </x:c>
      <x:c r="E37" s="10" t="str">
        <x:v>named witnesses, rescue and event issuer</x:v>
      </x:c>
      <x:c r="F37" s="10" t="str">
        <x:v>is the required pre-event state directly observed?</x:v>
      </x:c>
      <x:c r="G37" s="7" t="str">
        <x:v>mandatory before event issue</x:v>
      </x:c>
    </x:row>
    <x:row r="38" ht="40" customHeight="1">
      <x:c r="B38" s="7" t="str">
        <x:v>HP-32</x:v>
      </x:c>
      <x:c r="C38" s="7" t="str">
        <x:v>authority</x:v>
      </x:c>
      <x:c r="D38" s="7" t="str">
        <x:v>authority</x:v>
      </x:c>
      <x:c r="E38" s="10" t="str">
        <x:v>named witnesses, rescue and event issuer</x:v>
      </x:c>
      <x:c r="F38" s="10" t="str">
        <x:v>has the accountable accepter signed this exact state?</x:v>
      </x:c>
      <x:c r="G38" s="7" t="str">
        <x:v>mandatory before event issue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4" hidden="0" customWidth="1"/>
    <x:col min="3" max="3" width="16" hidden="0" customWidth="1"/>
    <x:col min="4" max="4" width="14" hidden="0" customWidth="1"/>
    <x:col min="5" max="5" width="14" hidden="0" customWidth="1"/>
    <x:col min="6" max="6" width="21" hidden="0" customWidth="1"/>
    <x:col min="7" max="7" width="16" hidden="0" customWidth="1"/>
    <x:col min="8" max="8" width="58" hidden="0" customWidth="1"/>
    <x:col min="9" max="9" width="21" hidden="0" customWidth="1"/>
    <x:col min="10" max="10" width="14" hidden="0" customWidth="1"/>
  </x:cols>
  <x:sheetData>
    <x:row r="2">
      <x:c r="B2" s="1" t="str">
        <x:v>One thousand five hundred thirty-six event hold records</x:v>
      </x:c>
    </x:row>
    <x:row r="3">
      <x:c r="B3" s="2" t="str">
        <x:v>Every event carries its own hold state. Prior events and sister rigs confer no acceptance.</x:v>
      </x:c>
    </x:row>
    <x:row r="6" ht="24" customHeight="1">
      <x:c r="B6" s="6" t="str">
        <x:v>Record</x:v>
      </x:c>
      <x:c r="C6" s="6" t="str">
        <x:v>Event</x:v>
      </x:c>
      <x:c r="D6" s="6" t="str">
        <x:v>Rig</x:v>
      </x:c>
      <x:c r="E6" s="6" t="str">
        <x:v>Hold</x:v>
      </x:c>
      <x:c r="F6" s="6" t="str">
        <x:v>Domain</x:v>
      </x:c>
      <x:c r="G6" s="6" t="str">
        <x:v>Question</x:v>
      </x:c>
      <x:c r="H6" s="6" t="str">
        <x:v>Observed basis</x:v>
      </x:c>
      <x:c r="I6" s="6" t="str">
        <x:v>Accepted UTC</x:v>
      </x:c>
      <x:c r="J6" s="6" t="str">
        <x:v>State</x:v>
      </x:c>
    </x:row>
    <x:row r="7" ht="36" customHeight="1">
      <x:c r="B7" s="7" t="str">
        <x:v>RAE-E-01-HP-01</x:v>
      </x:c>
      <x:c r="C7" s="7" t="str">
        <x:v>RAE-E-01</x:v>
      </x:c>
      <x:c r="D7" s="7" t="str">
        <x:v>RFP-A1</x:v>
      </x:c>
      <x:c r="E7" s="7" t="str">
        <x:v>HP-01</x:v>
      </x:c>
      <x:c r="F7" s="7" t="str">
        <x:v>configuration</x:v>
      </x:c>
      <x:c r="G7" s="7" t="str">
        <x:v>identity</x:v>
      </x:c>
      <x:c r="H7" s="10" t="str"/>
      <x:c r="I7" s="7" t="str"/>
      <x:c r="J7" s="7" t="str">
        <x:v>OPEN</x:v>
      </x:c>
    </x:row>
    <x:row r="8" ht="36" customHeight="1">
      <x:c r="B8" s="7" t="str">
        <x:v>RAE-E-01-HP-02</x:v>
      </x:c>
      <x:c r="C8" s="7" t="str">
        <x:v>RAE-E-01</x:v>
      </x:c>
      <x:c r="D8" s="7" t="str">
        <x:v>RFP-A1</x:v>
      </x:c>
      <x:c r="E8" s="7" t="str">
        <x:v>HP-02</x:v>
      </x:c>
      <x:c r="F8" s="7" t="str">
        <x:v>configuration</x:v>
      </x:c>
      <x:c r="G8" s="7" t="str">
        <x:v>capacity</x:v>
      </x:c>
      <x:c r="H8" s="10" t="str"/>
      <x:c r="I8" s="7" t="str"/>
      <x:c r="J8" s="7" t="str">
        <x:v>OPEN</x:v>
      </x:c>
    </x:row>
    <x:row r="9" ht="36" customHeight="1">
      <x:c r="B9" s="7" t="str">
        <x:v>RAE-E-01-HP-03</x:v>
      </x:c>
      <x:c r="C9" s="7" t="str">
        <x:v>RAE-E-01</x:v>
      </x:c>
      <x:c r="D9" s="7" t="str">
        <x:v>RFP-A1</x:v>
      </x:c>
      <x:c r="E9" s="7" t="str">
        <x:v>HP-03</x:v>
      </x:c>
      <x:c r="F9" s="7" t="str">
        <x:v>configuration</x:v>
      </x:c>
      <x:c r="G9" s="7" t="str">
        <x:v>state</x:v>
      </x:c>
      <x:c r="H9" s="10" t="str"/>
      <x:c r="I9" s="7" t="str"/>
      <x:c r="J9" s="7" t="str">
        <x:v>OPEN</x:v>
      </x:c>
    </x:row>
    <x:row r="10" ht="36" customHeight="1">
      <x:c r="B10" s="7" t="str">
        <x:v>RAE-E-01-HP-04</x:v>
      </x:c>
      <x:c r="C10" s="7" t="str">
        <x:v>RAE-E-01</x:v>
      </x:c>
      <x:c r="D10" s="7" t="str">
        <x:v>RFP-A1</x:v>
      </x:c>
      <x:c r="E10" s="7" t="str">
        <x:v>HP-04</x:v>
      </x:c>
      <x:c r="F10" s="7" t="str">
        <x:v>configuration</x:v>
      </x:c>
      <x:c r="G10" s="7" t="str">
        <x:v>authority</x:v>
      </x:c>
      <x:c r="H10" s="10" t="str"/>
      <x:c r="I10" s="7" t="str"/>
      <x:c r="J10" s="7" t="str">
        <x:v>OPEN</x:v>
      </x:c>
    </x:row>
    <x:row r="11" ht="36" customHeight="1">
      <x:c r="B11" s="7" t="str">
        <x:v>RAE-E-01-HP-05</x:v>
      </x:c>
      <x:c r="C11" s="7" t="str">
        <x:v>RAE-E-01</x:v>
      </x:c>
      <x:c r="D11" s="7" t="str">
        <x:v>RFP-A1</x:v>
      </x:c>
      <x:c r="E11" s="7" t="str">
        <x:v>HP-05</x:v>
      </x:c>
      <x:c r="F11" s="7" t="str">
        <x:v>source</x:v>
      </x:c>
      <x:c r="G11" s="7" t="str">
        <x:v>identity</x:v>
      </x:c>
      <x:c r="H11" s="10" t="str"/>
      <x:c r="I11" s="7" t="str"/>
      <x:c r="J11" s="7" t="str">
        <x:v>OPEN</x:v>
      </x:c>
    </x:row>
    <x:row r="12" ht="36" customHeight="1">
      <x:c r="B12" s="7" t="str">
        <x:v>RAE-E-01-HP-06</x:v>
      </x:c>
      <x:c r="C12" s="7" t="str">
        <x:v>RAE-E-01</x:v>
      </x:c>
      <x:c r="D12" s="7" t="str">
        <x:v>RFP-A1</x:v>
      </x:c>
      <x:c r="E12" s="7" t="str">
        <x:v>HP-06</x:v>
      </x:c>
      <x:c r="F12" s="7" t="str">
        <x:v>source</x:v>
      </x:c>
      <x:c r="G12" s="7" t="str">
        <x:v>capacity</x:v>
      </x:c>
      <x:c r="H12" s="10" t="str"/>
      <x:c r="I12" s="7" t="str"/>
      <x:c r="J12" s="7" t="str">
        <x:v>OPEN</x:v>
      </x:c>
    </x:row>
    <x:row r="13" ht="36" customHeight="1">
      <x:c r="B13" s="7" t="str">
        <x:v>RAE-E-01-HP-07</x:v>
      </x:c>
      <x:c r="C13" s="7" t="str">
        <x:v>RAE-E-01</x:v>
      </x:c>
      <x:c r="D13" s="7" t="str">
        <x:v>RFP-A1</x:v>
      </x:c>
      <x:c r="E13" s="7" t="str">
        <x:v>HP-07</x:v>
      </x:c>
      <x:c r="F13" s="7" t="str">
        <x:v>source</x:v>
      </x:c>
      <x:c r="G13" s="7" t="str">
        <x:v>state</x:v>
      </x:c>
      <x:c r="H13" s="10" t="str"/>
      <x:c r="I13" s="7" t="str"/>
      <x:c r="J13" s="7" t="str">
        <x:v>OPEN</x:v>
      </x:c>
    </x:row>
    <x:row r="14" ht="36" customHeight="1">
      <x:c r="B14" s="7" t="str">
        <x:v>RAE-E-01-HP-08</x:v>
      </x:c>
      <x:c r="C14" s="7" t="str">
        <x:v>RAE-E-01</x:v>
      </x:c>
      <x:c r="D14" s="7" t="str">
        <x:v>RFP-A1</x:v>
      </x:c>
      <x:c r="E14" s="7" t="str">
        <x:v>HP-08</x:v>
      </x:c>
      <x:c r="F14" s="7" t="str">
        <x:v>source</x:v>
      </x:c>
      <x:c r="G14" s="7" t="str">
        <x:v>authority</x:v>
      </x:c>
      <x:c r="H14" s="10" t="str"/>
      <x:c r="I14" s="7" t="str"/>
      <x:c r="J14" s="7" t="str">
        <x:v>OPEN</x:v>
      </x:c>
    </x:row>
    <x:row r="15" ht="36" customHeight="1">
      <x:c r="B15" s="7" t="str">
        <x:v>RAE-E-01-HP-09</x:v>
      </x:c>
      <x:c r="C15" s="7" t="str">
        <x:v>RAE-E-01</x:v>
      </x:c>
      <x:c r="D15" s="7" t="str">
        <x:v>RFP-A1</x:v>
      </x:c>
      <x:c r="E15" s="7" t="str">
        <x:v>HP-09</x:v>
      </x:c>
      <x:c r="F15" s="7" t="str">
        <x:v>containment</x:v>
      </x:c>
      <x:c r="G15" s="7" t="str">
        <x:v>identity</x:v>
      </x:c>
      <x:c r="H15" s="10" t="str"/>
      <x:c r="I15" s="7" t="str"/>
      <x:c r="J15" s="7" t="str">
        <x:v>OPEN</x:v>
      </x:c>
    </x:row>
    <x:row r="16" ht="36" customHeight="1">
      <x:c r="B16" s="7" t="str">
        <x:v>RAE-E-01-HP-10</x:v>
      </x:c>
      <x:c r="C16" s="7" t="str">
        <x:v>RAE-E-01</x:v>
      </x:c>
      <x:c r="D16" s="7" t="str">
        <x:v>RFP-A1</x:v>
      </x:c>
      <x:c r="E16" s="7" t="str">
        <x:v>HP-10</x:v>
      </x:c>
      <x:c r="F16" s="7" t="str">
        <x:v>containment</x:v>
      </x:c>
      <x:c r="G16" s="7" t="str">
        <x:v>capacity</x:v>
      </x:c>
      <x:c r="H16" s="10" t="str"/>
      <x:c r="I16" s="7" t="str"/>
      <x:c r="J16" s="7" t="str">
        <x:v>OPEN</x:v>
      </x:c>
    </x:row>
    <x:row r="17" ht="36" customHeight="1">
      <x:c r="B17" s="7" t="str">
        <x:v>RAE-E-01-HP-11</x:v>
      </x:c>
      <x:c r="C17" s="7" t="str">
        <x:v>RAE-E-01</x:v>
      </x:c>
      <x:c r="D17" s="7" t="str">
        <x:v>RFP-A1</x:v>
      </x:c>
      <x:c r="E17" s="7" t="str">
        <x:v>HP-11</x:v>
      </x:c>
      <x:c r="F17" s="7" t="str">
        <x:v>containment</x:v>
      </x:c>
      <x:c r="G17" s="7" t="str">
        <x:v>state</x:v>
      </x:c>
      <x:c r="H17" s="10" t="str"/>
      <x:c r="I17" s="7" t="str"/>
      <x:c r="J17" s="7" t="str">
        <x:v>OPEN</x:v>
      </x:c>
    </x:row>
    <x:row r="18" ht="36" customHeight="1">
      <x:c r="B18" s="7" t="str">
        <x:v>RAE-E-01-HP-12</x:v>
      </x:c>
      <x:c r="C18" s="7" t="str">
        <x:v>RAE-E-01</x:v>
      </x:c>
      <x:c r="D18" s="7" t="str">
        <x:v>RFP-A1</x:v>
      </x:c>
      <x:c r="E18" s="7" t="str">
        <x:v>HP-12</x:v>
      </x:c>
      <x:c r="F18" s="7" t="str">
        <x:v>containment</x:v>
      </x:c>
      <x:c r="G18" s="7" t="str">
        <x:v>authority</x:v>
      </x:c>
      <x:c r="H18" s="10" t="str"/>
      <x:c r="I18" s="7" t="str"/>
      <x:c r="J18" s="7" t="str">
        <x:v>OPEN</x:v>
      </x:c>
    </x:row>
    <x:row r="19" ht="36" customHeight="1">
      <x:c r="B19" s="7" t="str">
        <x:v>RAE-E-01-HP-13</x:v>
      </x:c>
      <x:c r="C19" s="7" t="str">
        <x:v>RAE-E-01</x:v>
      </x:c>
      <x:c r="D19" s="7" t="str">
        <x:v>RFP-A1</x:v>
      </x:c>
      <x:c r="E19" s="7" t="str">
        <x:v>HP-13</x:v>
      </x:c>
      <x:c r="F19" s="7" t="str">
        <x:v>water</x:v>
      </x:c>
      <x:c r="G19" s="7" t="str">
        <x:v>identity</x:v>
      </x:c>
      <x:c r="H19" s="10" t="str"/>
      <x:c r="I19" s="7" t="str"/>
      <x:c r="J19" s="7" t="str">
        <x:v>OPEN</x:v>
      </x:c>
    </x:row>
    <x:row r="20" ht="36" customHeight="1">
      <x:c r="B20" s="7" t="str">
        <x:v>RAE-E-01-HP-14</x:v>
      </x:c>
      <x:c r="C20" s="7" t="str">
        <x:v>RAE-E-01</x:v>
      </x:c>
      <x:c r="D20" s="7" t="str">
        <x:v>RFP-A1</x:v>
      </x:c>
      <x:c r="E20" s="7" t="str">
        <x:v>HP-14</x:v>
      </x:c>
      <x:c r="F20" s="7" t="str">
        <x:v>water</x:v>
      </x:c>
      <x:c r="G20" s="7" t="str">
        <x:v>capacity</x:v>
      </x:c>
      <x:c r="H20" s="10" t="str"/>
      <x:c r="I20" s="7" t="str"/>
      <x:c r="J20" s="7" t="str">
        <x:v>OPEN</x:v>
      </x:c>
    </x:row>
    <x:row r="21" ht="36" customHeight="1">
      <x:c r="B21" s="7" t="str">
        <x:v>RAE-E-01-HP-15</x:v>
      </x:c>
      <x:c r="C21" s="7" t="str">
        <x:v>RAE-E-01</x:v>
      </x:c>
      <x:c r="D21" s="7" t="str">
        <x:v>RFP-A1</x:v>
      </x:c>
      <x:c r="E21" s="7" t="str">
        <x:v>HP-15</x:v>
      </x:c>
      <x:c r="F21" s="7" t="str">
        <x:v>water</x:v>
      </x:c>
      <x:c r="G21" s="7" t="str">
        <x:v>state</x:v>
      </x:c>
      <x:c r="H21" s="10" t="str"/>
      <x:c r="I21" s="7" t="str"/>
      <x:c r="J21" s="7" t="str">
        <x:v>OPEN</x:v>
      </x:c>
    </x:row>
    <x:row r="22" ht="36" customHeight="1">
      <x:c r="B22" s="7" t="str">
        <x:v>RAE-E-01-HP-16</x:v>
      </x:c>
      <x:c r="C22" s="7" t="str">
        <x:v>RAE-E-01</x:v>
      </x:c>
      <x:c r="D22" s="7" t="str">
        <x:v>RFP-A1</x:v>
      </x:c>
      <x:c r="E22" s="7" t="str">
        <x:v>HP-16</x:v>
      </x:c>
      <x:c r="F22" s="7" t="str">
        <x:v>water</x:v>
      </x:c>
      <x:c r="G22" s="7" t="str">
        <x:v>authority</x:v>
      </x:c>
      <x:c r="H22" s="10" t="str"/>
      <x:c r="I22" s="7" t="str"/>
      <x:c r="J22" s="7" t="str">
        <x:v>OPEN</x:v>
      </x:c>
    </x:row>
    <x:row r="23" ht="36" customHeight="1">
      <x:c r="B23" s="7" t="str">
        <x:v>RAE-E-01-HP-17</x:v>
      </x:c>
      <x:c r="C23" s="7" t="str">
        <x:v>RAE-E-01</x:v>
      </x:c>
      <x:c r="D23" s="7" t="str">
        <x:v>RFP-A1</x:v>
      </x:c>
      <x:c r="E23" s="7" t="str">
        <x:v>HP-17</x:v>
      </x:c>
      <x:c r="F23" s="7" t="str">
        <x:v>safeing</x:v>
      </x:c>
      <x:c r="G23" s="7" t="str">
        <x:v>identity</x:v>
      </x:c>
      <x:c r="H23" s="10" t="str"/>
      <x:c r="I23" s="7" t="str"/>
      <x:c r="J23" s="7" t="str">
        <x:v>OPEN</x:v>
      </x:c>
    </x:row>
    <x:row r="24" ht="36" customHeight="1">
      <x:c r="B24" s="7" t="str">
        <x:v>RAE-E-01-HP-18</x:v>
      </x:c>
      <x:c r="C24" s="7" t="str">
        <x:v>RAE-E-01</x:v>
      </x:c>
      <x:c r="D24" s="7" t="str">
        <x:v>RFP-A1</x:v>
      </x:c>
      <x:c r="E24" s="7" t="str">
        <x:v>HP-18</x:v>
      </x:c>
      <x:c r="F24" s="7" t="str">
        <x:v>safeing</x:v>
      </x:c>
      <x:c r="G24" s="7" t="str">
        <x:v>capacity</x:v>
      </x:c>
      <x:c r="H24" s="10" t="str"/>
      <x:c r="I24" s="7" t="str"/>
      <x:c r="J24" s="7" t="str">
        <x:v>OPEN</x:v>
      </x:c>
    </x:row>
    <x:row r="25" ht="36" customHeight="1">
      <x:c r="B25" s="7" t="str">
        <x:v>RAE-E-01-HP-19</x:v>
      </x:c>
      <x:c r="C25" s="7" t="str">
        <x:v>RAE-E-01</x:v>
      </x:c>
      <x:c r="D25" s="7" t="str">
        <x:v>RFP-A1</x:v>
      </x:c>
      <x:c r="E25" s="7" t="str">
        <x:v>HP-19</x:v>
      </x:c>
      <x:c r="F25" s="7" t="str">
        <x:v>safeing</x:v>
      </x:c>
      <x:c r="G25" s="7" t="str">
        <x:v>state</x:v>
      </x:c>
      <x:c r="H25" s="10" t="str"/>
      <x:c r="I25" s="7" t="str"/>
      <x:c r="J25" s="7" t="str">
        <x:v>OPEN</x:v>
      </x:c>
    </x:row>
    <x:row r="26" ht="36" customHeight="1">
      <x:c r="B26" s="7" t="str">
        <x:v>RAE-E-01-HP-20</x:v>
      </x:c>
      <x:c r="C26" s="7" t="str">
        <x:v>RAE-E-01</x:v>
      </x:c>
      <x:c r="D26" s="7" t="str">
        <x:v>RFP-A1</x:v>
      </x:c>
      <x:c r="E26" s="7" t="str">
        <x:v>HP-20</x:v>
      </x:c>
      <x:c r="F26" s="7" t="str">
        <x:v>safeing</x:v>
      </x:c>
      <x:c r="G26" s="7" t="str">
        <x:v>authority</x:v>
      </x:c>
      <x:c r="H26" s="10" t="str"/>
      <x:c r="I26" s="7" t="str"/>
      <x:c r="J26" s="7" t="str">
        <x:v>OPEN</x:v>
      </x:c>
    </x:row>
    <x:row r="27" ht="36" customHeight="1">
      <x:c r="B27" s="7" t="str">
        <x:v>RAE-E-01-HP-21</x:v>
      </x:c>
      <x:c r="C27" s="7" t="str">
        <x:v>RAE-E-01</x:v>
      </x:c>
      <x:c r="D27" s="7" t="str">
        <x:v>RFP-A1</x:v>
      </x:c>
      <x:c r="E27" s="7" t="str">
        <x:v>HP-21</x:v>
      </x:c>
      <x:c r="F27" s="7" t="str">
        <x:v>evidence</x:v>
      </x:c>
      <x:c r="G27" s="7" t="str">
        <x:v>identity</x:v>
      </x:c>
      <x:c r="H27" s="10" t="str"/>
      <x:c r="I27" s="7" t="str"/>
      <x:c r="J27" s="7" t="str">
        <x:v>OPEN</x:v>
      </x:c>
    </x:row>
    <x:row r="28" ht="36" customHeight="1">
      <x:c r="B28" s="7" t="str">
        <x:v>RAE-E-01-HP-22</x:v>
      </x:c>
      <x:c r="C28" s="7" t="str">
        <x:v>RAE-E-01</x:v>
      </x:c>
      <x:c r="D28" s="7" t="str">
        <x:v>RFP-A1</x:v>
      </x:c>
      <x:c r="E28" s="7" t="str">
        <x:v>HP-22</x:v>
      </x:c>
      <x:c r="F28" s="7" t="str">
        <x:v>evidence</x:v>
      </x:c>
      <x:c r="G28" s="7" t="str">
        <x:v>capacity</x:v>
      </x:c>
      <x:c r="H28" s="10" t="str"/>
      <x:c r="I28" s="7" t="str"/>
      <x:c r="J28" s="7" t="str">
        <x:v>OPEN</x:v>
      </x:c>
    </x:row>
    <x:row r="29" ht="36" customHeight="1">
      <x:c r="B29" s="7" t="str">
        <x:v>RAE-E-01-HP-23</x:v>
      </x:c>
      <x:c r="C29" s="7" t="str">
        <x:v>RAE-E-01</x:v>
      </x:c>
      <x:c r="D29" s="7" t="str">
        <x:v>RFP-A1</x:v>
      </x:c>
      <x:c r="E29" s="7" t="str">
        <x:v>HP-23</x:v>
      </x:c>
      <x:c r="F29" s="7" t="str">
        <x:v>evidence</x:v>
      </x:c>
      <x:c r="G29" s="7" t="str">
        <x:v>state</x:v>
      </x:c>
      <x:c r="H29" s="10" t="str"/>
      <x:c r="I29" s="7" t="str"/>
      <x:c r="J29" s="7" t="str">
        <x:v>OPEN</x:v>
      </x:c>
    </x:row>
    <x:row r="30" ht="36" customHeight="1">
      <x:c r="B30" s="7" t="str">
        <x:v>RAE-E-01-HP-24</x:v>
      </x:c>
      <x:c r="C30" s="7" t="str">
        <x:v>RAE-E-01</x:v>
      </x:c>
      <x:c r="D30" s="7" t="str">
        <x:v>RFP-A1</x:v>
      </x:c>
      <x:c r="E30" s="7" t="str">
        <x:v>HP-24</x:v>
      </x:c>
      <x:c r="F30" s="7" t="str">
        <x:v>evidence</x:v>
      </x:c>
      <x:c r="G30" s="7" t="str">
        <x:v>authority</x:v>
      </x:c>
      <x:c r="H30" s="10" t="str"/>
      <x:c r="I30" s="7" t="str"/>
      <x:c r="J30" s="7" t="str">
        <x:v>OPEN</x:v>
      </x:c>
    </x:row>
    <x:row r="31" ht="36" customHeight="1">
      <x:c r="B31" s="7" t="str">
        <x:v>RAE-E-01-HP-25</x:v>
      </x:c>
      <x:c r="C31" s="7" t="str">
        <x:v>RAE-E-01</x:v>
      </x:c>
      <x:c r="D31" s="7" t="str">
        <x:v>RFP-A1</x:v>
      </x:c>
      <x:c r="E31" s="7" t="str">
        <x:v>HP-25</x:v>
      </x:c>
      <x:c r="F31" s="7" t="str">
        <x:v>environment</x:v>
      </x:c>
      <x:c r="G31" s="7" t="str">
        <x:v>identity</x:v>
      </x:c>
      <x:c r="H31" s="10" t="str"/>
      <x:c r="I31" s="7" t="str"/>
      <x:c r="J31" s="7" t="str">
        <x:v>OPEN</x:v>
      </x:c>
    </x:row>
    <x:row r="32" ht="36" customHeight="1">
      <x:c r="B32" s="7" t="str">
        <x:v>RAE-E-01-HP-26</x:v>
      </x:c>
      <x:c r="C32" s="7" t="str">
        <x:v>RAE-E-01</x:v>
      </x:c>
      <x:c r="D32" s="7" t="str">
        <x:v>RFP-A1</x:v>
      </x:c>
      <x:c r="E32" s="7" t="str">
        <x:v>HP-26</x:v>
      </x:c>
      <x:c r="F32" s="7" t="str">
        <x:v>environment</x:v>
      </x:c>
      <x:c r="G32" s="7" t="str">
        <x:v>capacity</x:v>
      </x:c>
      <x:c r="H32" s="10" t="str"/>
      <x:c r="I32" s="7" t="str"/>
      <x:c r="J32" s="7" t="str">
        <x:v>OPEN</x:v>
      </x:c>
    </x:row>
    <x:row r="33" ht="36" customHeight="1">
      <x:c r="B33" s="7" t="str">
        <x:v>RAE-E-01-HP-27</x:v>
      </x:c>
      <x:c r="C33" s="7" t="str">
        <x:v>RAE-E-01</x:v>
      </x:c>
      <x:c r="D33" s="7" t="str">
        <x:v>RFP-A1</x:v>
      </x:c>
      <x:c r="E33" s="7" t="str">
        <x:v>HP-27</x:v>
      </x:c>
      <x:c r="F33" s="7" t="str">
        <x:v>environment</x:v>
      </x:c>
      <x:c r="G33" s="7" t="str">
        <x:v>state</x:v>
      </x:c>
      <x:c r="H33" s="10" t="str"/>
      <x:c r="I33" s="7" t="str"/>
      <x:c r="J33" s="7" t="str">
        <x:v>OPEN</x:v>
      </x:c>
    </x:row>
    <x:row r="34" ht="36" customHeight="1">
      <x:c r="B34" s="7" t="str">
        <x:v>RAE-E-01-HP-28</x:v>
      </x:c>
      <x:c r="C34" s="7" t="str">
        <x:v>RAE-E-01</x:v>
      </x:c>
      <x:c r="D34" s="7" t="str">
        <x:v>RFP-A1</x:v>
      </x:c>
      <x:c r="E34" s="7" t="str">
        <x:v>HP-28</x:v>
      </x:c>
      <x:c r="F34" s="7" t="str">
        <x:v>environment</x:v>
      </x:c>
      <x:c r="G34" s="7" t="str">
        <x:v>authority</x:v>
      </x:c>
      <x:c r="H34" s="10" t="str"/>
      <x:c r="I34" s="7" t="str"/>
      <x:c r="J34" s="7" t="str">
        <x:v>OPEN</x:v>
      </x:c>
    </x:row>
    <x:row r="35" ht="36" customHeight="1">
      <x:c r="B35" s="7" t="str">
        <x:v>RAE-E-01-HP-29</x:v>
      </x:c>
      <x:c r="C35" s="7" t="str">
        <x:v>RAE-E-01</x:v>
      </x:c>
      <x:c r="D35" s="7" t="str">
        <x:v>RFP-A1</x:v>
      </x:c>
      <x:c r="E35" s="7" t="str">
        <x:v>HP-29</x:v>
      </x:c>
      <x:c r="F35" s="7" t="str">
        <x:v>authority</x:v>
      </x:c>
      <x:c r="G35" s="7" t="str">
        <x:v>identity</x:v>
      </x:c>
      <x:c r="H35" s="10" t="str"/>
      <x:c r="I35" s="7" t="str"/>
      <x:c r="J35" s="7" t="str">
        <x:v>OPEN</x:v>
      </x:c>
    </x:row>
    <x:row r="36" ht="36" customHeight="1">
      <x:c r="B36" s="7" t="str">
        <x:v>RAE-E-01-HP-30</x:v>
      </x:c>
      <x:c r="C36" s="7" t="str">
        <x:v>RAE-E-01</x:v>
      </x:c>
      <x:c r="D36" s="7" t="str">
        <x:v>RFP-A1</x:v>
      </x:c>
      <x:c r="E36" s="7" t="str">
        <x:v>HP-30</x:v>
      </x:c>
      <x:c r="F36" s="7" t="str">
        <x:v>authority</x:v>
      </x:c>
      <x:c r="G36" s="7" t="str">
        <x:v>capacity</x:v>
      </x:c>
      <x:c r="H36" s="10" t="str"/>
      <x:c r="I36" s="7" t="str"/>
      <x:c r="J36" s="7" t="str">
        <x:v>OPEN</x:v>
      </x:c>
    </x:row>
    <x:row r="37" ht="36" customHeight="1">
      <x:c r="B37" s="7" t="str">
        <x:v>RAE-E-01-HP-31</x:v>
      </x:c>
      <x:c r="C37" s="7" t="str">
        <x:v>RAE-E-01</x:v>
      </x:c>
      <x:c r="D37" s="7" t="str">
        <x:v>RFP-A1</x:v>
      </x:c>
      <x:c r="E37" s="7" t="str">
        <x:v>HP-31</x:v>
      </x:c>
      <x:c r="F37" s="7" t="str">
        <x:v>authority</x:v>
      </x:c>
      <x:c r="G37" s="7" t="str">
        <x:v>state</x:v>
      </x:c>
      <x:c r="H37" s="10" t="str"/>
      <x:c r="I37" s="7" t="str"/>
      <x:c r="J37" s="7" t="str">
        <x:v>OPEN</x:v>
      </x:c>
    </x:row>
    <x:row r="38" ht="36" customHeight="1">
      <x:c r="B38" s="7" t="str">
        <x:v>RAE-E-01-HP-32</x:v>
      </x:c>
      <x:c r="C38" s="7" t="str">
        <x:v>RAE-E-01</x:v>
      </x:c>
      <x:c r="D38" s="7" t="str">
        <x:v>RFP-A1</x:v>
      </x:c>
      <x:c r="E38" s="7" t="str">
        <x:v>HP-32</x:v>
      </x:c>
      <x:c r="F38" s="7" t="str">
        <x:v>authority</x:v>
      </x:c>
      <x:c r="G38" s="7" t="str">
        <x:v>authority</x:v>
      </x:c>
      <x:c r="H38" s="10" t="str"/>
      <x:c r="I38" s="7" t="str"/>
      <x:c r="J38" s="7" t="str">
        <x:v>OPEN</x:v>
      </x:c>
    </x:row>
    <x:row r="39" ht="36" customHeight="1">
      <x:c r="B39" s="7" t="str">
        <x:v>RAE-E-02-HP-01</x:v>
      </x:c>
      <x:c r="C39" s="7" t="str">
        <x:v>RAE-E-02</x:v>
      </x:c>
      <x:c r="D39" s="7" t="str">
        <x:v>RFP-A1</x:v>
      </x:c>
      <x:c r="E39" s="7" t="str">
        <x:v>HP-01</x:v>
      </x:c>
      <x:c r="F39" s="7" t="str">
        <x:v>configuration</x:v>
      </x:c>
      <x:c r="G39" s="7" t="str">
        <x:v>identity</x:v>
      </x:c>
      <x:c r="H39" s="10" t="str"/>
      <x:c r="I39" s="7" t="str"/>
      <x:c r="J39" s="7" t="str">
        <x:v>OPEN</x:v>
      </x:c>
    </x:row>
    <x:row r="40" ht="36" customHeight="1">
      <x:c r="B40" s="7" t="str">
        <x:v>RAE-E-02-HP-02</x:v>
      </x:c>
      <x:c r="C40" s="7" t="str">
        <x:v>RAE-E-02</x:v>
      </x:c>
      <x:c r="D40" s="7" t="str">
        <x:v>RFP-A1</x:v>
      </x:c>
      <x:c r="E40" s="7" t="str">
        <x:v>HP-02</x:v>
      </x:c>
      <x:c r="F40" s="7" t="str">
        <x:v>configuration</x:v>
      </x:c>
      <x:c r="G40" s="7" t="str">
        <x:v>capacity</x:v>
      </x:c>
      <x:c r="H40" s="10" t="str"/>
      <x:c r="I40" s="7" t="str"/>
      <x:c r="J40" s="7" t="str">
        <x:v>OPEN</x:v>
      </x:c>
    </x:row>
    <x:row r="41" ht="36" customHeight="1">
      <x:c r="B41" s="7" t="str">
        <x:v>RAE-E-02-HP-03</x:v>
      </x:c>
      <x:c r="C41" s="7" t="str">
        <x:v>RAE-E-02</x:v>
      </x:c>
      <x:c r="D41" s="7" t="str">
        <x:v>RFP-A1</x:v>
      </x:c>
      <x:c r="E41" s="7" t="str">
        <x:v>HP-03</x:v>
      </x:c>
      <x:c r="F41" s="7" t="str">
        <x:v>configuration</x:v>
      </x:c>
      <x:c r="G41" s="7" t="str">
        <x:v>state</x:v>
      </x:c>
      <x:c r="H41" s="10" t="str"/>
      <x:c r="I41" s="7" t="str"/>
      <x:c r="J41" s="7" t="str">
        <x:v>OPEN</x:v>
      </x:c>
    </x:row>
    <x:row r="42" ht="36" customHeight="1">
      <x:c r="B42" s="7" t="str">
        <x:v>RAE-E-02-HP-04</x:v>
      </x:c>
      <x:c r="C42" s="7" t="str">
        <x:v>RAE-E-02</x:v>
      </x:c>
      <x:c r="D42" s="7" t="str">
        <x:v>RFP-A1</x:v>
      </x:c>
      <x:c r="E42" s="7" t="str">
        <x:v>HP-04</x:v>
      </x:c>
      <x:c r="F42" s="7" t="str">
        <x:v>configuration</x:v>
      </x:c>
      <x:c r="G42" s="7" t="str">
        <x:v>authority</x:v>
      </x:c>
      <x:c r="H42" s="10" t="str"/>
      <x:c r="I42" s="7" t="str"/>
      <x:c r="J42" s="7" t="str">
        <x:v>OPEN</x:v>
      </x:c>
    </x:row>
    <x:row r="43" ht="36" customHeight="1">
      <x:c r="B43" s="7" t="str">
        <x:v>RAE-E-02-HP-05</x:v>
      </x:c>
      <x:c r="C43" s="7" t="str">
        <x:v>RAE-E-02</x:v>
      </x:c>
      <x:c r="D43" s="7" t="str">
        <x:v>RFP-A1</x:v>
      </x:c>
      <x:c r="E43" s="7" t="str">
        <x:v>HP-05</x:v>
      </x:c>
      <x:c r="F43" s="7" t="str">
        <x:v>source</x:v>
      </x:c>
      <x:c r="G43" s="7" t="str">
        <x:v>identity</x:v>
      </x:c>
      <x:c r="H43" s="10" t="str"/>
      <x:c r="I43" s="7" t="str"/>
      <x:c r="J43" s="7" t="str">
        <x:v>OPEN</x:v>
      </x:c>
    </x:row>
    <x:row r="44" ht="36" customHeight="1">
      <x:c r="B44" s="7" t="str">
        <x:v>RAE-E-02-HP-06</x:v>
      </x:c>
      <x:c r="C44" s="7" t="str">
        <x:v>RAE-E-02</x:v>
      </x:c>
      <x:c r="D44" s="7" t="str">
        <x:v>RFP-A1</x:v>
      </x:c>
      <x:c r="E44" s="7" t="str">
        <x:v>HP-06</x:v>
      </x:c>
      <x:c r="F44" s="7" t="str">
        <x:v>source</x:v>
      </x:c>
      <x:c r="G44" s="7" t="str">
        <x:v>capacity</x:v>
      </x:c>
      <x:c r="H44" s="10" t="str"/>
      <x:c r="I44" s="7" t="str"/>
      <x:c r="J44" s="7" t="str">
        <x:v>OPEN</x:v>
      </x:c>
    </x:row>
    <x:row r="45" ht="36" customHeight="1">
      <x:c r="B45" s="7" t="str">
        <x:v>RAE-E-02-HP-07</x:v>
      </x:c>
      <x:c r="C45" s="7" t="str">
        <x:v>RAE-E-02</x:v>
      </x:c>
      <x:c r="D45" s="7" t="str">
        <x:v>RFP-A1</x:v>
      </x:c>
      <x:c r="E45" s="7" t="str">
        <x:v>HP-07</x:v>
      </x:c>
      <x:c r="F45" s="7" t="str">
        <x:v>source</x:v>
      </x:c>
      <x:c r="G45" s="7" t="str">
        <x:v>state</x:v>
      </x:c>
      <x:c r="H45" s="10" t="str"/>
      <x:c r="I45" s="7" t="str"/>
      <x:c r="J45" s="7" t="str">
        <x:v>OPEN</x:v>
      </x:c>
    </x:row>
    <x:row r="46" ht="36" customHeight="1">
      <x:c r="B46" s="7" t="str">
        <x:v>RAE-E-02-HP-08</x:v>
      </x:c>
      <x:c r="C46" s="7" t="str">
        <x:v>RAE-E-02</x:v>
      </x:c>
      <x:c r="D46" s="7" t="str">
        <x:v>RFP-A1</x:v>
      </x:c>
      <x:c r="E46" s="7" t="str">
        <x:v>HP-08</x:v>
      </x:c>
      <x:c r="F46" s="7" t="str">
        <x:v>source</x:v>
      </x:c>
      <x:c r="G46" s="7" t="str">
        <x:v>authority</x:v>
      </x:c>
      <x:c r="H46" s="10" t="str"/>
      <x:c r="I46" s="7" t="str"/>
      <x:c r="J46" s="7" t="str">
        <x:v>OPEN</x:v>
      </x:c>
    </x:row>
    <x:row r="47" ht="36" customHeight="1">
      <x:c r="B47" s="7" t="str">
        <x:v>RAE-E-02-HP-09</x:v>
      </x:c>
      <x:c r="C47" s="7" t="str">
        <x:v>RAE-E-02</x:v>
      </x:c>
      <x:c r="D47" s="7" t="str">
        <x:v>RFP-A1</x:v>
      </x:c>
      <x:c r="E47" s="7" t="str">
        <x:v>HP-09</x:v>
      </x:c>
      <x:c r="F47" s="7" t="str">
        <x:v>containment</x:v>
      </x:c>
      <x:c r="G47" s="7" t="str">
        <x:v>identity</x:v>
      </x:c>
      <x:c r="H47" s="10" t="str"/>
      <x:c r="I47" s="7" t="str"/>
      <x:c r="J47" s="7" t="str">
        <x:v>OPEN</x:v>
      </x:c>
    </x:row>
    <x:row r="48" ht="36" customHeight="1">
      <x:c r="B48" s="7" t="str">
        <x:v>RAE-E-02-HP-10</x:v>
      </x:c>
      <x:c r="C48" s="7" t="str">
        <x:v>RAE-E-02</x:v>
      </x:c>
      <x:c r="D48" s="7" t="str">
        <x:v>RFP-A1</x:v>
      </x:c>
      <x:c r="E48" s="7" t="str">
        <x:v>HP-10</x:v>
      </x:c>
      <x:c r="F48" s="7" t="str">
        <x:v>containment</x:v>
      </x:c>
      <x:c r="G48" s="7" t="str">
        <x:v>capacity</x:v>
      </x:c>
      <x:c r="H48" s="10" t="str"/>
      <x:c r="I48" s="7" t="str"/>
      <x:c r="J48" s="7" t="str">
        <x:v>OPEN</x:v>
      </x:c>
    </x:row>
    <x:row r="49" ht="36" customHeight="1">
      <x:c r="B49" s="7" t="str">
        <x:v>RAE-E-02-HP-11</x:v>
      </x:c>
      <x:c r="C49" s="7" t="str">
        <x:v>RAE-E-02</x:v>
      </x:c>
      <x:c r="D49" s="7" t="str">
        <x:v>RFP-A1</x:v>
      </x:c>
      <x:c r="E49" s="7" t="str">
        <x:v>HP-11</x:v>
      </x:c>
      <x:c r="F49" s="7" t="str">
        <x:v>containment</x:v>
      </x:c>
      <x:c r="G49" s="7" t="str">
        <x:v>state</x:v>
      </x:c>
      <x:c r="H49" s="10" t="str"/>
      <x:c r="I49" s="7" t="str"/>
      <x:c r="J49" s="7" t="str">
        <x:v>OPEN</x:v>
      </x:c>
    </x:row>
    <x:row r="50" ht="36" customHeight="1">
      <x:c r="B50" s="7" t="str">
        <x:v>RAE-E-02-HP-12</x:v>
      </x:c>
      <x:c r="C50" s="7" t="str">
        <x:v>RAE-E-02</x:v>
      </x:c>
      <x:c r="D50" s="7" t="str">
        <x:v>RFP-A1</x:v>
      </x:c>
      <x:c r="E50" s="7" t="str">
        <x:v>HP-12</x:v>
      </x:c>
      <x:c r="F50" s="7" t="str">
        <x:v>containment</x:v>
      </x:c>
      <x:c r="G50" s="7" t="str">
        <x:v>authority</x:v>
      </x:c>
      <x:c r="H50" s="10" t="str"/>
      <x:c r="I50" s="7" t="str"/>
      <x:c r="J50" s="7" t="str">
        <x:v>OPEN</x:v>
      </x:c>
    </x:row>
    <x:row r="51" ht="36" customHeight="1">
      <x:c r="B51" s="7" t="str">
        <x:v>RAE-E-02-HP-13</x:v>
      </x:c>
      <x:c r="C51" s="7" t="str">
        <x:v>RAE-E-02</x:v>
      </x:c>
      <x:c r="D51" s="7" t="str">
        <x:v>RFP-A1</x:v>
      </x:c>
      <x:c r="E51" s="7" t="str">
        <x:v>HP-13</x:v>
      </x:c>
      <x:c r="F51" s="7" t="str">
        <x:v>water</x:v>
      </x:c>
      <x:c r="G51" s="7" t="str">
        <x:v>identity</x:v>
      </x:c>
      <x:c r="H51" s="10" t="str"/>
      <x:c r="I51" s="7" t="str"/>
      <x:c r="J51" s="7" t="str">
        <x:v>OPEN</x:v>
      </x:c>
    </x:row>
    <x:row r="52" ht="36" customHeight="1">
      <x:c r="B52" s="7" t="str">
        <x:v>RAE-E-02-HP-14</x:v>
      </x:c>
      <x:c r="C52" s="7" t="str">
        <x:v>RAE-E-02</x:v>
      </x:c>
      <x:c r="D52" s="7" t="str">
        <x:v>RFP-A1</x:v>
      </x:c>
      <x:c r="E52" s="7" t="str">
        <x:v>HP-14</x:v>
      </x:c>
      <x:c r="F52" s="7" t="str">
        <x:v>water</x:v>
      </x:c>
      <x:c r="G52" s="7" t="str">
        <x:v>capacity</x:v>
      </x:c>
      <x:c r="H52" s="10" t="str"/>
      <x:c r="I52" s="7" t="str"/>
      <x:c r="J52" s="7" t="str">
        <x:v>OPEN</x:v>
      </x:c>
    </x:row>
    <x:row r="53" ht="36" customHeight="1">
      <x:c r="B53" s="7" t="str">
        <x:v>RAE-E-02-HP-15</x:v>
      </x:c>
      <x:c r="C53" s="7" t="str">
        <x:v>RAE-E-02</x:v>
      </x:c>
      <x:c r="D53" s="7" t="str">
        <x:v>RFP-A1</x:v>
      </x:c>
      <x:c r="E53" s="7" t="str">
        <x:v>HP-15</x:v>
      </x:c>
      <x:c r="F53" s="7" t="str">
        <x:v>water</x:v>
      </x:c>
      <x:c r="G53" s="7" t="str">
        <x:v>state</x:v>
      </x:c>
      <x:c r="H53" s="10" t="str"/>
      <x:c r="I53" s="7" t="str"/>
      <x:c r="J53" s="7" t="str">
        <x:v>OPEN</x:v>
      </x:c>
    </x:row>
    <x:row r="54" ht="36" customHeight="1">
      <x:c r="B54" s="7" t="str">
        <x:v>RAE-E-02-HP-16</x:v>
      </x:c>
      <x:c r="C54" s="7" t="str">
        <x:v>RAE-E-02</x:v>
      </x:c>
      <x:c r="D54" s="7" t="str">
        <x:v>RFP-A1</x:v>
      </x:c>
      <x:c r="E54" s="7" t="str">
        <x:v>HP-16</x:v>
      </x:c>
      <x:c r="F54" s="7" t="str">
        <x:v>water</x:v>
      </x:c>
      <x:c r="G54" s="7" t="str">
        <x:v>authority</x:v>
      </x:c>
      <x:c r="H54" s="10" t="str"/>
      <x:c r="I54" s="7" t="str"/>
      <x:c r="J54" s="7" t="str">
        <x:v>OPEN</x:v>
      </x:c>
    </x:row>
    <x:row r="55" ht="36" customHeight="1">
      <x:c r="B55" s="7" t="str">
        <x:v>RAE-E-02-HP-17</x:v>
      </x:c>
      <x:c r="C55" s="7" t="str">
        <x:v>RAE-E-02</x:v>
      </x:c>
      <x:c r="D55" s="7" t="str">
        <x:v>RFP-A1</x:v>
      </x:c>
      <x:c r="E55" s="7" t="str">
        <x:v>HP-17</x:v>
      </x:c>
      <x:c r="F55" s="7" t="str">
        <x:v>safeing</x:v>
      </x:c>
      <x:c r="G55" s="7" t="str">
        <x:v>identity</x:v>
      </x:c>
      <x:c r="H55" s="10" t="str"/>
      <x:c r="I55" s="7" t="str"/>
      <x:c r="J55" s="7" t="str">
        <x:v>OPEN</x:v>
      </x:c>
    </x:row>
    <x:row r="56" ht="36" customHeight="1">
      <x:c r="B56" s="7" t="str">
        <x:v>RAE-E-02-HP-18</x:v>
      </x:c>
      <x:c r="C56" s="7" t="str">
        <x:v>RAE-E-02</x:v>
      </x:c>
      <x:c r="D56" s="7" t="str">
        <x:v>RFP-A1</x:v>
      </x:c>
      <x:c r="E56" s="7" t="str">
        <x:v>HP-18</x:v>
      </x:c>
      <x:c r="F56" s="7" t="str">
        <x:v>safeing</x:v>
      </x:c>
      <x:c r="G56" s="7" t="str">
        <x:v>capacity</x:v>
      </x:c>
      <x:c r="H56" s="10" t="str"/>
      <x:c r="I56" s="7" t="str"/>
      <x:c r="J56" s="7" t="str">
        <x:v>OPEN</x:v>
      </x:c>
    </x:row>
    <x:row r="57" ht="36" customHeight="1">
      <x:c r="B57" s="7" t="str">
        <x:v>RAE-E-02-HP-19</x:v>
      </x:c>
      <x:c r="C57" s="7" t="str">
        <x:v>RAE-E-02</x:v>
      </x:c>
      <x:c r="D57" s="7" t="str">
        <x:v>RFP-A1</x:v>
      </x:c>
      <x:c r="E57" s="7" t="str">
        <x:v>HP-19</x:v>
      </x:c>
      <x:c r="F57" s="7" t="str">
        <x:v>safeing</x:v>
      </x:c>
      <x:c r="G57" s="7" t="str">
        <x:v>state</x:v>
      </x:c>
      <x:c r="H57" s="10" t="str"/>
      <x:c r="I57" s="7" t="str"/>
      <x:c r="J57" s="7" t="str">
        <x:v>OPEN</x:v>
      </x:c>
    </x:row>
    <x:row r="58" ht="36" customHeight="1">
      <x:c r="B58" s="7" t="str">
        <x:v>RAE-E-02-HP-20</x:v>
      </x:c>
      <x:c r="C58" s="7" t="str">
        <x:v>RAE-E-02</x:v>
      </x:c>
      <x:c r="D58" s="7" t="str">
        <x:v>RFP-A1</x:v>
      </x:c>
      <x:c r="E58" s="7" t="str">
        <x:v>HP-20</x:v>
      </x:c>
      <x:c r="F58" s="7" t="str">
        <x:v>safeing</x:v>
      </x:c>
      <x:c r="G58" s="7" t="str">
        <x:v>authority</x:v>
      </x:c>
      <x:c r="H58" s="10" t="str"/>
      <x:c r="I58" s="7" t="str"/>
      <x:c r="J58" s="7" t="str">
        <x:v>OPEN</x:v>
      </x:c>
    </x:row>
    <x:row r="59" ht="36" customHeight="1">
      <x:c r="B59" s="7" t="str">
        <x:v>RAE-E-02-HP-21</x:v>
      </x:c>
      <x:c r="C59" s="7" t="str">
        <x:v>RAE-E-02</x:v>
      </x:c>
      <x:c r="D59" s="7" t="str">
        <x:v>RFP-A1</x:v>
      </x:c>
      <x:c r="E59" s="7" t="str">
        <x:v>HP-21</x:v>
      </x:c>
      <x:c r="F59" s="7" t="str">
        <x:v>evidence</x:v>
      </x:c>
      <x:c r="G59" s="7" t="str">
        <x:v>identity</x:v>
      </x:c>
      <x:c r="H59" s="10" t="str"/>
      <x:c r="I59" s="7" t="str"/>
      <x:c r="J59" s="7" t="str">
        <x:v>OPEN</x:v>
      </x:c>
    </x:row>
    <x:row r="60" ht="36" customHeight="1">
      <x:c r="B60" s="7" t="str">
        <x:v>RAE-E-02-HP-22</x:v>
      </x:c>
      <x:c r="C60" s="7" t="str">
        <x:v>RAE-E-02</x:v>
      </x:c>
      <x:c r="D60" s="7" t="str">
        <x:v>RFP-A1</x:v>
      </x:c>
      <x:c r="E60" s="7" t="str">
        <x:v>HP-22</x:v>
      </x:c>
      <x:c r="F60" s="7" t="str">
        <x:v>evidence</x:v>
      </x:c>
      <x:c r="G60" s="7" t="str">
        <x:v>capacity</x:v>
      </x:c>
      <x:c r="H60" s="10" t="str"/>
      <x:c r="I60" s="7" t="str"/>
      <x:c r="J60" s="7" t="str">
        <x:v>OPEN</x:v>
      </x:c>
    </x:row>
    <x:row r="61" ht="36" customHeight="1">
      <x:c r="B61" s="7" t="str">
        <x:v>RAE-E-02-HP-23</x:v>
      </x:c>
      <x:c r="C61" s="7" t="str">
        <x:v>RAE-E-02</x:v>
      </x:c>
      <x:c r="D61" s="7" t="str">
        <x:v>RFP-A1</x:v>
      </x:c>
      <x:c r="E61" s="7" t="str">
        <x:v>HP-23</x:v>
      </x:c>
      <x:c r="F61" s="7" t="str">
        <x:v>evidence</x:v>
      </x:c>
      <x:c r="G61" s="7" t="str">
        <x:v>state</x:v>
      </x:c>
      <x:c r="H61" s="10" t="str"/>
      <x:c r="I61" s="7" t="str"/>
      <x:c r="J61" s="7" t="str">
        <x:v>OPEN</x:v>
      </x:c>
    </x:row>
    <x:row r="62" ht="36" customHeight="1">
      <x:c r="B62" s="7" t="str">
        <x:v>RAE-E-02-HP-24</x:v>
      </x:c>
      <x:c r="C62" s="7" t="str">
        <x:v>RAE-E-02</x:v>
      </x:c>
      <x:c r="D62" s="7" t="str">
        <x:v>RFP-A1</x:v>
      </x:c>
      <x:c r="E62" s="7" t="str">
        <x:v>HP-24</x:v>
      </x:c>
      <x:c r="F62" s="7" t="str">
        <x:v>evidence</x:v>
      </x:c>
      <x:c r="G62" s="7" t="str">
        <x:v>authority</x:v>
      </x:c>
      <x:c r="H62" s="10" t="str"/>
      <x:c r="I62" s="7" t="str"/>
      <x:c r="J62" s="7" t="str">
        <x:v>OPEN</x:v>
      </x:c>
    </x:row>
    <x:row r="63" ht="36" customHeight="1">
      <x:c r="B63" s="7" t="str">
        <x:v>RAE-E-02-HP-25</x:v>
      </x:c>
      <x:c r="C63" s="7" t="str">
        <x:v>RAE-E-02</x:v>
      </x:c>
      <x:c r="D63" s="7" t="str">
        <x:v>RFP-A1</x:v>
      </x:c>
      <x:c r="E63" s="7" t="str">
        <x:v>HP-25</x:v>
      </x:c>
      <x:c r="F63" s="7" t="str">
        <x:v>environment</x:v>
      </x:c>
      <x:c r="G63" s="7" t="str">
        <x:v>identity</x:v>
      </x:c>
      <x:c r="H63" s="10" t="str"/>
      <x:c r="I63" s="7" t="str"/>
      <x:c r="J63" s="7" t="str">
        <x:v>OPEN</x:v>
      </x:c>
    </x:row>
    <x:row r="64" ht="36" customHeight="1">
      <x:c r="B64" s="7" t="str">
        <x:v>RAE-E-02-HP-26</x:v>
      </x:c>
      <x:c r="C64" s="7" t="str">
        <x:v>RAE-E-02</x:v>
      </x:c>
      <x:c r="D64" s="7" t="str">
        <x:v>RFP-A1</x:v>
      </x:c>
      <x:c r="E64" s="7" t="str">
        <x:v>HP-26</x:v>
      </x:c>
      <x:c r="F64" s="7" t="str">
        <x:v>environment</x:v>
      </x:c>
      <x:c r="G64" s="7" t="str">
        <x:v>capacity</x:v>
      </x:c>
      <x:c r="H64" s="10" t="str"/>
      <x:c r="I64" s="7" t="str"/>
      <x:c r="J64" s="7" t="str">
        <x:v>OPEN</x:v>
      </x:c>
    </x:row>
    <x:row r="65" ht="36" customHeight="1">
      <x:c r="B65" s="7" t="str">
        <x:v>RAE-E-02-HP-27</x:v>
      </x:c>
      <x:c r="C65" s="7" t="str">
        <x:v>RAE-E-02</x:v>
      </x:c>
      <x:c r="D65" s="7" t="str">
        <x:v>RFP-A1</x:v>
      </x:c>
      <x:c r="E65" s="7" t="str">
        <x:v>HP-27</x:v>
      </x:c>
      <x:c r="F65" s="7" t="str">
        <x:v>environment</x:v>
      </x:c>
      <x:c r="G65" s="7" t="str">
        <x:v>state</x:v>
      </x:c>
      <x:c r="H65" s="10" t="str"/>
      <x:c r="I65" s="7" t="str"/>
      <x:c r="J65" s="7" t="str">
        <x:v>OPEN</x:v>
      </x:c>
    </x:row>
    <x:row r="66" ht="36" customHeight="1">
      <x:c r="B66" s="7" t="str">
        <x:v>RAE-E-02-HP-28</x:v>
      </x:c>
      <x:c r="C66" s="7" t="str">
        <x:v>RAE-E-02</x:v>
      </x:c>
      <x:c r="D66" s="7" t="str">
        <x:v>RFP-A1</x:v>
      </x:c>
      <x:c r="E66" s="7" t="str">
        <x:v>HP-28</x:v>
      </x:c>
      <x:c r="F66" s="7" t="str">
        <x:v>environment</x:v>
      </x:c>
      <x:c r="G66" s="7" t="str">
        <x:v>authority</x:v>
      </x:c>
      <x:c r="H66" s="10" t="str"/>
      <x:c r="I66" s="7" t="str"/>
      <x:c r="J66" s="7" t="str">
        <x:v>OPEN</x:v>
      </x:c>
    </x:row>
    <x:row r="67" ht="36" customHeight="1">
      <x:c r="B67" s="7" t="str">
        <x:v>RAE-E-02-HP-29</x:v>
      </x:c>
      <x:c r="C67" s="7" t="str">
        <x:v>RAE-E-02</x:v>
      </x:c>
      <x:c r="D67" s="7" t="str">
        <x:v>RFP-A1</x:v>
      </x:c>
      <x:c r="E67" s="7" t="str">
        <x:v>HP-29</x:v>
      </x:c>
      <x:c r="F67" s="7" t="str">
        <x:v>authority</x:v>
      </x:c>
      <x:c r="G67" s="7" t="str">
        <x:v>identity</x:v>
      </x:c>
      <x:c r="H67" s="10" t="str"/>
      <x:c r="I67" s="7" t="str"/>
      <x:c r="J67" s="7" t="str">
        <x:v>OPEN</x:v>
      </x:c>
    </x:row>
    <x:row r="68" ht="36" customHeight="1">
      <x:c r="B68" s="7" t="str">
        <x:v>RAE-E-02-HP-30</x:v>
      </x:c>
      <x:c r="C68" s="7" t="str">
        <x:v>RAE-E-02</x:v>
      </x:c>
      <x:c r="D68" s="7" t="str">
        <x:v>RFP-A1</x:v>
      </x:c>
      <x:c r="E68" s="7" t="str">
        <x:v>HP-30</x:v>
      </x:c>
      <x:c r="F68" s="7" t="str">
        <x:v>authority</x:v>
      </x:c>
      <x:c r="G68" s="7" t="str">
        <x:v>capacity</x:v>
      </x:c>
      <x:c r="H68" s="10" t="str"/>
      <x:c r="I68" s="7" t="str"/>
      <x:c r="J68" s="7" t="str">
        <x:v>OPEN</x:v>
      </x:c>
    </x:row>
    <x:row r="69" ht="36" customHeight="1">
      <x:c r="B69" s="7" t="str">
        <x:v>RAE-E-02-HP-31</x:v>
      </x:c>
      <x:c r="C69" s="7" t="str">
        <x:v>RAE-E-02</x:v>
      </x:c>
      <x:c r="D69" s="7" t="str">
        <x:v>RFP-A1</x:v>
      </x:c>
      <x:c r="E69" s="7" t="str">
        <x:v>HP-31</x:v>
      </x:c>
      <x:c r="F69" s="7" t="str">
        <x:v>authority</x:v>
      </x:c>
      <x:c r="G69" s="7" t="str">
        <x:v>state</x:v>
      </x:c>
      <x:c r="H69" s="10" t="str"/>
      <x:c r="I69" s="7" t="str"/>
      <x:c r="J69" s="7" t="str">
        <x:v>OPEN</x:v>
      </x:c>
    </x:row>
    <x:row r="70" ht="36" customHeight="1">
      <x:c r="B70" s="7" t="str">
        <x:v>RAE-E-02-HP-32</x:v>
      </x:c>
      <x:c r="C70" s="7" t="str">
        <x:v>RAE-E-02</x:v>
      </x:c>
      <x:c r="D70" s="7" t="str">
        <x:v>RFP-A1</x:v>
      </x:c>
      <x:c r="E70" s="7" t="str">
        <x:v>HP-32</x:v>
      </x:c>
      <x:c r="F70" s="7" t="str">
        <x:v>authority</x:v>
      </x:c>
      <x:c r="G70" s="7" t="str">
        <x:v>authority</x:v>
      </x:c>
      <x:c r="H70" s="10" t="str"/>
      <x:c r="I70" s="7" t="str"/>
      <x:c r="J70" s="7" t="str">
        <x:v>OPEN</x:v>
      </x:c>
    </x:row>
    <x:row r="71" ht="36" customHeight="1">
      <x:c r="B71" s="7" t="str">
        <x:v>RAE-E-03-HP-01</x:v>
      </x:c>
      <x:c r="C71" s="7" t="str">
        <x:v>RAE-E-03</x:v>
      </x:c>
      <x:c r="D71" s="7" t="str">
        <x:v>RFP-A1</x:v>
      </x:c>
      <x:c r="E71" s="7" t="str">
        <x:v>HP-01</x:v>
      </x:c>
      <x:c r="F71" s="7" t="str">
        <x:v>configuration</x:v>
      </x:c>
      <x:c r="G71" s="7" t="str">
        <x:v>identity</x:v>
      </x:c>
      <x:c r="H71" s="10" t="str"/>
      <x:c r="I71" s="7" t="str"/>
      <x:c r="J71" s="7" t="str">
        <x:v>OPEN</x:v>
      </x:c>
    </x:row>
    <x:row r="72" ht="36" customHeight="1">
      <x:c r="B72" s="7" t="str">
        <x:v>RAE-E-03-HP-02</x:v>
      </x:c>
      <x:c r="C72" s="7" t="str">
        <x:v>RAE-E-03</x:v>
      </x:c>
      <x:c r="D72" s="7" t="str">
        <x:v>RFP-A1</x:v>
      </x:c>
      <x:c r="E72" s="7" t="str">
        <x:v>HP-02</x:v>
      </x:c>
      <x:c r="F72" s="7" t="str">
        <x:v>configuration</x:v>
      </x:c>
      <x:c r="G72" s="7" t="str">
        <x:v>capacity</x:v>
      </x:c>
      <x:c r="H72" s="10" t="str"/>
      <x:c r="I72" s="7" t="str"/>
      <x:c r="J72" s="7" t="str">
        <x:v>OPEN</x:v>
      </x:c>
    </x:row>
    <x:row r="73" ht="36" customHeight="1">
      <x:c r="B73" s="7" t="str">
        <x:v>RAE-E-03-HP-03</x:v>
      </x:c>
      <x:c r="C73" s="7" t="str">
        <x:v>RAE-E-03</x:v>
      </x:c>
      <x:c r="D73" s="7" t="str">
        <x:v>RFP-A1</x:v>
      </x:c>
      <x:c r="E73" s="7" t="str">
        <x:v>HP-03</x:v>
      </x:c>
      <x:c r="F73" s="7" t="str">
        <x:v>configuration</x:v>
      </x:c>
      <x:c r="G73" s="7" t="str">
        <x:v>state</x:v>
      </x:c>
      <x:c r="H73" s="10" t="str"/>
      <x:c r="I73" s="7" t="str"/>
      <x:c r="J73" s="7" t="str">
        <x:v>OPEN</x:v>
      </x:c>
    </x:row>
    <x:row r="74" ht="36" customHeight="1">
      <x:c r="B74" s="7" t="str">
        <x:v>RAE-E-03-HP-04</x:v>
      </x:c>
      <x:c r="C74" s="7" t="str">
        <x:v>RAE-E-03</x:v>
      </x:c>
      <x:c r="D74" s="7" t="str">
        <x:v>RFP-A1</x:v>
      </x:c>
      <x:c r="E74" s="7" t="str">
        <x:v>HP-04</x:v>
      </x:c>
      <x:c r="F74" s="7" t="str">
        <x:v>configuration</x:v>
      </x:c>
      <x:c r="G74" s="7" t="str">
        <x:v>authority</x:v>
      </x:c>
      <x:c r="H74" s="10" t="str"/>
      <x:c r="I74" s="7" t="str"/>
      <x:c r="J74" s="7" t="str">
        <x:v>OPEN</x:v>
      </x:c>
    </x:row>
    <x:row r="75" ht="36" customHeight="1">
      <x:c r="B75" s="7" t="str">
        <x:v>RAE-E-03-HP-05</x:v>
      </x:c>
      <x:c r="C75" s="7" t="str">
        <x:v>RAE-E-03</x:v>
      </x:c>
      <x:c r="D75" s="7" t="str">
        <x:v>RFP-A1</x:v>
      </x:c>
      <x:c r="E75" s="7" t="str">
        <x:v>HP-05</x:v>
      </x:c>
      <x:c r="F75" s="7" t="str">
        <x:v>source</x:v>
      </x:c>
      <x:c r="G75" s="7" t="str">
        <x:v>identity</x:v>
      </x:c>
      <x:c r="H75" s="10" t="str"/>
      <x:c r="I75" s="7" t="str"/>
      <x:c r="J75" s="7" t="str">
        <x:v>OPEN</x:v>
      </x:c>
    </x:row>
    <x:row r="76" ht="36" customHeight="1">
      <x:c r="B76" s="7" t="str">
        <x:v>RAE-E-03-HP-06</x:v>
      </x:c>
      <x:c r="C76" s="7" t="str">
        <x:v>RAE-E-03</x:v>
      </x:c>
      <x:c r="D76" s="7" t="str">
        <x:v>RFP-A1</x:v>
      </x:c>
      <x:c r="E76" s="7" t="str">
        <x:v>HP-06</x:v>
      </x:c>
      <x:c r="F76" s="7" t="str">
        <x:v>source</x:v>
      </x:c>
      <x:c r="G76" s="7" t="str">
        <x:v>capacity</x:v>
      </x:c>
      <x:c r="H76" s="10" t="str"/>
      <x:c r="I76" s="7" t="str"/>
      <x:c r="J76" s="7" t="str">
        <x:v>OPEN</x:v>
      </x:c>
    </x:row>
    <x:row r="77" ht="36" customHeight="1">
      <x:c r="B77" s="7" t="str">
        <x:v>RAE-E-03-HP-07</x:v>
      </x:c>
      <x:c r="C77" s="7" t="str">
        <x:v>RAE-E-03</x:v>
      </x:c>
      <x:c r="D77" s="7" t="str">
        <x:v>RFP-A1</x:v>
      </x:c>
      <x:c r="E77" s="7" t="str">
        <x:v>HP-07</x:v>
      </x:c>
      <x:c r="F77" s="7" t="str">
        <x:v>source</x:v>
      </x:c>
      <x:c r="G77" s="7" t="str">
        <x:v>state</x:v>
      </x:c>
      <x:c r="H77" s="10" t="str"/>
      <x:c r="I77" s="7" t="str"/>
      <x:c r="J77" s="7" t="str">
        <x:v>OPEN</x:v>
      </x:c>
    </x:row>
    <x:row r="78" ht="36" customHeight="1">
      <x:c r="B78" s="7" t="str">
        <x:v>RAE-E-03-HP-08</x:v>
      </x:c>
      <x:c r="C78" s="7" t="str">
        <x:v>RAE-E-03</x:v>
      </x:c>
      <x:c r="D78" s="7" t="str">
        <x:v>RFP-A1</x:v>
      </x:c>
      <x:c r="E78" s="7" t="str">
        <x:v>HP-08</x:v>
      </x:c>
      <x:c r="F78" s="7" t="str">
        <x:v>source</x:v>
      </x:c>
      <x:c r="G78" s="7" t="str">
        <x:v>authority</x:v>
      </x:c>
      <x:c r="H78" s="10" t="str"/>
      <x:c r="I78" s="7" t="str"/>
      <x:c r="J78" s="7" t="str">
        <x:v>OPEN</x:v>
      </x:c>
    </x:row>
    <x:row r="79" ht="36" customHeight="1">
      <x:c r="B79" s="7" t="str">
        <x:v>RAE-E-03-HP-09</x:v>
      </x:c>
      <x:c r="C79" s="7" t="str">
        <x:v>RAE-E-03</x:v>
      </x:c>
      <x:c r="D79" s="7" t="str">
        <x:v>RFP-A1</x:v>
      </x:c>
      <x:c r="E79" s="7" t="str">
        <x:v>HP-09</x:v>
      </x:c>
      <x:c r="F79" s="7" t="str">
        <x:v>containment</x:v>
      </x:c>
      <x:c r="G79" s="7" t="str">
        <x:v>identity</x:v>
      </x:c>
      <x:c r="H79" s="10" t="str"/>
      <x:c r="I79" s="7" t="str"/>
      <x:c r="J79" s="7" t="str">
        <x:v>OPEN</x:v>
      </x:c>
    </x:row>
    <x:row r="80" ht="36" customHeight="1">
      <x:c r="B80" s="7" t="str">
        <x:v>RAE-E-03-HP-10</x:v>
      </x:c>
      <x:c r="C80" s="7" t="str">
        <x:v>RAE-E-03</x:v>
      </x:c>
      <x:c r="D80" s="7" t="str">
        <x:v>RFP-A1</x:v>
      </x:c>
      <x:c r="E80" s="7" t="str">
        <x:v>HP-10</x:v>
      </x:c>
      <x:c r="F80" s="7" t="str">
        <x:v>containment</x:v>
      </x:c>
      <x:c r="G80" s="7" t="str">
        <x:v>capacity</x:v>
      </x:c>
      <x:c r="H80" s="10" t="str"/>
      <x:c r="I80" s="7" t="str"/>
      <x:c r="J80" s="7" t="str">
        <x:v>OPEN</x:v>
      </x:c>
    </x:row>
    <x:row r="81" ht="36" customHeight="1">
      <x:c r="B81" s="7" t="str">
        <x:v>RAE-E-03-HP-11</x:v>
      </x:c>
      <x:c r="C81" s="7" t="str">
        <x:v>RAE-E-03</x:v>
      </x:c>
      <x:c r="D81" s="7" t="str">
        <x:v>RFP-A1</x:v>
      </x:c>
      <x:c r="E81" s="7" t="str">
        <x:v>HP-11</x:v>
      </x:c>
      <x:c r="F81" s="7" t="str">
        <x:v>containment</x:v>
      </x:c>
      <x:c r="G81" s="7" t="str">
        <x:v>state</x:v>
      </x:c>
      <x:c r="H81" s="10" t="str"/>
      <x:c r="I81" s="7" t="str"/>
      <x:c r="J81" s="7" t="str">
        <x:v>OPEN</x:v>
      </x:c>
    </x:row>
    <x:row r="82" ht="36" customHeight="1">
      <x:c r="B82" s="7" t="str">
        <x:v>RAE-E-03-HP-12</x:v>
      </x:c>
      <x:c r="C82" s="7" t="str">
        <x:v>RAE-E-03</x:v>
      </x:c>
      <x:c r="D82" s="7" t="str">
        <x:v>RFP-A1</x:v>
      </x:c>
      <x:c r="E82" s="7" t="str">
        <x:v>HP-12</x:v>
      </x:c>
      <x:c r="F82" s="7" t="str">
        <x:v>containment</x:v>
      </x:c>
      <x:c r="G82" s="7" t="str">
        <x:v>authority</x:v>
      </x:c>
      <x:c r="H82" s="10" t="str"/>
      <x:c r="I82" s="7" t="str"/>
      <x:c r="J82" s="7" t="str">
        <x:v>OPEN</x:v>
      </x:c>
    </x:row>
    <x:row r="83" ht="36" customHeight="1">
      <x:c r="B83" s="7" t="str">
        <x:v>RAE-E-03-HP-13</x:v>
      </x:c>
      <x:c r="C83" s="7" t="str">
        <x:v>RAE-E-03</x:v>
      </x:c>
      <x:c r="D83" s="7" t="str">
        <x:v>RFP-A1</x:v>
      </x:c>
      <x:c r="E83" s="7" t="str">
        <x:v>HP-13</x:v>
      </x:c>
      <x:c r="F83" s="7" t="str">
        <x:v>water</x:v>
      </x:c>
      <x:c r="G83" s="7" t="str">
        <x:v>identity</x:v>
      </x:c>
      <x:c r="H83" s="10" t="str"/>
      <x:c r="I83" s="7" t="str"/>
      <x:c r="J83" s="7" t="str">
        <x:v>OPEN</x:v>
      </x:c>
    </x:row>
    <x:row r="84" ht="36" customHeight="1">
      <x:c r="B84" s="7" t="str">
        <x:v>RAE-E-03-HP-14</x:v>
      </x:c>
      <x:c r="C84" s="7" t="str">
        <x:v>RAE-E-03</x:v>
      </x:c>
      <x:c r="D84" s="7" t="str">
        <x:v>RFP-A1</x:v>
      </x:c>
      <x:c r="E84" s="7" t="str">
        <x:v>HP-14</x:v>
      </x:c>
      <x:c r="F84" s="7" t="str">
        <x:v>water</x:v>
      </x:c>
      <x:c r="G84" s="7" t="str">
        <x:v>capacity</x:v>
      </x:c>
      <x:c r="H84" s="10" t="str"/>
      <x:c r="I84" s="7" t="str"/>
      <x:c r="J84" s="7" t="str">
        <x:v>OPEN</x:v>
      </x:c>
    </x:row>
    <x:row r="85" ht="36" customHeight="1">
      <x:c r="B85" s="7" t="str">
        <x:v>RAE-E-03-HP-15</x:v>
      </x:c>
      <x:c r="C85" s="7" t="str">
        <x:v>RAE-E-03</x:v>
      </x:c>
      <x:c r="D85" s="7" t="str">
        <x:v>RFP-A1</x:v>
      </x:c>
      <x:c r="E85" s="7" t="str">
        <x:v>HP-15</x:v>
      </x:c>
      <x:c r="F85" s="7" t="str">
        <x:v>water</x:v>
      </x:c>
      <x:c r="G85" s="7" t="str">
        <x:v>state</x:v>
      </x:c>
      <x:c r="H85" s="10" t="str"/>
      <x:c r="I85" s="7" t="str"/>
      <x:c r="J85" s="7" t="str">
        <x:v>OPEN</x:v>
      </x:c>
    </x:row>
    <x:row r="86" ht="36" customHeight="1">
      <x:c r="B86" s="7" t="str">
        <x:v>RAE-E-03-HP-16</x:v>
      </x:c>
      <x:c r="C86" s="7" t="str">
        <x:v>RAE-E-03</x:v>
      </x:c>
      <x:c r="D86" s="7" t="str">
        <x:v>RFP-A1</x:v>
      </x:c>
      <x:c r="E86" s="7" t="str">
        <x:v>HP-16</x:v>
      </x:c>
      <x:c r="F86" s="7" t="str">
        <x:v>water</x:v>
      </x:c>
      <x:c r="G86" s="7" t="str">
        <x:v>authority</x:v>
      </x:c>
      <x:c r="H86" s="10" t="str"/>
      <x:c r="I86" s="7" t="str"/>
      <x:c r="J86" s="7" t="str">
        <x:v>OPEN</x:v>
      </x:c>
    </x:row>
    <x:row r="87" ht="36" customHeight="1">
      <x:c r="B87" s="7" t="str">
        <x:v>RAE-E-03-HP-17</x:v>
      </x:c>
      <x:c r="C87" s="7" t="str">
        <x:v>RAE-E-03</x:v>
      </x:c>
      <x:c r="D87" s="7" t="str">
        <x:v>RFP-A1</x:v>
      </x:c>
      <x:c r="E87" s="7" t="str">
        <x:v>HP-17</x:v>
      </x:c>
      <x:c r="F87" s="7" t="str">
        <x:v>safeing</x:v>
      </x:c>
      <x:c r="G87" s="7" t="str">
        <x:v>identity</x:v>
      </x:c>
      <x:c r="H87" s="10" t="str"/>
      <x:c r="I87" s="7" t="str"/>
      <x:c r="J87" s="7" t="str">
        <x:v>OPEN</x:v>
      </x:c>
    </x:row>
    <x:row r="88" ht="36" customHeight="1">
      <x:c r="B88" s="7" t="str">
        <x:v>RAE-E-03-HP-18</x:v>
      </x:c>
      <x:c r="C88" s="7" t="str">
        <x:v>RAE-E-03</x:v>
      </x:c>
      <x:c r="D88" s="7" t="str">
        <x:v>RFP-A1</x:v>
      </x:c>
      <x:c r="E88" s="7" t="str">
        <x:v>HP-18</x:v>
      </x:c>
      <x:c r="F88" s="7" t="str">
        <x:v>safeing</x:v>
      </x:c>
      <x:c r="G88" s="7" t="str">
        <x:v>capacity</x:v>
      </x:c>
      <x:c r="H88" s="10" t="str"/>
      <x:c r="I88" s="7" t="str"/>
      <x:c r="J88" s="7" t="str">
        <x:v>OPEN</x:v>
      </x:c>
    </x:row>
    <x:row r="89" ht="36" customHeight="1">
      <x:c r="B89" s="7" t="str">
        <x:v>RAE-E-03-HP-19</x:v>
      </x:c>
      <x:c r="C89" s="7" t="str">
        <x:v>RAE-E-03</x:v>
      </x:c>
      <x:c r="D89" s="7" t="str">
        <x:v>RFP-A1</x:v>
      </x:c>
      <x:c r="E89" s="7" t="str">
        <x:v>HP-19</x:v>
      </x:c>
      <x:c r="F89" s="7" t="str">
        <x:v>safeing</x:v>
      </x:c>
      <x:c r="G89" s="7" t="str">
        <x:v>state</x:v>
      </x:c>
      <x:c r="H89" s="10" t="str"/>
      <x:c r="I89" s="7" t="str"/>
      <x:c r="J89" s="7" t="str">
        <x:v>OPEN</x:v>
      </x:c>
    </x:row>
    <x:row r="90" ht="36" customHeight="1">
      <x:c r="B90" s="7" t="str">
        <x:v>RAE-E-03-HP-20</x:v>
      </x:c>
      <x:c r="C90" s="7" t="str">
        <x:v>RAE-E-03</x:v>
      </x:c>
      <x:c r="D90" s="7" t="str">
        <x:v>RFP-A1</x:v>
      </x:c>
      <x:c r="E90" s="7" t="str">
        <x:v>HP-20</x:v>
      </x:c>
      <x:c r="F90" s="7" t="str">
        <x:v>safeing</x:v>
      </x:c>
      <x:c r="G90" s="7" t="str">
        <x:v>authority</x:v>
      </x:c>
      <x:c r="H90" s="10" t="str"/>
      <x:c r="I90" s="7" t="str"/>
      <x:c r="J90" s="7" t="str">
        <x:v>OPEN</x:v>
      </x:c>
    </x:row>
    <x:row r="91" ht="36" customHeight="1">
      <x:c r="B91" s="7" t="str">
        <x:v>RAE-E-03-HP-21</x:v>
      </x:c>
      <x:c r="C91" s="7" t="str">
        <x:v>RAE-E-03</x:v>
      </x:c>
      <x:c r="D91" s="7" t="str">
        <x:v>RFP-A1</x:v>
      </x:c>
      <x:c r="E91" s="7" t="str">
        <x:v>HP-21</x:v>
      </x:c>
      <x:c r="F91" s="7" t="str">
        <x:v>evidence</x:v>
      </x:c>
      <x:c r="G91" s="7" t="str">
        <x:v>identity</x:v>
      </x:c>
      <x:c r="H91" s="10" t="str"/>
      <x:c r="I91" s="7" t="str"/>
      <x:c r="J91" s="7" t="str">
        <x:v>OPEN</x:v>
      </x:c>
    </x:row>
    <x:row r="92" ht="36" customHeight="1">
      <x:c r="B92" s="7" t="str">
        <x:v>RAE-E-03-HP-22</x:v>
      </x:c>
      <x:c r="C92" s="7" t="str">
        <x:v>RAE-E-03</x:v>
      </x:c>
      <x:c r="D92" s="7" t="str">
        <x:v>RFP-A1</x:v>
      </x:c>
      <x:c r="E92" s="7" t="str">
        <x:v>HP-22</x:v>
      </x:c>
      <x:c r="F92" s="7" t="str">
        <x:v>evidence</x:v>
      </x:c>
      <x:c r="G92" s="7" t="str">
        <x:v>capacity</x:v>
      </x:c>
      <x:c r="H92" s="10" t="str"/>
      <x:c r="I92" s="7" t="str"/>
      <x:c r="J92" s="7" t="str">
        <x:v>OPEN</x:v>
      </x:c>
    </x:row>
    <x:row r="93" ht="36" customHeight="1">
      <x:c r="B93" s="7" t="str">
        <x:v>RAE-E-03-HP-23</x:v>
      </x:c>
      <x:c r="C93" s="7" t="str">
        <x:v>RAE-E-03</x:v>
      </x:c>
      <x:c r="D93" s="7" t="str">
        <x:v>RFP-A1</x:v>
      </x:c>
      <x:c r="E93" s="7" t="str">
        <x:v>HP-23</x:v>
      </x:c>
      <x:c r="F93" s="7" t="str">
        <x:v>evidence</x:v>
      </x:c>
      <x:c r="G93" s="7" t="str">
        <x:v>state</x:v>
      </x:c>
      <x:c r="H93" s="10" t="str"/>
      <x:c r="I93" s="7" t="str"/>
      <x:c r="J93" s="7" t="str">
        <x:v>OPEN</x:v>
      </x:c>
    </x:row>
    <x:row r="94" ht="36" customHeight="1">
      <x:c r="B94" s="7" t="str">
        <x:v>RAE-E-03-HP-24</x:v>
      </x:c>
      <x:c r="C94" s="7" t="str">
        <x:v>RAE-E-03</x:v>
      </x:c>
      <x:c r="D94" s="7" t="str">
        <x:v>RFP-A1</x:v>
      </x:c>
      <x:c r="E94" s="7" t="str">
        <x:v>HP-24</x:v>
      </x:c>
      <x:c r="F94" s="7" t="str">
        <x:v>evidence</x:v>
      </x:c>
      <x:c r="G94" s="7" t="str">
        <x:v>authority</x:v>
      </x:c>
      <x:c r="H94" s="10" t="str"/>
      <x:c r="I94" s="7" t="str"/>
      <x:c r="J94" s="7" t="str">
        <x:v>OPEN</x:v>
      </x:c>
    </x:row>
    <x:row r="95" ht="36" customHeight="1">
      <x:c r="B95" s="7" t="str">
        <x:v>RAE-E-03-HP-25</x:v>
      </x:c>
      <x:c r="C95" s="7" t="str">
        <x:v>RAE-E-03</x:v>
      </x:c>
      <x:c r="D95" s="7" t="str">
        <x:v>RFP-A1</x:v>
      </x:c>
      <x:c r="E95" s="7" t="str">
        <x:v>HP-25</x:v>
      </x:c>
      <x:c r="F95" s="7" t="str">
        <x:v>environment</x:v>
      </x:c>
      <x:c r="G95" s="7" t="str">
        <x:v>identity</x:v>
      </x:c>
      <x:c r="H95" s="10" t="str"/>
      <x:c r="I95" s="7" t="str"/>
      <x:c r="J95" s="7" t="str">
        <x:v>OPEN</x:v>
      </x:c>
    </x:row>
    <x:row r="96" ht="36" customHeight="1">
      <x:c r="B96" s="7" t="str">
        <x:v>RAE-E-03-HP-26</x:v>
      </x:c>
      <x:c r="C96" s="7" t="str">
        <x:v>RAE-E-03</x:v>
      </x:c>
      <x:c r="D96" s="7" t="str">
        <x:v>RFP-A1</x:v>
      </x:c>
      <x:c r="E96" s="7" t="str">
        <x:v>HP-26</x:v>
      </x:c>
      <x:c r="F96" s="7" t="str">
        <x:v>environment</x:v>
      </x:c>
      <x:c r="G96" s="7" t="str">
        <x:v>capacity</x:v>
      </x:c>
      <x:c r="H96" s="10" t="str"/>
      <x:c r="I96" s="7" t="str"/>
      <x:c r="J96" s="7" t="str">
        <x:v>OPEN</x:v>
      </x:c>
    </x:row>
    <x:row r="97" ht="36" customHeight="1">
      <x:c r="B97" s="7" t="str">
        <x:v>RAE-E-03-HP-27</x:v>
      </x:c>
      <x:c r="C97" s="7" t="str">
        <x:v>RAE-E-03</x:v>
      </x:c>
      <x:c r="D97" s="7" t="str">
        <x:v>RFP-A1</x:v>
      </x:c>
      <x:c r="E97" s="7" t="str">
        <x:v>HP-27</x:v>
      </x:c>
      <x:c r="F97" s="7" t="str">
        <x:v>environment</x:v>
      </x:c>
      <x:c r="G97" s="7" t="str">
        <x:v>state</x:v>
      </x:c>
      <x:c r="H97" s="10" t="str"/>
      <x:c r="I97" s="7" t="str"/>
      <x:c r="J97" s="7" t="str">
        <x:v>OPEN</x:v>
      </x:c>
    </x:row>
    <x:row r="98" ht="36" customHeight="1">
      <x:c r="B98" s="7" t="str">
        <x:v>RAE-E-03-HP-28</x:v>
      </x:c>
      <x:c r="C98" s="7" t="str">
        <x:v>RAE-E-03</x:v>
      </x:c>
      <x:c r="D98" s="7" t="str">
        <x:v>RFP-A1</x:v>
      </x:c>
      <x:c r="E98" s="7" t="str">
        <x:v>HP-28</x:v>
      </x:c>
      <x:c r="F98" s="7" t="str">
        <x:v>environment</x:v>
      </x:c>
      <x:c r="G98" s="7" t="str">
        <x:v>authority</x:v>
      </x:c>
      <x:c r="H98" s="10" t="str"/>
      <x:c r="I98" s="7" t="str"/>
      <x:c r="J98" s="7" t="str">
        <x:v>OPEN</x:v>
      </x:c>
    </x:row>
    <x:row r="99" ht="36" customHeight="1">
      <x:c r="B99" s="7" t="str">
        <x:v>RAE-E-03-HP-29</x:v>
      </x:c>
      <x:c r="C99" s="7" t="str">
        <x:v>RAE-E-03</x:v>
      </x:c>
      <x:c r="D99" s="7" t="str">
        <x:v>RFP-A1</x:v>
      </x:c>
      <x:c r="E99" s="7" t="str">
        <x:v>HP-29</x:v>
      </x:c>
      <x:c r="F99" s="7" t="str">
        <x:v>authority</x:v>
      </x:c>
      <x:c r="G99" s="7" t="str">
        <x:v>identity</x:v>
      </x:c>
      <x:c r="H99" s="10" t="str"/>
      <x:c r="I99" s="7" t="str"/>
      <x:c r="J99" s="7" t="str">
        <x:v>OPEN</x:v>
      </x:c>
    </x:row>
    <x:row r="100" ht="36" customHeight="1">
      <x:c r="B100" s="7" t="str">
        <x:v>RAE-E-03-HP-30</x:v>
      </x:c>
      <x:c r="C100" s="7" t="str">
        <x:v>RAE-E-03</x:v>
      </x:c>
      <x:c r="D100" s="7" t="str">
        <x:v>RFP-A1</x:v>
      </x:c>
      <x:c r="E100" s="7" t="str">
        <x:v>HP-30</x:v>
      </x:c>
      <x:c r="F100" s="7" t="str">
        <x:v>authority</x:v>
      </x:c>
      <x:c r="G100" s="7" t="str">
        <x:v>capacity</x:v>
      </x:c>
      <x:c r="H100" s="10" t="str"/>
      <x:c r="I100" s="7" t="str"/>
      <x:c r="J100" s="7" t="str">
        <x:v>OPEN</x:v>
      </x:c>
    </x:row>
    <x:row r="101" ht="36" customHeight="1">
      <x:c r="B101" s="7" t="str">
        <x:v>RAE-E-03-HP-31</x:v>
      </x:c>
      <x:c r="C101" s="7" t="str">
        <x:v>RAE-E-03</x:v>
      </x:c>
      <x:c r="D101" s="7" t="str">
        <x:v>RFP-A1</x:v>
      </x:c>
      <x:c r="E101" s="7" t="str">
        <x:v>HP-31</x:v>
      </x:c>
      <x:c r="F101" s="7" t="str">
        <x:v>authority</x:v>
      </x:c>
      <x:c r="G101" s="7" t="str">
        <x:v>state</x:v>
      </x:c>
      <x:c r="H101" s="10" t="str"/>
      <x:c r="I101" s="7" t="str"/>
      <x:c r="J101" s="7" t="str">
        <x:v>OPEN</x:v>
      </x:c>
    </x:row>
    <x:row r="102" ht="36" customHeight="1">
      <x:c r="B102" s="7" t="str">
        <x:v>RAE-E-03-HP-32</x:v>
      </x:c>
      <x:c r="C102" s="7" t="str">
        <x:v>RAE-E-03</x:v>
      </x:c>
      <x:c r="D102" s="7" t="str">
        <x:v>RFP-A1</x:v>
      </x:c>
      <x:c r="E102" s="7" t="str">
        <x:v>HP-32</x:v>
      </x:c>
      <x:c r="F102" s="7" t="str">
        <x:v>authority</x:v>
      </x:c>
      <x:c r="G102" s="7" t="str">
        <x:v>authority</x:v>
      </x:c>
      <x:c r="H102" s="10" t="str"/>
      <x:c r="I102" s="7" t="str"/>
      <x:c r="J102" s="7" t="str">
        <x:v>OPEN</x:v>
      </x:c>
    </x:row>
    <x:row r="103" ht="36" customHeight="1">
      <x:c r="B103" s="7" t="str">
        <x:v>RAE-E-04-HP-01</x:v>
      </x:c>
      <x:c r="C103" s="7" t="str">
        <x:v>RAE-E-04</x:v>
      </x:c>
      <x:c r="D103" s="7" t="str">
        <x:v>RFP-A1</x:v>
      </x:c>
      <x:c r="E103" s="7" t="str">
        <x:v>HP-01</x:v>
      </x:c>
      <x:c r="F103" s="7" t="str">
        <x:v>configuration</x:v>
      </x:c>
      <x:c r="G103" s="7" t="str">
        <x:v>identity</x:v>
      </x:c>
      <x:c r="H103" s="10" t="str"/>
      <x:c r="I103" s="7" t="str"/>
      <x:c r="J103" s="7" t="str">
        <x:v>OPEN</x:v>
      </x:c>
    </x:row>
    <x:row r="104" ht="36" customHeight="1">
      <x:c r="B104" s="7" t="str">
        <x:v>RAE-E-04-HP-02</x:v>
      </x:c>
      <x:c r="C104" s="7" t="str">
        <x:v>RAE-E-04</x:v>
      </x:c>
      <x:c r="D104" s="7" t="str">
        <x:v>RFP-A1</x:v>
      </x:c>
      <x:c r="E104" s="7" t="str">
        <x:v>HP-02</x:v>
      </x:c>
      <x:c r="F104" s="7" t="str">
        <x:v>configuration</x:v>
      </x:c>
      <x:c r="G104" s="7" t="str">
        <x:v>capacity</x:v>
      </x:c>
      <x:c r="H104" s="10" t="str"/>
      <x:c r="I104" s="7" t="str"/>
      <x:c r="J104" s="7" t="str">
        <x:v>OPEN</x:v>
      </x:c>
    </x:row>
    <x:row r="105" ht="36" customHeight="1">
      <x:c r="B105" s="7" t="str">
        <x:v>RAE-E-04-HP-03</x:v>
      </x:c>
      <x:c r="C105" s="7" t="str">
        <x:v>RAE-E-04</x:v>
      </x:c>
      <x:c r="D105" s="7" t="str">
        <x:v>RFP-A1</x:v>
      </x:c>
      <x:c r="E105" s="7" t="str">
        <x:v>HP-03</x:v>
      </x:c>
      <x:c r="F105" s="7" t="str">
        <x:v>configuration</x:v>
      </x:c>
      <x:c r="G105" s="7" t="str">
        <x:v>state</x:v>
      </x:c>
      <x:c r="H105" s="10" t="str"/>
      <x:c r="I105" s="7" t="str"/>
      <x:c r="J105" s="7" t="str">
        <x:v>OPEN</x:v>
      </x:c>
    </x:row>
    <x:row r="106" ht="36" customHeight="1">
      <x:c r="B106" s="7" t="str">
        <x:v>RAE-E-04-HP-04</x:v>
      </x:c>
      <x:c r="C106" s="7" t="str">
        <x:v>RAE-E-04</x:v>
      </x:c>
      <x:c r="D106" s="7" t="str">
        <x:v>RFP-A1</x:v>
      </x:c>
      <x:c r="E106" s="7" t="str">
        <x:v>HP-04</x:v>
      </x:c>
      <x:c r="F106" s="7" t="str">
        <x:v>configuration</x:v>
      </x:c>
      <x:c r="G106" s="7" t="str">
        <x:v>authority</x:v>
      </x:c>
      <x:c r="H106" s="10" t="str"/>
      <x:c r="I106" s="7" t="str"/>
      <x:c r="J106" s="7" t="str">
        <x:v>OPEN</x:v>
      </x:c>
    </x:row>
    <x:row r="107" ht="36" customHeight="1">
      <x:c r="B107" s="7" t="str">
        <x:v>RAE-E-04-HP-05</x:v>
      </x:c>
      <x:c r="C107" s="7" t="str">
        <x:v>RAE-E-04</x:v>
      </x:c>
      <x:c r="D107" s="7" t="str">
        <x:v>RFP-A1</x:v>
      </x:c>
      <x:c r="E107" s="7" t="str">
        <x:v>HP-05</x:v>
      </x:c>
      <x:c r="F107" s="7" t="str">
        <x:v>source</x:v>
      </x:c>
      <x:c r="G107" s="7" t="str">
        <x:v>identity</x:v>
      </x:c>
      <x:c r="H107" s="10" t="str"/>
      <x:c r="I107" s="7" t="str"/>
      <x:c r="J107" s="7" t="str">
        <x:v>OPEN</x:v>
      </x:c>
    </x:row>
    <x:row r="108" ht="36" customHeight="1">
      <x:c r="B108" s="7" t="str">
        <x:v>RAE-E-04-HP-06</x:v>
      </x:c>
      <x:c r="C108" s="7" t="str">
        <x:v>RAE-E-04</x:v>
      </x:c>
      <x:c r="D108" s="7" t="str">
        <x:v>RFP-A1</x:v>
      </x:c>
      <x:c r="E108" s="7" t="str">
        <x:v>HP-06</x:v>
      </x:c>
      <x:c r="F108" s="7" t="str">
        <x:v>source</x:v>
      </x:c>
      <x:c r="G108" s="7" t="str">
        <x:v>capacity</x:v>
      </x:c>
      <x:c r="H108" s="10" t="str"/>
      <x:c r="I108" s="7" t="str"/>
      <x:c r="J108" s="7" t="str">
        <x:v>OPEN</x:v>
      </x:c>
    </x:row>
    <x:row r="109" ht="36" customHeight="1">
      <x:c r="B109" s="7" t="str">
        <x:v>RAE-E-04-HP-07</x:v>
      </x:c>
      <x:c r="C109" s="7" t="str">
        <x:v>RAE-E-04</x:v>
      </x:c>
      <x:c r="D109" s="7" t="str">
        <x:v>RFP-A1</x:v>
      </x:c>
      <x:c r="E109" s="7" t="str">
        <x:v>HP-07</x:v>
      </x:c>
      <x:c r="F109" s="7" t="str">
        <x:v>source</x:v>
      </x:c>
      <x:c r="G109" s="7" t="str">
        <x:v>state</x:v>
      </x:c>
      <x:c r="H109" s="10" t="str"/>
      <x:c r="I109" s="7" t="str"/>
      <x:c r="J109" s="7" t="str">
        <x:v>OPEN</x:v>
      </x:c>
    </x:row>
    <x:row r="110" ht="36" customHeight="1">
      <x:c r="B110" s="7" t="str">
        <x:v>RAE-E-04-HP-08</x:v>
      </x:c>
      <x:c r="C110" s="7" t="str">
        <x:v>RAE-E-04</x:v>
      </x:c>
      <x:c r="D110" s="7" t="str">
        <x:v>RFP-A1</x:v>
      </x:c>
      <x:c r="E110" s="7" t="str">
        <x:v>HP-08</x:v>
      </x:c>
      <x:c r="F110" s="7" t="str">
        <x:v>source</x:v>
      </x:c>
      <x:c r="G110" s="7" t="str">
        <x:v>authority</x:v>
      </x:c>
      <x:c r="H110" s="10" t="str"/>
      <x:c r="I110" s="7" t="str"/>
      <x:c r="J110" s="7" t="str">
        <x:v>OPEN</x:v>
      </x:c>
    </x:row>
    <x:row r="111" ht="36" customHeight="1">
      <x:c r="B111" s="7" t="str">
        <x:v>RAE-E-04-HP-09</x:v>
      </x:c>
      <x:c r="C111" s="7" t="str">
        <x:v>RAE-E-04</x:v>
      </x:c>
      <x:c r="D111" s="7" t="str">
        <x:v>RFP-A1</x:v>
      </x:c>
      <x:c r="E111" s="7" t="str">
        <x:v>HP-09</x:v>
      </x:c>
      <x:c r="F111" s="7" t="str">
        <x:v>containment</x:v>
      </x:c>
      <x:c r="G111" s="7" t="str">
        <x:v>identity</x:v>
      </x:c>
      <x:c r="H111" s="10" t="str"/>
      <x:c r="I111" s="7" t="str"/>
      <x:c r="J111" s="7" t="str">
        <x:v>OPEN</x:v>
      </x:c>
    </x:row>
    <x:row r="112" ht="36" customHeight="1">
      <x:c r="B112" s="7" t="str">
        <x:v>RAE-E-04-HP-10</x:v>
      </x:c>
      <x:c r="C112" s="7" t="str">
        <x:v>RAE-E-04</x:v>
      </x:c>
      <x:c r="D112" s="7" t="str">
        <x:v>RFP-A1</x:v>
      </x:c>
      <x:c r="E112" s="7" t="str">
        <x:v>HP-10</x:v>
      </x:c>
      <x:c r="F112" s="7" t="str">
        <x:v>containment</x:v>
      </x:c>
      <x:c r="G112" s="7" t="str">
        <x:v>capacity</x:v>
      </x:c>
      <x:c r="H112" s="10" t="str"/>
      <x:c r="I112" s="7" t="str"/>
      <x:c r="J112" s="7" t="str">
        <x:v>OPEN</x:v>
      </x:c>
    </x:row>
    <x:row r="113" ht="36" customHeight="1">
      <x:c r="B113" s="7" t="str">
        <x:v>RAE-E-04-HP-11</x:v>
      </x:c>
      <x:c r="C113" s="7" t="str">
        <x:v>RAE-E-04</x:v>
      </x:c>
      <x:c r="D113" s="7" t="str">
        <x:v>RFP-A1</x:v>
      </x:c>
      <x:c r="E113" s="7" t="str">
        <x:v>HP-11</x:v>
      </x:c>
      <x:c r="F113" s="7" t="str">
        <x:v>containment</x:v>
      </x:c>
      <x:c r="G113" s="7" t="str">
        <x:v>state</x:v>
      </x:c>
      <x:c r="H113" s="10" t="str"/>
      <x:c r="I113" s="7" t="str"/>
      <x:c r="J113" s="7" t="str">
        <x:v>OPEN</x:v>
      </x:c>
    </x:row>
    <x:row r="114" ht="36" customHeight="1">
      <x:c r="B114" s="7" t="str">
        <x:v>RAE-E-04-HP-12</x:v>
      </x:c>
      <x:c r="C114" s="7" t="str">
        <x:v>RAE-E-04</x:v>
      </x:c>
      <x:c r="D114" s="7" t="str">
        <x:v>RFP-A1</x:v>
      </x:c>
      <x:c r="E114" s="7" t="str">
        <x:v>HP-12</x:v>
      </x:c>
      <x:c r="F114" s="7" t="str">
        <x:v>containment</x:v>
      </x:c>
      <x:c r="G114" s="7" t="str">
        <x:v>authority</x:v>
      </x:c>
      <x:c r="H114" s="10" t="str"/>
      <x:c r="I114" s="7" t="str"/>
      <x:c r="J114" s="7" t="str">
        <x:v>OPEN</x:v>
      </x:c>
    </x:row>
    <x:row r="115" ht="36" customHeight="1">
      <x:c r="B115" s="7" t="str">
        <x:v>RAE-E-04-HP-13</x:v>
      </x:c>
      <x:c r="C115" s="7" t="str">
        <x:v>RAE-E-04</x:v>
      </x:c>
      <x:c r="D115" s="7" t="str">
        <x:v>RFP-A1</x:v>
      </x:c>
      <x:c r="E115" s="7" t="str">
        <x:v>HP-13</x:v>
      </x:c>
      <x:c r="F115" s="7" t="str">
        <x:v>water</x:v>
      </x:c>
      <x:c r="G115" s="7" t="str">
        <x:v>identity</x:v>
      </x:c>
      <x:c r="H115" s="10" t="str"/>
      <x:c r="I115" s="7" t="str"/>
      <x:c r="J115" s="7" t="str">
        <x:v>OPEN</x:v>
      </x:c>
    </x:row>
    <x:row r="116" ht="36" customHeight="1">
      <x:c r="B116" s="7" t="str">
        <x:v>RAE-E-04-HP-14</x:v>
      </x:c>
      <x:c r="C116" s="7" t="str">
        <x:v>RAE-E-04</x:v>
      </x:c>
      <x:c r="D116" s="7" t="str">
        <x:v>RFP-A1</x:v>
      </x:c>
      <x:c r="E116" s="7" t="str">
        <x:v>HP-14</x:v>
      </x:c>
      <x:c r="F116" s="7" t="str">
        <x:v>water</x:v>
      </x:c>
      <x:c r="G116" s="7" t="str">
        <x:v>capacity</x:v>
      </x:c>
      <x:c r="H116" s="10" t="str"/>
      <x:c r="I116" s="7" t="str"/>
      <x:c r="J116" s="7" t="str">
        <x:v>OPEN</x:v>
      </x:c>
    </x:row>
    <x:row r="117" ht="36" customHeight="1">
      <x:c r="B117" s="7" t="str">
        <x:v>RAE-E-04-HP-15</x:v>
      </x:c>
      <x:c r="C117" s="7" t="str">
        <x:v>RAE-E-04</x:v>
      </x:c>
      <x:c r="D117" s="7" t="str">
        <x:v>RFP-A1</x:v>
      </x:c>
      <x:c r="E117" s="7" t="str">
        <x:v>HP-15</x:v>
      </x:c>
      <x:c r="F117" s="7" t="str">
        <x:v>water</x:v>
      </x:c>
      <x:c r="G117" s="7" t="str">
        <x:v>state</x:v>
      </x:c>
      <x:c r="H117" s="10" t="str"/>
      <x:c r="I117" s="7" t="str"/>
      <x:c r="J117" s="7" t="str">
        <x:v>OPEN</x:v>
      </x:c>
    </x:row>
    <x:row r="118" ht="36" customHeight="1">
      <x:c r="B118" s="7" t="str">
        <x:v>RAE-E-04-HP-16</x:v>
      </x:c>
      <x:c r="C118" s="7" t="str">
        <x:v>RAE-E-04</x:v>
      </x:c>
      <x:c r="D118" s="7" t="str">
        <x:v>RFP-A1</x:v>
      </x:c>
      <x:c r="E118" s="7" t="str">
        <x:v>HP-16</x:v>
      </x:c>
      <x:c r="F118" s="7" t="str">
        <x:v>water</x:v>
      </x:c>
      <x:c r="G118" s="7" t="str">
        <x:v>authority</x:v>
      </x:c>
      <x:c r="H118" s="10" t="str"/>
      <x:c r="I118" s="7" t="str"/>
      <x:c r="J118" s="7" t="str">
        <x:v>OPEN</x:v>
      </x:c>
    </x:row>
    <x:row r="119" ht="36" customHeight="1">
      <x:c r="B119" s="7" t="str">
        <x:v>RAE-E-04-HP-17</x:v>
      </x:c>
      <x:c r="C119" s="7" t="str">
        <x:v>RAE-E-04</x:v>
      </x:c>
      <x:c r="D119" s="7" t="str">
        <x:v>RFP-A1</x:v>
      </x:c>
      <x:c r="E119" s="7" t="str">
        <x:v>HP-17</x:v>
      </x:c>
      <x:c r="F119" s="7" t="str">
        <x:v>safeing</x:v>
      </x:c>
      <x:c r="G119" s="7" t="str">
        <x:v>identity</x:v>
      </x:c>
      <x:c r="H119" s="10" t="str"/>
      <x:c r="I119" s="7" t="str"/>
      <x:c r="J119" s="7" t="str">
        <x:v>OPEN</x:v>
      </x:c>
    </x:row>
    <x:row r="120" ht="36" customHeight="1">
      <x:c r="B120" s="7" t="str">
        <x:v>RAE-E-04-HP-18</x:v>
      </x:c>
      <x:c r="C120" s="7" t="str">
        <x:v>RAE-E-04</x:v>
      </x:c>
      <x:c r="D120" s="7" t="str">
        <x:v>RFP-A1</x:v>
      </x:c>
      <x:c r="E120" s="7" t="str">
        <x:v>HP-18</x:v>
      </x:c>
      <x:c r="F120" s="7" t="str">
        <x:v>safeing</x:v>
      </x:c>
      <x:c r="G120" s="7" t="str">
        <x:v>capacity</x:v>
      </x:c>
      <x:c r="H120" s="10" t="str"/>
      <x:c r="I120" s="7" t="str"/>
      <x:c r="J120" s="7" t="str">
        <x:v>OPEN</x:v>
      </x:c>
    </x:row>
    <x:row r="121" ht="36" customHeight="1">
      <x:c r="B121" s="7" t="str">
        <x:v>RAE-E-04-HP-19</x:v>
      </x:c>
      <x:c r="C121" s="7" t="str">
        <x:v>RAE-E-04</x:v>
      </x:c>
      <x:c r="D121" s="7" t="str">
        <x:v>RFP-A1</x:v>
      </x:c>
      <x:c r="E121" s="7" t="str">
        <x:v>HP-19</x:v>
      </x:c>
      <x:c r="F121" s="7" t="str">
        <x:v>safeing</x:v>
      </x:c>
      <x:c r="G121" s="7" t="str">
        <x:v>state</x:v>
      </x:c>
      <x:c r="H121" s="10" t="str"/>
      <x:c r="I121" s="7" t="str"/>
      <x:c r="J121" s="7" t="str">
        <x:v>OPEN</x:v>
      </x:c>
    </x:row>
    <x:row r="122" ht="36" customHeight="1">
      <x:c r="B122" s="7" t="str">
        <x:v>RAE-E-04-HP-20</x:v>
      </x:c>
      <x:c r="C122" s="7" t="str">
        <x:v>RAE-E-04</x:v>
      </x:c>
      <x:c r="D122" s="7" t="str">
        <x:v>RFP-A1</x:v>
      </x:c>
      <x:c r="E122" s="7" t="str">
        <x:v>HP-20</x:v>
      </x:c>
      <x:c r="F122" s="7" t="str">
        <x:v>safeing</x:v>
      </x:c>
      <x:c r="G122" s="7" t="str">
        <x:v>authority</x:v>
      </x:c>
      <x:c r="H122" s="10" t="str"/>
      <x:c r="I122" s="7" t="str"/>
      <x:c r="J122" s="7" t="str">
        <x:v>OPEN</x:v>
      </x:c>
    </x:row>
    <x:row r="123" ht="36" customHeight="1">
      <x:c r="B123" s="7" t="str">
        <x:v>RAE-E-04-HP-21</x:v>
      </x:c>
      <x:c r="C123" s="7" t="str">
        <x:v>RAE-E-04</x:v>
      </x:c>
      <x:c r="D123" s="7" t="str">
        <x:v>RFP-A1</x:v>
      </x:c>
      <x:c r="E123" s="7" t="str">
        <x:v>HP-21</x:v>
      </x:c>
      <x:c r="F123" s="7" t="str">
        <x:v>evidence</x:v>
      </x:c>
      <x:c r="G123" s="7" t="str">
        <x:v>identity</x:v>
      </x:c>
      <x:c r="H123" s="10" t="str"/>
      <x:c r="I123" s="7" t="str"/>
      <x:c r="J123" s="7" t="str">
        <x:v>OPEN</x:v>
      </x:c>
    </x:row>
    <x:row r="124" ht="36" customHeight="1">
      <x:c r="B124" s="7" t="str">
        <x:v>RAE-E-04-HP-22</x:v>
      </x:c>
      <x:c r="C124" s="7" t="str">
        <x:v>RAE-E-04</x:v>
      </x:c>
      <x:c r="D124" s="7" t="str">
        <x:v>RFP-A1</x:v>
      </x:c>
      <x:c r="E124" s="7" t="str">
        <x:v>HP-22</x:v>
      </x:c>
      <x:c r="F124" s="7" t="str">
        <x:v>evidence</x:v>
      </x:c>
      <x:c r="G124" s="7" t="str">
        <x:v>capacity</x:v>
      </x:c>
      <x:c r="H124" s="10" t="str"/>
      <x:c r="I124" s="7" t="str"/>
      <x:c r="J124" s="7" t="str">
        <x:v>OPEN</x:v>
      </x:c>
    </x:row>
    <x:row r="125" ht="36" customHeight="1">
      <x:c r="B125" s="7" t="str">
        <x:v>RAE-E-04-HP-23</x:v>
      </x:c>
      <x:c r="C125" s="7" t="str">
        <x:v>RAE-E-04</x:v>
      </x:c>
      <x:c r="D125" s="7" t="str">
        <x:v>RFP-A1</x:v>
      </x:c>
      <x:c r="E125" s="7" t="str">
        <x:v>HP-23</x:v>
      </x:c>
      <x:c r="F125" s="7" t="str">
        <x:v>evidence</x:v>
      </x:c>
      <x:c r="G125" s="7" t="str">
        <x:v>state</x:v>
      </x:c>
      <x:c r="H125" s="10" t="str"/>
      <x:c r="I125" s="7" t="str"/>
      <x:c r="J125" s="7" t="str">
        <x:v>OPEN</x:v>
      </x:c>
    </x:row>
    <x:row r="126" ht="36" customHeight="1">
      <x:c r="B126" s="7" t="str">
        <x:v>RAE-E-04-HP-24</x:v>
      </x:c>
      <x:c r="C126" s="7" t="str">
        <x:v>RAE-E-04</x:v>
      </x:c>
      <x:c r="D126" s="7" t="str">
        <x:v>RFP-A1</x:v>
      </x:c>
      <x:c r="E126" s="7" t="str">
        <x:v>HP-24</x:v>
      </x:c>
      <x:c r="F126" s="7" t="str">
        <x:v>evidence</x:v>
      </x:c>
      <x:c r="G126" s="7" t="str">
        <x:v>authority</x:v>
      </x:c>
      <x:c r="H126" s="10" t="str"/>
      <x:c r="I126" s="7" t="str"/>
      <x:c r="J126" s="7" t="str">
        <x:v>OPEN</x:v>
      </x:c>
    </x:row>
    <x:row r="127" ht="36" customHeight="1">
      <x:c r="B127" s="7" t="str">
        <x:v>RAE-E-04-HP-25</x:v>
      </x:c>
      <x:c r="C127" s="7" t="str">
        <x:v>RAE-E-04</x:v>
      </x:c>
      <x:c r="D127" s="7" t="str">
        <x:v>RFP-A1</x:v>
      </x:c>
      <x:c r="E127" s="7" t="str">
        <x:v>HP-25</x:v>
      </x:c>
      <x:c r="F127" s="7" t="str">
        <x:v>environment</x:v>
      </x:c>
      <x:c r="G127" s="7" t="str">
        <x:v>identity</x:v>
      </x:c>
      <x:c r="H127" s="10" t="str"/>
      <x:c r="I127" s="7" t="str"/>
      <x:c r="J127" s="7" t="str">
        <x:v>OPEN</x:v>
      </x:c>
    </x:row>
    <x:row r="128" ht="36" customHeight="1">
      <x:c r="B128" s="7" t="str">
        <x:v>RAE-E-04-HP-26</x:v>
      </x:c>
      <x:c r="C128" s="7" t="str">
        <x:v>RAE-E-04</x:v>
      </x:c>
      <x:c r="D128" s="7" t="str">
        <x:v>RFP-A1</x:v>
      </x:c>
      <x:c r="E128" s="7" t="str">
        <x:v>HP-26</x:v>
      </x:c>
      <x:c r="F128" s="7" t="str">
        <x:v>environment</x:v>
      </x:c>
      <x:c r="G128" s="7" t="str">
        <x:v>capacity</x:v>
      </x:c>
      <x:c r="H128" s="10" t="str"/>
      <x:c r="I128" s="7" t="str"/>
      <x:c r="J128" s="7" t="str">
        <x:v>OPEN</x:v>
      </x:c>
    </x:row>
    <x:row r="129" ht="36" customHeight="1">
      <x:c r="B129" s="7" t="str">
        <x:v>RAE-E-04-HP-27</x:v>
      </x:c>
      <x:c r="C129" s="7" t="str">
        <x:v>RAE-E-04</x:v>
      </x:c>
      <x:c r="D129" s="7" t="str">
        <x:v>RFP-A1</x:v>
      </x:c>
      <x:c r="E129" s="7" t="str">
        <x:v>HP-27</x:v>
      </x:c>
      <x:c r="F129" s="7" t="str">
        <x:v>environment</x:v>
      </x:c>
      <x:c r="G129" s="7" t="str">
        <x:v>state</x:v>
      </x:c>
      <x:c r="H129" s="10" t="str"/>
      <x:c r="I129" s="7" t="str"/>
      <x:c r="J129" s="7" t="str">
        <x:v>OPEN</x:v>
      </x:c>
    </x:row>
    <x:row r="130" ht="36" customHeight="1">
      <x:c r="B130" s="7" t="str">
        <x:v>RAE-E-04-HP-28</x:v>
      </x:c>
      <x:c r="C130" s="7" t="str">
        <x:v>RAE-E-04</x:v>
      </x:c>
      <x:c r="D130" s="7" t="str">
        <x:v>RFP-A1</x:v>
      </x:c>
      <x:c r="E130" s="7" t="str">
        <x:v>HP-28</x:v>
      </x:c>
      <x:c r="F130" s="7" t="str">
        <x:v>environment</x:v>
      </x:c>
      <x:c r="G130" s="7" t="str">
        <x:v>authority</x:v>
      </x:c>
      <x:c r="H130" s="10" t="str"/>
      <x:c r="I130" s="7" t="str"/>
      <x:c r="J130" s="7" t="str">
        <x:v>OPEN</x:v>
      </x:c>
    </x:row>
    <x:row r="131" ht="36" customHeight="1">
      <x:c r="B131" s="7" t="str">
        <x:v>RAE-E-04-HP-29</x:v>
      </x:c>
      <x:c r="C131" s="7" t="str">
        <x:v>RAE-E-04</x:v>
      </x:c>
      <x:c r="D131" s="7" t="str">
        <x:v>RFP-A1</x:v>
      </x:c>
      <x:c r="E131" s="7" t="str">
        <x:v>HP-29</x:v>
      </x:c>
      <x:c r="F131" s="7" t="str">
        <x:v>authority</x:v>
      </x:c>
      <x:c r="G131" s="7" t="str">
        <x:v>identity</x:v>
      </x:c>
      <x:c r="H131" s="10" t="str"/>
      <x:c r="I131" s="7" t="str"/>
      <x:c r="J131" s="7" t="str">
        <x:v>OPEN</x:v>
      </x:c>
    </x:row>
    <x:row r="132" ht="36" customHeight="1">
      <x:c r="B132" s="7" t="str">
        <x:v>RAE-E-04-HP-30</x:v>
      </x:c>
      <x:c r="C132" s="7" t="str">
        <x:v>RAE-E-04</x:v>
      </x:c>
      <x:c r="D132" s="7" t="str">
        <x:v>RFP-A1</x:v>
      </x:c>
      <x:c r="E132" s="7" t="str">
        <x:v>HP-30</x:v>
      </x:c>
      <x:c r="F132" s="7" t="str">
        <x:v>authority</x:v>
      </x:c>
      <x:c r="G132" s="7" t="str">
        <x:v>capacity</x:v>
      </x:c>
      <x:c r="H132" s="10" t="str"/>
      <x:c r="I132" s="7" t="str"/>
      <x:c r="J132" s="7" t="str">
        <x:v>OPEN</x:v>
      </x:c>
    </x:row>
    <x:row r="133" ht="36" customHeight="1">
      <x:c r="B133" s="7" t="str">
        <x:v>RAE-E-04-HP-31</x:v>
      </x:c>
      <x:c r="C133" s="7" t="str">
        <x:v>RAE-E-04</x:v>
      </x:c>
      <x:c r="D133" s="7" t="str">
        <x:v>RFP-A1</x:v>
      </x:c>
      <x:c r="E133" s="7" t="str">
        <x:v>HP-31</x:v>
      </x:c>
      <x:c r="F133" s="7" t="str">
        <x:v>authority</x:v>
      </x:c>
      <x:c r="G133" s="7" t="str">
        <x:v>state</x:v>
      </x:c>
      <x:c r="H133" s="10" t="str"/>
      <x:c r="I133" s="7" t="str"/>
      <x:c r="J133" s="7" t="str">
        <x:v>OPEN</x:v>
      </x:c>
    </x:row>
    <x:row r="134" ht="36" customHeight="1">
      <x:c r="B134" s="7" t="str">
        <x:v>RAE-E-04-HP-32</x:v>
      </x:c>
      <x:c r="C134" s="7" t="str">
        <x:v>RAE-E-04</x:v>
      </x:c>
      <x:c r="D134" s="7" t="str">
        <x:v>RFP-A1</x:v>
      </x:c>
      <x:c r="E134" s="7" t="str">
        <x:v>HP-32</x:v>
      </x:c>
      <x:c r="F134" s="7" t="str">
        <x:v>authority</x:v>
      </x:c>
      <x:c r="G134" s="7" t="str">
        <x:v>authority</x:v>
      </x:c>
      <x:c r="H134" s="10" t="str"/>
      <x:c r="I134" s="7" t="str"/>
      <x:c r="J134" s="7" t="str">
        <x:v>OPEN</x:v>
      </x:c>
    </x:row>
    <x:row r="135" ht="36" customHeight="1">
      <x:c r="B135" s="7" t="str">
        <x:v>RAE-E-05-HP-01</x:v>
      </x:c>
      <x:c r="C135" s="7" t="str">
        <x:v>RAE-E-05</x:v>
      </x:c>
      <x:c r="D135" s="7" t="str">
        <x:v>RFP-A1</x:v>
      </x:c>
      <x:c r="E135" s="7" t="str">
        <x:v>HP-01</x:v>
      </x:c>
      <x:c r="F135" s="7" t="str">
        <x:v>configuration</x:v>
      </x:c>
      <x:c r="G135" s="7" t="str">
        <x:v>identity</x:v>
      </x:c>
      <x:c r="H135" s="10" t="str"/>
      <x:c r="I135" s="7" t="str"/>
      <x:c r="J135" s="7" t="str">
        <x:v>OPEN</x:v>
      </x:c>
    </x:row>
    <x:row r="136" ht="36" customHeight="1">
      <x:c r="B136" s="7" t="str">
        <x:v>RAE-E-05-HP-02</x:v>
      </x:c>
      <x:c r="C136" s="7" t="str">
        <x:v>RAE-E-05</x:v>
      </x:c>
      <x:c r="D136" s="7" t="str">
        <x:v>RFP-A1</x:v>
      </x:c>
      <x:c r="E136" s="7" t="str">
        <x:v>HP-02</x:v>
      </x:c>
      <x:c r="F136" s="7" t="str">
        <x:v>configuration</x:v>
      </x:c>
      <x:c r="G136" s="7" t="str">
        <x:v>capacity</x:v>
      </x:c>
      <x:c r="H136" s="10" t="str"/>
      <x:c r="I136" s="7" t="str"/>
      <x:c r="J136" s="7" t="str">
        <x:v>OPEN</x:v>
      </x:c>
    </x:row>
    <x:row r="137" ht="36" customHeight="1">
      <x:c r="B137" s="7" t="str">
        <x:v>RAE-E-05-HP-03</x:v>
      </x:c>
      <x:c r="C137" s="7" t="str">
        <x:v>RAE-E-05</x:v>
      </x:c>
      <x:c r="D137" s="7" t="str">
        <x:v>RFP-A1</x:v>
      </x:c>
      <x:c r="E137" s="7" t="str">
        <x:v>HP-03</x:v>
      </x:c>
      <x:c r="F137" s="7" t="str">
        <x:v>configuration</x:v>
      </x:c>
      <x:c r="G137" s="7" t="str">
        <x:v>state</x:v>
      </x:c>
      <x:c r="H137" s="10" t="str"/>
      <x:c r="I137" s="7" t="str"/>
      <x:c r="J137" s="7" t="str">
        <x:v>OPEN</x:v>
      </x:c>
    </x:row>
    <x:row r="138" ht="36" customHeight="1">
      <x:c r="B138" s="7" t="str">
        <x:v>RAE-E-05-HP-04</x:v>
      </x:c>
      <x:c r="C138" s="7" t="str">
        <x:v>RAE-E-05</x:v>
      </x:c>
      <x:c r="D138" s="7" t="str">
        <x:v>RFP-A1</x:v>
      </x:c>
      <x:c r="E138" s="7" t="str">
        <x:v>HP-04</x:v>
      </x:c>
      <x:c r="F138" s="7" t="str">
        <x:v>configuration</x:v>
      </x:c>
      <x:c r="G138" s="7" t="str">
        <x:v>authority</x:v>
      </x:c>
      <x:c r="H138" s="10" t="str"/>
      <x:c r="I138" s="7" t="str"/>
      <x:c r="J138" s="7" t="str">
        <x:v>OPEN</x:v>
      </x:c>
    </x:row>
    <x:row r="139" ht="36" customHeight="1">
      <x:c r="B139" s="7" t="str">
        <x:v>RAE-E-05-HP-05</x:v>
      </x:c>
      <x:c r="C139" s="7" t="str">
        <x:v>RAE-E-05</x:v>
      </x:c>
      <x:c r="D139" s="7" t="str">
        <x:v>RFP-A1</x:v>
      </x:c>
      <x:c r="E139" s="7" t="str">
        <x:v>HP-05</x:v>
      </x:c>
      <x:c r="F139" s="7" t="str">
        <x:v>source</x:v>
      </x:c>
      <x:c r="G139" s="7" t="str">
        <x:v>identity</x:v>
      </x:c>
      <x:c r="H139" s="10" t="str"/>
      <x:c r="I139" s="7" t="str"/>
      <x:c r="J139" s="7" t="str">
        <x:v>OPEN</x:v>
      </x:c>
    </x:row>
    <x:row r="140" ht="36" customHeight="1">
      <x:c r="B140" s="7" t="str">
        <x:v>RAE-E-05-HP-06</x:v>
      </x:c>
      <x:c r="C140" s="7" t="str">
        <x:v>RAE-E-05</x:v>
      </x:c>
      <x:c r="D140" s="7" t="str">
        <x:v>RFP-A1</x:v>
      </x:c>
      <x:c r="E140" s="7" t="str">
        <x:v>HP-06</x:v>
      </x:c>
      <x:c r="F140" s="7" t="str">
        <x:v>source</x:v>
      </x:c>
      <x:c r="G140" s="7" t="str">
        <x:v>capacity</x:v>
      </x:c>
      <x:c r="H140" s="10" t="str"/>
      <x:c r="I140" s="7" t="str"/>
      <x:c r="J140" s="7" t="str">
        <x:v>OPEN</x:v>
      </x:c>
    </x:row>
    <x:row r="141" ht="36" customHeight="1">
      <x:c r="B141" s="7" t="str">
        <x:v>RAE-E-05-HP-07</x:v>
      </x:c>
      <x:c r="C141" s="7" t="str">
        <x:v>RAE-E-05</x:v>
      </x:c>
      <x:c r="D141" s="7" t="str">
        <x:v>RFP-A1</x:v>
      </x:c>
      <x:c r="E141" s="7" t="str">
        <x:v>HP-07</x:v>
      </x:c>
      <x:c r="F141" s="7" t="str">
        <x:v>source</x:v>
      </x:c>
      <x:c r="G141" s="7" t="str">
        <x:v>state</x:v>
      </x:c>
      <x:c r="H141" s="10" t="str"/>
      <x:c r="I141" s="7" t="str"/>
      <x:c r="J141" s="7" t="str">
        <x:v>OPEN</x:v>
      </x:c>
    </x:row>
    <x:row r="142" ht="36" customHeight="1">
      <x:c r="B142" s="7" t="str">
        <x:v>RAE-E-05-HP-08</x:v>
      </x:c>
      <x:c r="C142" s="7" t="str">
        <x:v>RAE-E-05</x:v>
      </x:c>
      <x:c r="D142" s="7" t="str">
        <x:v>RFP-A1</x:v>
      </x:c>
      <x:c r="E142" s="7" t="str">
        <x:v>HP-08</x:v>
      </x:c>
      <x:c r="F142" s="7" t="str">
        <x:v>source</x:v>
      </x:c>
      <x:c r="G142" s="7" t="str">
        <x:v>authority</x:v>
      </x:c>
      <x:c r="H142" s="10" t="str"/>
      <x:c r="I142" s="7" t="str"/>
      <x:c r="J142" s="7" t="str">
        <x:v>OPEN</x:v>
      </x:c>
    </x:row>
    <x:row r="143" ht="36" customHeight="1">
      <x:c r="B143" s="7" t="str">
        <x:v>RAE-E-05-HP-09</x:v>
      </x:c>
      <x:c r="C143" s="7" t="str">
        <x:v>RAE-E-05</x:v>
      </x:c>
      <x:c r="D143" s="7" t="str">
        <x:v>RFP-A1</x:v>
      </x:c>
      <x:c r="E143" s="7" t="str">
        <x:v>HP-09</x:v>
      </x:c>
      <x:c r="F143" s="7" t="str">
        <x:v>containment</x:v>
      </x:c>
      <x:c r="G143" s="7" t="str">
        <x:v>identity</x:v>
      </x:c>
      <x:c r="H143" s="10" t="str"/>
      <x:c r="I143" s="7" t="str"/>
      <x:c r="J143" s="7" t="str">
        <x:v>OPEN</x:v>
      </x:c>
    </x:row>
    <x:row r="144" ht="36" customHeight="1">
      <x:c r="B144" s="7" t="str">
        <x:v>RAE-E-05-HP-10</x:v>
      </x:c>
      <x:c r="C144" s="7" t="str">
        <x:v>RAE-E-05</x:v>
      </x:c>
      <x:c r="D144" s="7" t="str">
        <x:v>RFP-A1</x:v>
      </x:c>
      <x:c r="E144" s="7" t="str">
        <x:v>HP-10</x:v>
      </x:c>
      <x:c r="F144" s="7" t="str">
        <x:v>containment</x:v>
      </x:c>
      <x:c r="G144" s="7" t="str">
        <x:v>capacity</x:v>
      </x:c>
      <x:c r="H144" s="10" t="str"/>
      <x:c r="I144" s="7" t="str"/>
      <x:c r="J144" s="7" t="str">
        <x:v>OPEN</x:v>
      </x:c>
    </x:row>
    <x:row r="145" ht="36" customHeight="1">
      <x:c r="B145" s="7" t="str">
        <x:v>RAE-E-05-HP-11</x:v>
      </x:c>
      <x:c r="C145" s="7" t="str">
        <x:v>RAE-E-05</x:v>
      </x:c>
      <x:c r="D145" s="7" t="str">
        <x:v>RFP-A1</x:v>
      </x:c>
      <x:c r="E145" s="7" t="str">
        <x:v>HP-11</x:v>
      </x:c>
      <x:c r="F145" s="7" t="str">
        <x:v>containment</x:v>
      </x:c>
      <x:c r="G145" s="7" t="str">
        <x:v>state</x:v>
      </x:c>
      <x:c r="H145" s="10" t="str"/>
      <x:c r="I145" s="7" t="str"/>
      <x:c r="J145" s="7" t="str">
        <x:v>OPEN</x:v>
      </x:c>
    </x:row>
    <x:row r="146" ht="36" customHeight="1">
      <x:c r="B146" s="7" t="str">
        <x:v>RAE-E-05-HP-12</x:v>
      </x:c>
      <x:c r="C146" s="7" t="str">
        <x:v>RAE-E-05</x:v>
      </x:c>
      <x:c r="D146" s="7" t="str">
        <x:v>RFP-A1</x:v>
      </x:c>
      <x:c r="E146" s="7" t="str">
        <x:v>HP-12</x:v>
      </x:c>
      <x:c r="F146" s="7" t="str">
        <x:v>containment</x:v>
      </x:c>
      <x:c r="G146" s="7" t="str">
        <x:v>authority</x:v>
      </x:c>
      <x:c r="H146" s="10" t="str"/>
      <x:c r="I146" s="7" t="str"/>
      <x:c r="J146" s="7" t="str">
        <x:v>OPEN</x:v>
      </x:c>
    </x:row>
    <x:row r="147" ht="36" customHeight="1">
      <x:c r="B147" s="7" t="str">
        <x:v>RAE-E-05-HP-13</x:v>
      </x:c>
      <x:c r="C147" s="7" t="str">
        <x:v>RAE-E-05</x:v>
      </x:c>
      <x:c r="D147" s="7" t="str">
        <x:v>RFP-A1</x:v>
      </x:c>
      <x:c r="E147" s="7" t="str">
        <x:v>HP-13</x:v>
      </x:c>
      <x:c r="F147" s="7" t="str">
        <x:v>water</x:v>
      </x:c>
      <x:c r="G147" s="7" t="str">
        <x:v>identity</x:v>
      </x:c>
      <x:c r="H147" s="10" t="str"/>
      <x:c r="I147" s="7" t="str"/>
      <x:c r="J147" s="7" t="str">
        <x:v>OPEN</x:v>
      </x:c>
    </x:row>
    <x:row r="148" ht="36" customHeight="1">
      <x:c r="B148" s="7" t="str">
        <x:v>RAE-E-05-HP-14</x:v>
      </x:c>
      <x:c r="C148" s="7" t="str">
        <x:v>RAE-E-05</x:v>
      </x:c>
      <x:c r="D148" s="7" t="str">
        <x:v>RFP-A1</x:v>
      </x:c>
      <x:c r="E148" s="7" t="str">
        <x:v>HP-14</x:v>
      </x:c>
      <x:c r="F148" s="7" t="str">
        <x:v>water</x:v>
      </x:c>
      <x:c r="G148" s="7" t="str">
        <x:v>capacity</x:v>
      </x:c>
      <x:c r="H148" s="10" t="str"/>
      <x:c r="I148" s="7" t="str"/>
      <x:c r="J148" s="7" t="str">
        <x:v>OPEN</x:v>
      </x:c>
    </x:row>
    <x:row r="149" ht="36" customHeight="1">
      <x:c r="B149" s="7" t="str">
        <x:v>RAE-E-05-HP-15</x:v>
      </x:c>
      <x:c r="C149" s="7" t="str">
        <x:v>RAE-E-05</x:v>
      </x:c>
      <x:c r="D149" s="7" t="str">
        <x:v>RFP-A1</x:v>
      </x:c>
      <x:c r="E149" s="7" t="str">
        <x:v>HP-15</x:v>
      </x:c>
      <x:c r="F149" s="7" t="str">
        <x:v>water</x:v>
      </x:c>
      <x:c r="G149" s="7" t="str">
        <x:v>state</x:v>
      </x:c>
      <x:c r="H149" s="10" t="str"/>
      <x:c r="I149" s="7" t="str"/>
      <x:c r="J149" s="7" t="str">
        <x:v>OPEN</x:v>
      </x:c>
    </x:row>
    <x:row r="150" ht="36" customHeight="1">
      <x:c r="B150" s="7" t="str">
        <x:v>RAE-E-05-HP-16</x:v>
      </x:c>
      <x:c r="C150" s="7" t="str">
        <x:v>RAE-E-05</x:v>
      </x:c>
      <x:c r="D150" s="7" t="str">
        <x:v>RFP-A1</x:v>
      </x:c>
      <x:c r="E150" s="7" t="str">
        <x:v>HP-16</x:v>
      </x:c>
      <x:c r="F150" s="7" t="str">
        <x:v>water</x:v>
      </x:c>
      <x:c r="G150" s="7" t="str">
        <x:v>authority</x:v>
      </x:c>
      <x:c r="H150" s="10" t="str"/>
      <x:c r="I150" s="7" t="str"/>
      <x:c r="J150" s="7" t="str">
        <x:v>OPEN</x:v>
      </x:c>
    </x:row>
    <x:row r="151" ht="36" customHeight="1">
      <x:c r="B151" s="7" t="str">
        <x:v>RAE-E-05-HP-17</x:v>
      </x:c>
      <x:c r="C151" s="7" t="str">
        <x:v>RAE-E-05</x:v>
      </x:c>
      <x:c r="D151" s="7" t="str">
        <x:v>RFP-A1</x:v>
      </x:c>
      <x:c r="E151" s="7" t="str">
        <x:v>HP-17</x:v>
      </x:c>
      <x:c r="F151" s="7" t="str">
        <x:v>safeing</x:v>
      </x:c>
      <x:c r="G151" s="7" t="str">
        <x:v>identity</x:v>
      </x:c>
      <x:c r="H151" s="10" t="str"/>
      <x:c r="I151" s="7" t="str"/>
      <x:c r="J151" s="7" t="str">
        <x:v>OPEN</x:v>
      </x:c>
    </x:row>
    <x:row r="152" ht="36" customHeight="1">
      <x:c r="B152" s="7" t="str">
        <x:v>RAE-E-05-HP-18</x:v>
      </x:c>
      <x:c r="C152" s="7" t="str">
        <x:v>RAE-E-05</x:v>
      </x:c>
      <x:c r="D152" s="7" t="str">
        <x:v>RFP-A1</x:v>
      </x:c>
      <x:c r="E152" s="7" t="str">
        <x:v>HP-18</x:v>
      </x:c>
      <x:c r="F152" s="7" t="str">
        <x:v>safeing</x:v>
      </x:c>
      <x:c r="G152" s="7" t="str">
        <x:v>capacity</x:v>
      </x:c>
      <x:c r="H152" s="10" t="str"/>
      <x:c r="I152" s="7" t="str"/>
      <x:c r="J152" s="7" t="str">
        <x:v>OPEN</x:v>
      </x:c>
    </x:row>
    <x:row r="153" ht="36" customHeight="1">
      <x:c r="B153" s="7" t="str">
        <x:v>RAE-E-05-HP-19</x:v>
      </x:c>
      <x:c r="C153" s="7" t="str">
        <x:v>RAE-E-05</x:v>
      </x:c>
      <x:c r="D153" s="7" t="str">
        <x:v>RFP-A1</x:v>
      </x:c>
      <x:c r="E153" s="7" t="str">
        <x:v>HP-19</x:v>
      </x:c>
      <x:c r="F153" s="7" t="str">
        <x:v>safeing</x:v>
      </x:c>
      <x:c r="G153" s="7" t="str">
        <x:v>state</x:v>
      </x:c>
      <x:c r="H153" s="10" t="str"/>
      <x:c r="I153" s="7" t="str"/>
      <x:c r="J153" s="7" t="str">
        <x:v>OPEN</x:v>
      </x:c>
    </x:row>
    <x:row r="154" ht="36" customHeight="1">
      <x:c r="B154" s="7" t="str">
        <x:v>RAE-E-05-HP-20</x:v>
      </x:c>
      <x:c r="C154" s="7" t="str">
        <x:v>RAE-E-05</x:v>
      </x:c>
      <x:c r="D154" s="7" t="str">
        <x:v>RFP-A1</x:v>
      </x:c>
      <x:c r="E154" s="7" t="str">
        <x:v>HP-20</x:v>
      </x:c>
      <x:c r="F154" s="7" t="str">
        <x:v>safeing</x:v>
      </x:c>
      <x:c r="G154" s="7" t="str">
        <x:v>authority</x:v>
      </x:c>
      <x:c r="H154" s="10" t="str"/>
      <x:c r="I154" s="7" t="str"/>
      <x:c r="J154" s="7" t="str">
        <x:v>OPEN</x:v>
      </x:c>
    </x:row>
    <x:row r="155" ht="36" customHeight="1">
      <x:c r="B155" s="7" t="str">
        <x:v>RAE-E-05-HP-21</x:v>
      </x:c>
      <x:c r="C155" s="7" t="str">
        <x:v>RAE-E-05</x:v>
      </x:c>
      <x:c r="D155" s="7" t="str">
        <x:v>RFP-A1</x:v>
      </x:c>
      <x:c r="E155" s="7" t="str">
        <x:v>HP-21</x:v>
      </x:c>
      <x:c r="F155" s="7" t="str">
        <x:v>evidence</x:v>
      </x:c>
      <x:c r="G155" s="7" t="str">
        <x:v>identity</x:v>
      </x:c>
      <x:c r="H155" s="10" t="str"/>
      <x:c r="I155" s="7" t="str"/>
      <x:c r="J155" s="7" t="str">
        <x:v>OPEN</x:v>
      </x:c>
    </x:row>
    <x:row r="156" ht="36" customHeight="1">
      <x:c r="B156" s="7" t="str">
        <x:v>RAE-E-05-HP-22</x:v>
      </x:c>
      <x:c r="C156" s="7" t="str">
        <x:v>RAE-E-05</x:v>
      </x:c>
      <x:c r="D156" s="7" t="str">
        <x:v>RFP-A1</x:v>
      </x:c>
      <x:c r="E156" s="7" t="str">
        <x:v>HP-22</x:v>
      </x:c>
      <x:c r="F156" s="7" t="str">
        <x:v>evidence</x:v>
      </x:c>
      <x:c r="G156" s="7" t="str">
        <x:v>capacity</x:v>
      </x:c>
      <x:c r="H156" s="10" t="str"/>
      <x:c r="I156" s="7" t="str"/>
      <x:c r="J156" s="7" t="str">
        <x:v>OPEN</x:v>
      </x:c>
    </x:row>
    <x:row r="157" ht="36" customHeight="1">
      <x:c r="B157" s="7" t="str">
        <x:v>RAE-E-05-HP-23</x:v>
      </x:c>
      <x:c r="C157" s="7" t="str">
        <x:v>RAE-E-05</x:v>
      </x:c>
      <x:c r="D157" s="7" t="str">
        <x:v>RFP-A1</x:v>
      </x:c>
      <x:c r="E157" s="7" t="str">
        <x:v>HP-23</x:v>
      </x:c>
      <x:c r="F157" s="7" t="str">
        <x:v>evidence</x:v>
      </x:c>
      <x:c r="G157" s="7" t="str">
        <x:v>state</x:v>
      </x:c>
      <x:c r="H157" s="10" t="str"/>
      <x:c r="I157" s="7" t="str"/>
      <x:c r="J157" s="7" t="str">
        <x:v>OPEN</x:v>
      </x:c>
    </x:row>
    <x:row r="158" ht="36" customHeight="1">
      <x:c r="B158" s="7" t="str">
        <x:v>RAE-E-05-HP-24</x:v>
      </x:c>
      <x:c r="C158" s="7" t="str">
        <x:v>RAE-E-05</x:v>
      </x:c>
      <x:c r="D158" s="7" t="str">
        <x:v>RFP-A1</x:v>
      </x:c>
      <x:c r="E158" s="7" t="str">
        <x:v>HP-24</x:v>
      </x:c>
      <x:c r="F158" s="7" t="str">
        <x:v>evidence</x:v>
      </x:c>
      <x:c r="G158" s="7" t="str">
        <x:v>authority</x:v>
      </x:c>
      <x:c r="H158" s="10" t="str"/>
      <x:c r="I158" s="7" t="str"/>
      <x:c r="J158" s="7" t="str">
        <x:v>OPEN</x:v>
      </x:c>
    </x:row>
    <x:row r="159" ht="36" customHeight="1">
      <x:c r="B159" s="7" t="str">
        <x:v>RAE-E-05-HP-25</x:v>
      </x:c>
      <x:c r="C159" s="7" t="str">
        <x:v>RAE-E-05</x:v>
      </x:c>
      <x:c r="D159" s="7" t="str">
        <x:v>RFP-A1</x:v>
      </x:c>
      <x:c r="E159" s="7" t="str">
        <x:v>HP-25</x:v>
      </x:c>
      <x:c r="F159" s="7" t="str">
        <x:v>environment</x:v>
      </x:c>
      <x:c r="G159" s="7" t="str">
        <x:v>identity</x:v>
      </x:c>
      <x:c r="H159" s="10" t="str"/>
      <x:c r="I159" s="7" t="str"/>
      <x:c r="J159" s="7" t="str">
        <x:v>OPEN</x:v>
      </x:c>
    </x:row>
    <x:row r="160" ht="36" customHeight="1">
      <x:c r="B160" s="7" t="str">
        <x:v>RAE-E-05-HP-26</x:v>
      </x:c>
      <x:c r="C160" s="7" t="str">
        <x:v>RAE-E-05</x:v>
      </x:c>
      <x:c r="D160" s="7" t="str">
        <x:v>RFP-A1</x:v>
      </x:c>
      <x:c r="E160" s="7" t="str">
        <x:v>HP-26</x:v>
      </x:c>
      <x:c r="F160" s="7" t="str">
        <x:v>environment</x:v>
      </x:c>
      <x:c r="G160" s="7" t="str">
        <x:v>capacity</x:v>
      </x:c>
      <x:c r="H160" s="10" t="str"/>
      <x:c r="I160" s="7" t="str"/>
      <x:c r="J160" s="7" t="str">
        <x:v>OPEN</x:v>
      </x:c>
    </x:row>
    <x:row r="161" ht="36" customHeight="1">
      <x:c r="B161" s="7" t="str">
        <x:v>RAE-E-05-HP-27</x:v>
      </x:c>
      <x:c r="C161" s="7" t="str">
        <x:v>RAE-E-05</x:v>
      </x:c>
      <x:c r="D161" s="7" t="str">
        <x:v>RFP-A1</x:v>
      </x:c>
      <x:c r="E161" s="7" t="str">
        <x:v>HP-27</x:v>
      </x:c>
      <x:c r="F161" s="7" t="str">
        <x:v>environment</x:v>
      </x:c>
      <x:c r="G161" s="7" t="str">
        <x:v>state</x:v>
      </x:c>
      <x:c r="H161" s="10" t="str"/>
      <x:c r="I161" s="7" t="str"/>
      <x:c r="J161" s="7" t="str">
        <x:v>OPEN</x:v>
      </x:c>
    </x:row>
    <x:row r="162" ht="36" customHeight="1">
      <x:c r="B162" s="7" t="str">
        <x:v>RAE-E-05-HP-28</x:v>
      </x:c>
      <x:c r="C162" s="7" t="str">
        <x:v>RAE-E-05</x:v>
      </x:c>
      <x:c r="D162" s="7" t="str">
        <x:v>RFP-A1</x:v>
      </x:c>
      <x:c r="E162" s="7" t="str">
        <x:v>HP-28</x:v>
      </x:c>
      <x:c r="F162" s="7" t="str">
        <x:v>environment</x:v>
      </x:c>
      <x:c r="G162" s="7" t="str">
        <x:v>authority</x:v>
      </x:c>
      <x:c r="H162" s="10" t="str"/>
      <x:c r="I162" s="7" t="str"/>
      <x:c r="J162" s="7" t="str">
        <x:v>OPEN</x:v>
      </x:c>
    </x:row>
    <x:row r="163" ht="36" customHeight="1">
      <x:c r="B163" s="7" t="str">
        <x:v>RAE-E-05-HP-29</x:v>
      </x:c>
      <x:c r="C163" s="7" t="str">
        <x:v>RAE-E-05</x:v>
      </x:c>
      <x:c r="D163" s="7" t="str">
        <x:v>RFP-A1</x:v>
      </x:c>
      <x:c r="E163" s="7" t="str">
        <x:v>HP-29</x:v>
      </x:c>
      <x:c r="F163" s="7" t="str">
        <x:v>authority</x:v>
      </x:c>
      <x:c r="G163" s="7" t="str">
        <x:v>identity</x:v>
      </x:c>
      <x:c r="H163" s="10" t="str"/>
      <x:c r="I163" s="7" t="str"/>
      <x:c r="J163" s="7" t="str">
        <x:v>OPEN</x:v>
      </x:c>
    </x:row>
    <x:row r="164" ht="36" customHeight="1">
      <x:c r="B164" s="7" t="str">
        <x:v>RAE-E-05-HP-30</x:v>
      </x:c>
      <x:c r="C164" s="7" t="str">
        <x:v>RAE-E-05</x:v>
      </x:c>
      <x:c r="D164" s="7" t="str">
        <x:v>RFP-A1</x:v>
      </x:c>
      <x:c r="E164" s="7" t="str">
        <x:v>HP-30</x:v>
      </x:c>
      <x:c r="F164" s="7" t="str">
        <x:v>authority</x:v>
      </x:c>
      <x:c r="G164" s="7" t="str">
        <x:v>capacity</x:v>
      </x:c>
      <x:c r="H164" s="10" t="str"/>
      <x:c r="I164" s="7" t="str"/>
      <x:c r="J164" s="7" t="str">
        <x:v>OPEN</x:v>
      </x:c>
    </x:row>
    <x:row r="165" ht="36" customHeight="1">
      <x:c r="B165" s="7" t="str">
        <x:v>RAE-E-05-HP-31</x:v>
      </x:c>
      <x:c r="C165" s="7" t="str">
        <x:v>RAE-E-05</x:v>
      </x:c>
      <x:c r="D165" s="7" t="str">
        <x:v>RFP-A1</x:v>
      </x:c>
      <x:c r="E165" s="7" t="str">
        <x:v>HP-31</x:v>
      </x:c>
      <x:c r="F165" s="7" t="str">
        <x:v>authority</x:v>
      </x:c>
      <x:c r="G165" s="7" t="str">
        <x:v>state</x:v>
      </x:c>
      <x:c r="H165" s="10" t="str"/>
      <x:c r="I165" s="7" t="str"/>
      <x:c r="J165" s="7" t="str">
        <x:v>OPEN</x:v>
      </x:c>
    </x:row>
    <x:row r="166" ht="36" customHeight="1">
      <x:c r="B166" s="7" t="str">
        <x:v>RAE-E-05-HP-32</x:v>
      </x:c>
      <x:c r="C166" s="7" t="str">
        <x:v>RAE-E-05</x:v>
      </x:c>
      <x:c r="D166" s="7" t="str">
        <x:v>RFP-A1</x:v>
      </x:c>
      <x:c r="E166" s="7" t="str">
        <x:v>HP-32</x:v>
      </x:c>
      <x:c r="F166" s="7" t="str">
        <x:v>authority</x:v>
      </x:c>
      <x:c r="G166" s="7" t="str">
        <x:v>authority</x:v>
      </x:c>
      <x:c r="H166" s="10" t="str"/>
      <x:c r="I166" s="7" t="str"/>
      <x:c r="J166" s="7" t="str">
        <x:v>OPEN</x:v>
      </x:c>
    </x:row>
    <x:row r="167" ht="36" customHeight="1">
      <x:c r="B167" s="7" t="str">
        <x:v>RAE-E-06-HP-01</x:v>
      </x:c>
      <x:c r="C167" s="7" t="str">
        <x:v>RAE-E-06</x:v>
      </x:c>
      <x:c r="D167" s="7" t="str">
        <x:v>RFP-A1</x:v>
      </x:c>
      <x:c r="E167" s="7" t="str">
        <x:v>HP-01</x:v>
      </x:c>
      <x:c r="F167" s="7" t="str">
        <x:v>configuration</x:v>
      </x:c>
      <x:c r="G167" s="7" t="str">
        <x:v>identity</x:v>
      </x:c>
      <x:c r="H167" s="10" t="str"/>
      <x:c r="I167" s="7" t="str"/>
      <x:c r="J167" s="7" t="str">
        <x:v>OPEN</x:v>
      </x:c>
    </x:row>
    <x:row r="168" ht="36" customHeight="1">
      <x:c r="B168" s="7" t="str">
        <x:v>RAE-E-06-HP-02</x:v>
      </x:c>
      <x:c r="C168" s="7" t="str">
        <x:v>RAE-E-06</x:v>
      </x:c>
      <x:c r="D168" s="7" t="str">
        <x:v>RFP-A1</x:v>
      </x:c>
      <x:c r="E168" s="7" t="str">
        <x:v>HP-02</x:v>
      </x:c>
      <x:c r="F168" s="7" t="str">
        <x:v>configuration</x:v>
      </x:c>
      <x:c r="G168" s="7" t="str">
        <x:v>capacity</x:v>
      </x:c>
      <x:c r="H168" s="10" t="str"/>
      <x:c r="I168" s="7" t="str"/>
      <x:c r="J168" s="7" t="str">
        <x:v>OPEN</x:v>
      </x:c>
    </x:row>
    <x:row r="169" ht="36" customHeight="1">
      <x:c r="B169" s="7" t="str">
        <x:v>RAE-E-06-HP-03</x:v>
      </x:c>
      <x:c r="C169" s="7" t="str">
        <x:v>RAE-E-06</x:v>
      </x:c>
      <x:c r="D169" s="7" t="str">
        <x:v>RFP-A1</x:v>
      </x:c>
      <x:c r="E169" s="7" t="str">
        <x:v>HP-03</x:v>
      </x:c>
      <x:c r="F169" s="7" t="str">
        <x:v>configuration</x:v>
      </x:c>
      <x:c r="G169" s="7" t="str">
        <x:v>state</x:v>
      </x:c>
      <x:c r="H169" s="10" t="str"/>
      <x:c r="I169" s="7" t="str"/>
      <x:c r="J169" s="7" t="str">
        <x:v>OPEN</x:v>
      </x:c>
    </x:row>
    <x:row r="170" ht="36" customHeight="1">
      <x:c r="B170" s="7" t="str">
        <x:v>RAE-E-06-HP-04</x:v>
      </x:c>
      <x:c r="C170" s="7" t="str">
        <x:v>RAE-E-06</x:v>
      </x:c>
      <x:c r="D170" s="7" t="str">
        <x:v>RFP-A1</x:v>
      </x:c>
      <x:c r="E170" s="7" t="str">
        <x:v>HP-04</x:v>
      </x:c>
      <x:c r="F170" s="7" t="str">
        <x:v>configuration</x:v>
      </x:c>
      <x:c r="G170" s="7" t="str">
        <x:v>authority</x:v>
      </x:c>
      <x:c r="H170" s="10" t="str"/>
      <x:c r="I170" s="7" t="str"/>
      <x:c r="J170" s="7" t="str">
        <x:v>OPEN</x:v>
      </x:c>
    </x:row>
    <x:row r="171" ht="36" customHeight="1">
      <x:c r="B171" s="7" t="str">
        <x:v>RAE-E-06-HP-05</x:v>
      </x:c>
      <x:c r="C171" s="7" t="str">
        <x:v>RAE-E-06</x:v>
      </x:c>
      <x:c r="D171" s="7" t="str">
        <x:v>RFP-A1</x:v>
      </x:c>
      <x:c r="E171" s="7" t="str">
        <x:v>HP-05</x:v>
      </x:c>
      <x:c r="F171" s="7" t="str">
        <x:v>source</x:v>
      </x:c>
      <x:c r="G171" s="7" t="str">
        <x:v>identity</x:v>
      </x:c>
      <x:c r="H171" s="10" t="str"/>
      <x:c r="I171" s="7" t="str"/>
      <x:c r="J171" s="7" t="str">
        <x:v>OPEN</x:v>
      </x:c>
    </x:row>
    <x:row r="172" ht="36" customHeight="1">
      <x:c r="B172" s="7" t="str">
        <x:v>RAE-E-06-HP-06</x:v>
      </x:c>
      <x:c r="C172" s="7" t="str">
        <x:v>RAE-E-06</x:v>
      </x:c>
      <x:c r="D172" s="7" t="str">
        <x:v>RFP-A1</x:v>
      </x:c>
      <x:c r="E172" s="7" t="str">
        <x:v>HP-06</x:v>
      </x:c>
      <x:c r="F172" s="7" t="str">
        <x:v>source</x:v>
      </x:c>
      <x:c r="G172" s="7" t="str">
        <x:v>capacity</x:v>
      </x:c>
      <x:c r="H172" s="10" t="str"/>
      <x:c r="I172" s="7" t="str"/>
      <x:c r="J172" s="7" t="str">
        <x:v>OPEN</x:v>
      </x:c>
    </x:row>
    <x:row r="173" ht="36" customHeight="1">
      <x:c r="B173" s="7" t="str">
        <x:v>RAE-E-06-HP-07</x:v>
      </x:c>
      <x:c r="C173" s="7" t="str">
        <x:v>RAE-E-06</x:v>
      </x:c>
      <x:c r="D173" s="7" t="str">
        <x:v>RFP-A1</x:v>
      </x:c>
      <x:c r="E173" s="7" t="str">
        <x:v>HP-07</x:v>
      </x:c>
      <x:c r="F173" s="7" t="str">
        <x:v>source</x:v>
      </x:c>
      <x:c r="G173" s="7" t="str">
        <x:v>state</x:v>
      </x:c>
      <x:c r="H173" s="10" t="str"/>
      <x:c r="I173" s="7" t="str"/>
      <x:c r="J173" s="7" t="str">
        <x:v>OPEN</x:v>
      </x:c>
    </x:row>
    <x:row r="174" ht="36" customHeight="1">
      <x:c r="B174" s="7" t="str">
        <x:v>RAE-E-06-HP-08</x:v>
      </x:c>
      <x:c r="C174" s="7" t="str">
        <x:v>RAE-E-06</x:v>
      </x:c>
      <x:c r="D174" s="7" t="str">
        <x:v>RFP-A1</x:v>
      </x:c>
      <x:c r="E174" s="7" t="str">
        <x:v>HP-08</x:v>
      </x:c>
      <x:c r="F174" s="7" t="str">
        <x:v>source</x:v>
      </x:c>
      <x:c r="G174" s="7" t="str">
        <x:v>authority</x:v>
      </x:c>
      <x:c r="H174" s="10" t="str"/>
      <x:c r="I174" s="7" t="str"/>
      <x:c r="J174" s="7" t="str">
        <x:v>OPEN</x:v>
      </x:c>
    </x:row>
    <x:row r="175" ht="36" customHeight="1">
      <x:c r="B175" s="7" t="str">
        <x:v>RAE-E-06-HP-09</x:v>
      </x:c>
      <x:c r="C175" s="7" t="str">
        <x:v>RAE-E-06</x:v>
      </x:c>
      <x:c r="D175" s="7" t="str">
        <x:v>RFP-A1</x:v>
      </x:c>
      <x:c r="E175" s="7" t="str">
        <x:v>HP-09</x:v>
      </x:c>
      <x:c r="F175" s="7" t="str">
        <x:v>containment</x:v>
      </x:c>
      <x:c r="G175" s="7" t="str">
        <x:v>identity</x:v>
      </x:c>
      <x:c r="H175" s="10" t="str"/>
      <x:c r="I175" s="7" t="str"/>
      <x:c r="J175" s="7" t="str">
        <x:v>OPEN</x:v>
      </x:c>
    </x:row>
    <x:row r="176" ht="36" customHeight="1">
      <x:c r="B176" s="7" t="str">
        <x:v>RAE-E-06-HP-10</x:v>
      </x:c>
      <x:c r="C176" s="7" t="str">
        <x:v>RAE-E-06</x:v>
      </x:c>
      <x:c r="D176" s="7" t="str">
        <x:v>RFP-A1</x:v>
      </x:c>
      <x:c r="E176" s="7" t="str">
        <x:v>HP-10</x:v>
      </x:c>
      <x:c r="F176" s="7" t="str">
        <x:v>containment</x:v>
      </x:c>
      <x:c r="G176" s="7" t="str">
        <x:v>capacity</x:v>
      </x:c>
      <x:c r="H176" s="10" t="str"/>
      <x:c r="I176" s="7" t="str"/>
      <x:c r="J176" s="7" t="str">
        <x:v>OPEN</x:v>
      </x:c>
    </x:row>
    <x:row r="177" ht="36" customHeight="1">
      <x:c r="B177" s="7" t="str">
        <x:v>RAE-E-06-HP-11</x:v>
      </x:c>
      <x:c r="C177" s="7" t="str">
        <x:v>RAE-E-06</x:v>
      </x:c>
      <x:c r="D177" s="7" t="str">
        <x:v>RFP-A1</x:v>
      </x:c>
      <x:c r="E177" s="7" t="str">
        <x:v>HP-11</x:v>
      </x:c>
      <x:c r="F177" s="7" t="str">
        <x:v>containment</x:v>
      </x:c>
      <x:c r="G177" s="7" t="str">
        <x:v>state</x:v>
      </x:c>
      <x:c r="H177" s="10" t="str"/>
      <x:c r="I177" s="7" t="str"/>
      <x:c r="J177" s="7" t="str">
        <x:v>OPEN</x:v>
      </x:c>
    </x:row>
    <x:row r="178" ht="36" customHeight="1">
      <x:c r="B178" s="7" t="str">
        <x:v>RAE-E-06-HP-12</x:v>
      </x:c>
      <x:c r="C178" s="7" t="str">
        <x:v>RAE-E-06</x:v>
      </x:c>
      <x:c r="D178" s="7" t="str">
        <x:v>RFP-A1</x:v>
      </x:c>
      <x:c r="E178" s="7" t="str">
        <x:v>HP-12</x:v>
      </x:c>
      <x:c r="F178" s="7" t="str">
        <x:v>containment</x:v>
      </x:c>
      <x:c r="G178" s="7" t="str">
        <x:v>authority</x:v>
      </x:c>
      <x:c r="H178" s="10" t="str"/>
      <x:c r="I178" s="7" t="str"/>
      <x:c r="J178" s="7" t="str">
        <x:v>OPEN</x:v>
      </x:c>
    </x:row>
    <x:row r="179" ht="36" customHeight="1">
      <x:c r="B179" s="7" t="str">
        <x:v>RAE-E-06-HP-13</x:v>
      </x:c>
      <x:c r="C179" s="7" t="str">
        <x:v>RAE-E-06</x:v>
      </x:c>
      <x:c r="D179" s="7" t="str">
        <x:v>RFP-A1</x:v>
      </x:c>
      <x:c r="E179" s="7" t="str">
        <x:v>HP-13</x:v>
      </x:c>
      <x:c r="F179" s="7" t="str">
        <x:v>water</x:v>
      </x:c>
      <x:c r="G179" s="7" t="str">
        <x:v>identity</x:v>
      </x:c>
      <x:c r="H179" s="10" t="str"/>
      <x:c r="I179" s="7" t="str"/>
      <x:c r="J179" s="7" t="str">
        <x:v>OPEN</x:v>
      </x:c>
    </x:row>
    <x:row r="180" ht="36" customHeight="1">
      <x:c r="B180" s="7" t="str">
        <x:v>RAE-E-06-HP-14</x:v>
      </x:c>
      <x:c r="C180" s="7" t="str">
        <x:v>RAE-E-06</x:v>
      </x:c>
      <x:c r="D180" s="7" t="str">
        <x:v>RFP-A1</x:v>
      </x:c>
      <x:c r="E180" s="7" t="str">
        <x:v>HP-14</x:v>
      </x:c>
      <x:c r="F180" s="7" t="str">
        <x:v>water</x:v>
      </x:c>
      <x:c r="G180" s="7" t="str">
        <x:v>capacity</x:v>
      </x:c>
      <x:c r="H180" s="10" t="str"/>
      <x:c r="I180" s="7" t="str"/>
      <x:c r="J180" s="7" t="str">
        <x:v>OPEN</x:v>
      </x:c>
    </x:row>
    <x:row r="181" ht="36" customHeight="1">
      <x:c r="B181" s="7" t="str">
        <x:v>RAE-E-06-HP-15</x:v>
      </x:c>
      <x:c r="C181" s="7" t="str">
        <x:v>RAE-E-06</x:v>
      </x:c>
      <x:c r="D181" s="7" t="str">
        <x:v>RFP-A1</x:v>
      </x:c>
      <x:c r="E181" s="7" t="str">
        <x:v>HP-15</x:v>
      </x:c>
      <x:c r="F181" s="7" t="str">
        <x:v>water</x:v>
      </x:c>
      <x:c r="G181" s="7" t="str">
        <x:v>state</x:v>
      </x:c>
      <x:c r="H181" s="10" t="str"/>
      <x:c r="I181" s="7" t="str"/>
      <x:c r="J181" s="7" t="str">
        <x:v>OPEN</x:v>
      </x:c>
    </x:row>
    <x:row r="182" ht="36" customHeight="1">
      <x:c r="B182" s="7" t="str">
        <x:v>RAE-E-06-HP-16</x:v>
      </x:c>
      <x:c r="C182" s="7" t="str">
        <x:v>RAE-E-06</x:v>
      </x:c>
      <x:c r="D182" s="7" t="str">
        <x:v>RFP-A1</x:v>
      </x:c>
      <x:c r="E182" s="7" t="str">
        <x:v>HP-16</x:v>
      </x:c>
      <x:c r="F182" s="7" t="str">
        <x:v>water</x:v>
      </x:c>
      <x:c r="G182" s="7" t="str">
        <x:v>authority</x:v>
      </x:c>
      <x:c r="H182" s="10" t="str"/>
      <x:c r="I182" s="7" t="str"/>
      <x:c r="J182" s="7" t="str">
        <x:v>OPEN</x:v>
      </x:c>
    </x:row>
    <x:row r="183" ht="36" customHeight="1">
      <x:c r="B183" s="7" t="str">
        <x:v>RAE-E-06-HP-17</x:v>
      </x:c>
      <x:c r="C183" s="7" t="str">
        <x:v>RAE-E-06</x:v>
      </x:c>
      <x:c r="D183" s="7" t="str">
        <x:v>RFP-A1</x:v>
      </x:c>
      <x:c r="E183" s="7" t="str">
        <x:v>HP-17</x:v>
      </x:c>
      <x:c r="F183" s="7" t="str">
        <x:v>safeing</x:v>
      </x:c>
      <x:c r="G183" s="7" t="str">
        <x:v>identity</x:v>
      </x:c>
      <x:c r="H183" s="10" t="str"/>
      <x:c r="I183" s="7" t="str"/>
      <x:c r="J183" s="7" t="str">
        <x:v>OPEN</x:v>
      </x:c>
    </x:row>
    <x:row r="184" ht="36" customHeight="1">
      <x:c r="B184" s="7" t="str">
        <x:v>RAE-E-06-HP-18</x:v>
      </x:c>
      <x:c r="C184" s="7" t="str">
        <x:v>RAE-E-06</x:v>
      </x:c>
      <x:c r="D184" s="7" t="str">
        <x:v>RFP-A1</x:v>
      </x:c>
      <x:c r="E184" s="7" t="str">
        <x:v>HP-18</x:v>
      </x:c>
      <x:c r="F184" s="7" t="str">
        <x:v>safeing</x:v>
      </x:c>
      <x:c r="G184" s="7" t="str">
        <x:v>capacity</x:v>
      </x:c>
      <x:c r="H184" s="10" t="str"/>
      <x:c r="I184" s="7" t="str"/>
      <x:c r="J184" s="7" t="str">
        <x:v>OPEN</x:v>
      </x:c>
    </x:row>
    <x:row r="185" ht="36" customHeight="1">
      <x:c r="B185" s="7" t="str">
        <x:v>RAE-E-06-HP-19</x:v>
      </x:c>
      <x:c r="C185" s="7" t="str">
        <x:v>RAE-E-06</x:v>
      </x:c>
      <x:c r="D185" s="7" t="str">
        <x:v>RFP-A1</x:v>
      </x:c>
      <x:c r="E185" s="7" t="str">
        <x:v>HP-19</x:v>
      </x:c>
      <x:c r="F185" s="7" t="str">
        <x:v>safeing</x:v>
      </x:c>
      <x:c r="G185" s="7" t="str">
        <x:v>state</x:v>
      </x:c>
      <x:c r="H185" s="10" t="str"/>
      <x:c r="I185" s="7" t="str"/>
      <x:c r="J185" s="7" t="str">
        <x:v>OPEN</x:v>
      </x:c>
    </x:row>
    <x:row r="186" ht="36" customHeight="1">
      <x:c r="B186" s="7" t="str">
        <x:v>RAE-E-06-HP-20</x:v>
      </x:c>
      <x:c r="C186" s="7" t="str">
        <x:v>RAE-E-06</x:v>
      </x:c>
      <x:c r="D186" s="7" t="str">
        <x:v>RFP-A1</x:v>
      </x:c>
      <x:c r="E186" s="7" t="str">
        <x:v>HP-20</x:v>
      </x:c>
      <x:c r="F186" s="7" t="str">
        <x:v>safeing</x:v>
      </x:c>
      <x:c r="G186" s="7" t="str">
        <x:v>authority</x:v>
      </x:c>
      <x:c r="H186" s="10" t="str"/>
      <x:c r="I186" s="7" t="str"/>
      <x:c r="J186" s="7" t="str">
        <x:v>OPEN</x:v>
      </x:c>
    </x:row>
    <x:row r="187" ht="36" customHeight="1">
      <x:c r="B187" s="7" t="str">
        <x:v>RAE-E-06-HP-21</x:v>
      </x:c>
      <x:c r="C187" s="7" t="str">
        <x:v>RAE-E-06</x:v>
      </x:c>
      <x:c r="D187" s="7" t="str">
        <x:v>RFP-A1</x:v>
      </x:c>
      <x:c r="E187" s="7" t="str">
        <x:v>HP-21</x:v>
      </x:c>
      <x:c r="F187" s="7" t="str">
        <x:v>evidence</x:v>
      </x:c>
      <x:c r="G187" s="7" t="str">
        <x:v>identity</x:v>
      </x:c>
      <x:c r="H187" s="10" t="str"/>
      <x:c r="I187" s="7" t="str"/>
      <x:c r="J187" s="7" t="str">
        <x:v>OPEN</x:v>
      </x:c>
    </x:row>
    <x:row r="188" ht="36" customHeight="1">
      <x:c r="B188" s="7" t="str">
        <x:v>RAE-E-06-HP-22</x:v>
      </x:c>
      <x:c r="C188" s="7" t="str">
        <x:v>RAE-E-06</x:v>
      </x:c>
      <x:c r="D188" s="7" t="str">
        <x:v>RFP-A1</x:v>
      </x:c>
      <x:c r="E188" s="7" t="str">
        <x:v>HP-22</x:v>
      </x:c>
      <x:c r="F188" s="7" t="str">
        <x:v>evidence</x:v>
      </x:c>
      <x:c r="G188" s="7" t="str">
        <x:v>capacity</x:v>
      </x:c>
      <x:c r="H188" s="10" t="str"/>
      <x:c r="I188" s="7" t="str"/>
      <x:c r="J188" s="7" t="str">
        <x:v>OPEN</x:v>
      </x:c>
    </x:row>
    <x:row r="189" ht="36" customHeight="1">
      <x:c r="B189" s="7" t="str">
        <x:v>RAE-E-06-HP-23</x:v>
      </x:c>
      <x:c r="C189" s="7" t="str">
        <x:v>RAE-E-06</x:v>
      </x:c>
      <x:c r="D189" s="7" t="str">
        <x:v>RFP-A1</x:v>
      </x:c>
      <x:c r="E189" s="7" t="str">
        <x:v>HP-23</x:v>
      </x:c>
      <x:c r="F189" s="7" t="str">
        <x:v>evidence</x:v>
      </x:c>
      <x:c r="G189" s="7" t="str">
        <x:v>state</x:v>
      </x:c>
      <x:c r="H189" s="10" t="str"/>
      <x:c r="I189" s="7" t="str"/>
      <x:c r="J189" s="7" t="str">
        <x:v>OPEN</x:v>
      </x:c>
    </x:row>
    <x:row r="190" ht="36" customHeight="1">
      <x:c r="B190" s="7" t="str">
        <x:v>RAE-E-06-HP-24</x:v>
      </x:c>
      <x:c r="C190" s="7" t="str">
        <x:v>RAE-E-06</x:v>
      </x:c>
      <x:c r="D190" s="7" t="str">
        <x:v>RFP-A1</x:v>
      </x:c>
      <x:c r="E190" s="7" t="str">
        <x:v>HP-24</x:v>
      </x:c>
      <x:c r="F190" s="7" t="str">
        <x:v>evidence</x:v>
      </x:c>
      <x:c r="G190" s="7" t="str">
        <x:v>authority</x:v>
      </x:c>
      <x:c r="H190" s="10" t="str"/>
      <x:c r="I190" s="7" t="str"/>
      <x:c r="J190" s="7" t="str">
        <x:v>OPEN</x:v>
      </x:c>
    </x:row>
    <x:row r="191" ht="36" customHeight="1">
      <x:c r="B191" s="7" t="str">
        <x:v>RAE-E-06-HP-25</x:v>
      </x:c>
      <x:c r="C191" s="7" t="str">
        <x:v>RAE-E-06</x:v>
      </x:c>
      <x:c r="D191" s="7" t="str">
        <x:v>RFP-A1</x:v>
      </x:c>
      <x:c r="E191" s="7" t="str">
        <x:v>HP-25</x:v>
      </x:c>
      <x:c r="F191" s="7" t="str">
        <x:v>environment</x:v>
      </x:c>
      <x:c r="G191" s="7" t="str">
        <x:v>identity</x:v>
      </x:c>
      <x:c r="H191" s="10" t="str"/>
      <x:c r="I191" s="7" t="str"/>
      <x:c r="J191" s="7" t="str">
        <x:v>OPEN</x:v>
      </x:c>
    </x:row>
    <x:row r="192" ht="36" customHeight="1">
      <x:c r="B192" s="7" t="str">
        <x:v>RAE-E-06-HP-26</x:v>
      </x:c>
      <x:c r="C192" s="7" t="str">
        <x:v>RAE-E-06</x:v>
      </x:c>
      <x:c r="D192" s="7" t="str">
        <x:v>RFP-A1</x:v>
      </x:c>
      <x:c r="E192" s="7" t="str">
        <x:v>HP-26</x:v>
      </x:c>
      <x:c r="F192" s="7" t="str">
        <x:v>environment</x:v>
      </x:c>
      <x:c r="G192" s="7" t="str">
        <x:v>capacity</x:v>
      </x:c>
      <x:c r="H192" s="10" t="str"/>
      <x:c r="I192" s="7" t="str"/>
      <x:c r="J192" s="7" t="str">
        <x:v>OPEN</x:v>
      </x:c>
    </x:row>
    <x:row r="193" ht="36" customHeight="1">
      <x:c r="B193" s="7" t="str">
        <x:v>RAE-E-06-HP-27</x:v>
      </x:c>
      <x:c r="C193" s="7" t="str">
        <x:v>RAE-E-06</x:v>
      </x:c>
      <x:c r="D193" s="7" t="str">
        <x:v>RFP-A1</x:v>
      </x:c>
      <x:c r="E193" s="7" t="str">
        <x:v>HP-27</x:v>
      </x:c>
      <x:c r="F193" s="7" t="str">
        <x:v>environment</x:v>
      </x:c>
      <x:c r="G193" s="7" t="str">
        <x:v>state</x:v>
      </x:c>
      <x:c r="H193" s="10" t="str"/>
      <x:c r="I193" s="7" t="str"/>
      <x:c r="J193" s="7" t="str">
        <x:v>OPEN</x:v>
      </x:c>
    </x:row>
    <x:row r="194" ht="36" customHeight="1">
      <x:c r="B194" s="7" t="str">
        <x:v>RAE-E-06-HP-28</x:v>
      </x:c>
      <x:c r="C194" s="7" t="str">
        <x:v>RAE-E-06</x:v>
      </x:c>
      <x:c r="D194" s="7" t="str">
        <x:v>RFP-A1</x:v>
      </x:c>
      <x:c r="E194" s="7" t="str">
        <x:v>HP-28</x:v>
      </x:c>
      <x:c r="F194" s="7" t="str">
        <x:v>environment</x:v>
      </x:c>
      <x:c r="G194" s="7" t="str">
        <x:v>authority</x:v>
      </x:c>
      <x:c r="H194" s="10" t="str"/>
      <x:c r="I194" s="7" t="str"/>
      <x:c r="J194" s="7" t="str">
        <x:v>OPEN</x:v>
      </x:c>
    </x:row>
    <x:row r="195" ht="36" customHeight="1">
      <x:c r="B195" s="7" t="str">
        <x:v>RAE-E-06-HP-29</x:v>
      </x:c>
      <x:c r="C195" s="7" t="str">
        <x:v>RAE-E-06</x:v>
      </x:c>
      <x:c r="D195" s="7" t="str">
        <x:v>RFP-A1</x:v>
      </x:c>
      <x:c r="E195" s="7" t="str">
        <x:v>HP-29</x:v>
      </x:c>
      <x:c r="F195" s="7" t="str">
        <x:v>authority</x:v>
      </x:c>
      <x:c r="G195" s="7" t="str">
        <x:v>identity</x:v>
      </x:c>
      <x:c r="H195" s="10" t="str"/>
      <x:c r="I195" s="7" t="str"/>
      <x:c r="J195" s="7" t="str">
        <x:v>OPEN</x:v>
      </x:c>
    </x:row>
    <x:row r="196" ht="36" customHeight="1">
      <x:c r="B196" s="7" t="str">
        <x:v>RAE-E-06-HP-30</x:v>
      </x:c>
      <x:c r="C196" s="7" t="str">
        <x:v>RAE-E-06</x:v>
      </x:c>
      <x:c r="D196" s="7" t="str">
        <x:v>RFP-A1</x:v>
      </x:c>
      <x:c r="E196" s="7" t="str">
        <x:v>HP-30</x:v>
      </x:c>
      <x:c r="F196" s="7" t="str">
        <x:v>authority</x:v>
      </x:c>
      <x:c r="G196" s="7" t="str">
        <x:v>capacity</x:v>
      </x:c>
      <x:c r="H196" s="10" t="str"/>
      <x:c r="I196" s="7" t="str"/>
      <x:c r="J196" s="7" t="str">
        <x:v>OPEN</x:v>
      </x:c>
    </x:row>
    <x:row r="197" ht="36" customHeight="1">
      <x:c r="B197" s="7" t="str">
        <x:v>RAE-E-06-HP-31</x:v>
      </x:c>
      <x:c r="C197" s="7" t="str">
        <x:v>RAE-E-06</x:v>
      </x:c>
      <x:c r="D197" s="7" t="str">
        <x:v>RFP-A1</x:v>
      </x:c>
      <x:c r="E197" s="7" t="str">
        <x:v>HP-31</x:v>
      </x:c>
      <x:c r="F197" s="7" t="str">
        <x:v>authority</x:v>
      </x:c>
      <x:c r="G197" s="7" t="str">
        <x:v>state</x:v>
      </x:c>
      <x:c r="H197" s="10" t="str"/>
      <x:c r="I197" s="7" t="str"/>
      <x:c r="J197" s="7" t="str">
        <x:v>OPEN</x:v>
      </x:c>
    </x:row>
    <x:row r="198" ht="36" customHeight="1">
      <x:c r="B198" s="7" t="str">
        <x:v>RAE-E-06-HP-32</x:v>
      </x:c>
      <x:c r="C198" s="7" t="str">
        <x:v>RAE-E-06</x:v>
      </x:c>
      <x:c r="D198" s="7" t="str">
        <x:v>RFP-A1</x:v>
      </x:c>
      <x:c r="E198" s="7" t="str">
        <x:v>HP-32</x:v>
      </x:c>
      <x:c r="F198" s="7" t="str">
        <x:v>authority</x:v>
      </x:c>
      <x:c r="G198" s="7" t="str">
        <x:v>authority</x:v>
      </x:c>
      <x:c r="H198" s="10" t="str"/>
      <x:c r="I198" s="7" t="str"/>
      <x:c r="J198" s="7" t="str">
        <x:v>OPEN</x:v>
      </x:c>
    </x:row>
    <x:row r="199" ht="36" customHeight="1">
      <x:c r="B199" s="7" t="str">
        <x:v>RAE-E-07-HP-01</x:v>
      </x:c>
      <x:c r="C199" s="7" t="str">
        <x:v>RAE-E-07</x:v>
      </x:c>
      <x:c r="D199" s="7" t="str">
        <x:v>RFP-A1</x:v>
      </x:c>
      <x:c r="E199" s="7" t="str">
        <x:v>HP-01</x:v>
      </x:c>
      <x:c r="F199" s="7" t="str">
        <x:v>configuration</x:v>
      </x:c>
      <x:c r="G199" s="7" t="str">
        <x:v>identity</x:v>
      </x:c>
      <x:c r="H199" s="10" t="str"/>
      <x:c r="I199" s="7" t="str"/>
      <x:c r="J199" s="7" t="str">
        <x:v>OPEN</x:v>
      </x:c>
    </x:row>
    <x:row r="200" ht="36" customHeight="1">
      <x:c r="B200" s="7" t="str">
        <x:v>RAE-E-07-HP-02</x:v>
      </x:c>
      <x:c r="C200" s="7" t="str">
        <x:v>RAE-E-07</x:v>
      </x:c>
      <x:c r="D200" s="7" t="str">
        <x:v>RFP-A1</x:v>
      </x:c>
      <x:c r="E200" s="7" t="str">
        <x:v>HP-02</x:v>
      </x:c>
      <x:c r="F200" s="7" t="str">
        <x:v>configuration</x:v>
      </x:c>
      <x:c r="G200" s="7" t="str">
        <x:v>capacity</x:v>
      </x:c>
      <x:c r="H200" s="10" t="str"/>
      <x:c r="I200" s="7" t="str"/>
      <x:c r="J200" s="7" t="str">
        <x:v>OPEN</x:v>
      </x:c>
    </x:row>
    <x:row r="201" ht="36" customHeight="1">
      <x:c r="B201" s="7" t="str">
        <x:v>RAE-E-07-HP-03</x:v>
      </x:c>
      <x:c r="C201" s="7" t="str">
        <x:v>RAE-E-07</x:v>
      </x:c>
      <x:c r="D201" s="7" t="str">
        <x:v>RFP-A1</x:v>
      </x:c>
      <x:c r="E201" s="7" t="str">
        <x:v>HP-03</x:v>
      </x:c>
      <x:c r="F201" s="7" t="str">
        <x:v>configuration</x:v>
      </x:c>
      <x:c r="G201" s="7" t="str">
        <x:v>state</x:v>
      </x:c>
      <x:c r="H201" s="10" t="str"/>
      <x:c r="I201" s="7" t="str"/>
      <x:c r="J201" s="7" t="str">
        <x:v>OPEN</x:v>
      </x:c>
    </x:row>
    <x:row r="202" ht="36" customHeight="1">
      <x:c r="B202" s="7" t="str">
        <x:v>RAE-E-07-HP-04</x:v>
      </x:c>
      <x:c r="C202" s="7" t="str">
        <x:v>RAE-E-07</x:v>
      </x:c>
      <x:c r="D202" s="7" t="str">
        <x:v>RFP-A1</x:v>
      </x:c>
      <x:c r="E202" s="7" t="str">
        <x:v>HP-04</x:v>
      </x:c>
      <x:c r="F202" s="7" t="str">
        <x:v>configuration</x:v>
      </x:c>
      <x:c r="G202" s="7" t="str">
        <x:v>authority</x:v>
      </x:c>
      <x:c r="H202" s="10" t="str"/>
      <x:c r="I202" s="7" t="str"/>
      <x:c r="J202" s="7" t="str">
        <x:v>OPEN</x:v>
      </x:c>
    </x:row>
    <x:row r="203" ht="36" customHeight="1">
      <x:c r="B203" s="7" t="str">
        <x:v>RAE-E-07-HP-05</x:v>
      </x:c>
      <x:c r="C203" s="7" t="str">
        <x:v>RAE-E-07</x:v>
      </x:c>
      <x:c r="D203" s="7" t="str">
        <x:v>RFP-A1</x:v>
      </x:c>
      <x:c r="E203" s="7" t="str">
        <x:v>HP-05</x:v>
      </x:c>
      <x:c r="F203" s="7" t="str">
        <x:v>source</x:v>
      </x:c>
      <x:c r="G203" s="7" t="str">
        <x:v>identity</x:v>
      </x:c>
      <x:c r="H203" s="10" t="str"/>
      <x:c r="I203" s="7" t="str"/>
      <x:c r="J203" s="7" t="str">
        <x:v>OPEN</x:v>
      </x:c>
    </x:row>
    <x:row r="204" ht="36" customHeight="1">
      <x:c r="B204" s="7" t="str">
        <x:v>RAE-E-07-HP-06</x:v>
      </x:c>
      <x:c r="C204" s="7" t="str">
        <x:v>RAE-E-07</x:v>
      </x:c>
      <x:c r="D204" s="7" t="str">
        <x:v>RFP-A1</x:v>
      </x:c>
      <x:c r="E204" s="7" t="str">
        <x:v>HP-06</x:v>
      </x:c>
      <x:c r="F204" s="7" t="str">
        <x:v>source</x:v>
      </x:c>
      <x:c r="G204" s="7" t="str">
        <x:v>capacity</x:v>
      </x:c>
      <x:c r="H204" s="10" t="str"/>
      <x:c r="I204" s="7" t="str"/>
      <x:c r="J204" s="7" t="str">
        <x:v>OPEN</x:v>
      </x:c>
    </x:row>
    <x:row r="205" ht="36" customHeight="1">
      <x:c r="B205" s="7" t="str">
        <x:v>RAE-E-07-HP-07</x:v>
      </x:c>
      <x:c r="C205" s="7" t="str">
        <x:v>RAE-E-07</x:v>
      </x:c>
      <x:c r="D205" s="7" t="str">
        <x:v>RFP-A1</x:v>
      </x:c>
      <x:c r="E205" s="7" t="str">
        <x:v>HP-07</x:v>
      </x:c>
      <x:c r="F205" s="7" t="str">
        <x:v>source</x:v>
      </x:c>
      <x:c r="G205" s="7" t="str">
        <x:v>state</x:v>
      </x:c>
      <x:c r="H205" s="10" t="str"/>
      <x:c r="I205" s="7" t="str"/>
      <x:c r="J205" s="7" t="str">
        <x:v>OPEN</x:v>
      </x:c>
    </x:row>
    <x:row r="206" ht="36" customHeight="1">
      <x:c r="B206" s="7" t="str">
        <x:v>RAE-E-07-HP-08</x:v>
      </x:c>
      <x:c r="C206" s="7" t="str">
        <x:v>RAE-E-07</x:v>
      </x:c>
      <x:c r="D206" s="7" t="str">
        <x:v>RFP-A1</x:v>
      </x:c>
      <x:c r="E206" s="7" t="str">
        <x:v>HP-08</x:v>
      </x:c>
      <x:c r="F206" s="7" t="str">
        <x:v>source</x:v>
      </x:c>
      <x:c r="G206" s="7" t="str">
        <x:v>authority</x:v>
      </x:c>
      <x:c r="H206" s="10" t="str"/>
      <x:c r="I206" s="7" t="str"/>
      <x:c r="J206" s="7" t="str">
        <x:v>OPEN</x:v>
      </x:c>
    </x:row>
    <x:row r="207" ht="36" customHeight="1">
      <x:c r="B207" s="7" t="str">
        <x:v>RAE-E-07-HP-09</x:v>
      </x:c>
      <x:c r="C207" s="7" t="str">
        <x:v>RAE-E-07</x:v>
      </x:c>
      <x:c r="D207" s="7" t="str">
        <x:v>RFP-A1</x:v>
      </x:c>
      <x:c r="E207" s="7" t="str">
        <x:v>HP-09</x:v>
      </x:c>
      <x:c r="F207" s="7" t="str">
        <x:v>containment</x:v>
      </x:c>
      <x:c r="G207" s="7" t="str">
        <x:v>identity</x:v>
      </x:c>
      <x:c r="H207" s="10" t="str"/>
      <x:c r="I207" s="7" t="str"/>
      <x:c r="J207" s="7" t="str">
        <x:v>OPEN</x:v>
      </x:c>
    </x:row>
    <x:row r="208" ht="36" customHeight="1">
      <x:c r="B208" s="7" t="str">
        <x:v>RAE-E-07-HP-10</x:v>
      </x:c>
      <x:c r="C208" s="7" t="str">
        <x:v>RAE-E-07</x:v>
      </x:c>
      <x:c r="D208" s="7" t="str">
        <x:v>RFP-A1</x:v>
      </x:c>
      <x:c r="E208" s="7" t="str">
        <x:v>HP-10</x:v>
      </x:c>
      <x:c r="F208" s="7" t="str">
        <x:v>containment</x:v>
      </x:c>
      <x:c r="G208" s="7" t="str">
        <x:v>capacity</x:v>
      </x:c>
      <x:c r="H208" s="10" t="str"/>
      <x:c r="I208" s="7" t="str"/>
      <x:c r="J208" s="7" t="str">
        <x:v>OPEN</x:v>
      </x:c>
    </x:row>
    <x:row r="209" ht="36" customHeight="1">
      <x:c r="B209" s="7" t="str">
        <x:v>RAE-E-07-HP-11</x:v>
      </x:c>
      <x:c r="C209" s="7" t="str">
        <x:v>RAE-E-07</x:v>
      </x:c>
      <x:c r="D209" s="7" t="str">
        <x:v>RFP-A1</x:v>
      </x:c>
      <x:c r="E209" s="7" t="str">
        <x:v>HP-11</x:v>
      </x:c>
      <x:c r="F209" s="7" t="str">
        <x:v>containment</x:v>
      </x:c>
      <x:c r="G209" s="7" t="str">
        <x:v>state</x:v>
      </x:c>
      <x:c r="H209" s="10" t="str"/>
      <x:c r="I209" s="7" t="str"/>
      <x:c r="J209" s="7" t="str">
        <x:v>OPEN</x:v>
      </x:c>
    </x:row>
    <x:row r="210" ht="36" customHeight="1">
      <x:c r="B210" s="7" t="str">
        <x:v>RAE-E-07-HP-12</x:v>
      </x:c>
      <x:c r="C210" s="7" t="str">
        <x:v>RAE-E-07</x:v>
      </x:c>
      <x:c r="D210" s="7" t="str">
        <x:v>RFP-A1</x:v>
      </x:c>
      <x:c r="E210" s="7" t="str">
        <x:v>HP-12</x:v>
      </x:c>
      <x:c r="F210" s="7" t="str">
        <x:v>containment</x:v>
      </x:c>
      <x:c r="G210" s="7" t="str">
        <x:v>authority</x:v>
      </x:c>
      <x:c r="H210" s="10" t="str"/>
      <x:c r="I210" s="7" t="str"/>
      <x:c r="J210" s="7" t="str">
        <x:v>OPEN</x:v>
      </x:c>
    </x:row>
    <x:row r="211" ht="36" customHeight="1">
      <x:c r="B211" s="7" t="str">
        <x:v>RAE-E-07-HP-13</x:v>
      </x:c>
      <x:c r="C211" s="7" t="str">
        <x:v>RAE-E-07</x:v>
      </x:c>
      <x:c r="D211" s="7" t="str">
        <x:v>RFP-A1</x:v>
      </x:c>
      <x:c r="E211" s="7" t="str">
        <x:v>HP-13</x:v>
      </x:c>
      <x:c r="F211" s="7" t="str">
        <x:v>water</x:v>
      </x:c>
      <x:c r="G211" s="7" t="str">
        <x:v>identity</x:v>
      </x:c>
      <x:c r="H211" s="10" t="str"/>
      <x:c r="I211" s="7" t="str"/>
      <x:c r="J211" s="7" t="str">
        <x:v>OPEN</x:v>
      </x:c>
    </x:row>
    <x:row r="212" ht="36" customHeight="1">
      <x:c r="B212" s="7" t="str">
        <x:v>RAE-E-07-HP-14</x:v>
      </x:c>
      <x:c r="C212" s="7" t="str">
        <x:v>RAE-E-07</x:v>
      </x:c>
      <x:c r="D212" s="7" t="str">
        <x:v>RFP-A1</x:v>
      </x:c>
      <x:c r="E212" s="7" t="str">
        <x:v>HP-14</x:v>
      </x:c>
      <x:c r="F212" s="7" t="str">
        <x:v>water</x:v>
      </x:c>
      <x:c r="G212" s="7" t="str">
        <x:v>capacity</x:v>
      </x:c>
      <x:c r="H212" s="10" t="str"/>
      <x:c r="I212" s="7" t="str"/>
      <x:c r="J212" s="7" t="str">
        <x:v>OPEN</x:v>
      </x:c>
    </x:row>
    <x:row r="213" ht="36" customHeight="1">
      <x:c r="B213" s="7" t="str">
        <x:v>RAE-E-07-HP-15</x:v>
      </x:c>
      <x:c r="C213" s="7" t="str">
        <x:v>RAE-E-07</x:v>
      </x:c>
      <x:c r="D213" s="7" t="str">
        <x:v>RFP-A1</x:v>
      </x:c>
      <x:c r="E213" s="7" t="str">
        <x:v>HP-15</x:v>
      </x:c>
      <x:c r="F213" s="7" t="str">
        <x:v>water</x:v>
      </x:c>
      <x:c r="G213" s="7" t="str">
        <x:v>state</x:v>
      </x:c>
      <x:c r="H213" s="10" t="str"/>
      <x:c r="I213" s="7" t="str"/>
      <x:c r="J213" s="7" t="str">
        <x:v>OPEN</x:v>
      </x:c>
    </x:row>
    <x:row r="214" ht="36" customHeight="1">
      <x:c r="B214" s="7" t="str">
        <x:v>RAE-E-07-HP-16</x:v>
      </x:c>
      <x:c r="C214" s="7" t="str">
        <x:v>RAE-E-07</x:v>
      </x:c>
      <x:c r="D214" s="7" t="str">
        <x:v>RFP-A1</x:v>
      </x:c>
      <x:c r="E214" s="7" t="str">
        <x:v>HP-16</x:v>
      </x:c>
      <x:c r="F214" s="7" t="str">
        <x:v>water</x:v>
      </x:c>
      <x:c r="G214" s="7" t="str">
        <x:v>authority</x:v>
      </x:c>
      <x:c r="H214" s="10" t="str"/>
      <x:c r="I214" s="7" t="str"/>
      <x:c r="J214" s="7" t="str">
        <x:v>OPEN</x:v>
      </x:c>
    </x:row>
    <x:row r="215" ht="36" customHeight="1">
      <x:c r="B215" s="7" t="str">
        <x:v>RAE-E-07-HP-17</x:v>
      </x:c>
      <x:c r="C215" s="7" t="str">
        <x:v>RAE-E-07</x:v>
      </x:c>
      <x:c r="D215" s="7" t="str">
        <x:v>RFP-A1</x:v>
      </x:c>
      <x:c r="E215" s="7" t="str">
        <x:v>HP-17</x:v>
      </x:c>
      <x:c r="F215" s="7" t="str">
        <x:v>safeing</x:v>
      </x:c>
      <x:c r="G215" s="7" t="str">
        <x:v>identity</x:v>
      </x:c>
      <x:c r="H215" s="10" t="str"/>
      <x:c r="I215" s="7" t="str"/>
      <x:c r="J215" s="7" t="str">
        <x:v>OPEN</x:v>
      </x:c>
    </x:row>
    <x:row r="216" ht="36" customHeight="1">
      <x:c r="B216" s="7" t="str">
        <x:v>RAE-E-07-HP-18</x:v>
      </x:c>
      <x:c r="C216" s="7" t="str">
        <x:v>RAE-E-07</x:v>
      </x:c>
      <x:c r="D216" s="7" t="str">
        <x:v>RFP-A1</x:v>
      </x:c>
      <x:c r="E216" s="7" t="str">
        <x:v>HP-18</x:v>
      </x:c>
      <x:c r="F216" s="7" t="str">
        <x:v>safeing</x:v>
      </x:c>
      <x:c r="G216" s="7" t="str">
        <x:v>capacity</x:v>
      </x:c>
      <x:c r="H216" s="10" t="str"/>
      <x:c r="I216" s="7" t="str"/>
      <x:c r="J216" s="7" t="str">
        <x:v>OPEN</x:v>
      </x:c>
    </x:row>
    <x:row r="217" ht="36" customHeight="1">
      <x:c r="B217" s="7" t="str">
        <x:v>RAE-E-07-HP-19</x:v>
      </x:c>
      <x:c r="C217" s="7" t="str">
        <x:v>RAE-E-07</x:v>
      </x:c>
      <x:c r="D217" s="7" t="str">
        <x:v>RFP-A1</x:v>
      </x:c>
      <x:c r="E217" s="7" t="str">
        <x:v>HP-19</x:v>
      </x:c>
      <x:c r="F217" s="7" t="str">
        <x:v>safeing</x:v>
      </x:c>
      <x:c r="G217" s="7" t="str">
        <x:v>state</x:v>
      </x:c>
      <x:c r="H217" s="10" t="str"/>
      <x:c r="I217" s="7" t="str"/>
      <x:c r="J217" s="7" t="str">
        <x:v>OPEN</x:v>
      </x:c>
    </x:row>
    <x:row r="218" ht="36" customHeight="1">
      <x:c r="B218" s="7" t="str">
        <x:v>RAE-E-07-HP-20</x:v>
      </x:c>
      <x:c r="C218" s="7" t="str">
        <x:v>RAE-E-07</x:v>
      </x:c>
      <x:c r="D218" s="7" t="str">
        <x:v>RFP-A1</x:v>
      </x:c>
      <x:c r="E218" s="7" t="str">
        <x:v>HP-20</x:v>
      </x:c>
      <x:c r="F218" s="7" t="str">
        <x:v>safeing</x:v>
      </x:c>
      <x:c r="G218" s="7" t="str">
        <x:v>authority</x:v>
      </x:c>
      <x:c r="H218" s="10" t="str"/>
      <x:c r="I218" s="7" t="str"/>
      <x:c r="J218" s="7" t="str">
        <x:v>OPEN</x:v>
      </x:c>
    </x:row>
    <x:row r="219" ht="36" customHeight="1">
      <x:c r="B219" s="7" t="str">
        <x:v>RAE-E-07-HP-21</x:v>
      </x:c>
      <x:c r="C219" s="7" t="str">
        <x:v>RAE-E-07</x:v>
      </x:c>
      <x:c r="D219" s="7" t="str">
        <x:v>RFP-A1</x:v>
      </x:c>
      <x:c r="E219" s="7" t="str">
        <x:v>HP-21</x:v>
      </x:c>
      <x:c r="F219" s="7" t="str">
        <x:v>evidence</x:v>
      </x:c>
      <x:c r="G219" s="7" t="str">
        <x:v>identity</x:v>
      </x:c>
      <x:c r="H219" s="10" t="str"/>
      <x:c r="I219" s="7" t="str"/>
      <x:c r="J219" s="7" t="str">
        <x:v>OPEN</x:v>
      </x:c>
    </x:row>
    <x:row r="220" ht="36" customHeight="1">
      <x:c r="B220" s="7" t="str">
        <x:v>RAE-E-07-HP-22</x:v>
      </x:c>
      <x:c r="C220" s="7" t="str">
        <x:v>RAE-E-07</x:v>
      </x:c>
      <x:c r="D220" s="7" t="str">
        <x:v>RFP-A1</x:v>
      </x:c>
      <x:c r="E220" s="7" t="str">
        <x:v>HP-22</x:v>
      </x:c>
      <x:c r="F220" s="7" t="str">
        <x:v>evidence</x:v>
      </x:c>
      <x:c r="G220" s="7" t="str">
        <x:v>capacity</x:v>
      </x:c>
      <x:c r="H220" s="10" t="str"/>
      <x:c r="I220" s="7" t="str"/>
      <x:c r="J220" s="7" t="str">
        <x:v>OPEN</x:v>
      </x:c>
    </x:row>
    <x:row r="221" ht="36" customHeight="1">
      <x:c r="B221" s="7" t="str">
        <x:v>RAE-E-07-HP-23</x:v>
      </x:c>
      <x:c r="C221" s="7" t="str">
        <x:v>RAE-E-07</x:v>
      </x:c>
      <x:c r="D221" s="7" t="str">
        <x:v>RFP-A1</x:v>
      </x:c>
      <x:c r="E221" s="7" t="str">
        <x:v>HP-23</x:v>
      </x:c>
      <x:c r="F221" s="7" t="str">
        <x:v>evidence</x:v>
      </x:c>
      <x:c r="G221" s="7" t="str">
        <x:v>state</x:v>
      </x:c>
      <x:c r="H221" s="10" t="str"/>
      <x:c r="I221" s="7" t="str"/>
      <x:c r="J221" s="7" t="str">
        <x:v>OPEN</x:v>
      </x:c>
    </x:row>
    <x:row r="222" ht="36" customHeight="1">
      <x:c r="B222" s="7" t="str">
        <x:v>RAE-E-07-HP-24</x:v>
      </x:c>
      <x:c r="C222" s="7" t="str">
        <x:v>RAE-E-07</x:v>
      </x:c>
      <x:c r="D222" s="7" t="str">
        <x:v>RFP-A1</x:v>
      </x:c>
      <x:c r="E222" s="7" t="str">
        <x:v>HP-24</x:v>
      </x:c>
      <x:c r="F222" s="7" t="str">
        <x:v>evidence</x:v>
      </x:c>
      <x:c r="G222" s="7" t="str">
        <x:v>authority</x:v>
      </x:c>
      <x:c r="H222" s="10" t="str"/>
      <x:c r="I222" s="7" t="str"/>
      <x:c r="J222" s="7" t="str">
        <x:v>OPEN</x:v>
      </x:c>
    </x:row>
    <x:row r="223" ht="36" customHeight="1">
      <x:c r="B223" s="7" t="str">
        <x:v>RAE-E-07-HP-25</x:v>
      </x:c>
      <x:c r="C223" s="7" t="str">
        <x:v>RAE-E-07</x:v>
      </x:c>
      <x:c r="D223" s="7" t="str">
        <x:v>RFP-A1</x:v>
      </x:c>
      <x:c r="E223" s="7" t="str">
        <x:v>HP-25</x:v>
      </x:c>
      <x:c r="F223" s="7" t="str">
        <x:v>environment</x:v>
      </x:c>
      <x:c r="G223" s="7" t="str">
        <x:v>identity</x:v>
      </x:c>
      <x:c r="H223" s="10" t="str"/>
      <x:c r="I223" s="7" t="str"/>
      <x:c r="J223" s="7" t="str">
        <x:v>OPEN</x:v>
      </x:c>
    </x:row>
    <x:row r="224" ht="36" customHeight="1">
      <x:c r="B224" s="7" t="str">
        <x:v>RAE-E-07-HP-26</x:v>
      </x:c>
      <x:c r="C224" s="7" t="str">
        <x:v>RAE-E-07</x:v>
      </x:c>
      <x:c r="D224" s="7" t="str">
        <x:v>RFP-A1</x:v>
      </x:c>
      <x:c r="E224" s="7" t="str">
        <x:v>HP-26</x:v>
      </x:c>
      <x:c r="F224" s="7" t="str">
        <x:v>environment</x:v>
      </x:c>
      <x:c r="G224" s="7" t="str">
        <x:v>capacity</x:v>
      </x:c>
      <x:c r="H224" s="10" t="str"/>
      <x:c r="I224" s="7" t="str"/>
      <x:c r="J224" s="7" t="str">
        <x:v>OPEN</x:v>
      </x:c>
    </x:row>
    <x:row r="225" ht="36" customHeight="1">
      <x:c r="B225" s="7" t="str">
        <x:v>RAE-E-07-HP-27</x:v>
      </x:c>
      <x:c r="C225" s="7" t="str">
        <x:v>RAE-E-07</x:v>
      </x:c>
      <x:c r="D225" s="7" t="str">
        <x:v>RFP-A1</x:v>
      </x:c>
      <x:c r="E225" s="7" t="str">
        <x:v>HP-27</x:v>
      </x:c>
      <x:c r="F225" s="7" t="str">
        <x:v>environment</x:v>
      </x:c>
      <x:c r="G225" s="7" t="str">
        <x:v>state</x:v>
      </x:c>
      <x:c r="H225" s="10" t="str"/>
      <x:c r="I225" s="7" t="str"/>
      <x:c r="J225" s="7" t="str">
        <x:v>OPEN</x:v>
      </x:c>
    </x:row>
    <x:row r="226" ht="36" customHeight="1">
      <x:c r="B226" s="7" t="str">
        <x:v>RAE-E-07-HP-28</x:v>
      </x:c>
      <x:c r="C226" s="7" t="str">
        <x:v>RAE-E-07</x:v>
      </x:c>
      <x:c r="D226" s="7" t="str">
        <x:v>RFP-A1</x:v>
      </x:c>
      <x:c r="E226" s="7" t="str">
        <x:v>HP-28</x:v>
      </x:c>
      <x:c r="F226" s="7" t="str">
        <x:v>environment</x:v>
      </x:c>
      <x:c r="G226" s="7" t="str">
        <x:v>authority</x:v>
      </x:c>
      <x:c r="H226" s="10" t="str"/>
      <x:c r="I226" s="7" t="str"/>
      <x:c r="J226" s="7" t="str">
        <x:v>OPEN</x:v>
      </x:c>
    </x:row>
    <x:row r="227" ht="36" customHeight="1">
      <x:c r="B227" s="7" t="str">
        <x:v>RAE-E-07-HP-29</x:v>
      </x:c>
      <x:c r="C227" s="7" t="str">
        <x:v>RAE-E-07</x:v>
      </x:c>
      <x:c r="D227" s="7" t="str">
        <x:v>RFP-A1</x:v>
      </x:c>
      <x:c r="E227" s="7" t="str">
        <x:v>HP-29</x:v>
      </x:c>
      <x:c r="F227" s="7" t="str">
        <x:v>authority</x:v>
      </x:c>
      <x:c r="G227" s="7" t="str">
        <x:v>identity</x:v>
      </x:c>
      <x:c r="H227" s="10" t="str"/>
      <x:c r="I227" s="7" t="str"/>
      <x:c r="J227" s="7" t="str">
        <x:v>OPEN</x:v>
      </x:c>
    </x:row>
    <x:row r="228" ht="36" customHeight="1">
      <x:c r="B228" s="7" t="str">
        <x:v>RAE-E-07-HP-30</x:v>
      </x:c>
      <x:c r="C228" s="7" t="str">
        <x:v>RAE-E-07</x:v>
      </x:c>
      <x:c r="D228" s="7" t="str">
        <x:v>RFP-A1</x:v>
      </x:c>
      <x:c r="E228" s="7" t="str">
        <x:v>HP-30</x:v>
      </x:c>
      <x:c r="F228" s="7" t="str">
        <x:v>authority</x:v>
      </x:c>
      <x:c r="G228" s="7" t="str">
        <x:v>capacity</x:v>
      </x:c>
      <x:c r="H228" s="10" t="str"/>
      <x:c r="I228" s="7" t="str"/>
      <x:c r="J228" s="7" t="str">
        <x:v>OPEN</x:v>
      </x:c>
    </x:row>
    <x:row r="229" ht="36" customHeight="1">
      <x:c r="B229" s="7" t="str">
        <x:v>RAE-E-07-HP-31</x:v>
      </x:c>
      <x:c r="C229" s="7" t="str">
        <x:v>RAE-E-07</x:v>
      </x:c>
      <x:c r="D229" s="7" t="str">
        <x:v>RFP-A1</x:v>
      </x:c>
      <x:c r="E229" s="7" t="str">
        <x:v>HP-31</x:v>
      </x:c>
      <x:c r="F229" s="7" t="str">
        <x:v>authority</x:v>
      </x:c>
      <x:c r="G229" s="7" t="str">
        <x:v>state</x:v>
      </x:c>
      <x:c r="H229" s="10" t="str"/>
      <x:c r="I229" s="7" t="str"/>
      <x:c r="J229" s="7" t="str">
        <x:v>OPEN</x:v>
      </x:c>
    </x:row>
    <x:row r="230" ht="36" customHeight="1">
      <x:c r="B230" s="7" t="str">
        <x:v>RAE-E-07-HP-32</x:v>
      </x:c>
      <x:c r="C230" s="7" t="str">
        <x:v>RAE-E-07</x:v>
      </x:c>
      <x:c r="D230" s="7" t="str">
        <x:v>RFP-A1</x:v>
      </x:c>
      <x:c r="E230" s="7" t="str">
        <x:v>HP-32</x:v>
      </x:c>
      <x:c r="F230" s="7" t="str">
        <x:v>authority</x:v>
      </x:c>
      <x:c r="G230" s="7" t="str">
        <x:v>authority</x:v>
      </x:c>
      <x:c r="H230" s="10" t="str"/>
      <x:c r="I230" s="7" t="str"/>
      <x:c r="J230" s="7" t="str">
        <x:v>OPEN</x:v>
      </x:c>
    </x:row>
    <x:row r="231" ht="36" customHeight="1">
      <x:c r="B231" s="7" t="str">
        <x:v>RAE-E-08-HP-01</x:v>
      </x:c>
      <x:c r="C231" s="7" t="str">
        <x:v>RAE-E-08</x:v>
      </x:c>
      <x:c r="D231" s="7" t="str">
        <x:v>RFP-A1</x:v>
      </x:c>
      <x:c r="E231" s="7" t="str">
        <x:v>HP-01</x:v>
      </x:c>
      <x:c r="F231" s="7" t="str">
        <x:v>configuration</x:v>
      </x:c>
      <x:c r="G231" s="7" t="str">
        <x:v>identity</x:v>
      </x:c>
      <x:c r="H231" s="10" t="str"/>
      <x:c r="I231" s="7" t="str"/>
      <x:c r="J231" s="7" t="str">
        <x:v>OPEN</x:v>
      </x:c>
    </x:row>
    <x:row r="232" ht="36" customHeight="1">
      <x:c r="B232" s="7" t="str">
        <x:v>RAE-E-08-HP-02</x:v>
      </x:c>
      <x:c r="C232" s="7" t="str">
        <x:v>RAE-E-08</x:v>
      </x:c>
      <x:c r="D232" s="7" t="str">
        <x:v>RFP-A1</x:v>
      </x:c>
      <x:c r="E232" s="7" t="str">
        <x:v>HP-02</x:v>
      </x:c>
      <x:c r="F232" s="7" t="str">
        <x:v>configuration</x:v>
      </x:c>
      <x:c r="G232" s="7" t="str">
        <x:v>capacity</x:v>
      </x:c>
      <x:c r="H232" s="10" t="str"/>
      <x:c r="I232" s="7" t="str"/>
      <x:c r="J232" s="7" t="str">
        <x:v>OPEN</x:v>
      </x:c>
    </x:row>
    <x:row r="233" ht="36" customHeight="1">
      <x:c r="B233" s="7" t="str">
        <x:v>RAE-E-08-HP-03</x:v>
      </x:c>
      <x:c r="C233" s="7" t="str">
        <x:v>RAE-E-08</x:v>
      </x:c>
      <x:c r="D233" s="7" t="str">
        <x:v>RFP-A1</x:v>
      </x:c>
      <x:c r="E233" s="7" t="str">
        <x:v>HP-03</x:v>
      </x:c>
      <x:c r="F233" s="7" t="str">
        <x:v>configuration</x:v>
      </x:c>
      <x:c r="G233" s="7" t="str">
        <x:v>state</x:v>
      </x:c>
      <x:c r="H233" s="10" t="str"/>
      <x:c r="I233" s="7" t="str"/>
      <x:c r="J233" s="7" t="str">
        <x:v>OPEN</x:v>
      </x:c>
    </x:row>
    <x:row r="234" ht="36" customHeight="1">
      <x:c r="B234" s="7" t="str">
        <x:v>RAE-E-08-HP-04</x:v>
      </x:c>
      <x:c r="C234" s="7" t="str">
        <x:v>RAE-E-08</x:v>
      </x:c>
      <x:c r="D234" s="7" t="str">
        <x:v>RFP-A1</x:v>
      </x:c>
      <x:c r="E234" s="7" t="str">
        <x:v>HP-04</x:v>
      </x:c>
      <x:c r="F234" s="7" t="str">
        <x:v>configuration</x:v>
      </x:c>
      <x:c r="G234" s="7" t="str">
        <x:v>authority</x:v>
      </x:c>
      <x:c r="H234" s="10" t="str"/>
      <x:c r="I234" s="7" t="str"/>
      <x:c r="J234" s="7" t="str">
        <x:v>OPEN</x:v>
      </x:c>
    </x:row>
    <x:row r="235" ht="36" customHeight="1">
      <x:c r="B235" s="7" t="str">
        <x:v>RAE-E-08-HP-05</x:v>
      </x:c>
      <x:c r="C235" s="7" t="str">
        <x:v>RAE-E-08</x:v>
      </x:c>
      <x:c r="D235" s="7" t="str">
        <x:v>RFP-A1</x:v>
      </x:c>
      <x:c r="E235" s="7" t="str">
        <x:v>HP-05</x:v>
      </x:c>
      <x:c r="F235" s="7" t="str">
        <x:v>source</x:v>
      </x:c>
      <x:c r="G235" s="7" t="str">
        <x:v>identity</x:v>
      </x:c>
      <x:c r="H235" s="10" t="str"/>
      <x:c r="I235" s="7" t="str"/>
      <x:c r="J235" s="7" t="str">
        <x:v>OPEN</x:v>
      </x:c>
    </x:row>
    <x:row r="236" ht="36" customHeight="1">
      <x:c r="B236" s="7" t="str">
        <x:v>RAE-E-08-HP-06</x:v>
      </x:c>
      <x:c r="C236" s="7" t="str">
        <x:v>RAE-E-08</x:v>
      </x:c>
      <x:c r="D236" s="7" t="str">
        <x:v>RFP-A1</x:v>
      </x:c>
      <x:c r="E236" s="7" t="str">
        <x:v>HP-06</x:v>
      </x:c>
      <x:c r="F236" s="7" t="str">
        <x:v>source</x:v>
      </x:c>
      <x:c r="G236" s="7" t="str">
        <x:v>capacity</x:v>
      </x:c>
      <x:c r="H236" s="10" t="str"/>
      <x:c r="I236" s="7" t="str"/>
      <x:c r="J236" s="7" t="str">
        <x:v>OPEN</x:v>
      </x:c>
    </x:row>
    <x:row r="237" ht="36" customHeight="1">
      <x:c r="B237" s="7" t="str">
        <x:v>RAE-E-08-HP-07</x:v>
      </x:c>
      <x:c r="C237" s="7" t="str">
        <x:v>RAE-E-08</x:v>
      </x:c>
      <x:c r="D237" s="7" t="str">
        <x:v>RFP-A1</x:v>
      </x:c>
      <x:c r="E237" s="7" t="str">
        <x:v>HP-07</x:v>
      </x:c>
      <x:c r="F237" s="7" t="str">
        <x:v>source</x:v>
      </x:c>
      <x:c r="G237" s="7" t="str">
        <x:v>state</x:v>
      </x:c>
      <x:c r="H237" s="10" t="str"/>
      <x:c r="I237" s="7" t="str"/>
      <x:c r="J237" s="7" t="str">
        <x:v>OPEN</x:v>
      </x:c>
    </x:row>
    <x:row r="238" ht="36" customHeight="1">
      <x:c r="B238" s="7" t="str">
        <x:v>RAE-E-08-HP-08</x:v>
      </x:c>
      <x:c r="C238" s="7" t="str">
        <x:v>RAE-E-08</x:v>
      </x:c>
      <x:c r="D238" s="7" t="str">
        <x:v>RFP-A1</x:v>
      </x:c>
      <x:c r="E238" s="7" t="str">
        <x:v>HP-08</x:v>
      </x:c>
      <x:c r="F238" s="7" t="str">
        <x:v>source</x:v>
      </x:c>
      <x:c r="G238" s="7" t="str">
        <x:v>authority</x:v>
      </x:c>
      <x:c r="H238" s="10" t="str"/>
      <x:c r="I238" s="7" t="str"/>
      <x:c r="J238" s="7" t="str">
        <x:v>OPEN</x:v>
      </x:c>
    </x:row>
    <x:row r="239" ht="36" customHeight="1">
      <x:c r="B239" s="7" t="str">
        <x:v>RAE-E-08-HP-09</x:v>
      </x:c>
      <x:c r="C239" s="7" t="str">
        <x:v>RAE-E-08</x:v>
      </x:c>
      <x:c r="D239" s="7" t="str">
        <x:v>RFP-A1</x:v>
      </x:c>
      <x:c r="E239" s="7" t="str">
        <x:v>HP-09</x:v>
      </x:c>
      <x:c r="F239" s="7" t="str">
        <x:v>containment</x:v>
      </x:c>
      <x:c r="G239" s="7" t="str">
        <x:v>identity</x:v>
      </x:c>
      <x:c r="H239" s="10" t="str"/>
      <x:c r="I239" s="7" t="str"/>
      <x:c r="J239" s="7" t="str">
        <x:v>OPEN</x:v>
      </x:c>
    </x:row>
    <x:row r="240" ht="36" customHeight="1">
      <x:c r="B240" s="7" t="str">
        <x:v>RAE-E-08-HP-10</x:v>
      </x:c>
      <x:c r="C240" s="7" t="str">
        <x:v>RAE-E-08</x:v>
      </x:c>
      <x:c r="D240" s="7" t="str">
        <x:v>RFP-A1</x:v>
      </x:c>
      <x:c r="E240" s="7" t="str">
        <x:v>HP-10</x:v>
      </x:c>
      <x:c r="F240" s="7" t="str">
        <x:v>containment</x:v>
      </x:c>
      <x:c r="G240" s="7" t="str">
        <x:v>capacity</x:v>
      </x:c>
      <x:c r="H240" s="10" t="str"/>
      <x:c r="I240" s="7" t="str"/>
      <x:c r="J240" s="7" t="str">
        <x:v>OPEN</x:v>
      </x:c>
    </x:row>
    <x:row r="241" ht="36" customHeight="1">
      <x:c r="B241" s="7" t="str">
        <x:v>RAE-E-08-HP-11</x:v>
      </x:c>
      <x:c r="C241" s="7" t="str">
        <x:v>RAE-E-08</x:v>
      </x:c>
      <x:c r="D241" s="7" t="str">
        <x:v>RFP-A1</x:v>
      </x:c>
      <x:c r="E241" s="7" t="str">
        <x:v>HP-11</x:v>
      </x:c>
      <x:c r="F241" s="7" t="str">
        <x:v>containment</x:v>
      </x:c>
      <x:c r="G241" s="7" t="str">
        <x:v>state</x:v>
      </x:c>
      <x:c r="H241" s="10" t="str"/>
      <x:c r="I241" s="7" t="str"/>
      <x:c r="J241" s="7" t="str">
        <x:v>OPEN</x:v>
      </x:c>
    </x:row>
    <x:row r="242" ht="36" customHeight="1">
      <x:c r="B242" s="7" t="str">
        <x:v>RAE-E-08-HP-12</x:v>
      </x:c>
      <x:c r="C242" s="7" t="str">
        <x:v>RAE-E-08</x:v>
      </x:c>
      <x:c r="D242" s="7" t="str">
        <x:v>RFP-A1</x:v>
      </x:c>
      <x:c r="E242" s="7" t="str">
        <x:v>HP-12</x:v>
      </x:c>
      <x:c r="F242" s="7" t="str">
        <x:v>containment</x:v>
      </x:c>
      <x:c r="G242" s="7" t="str">
        <x:v>authority</x:v>
      </x:c>
      <x:c r="H242" s="10" t="str"/>
      <x:c r="I242" s="7" t="str"/>
      <x:c r="J242" s="7" t="str">
        <x:v>OPEN</x:v>
      </x:c>
    </x:row>
    <x:row r="243" ht="36" customHeight="1">
      <x:c r="B243" s="7" t="str">
        <x:v>RAE-E-08-HP-13</x:v>
      </x:c>
      <x:c r="C243" s="7" t="str">
        <x:v>RAE-E-08</x:v>
      </x:c>
      <x:c r="D243" s="7" t="str">
        <x:v>RFP-A1</x:v>
      </x:c>
      <x:c r="E243" s="7" t="str">
        <x:v>HP-13</x:v>
      </x:c>
      <x:c r="F243" s="7" t="str">
        <x:v>water</x:v>
      </x:c>
      <x:c r="G243" s="7" t="str">
        <x:v>identity</x:v>
      </x:c>
      <x:c r="H243" s="10" t="str"/>
      <x:c r="I243" s="7" t="str"/>
      <x:c r="J243" s="7" t="str">
        <x:v>OPEN</x:v>
      </x:c>
    </x:row>
    <x:row r="244" ht="36" customHeight="1">
      <x:c r="B244" s="7" t="str">
        <x:v>RAE-E-08-HP-14</x:v>
      </x:c>
      <x:c r="C244" s="7" t="str">
        <x:v>RAE-E-08</x:v>
      </x:c>
      <x:c r="D244" s="7" t="str">
        <x:v>RFP-A1</x:v>
      </x:c>
      <x:c r="E244" s="7" t="str">
        <x:v>HP-14</x:v>
      </x:c>
      <x:c r="F244" s="7" t="str">
        <x:v>water</x:v>
      </x:c>
      <x:c r="G244" s="7" t="str">
        <x:v>capacity</x:v>
      </x:c>
      <x:c r="H244" s="10" t="str"/>
      <x:c r="I244" s="7" t="str"/>
      <x:c r="J244" s="7" t="str">
        <x:v>OPEN</x:v>
      </x:c>
    </x:row>
    <x:row r="245" ht="36" customHeight="1">
      <x:c r="B245" s="7" t="str">
        <x:v>RAE-E-08-HP-15</x:v>
      </x:c>
      <x:c r="C245" s="7" t="str">
        <x:v>RAE-E-08</x:v>
      </x:c>
      <x:c r="D245" s="7" t="str">
        <x:v>RFP-A1</x:v>
      </x:c>
      <x:c r="E245" s="7" t="str">
        <x:v>HP-15</x:v>
      </x:c>
      <x:c r="F245" s="7" t="str">
        <x:v>water</x:v>
      </x:c>
      <x:c r="G245" s="7" t="str">
        <x:v>state</x:v>
      </x:c>
      <x:c r="H245" s="10" t="str"/>
      <x:c r="I245" s="7" t="str"/>
      <x:c r="J245" s="7" t="str">
        <x:v>OPEN</x:v>
      </x:c>
    </x:row>
    <x:row r="246" ht="36" customHeight="1">
      <x:c r="B246" s="7" t="str">
        <x:v>RAE-E-08-HP-16</x:v>
      </x:c>
      <x:c r="C246" s="7" t="str">
        <x:v>RAE-E-08</x:v>
      </x:c>
      <x:c r="D246" s="7" t="str">
        <x:v>RFP-A1</x:v>
      </x:c>
      <x:c r="E246" s="7" t="str">
        <x:v>HP-16</x:v>
      </x:c>
      <x:c r="F246" s="7" t="str">
        <x:v>water</x:v>
      </x:c>
      <x:c r="G246" s="7" t="str">
        <x:v>authority</x:v>
      </x:c>
      <x:c r="H246" s="10" t="str"/>
      <x:c r="I246" s="7" t="str"/>
      <x:c r="J246" s="7" t="str">
        <x:v>OPEN</x:v>
      </x:c>
    </x:row>
    <x:row r="247" ht="36" customHeight="1">
      <x:c r="B247" s="7" t="str">
        <x:v>RAE-E-08-HP-17</x:v>
      </x:c>
      <x:c r="C247" s="7" t="str">
        <x:v>RAE-E-08</x:v>
      </x:c>
      <x:c r="D247" s="7" t="str">
        <x:v>RFP-A1</x:v>
      </x:c>
      <x:c r="E247" s="7" t="str">
        <x:v>HP-17</x:v>
      </x:c>
      <x:c r="F247" s="7" t="str">
        <x:v>safeing</x:v>
      </x:c>
      <x:c r="G247" s="7" t="str">
        <x:v>identity</x:v>
      </x:c>
      <x:c r="H247" s="10" t="str"/>
      <x:c r="I247" s="7" t="str"/>
      <x:c r="J247" s="7" t="str">
        <x:v>OPEN</x:v>
      </x:c>
    </x:row>
    <x:row r="248" ht="36" customHeight="1">
      <x:c r="B248" s="7" t="str">
        <x:v>RAE-E-08-HP-18</x:v>
      </x:c>
      <x:c r="C248" s="7" t="str">
        <x:v>RAE-E-08</x:v>
      </x:c>
      <x:c r="D248" s="7" t="str">
        <x:v>RFP-A1</x:v>
      </x:c>
      <x:c r="E248" s="7" t="str">
        <x:v>HP-18</x:v>
      </x:c>
      <x:c r="F248" s="7" t="str">
        <x:v>safeing</x:v>
      </x:c>
      <x:c r="G248" s="7" t="str">
        <x:v>capacity</x:v>
      </x:c>
      <x:c r="H248" s="10" t="str"/>
      <x:c r="I248" s="7" t="str"/>
      <x:c r="J248" s="7" t="str">
        <x:v>OPEN</x:v>
      </x:c>
    </x:row>
    <x:row r="249" ht="36" customHeight="1">
      <x:c r="B249" s="7" t="str">
        <x:v>RAE-E-08-HP-19</x:v>
      </x:c>
      <x:c r="C249" s="7" t="str">
        <x:v>RAE-E-08</x:v>
      </x:c>
      <x:c r="D249" s="7" t="str">
        <x:v>RFP-A1</x:v>
      </x:c>
      <x:c r="E249" s="7" t="str">
        <x:v>HP-19</x:v>
      </x:c>
      <x:c r="F249" s="7" t="str">
        <x:v>safeing</x:v>
      </x:c>
      <x:c r="G249" s="7" t="str">
        <x:v>state</x:v>
      </x:c>
      <x:c r="H249" s="10" t="str"/>
      <x:c r="I249" s="7" t="str"/>
      <x:c r="J249" s="7" t="str">
        <x:v>OPEN</x:v>
      </x:c>
    </x:row>
    <x:row r="250" ht="36" customHeight="1">
      <x:c r="B250" s="7" t="str">
        <x:v>RAE-E-08-HP-20</x:v>
      </x:c>
      <x:c r="C250" s="7" t="str">
        <x:v>RAE-E-08</x:v>
      </x:c>
      <x:c r="D250" s="7" t="str">
        <x:v>RFP-A1</x:v>
      </x:c>
      <x:c r="E250" s="7" t="str">
        <x:v>HP-20</x:v>
      </x:c>
      <x:c r="F250" s="7" t="str">
        <x:v>safeing</x:v>
      </x:c>
      <x:c r="G250" s="7" t="str">
        <x:v>authority</x:v>
      </x:c>
      <x:c r="H250" s="10" t="str"/>
      <x:c r="I250" s="7" t="str"/>
      <x:c r="J250" s="7" t="str">
        <x:v>OPEN</x:v>
      </x:c>
    </x:row>
    <x:row r="251" ht="36" customHeight="1">
      <x:c r="B251" s="7" t="str">
        <x:v>RAE-E-08-HP-21</x:v>
      </x:c>
      <x:c r="C251" s="7" t="str">
        <x:v>RAE-E-08</x:v>
      </x:c>
      <x:c r="D251" s="7" t="str">
        <x:v>RFP-A1</x:v>
      </x:c>
      <x:c r="E251" s="7" t="str">
        <x:v>HP-21</x:v>
      </x:c>
      <x:c r="F251" s="7" t="str">
        <x:v>evidence</x:v>
      </x:c>
      <x:c r="G251" s="7" t="str">
        <x:v>identity</x:v>
      </x:c>
      <x:c r="H251" s="10" t="str"/>
      <x:c r="I251" s="7" t="str"/>
      <x:c r="J251" s="7" t="str">
        <x:v>OPEN</x:v>
      </x:c>
    </x:row>
    <x:row r="252" ht="36" customHeight="1">
      <x:c r="B252" s="7" t="str">
        <x:v>RAE-E-08-HP-22</x:v>
      </x:c>
      <x:c r="C252" s="7" t="str">
        <x:v>RAE-E-08</x:v>
      </x:c>
      <x:c r="D252" s="7" t="str">
        <x:v>RFP-A1</x:v>
      </x:c>
      <x:c r="E252" s="7" t="str">
        <x:v>HP-22</x:v>
      </x:c>
      <x:c r="F252" s="7" t="str">
        <x:v>evidence</x:v>
      </x:c>
      <x:c r="G252" s="7" t="str">
        <x:v>capacity</x:v>
      </x:c>
      <x:c r="H252" s="10" t="str"/>
      <x:c r="I252" s="7" t="str"/>
      <x:c r="J252" s="7" t="str">
        <x:v>OPEN</x:v>
      </x:c>
    </x:row>
    <x:row r="253" ht="36" customHeight="1">
      <x:c r="B253" s="7" t="str">
        <x:v>RAE-E-08-HP-23</x:v>
      </x:c>
      <x:c r="C253" s="7" t="str">
        <x:v>RAE-E-08</x:v>
      </x:c>
      <x:c r="D253" s="7" t="str">
        <x:v>RFP-A1</x:v>
      </x:c>
      <x:c r="E253" s="7" t="str">
        <x:v>HP-23</x:v>
      </x:c>
      <x:c r="F253" s="7" t="str">
        <x:v>evidence</x:v>
      </x:c>
      <x:c r="G253" s="7" t="str">
        <x:v>state</x:v>
      </x:c>
      <x:c r="H253" s="10" t="str"/>
      <x:c r="I253" s="7" t="str"/>
      <x:c r="J253" s="7" t="str">
        <x:v>OPEN</x:v>
      </x:c>
    </x:row>
    <x:row r="254" ht="36" customHeight="1">
      <x:c r="B254" s="7" t="str">
        <x:v>RAE-E-08-HP-24</x:v>
      </x:c>
      <x:c r="C254" s="7" t="str">
        <x:v>RAE-E-08</x:v>
      </x:c>
      <x:c r="D254" s="7" t="str">
        <x:v>RFP-A1</x:v>
      </x:c>
      <x:c r="E254" s="7" t="str">
        <x:v>HP-24</x:v>
      </x:c>
      <x:c r="F254" s="7" t="str">
        <x:v>evidence</x:v>
      </x:c>
      <x:c r="G254" s="7" t="str">
        <x:v>authority</x:v>
      </x:c>
      <x:c r="H254" s="10" t="str"/>
      <x:c r="I254" s="7" t="str"/>
      <x:c r="J254" s="7" t="str">
        <x:v>OPEN</x:v>
      </x:c>
    </x:row>
    <x:row r="255" ht="36" customHeight="1">
      <x:c r="B255" s="7" t="str">
        <x:v>RAE-E-08-HP-25</x:v>
      </x:c>
      <x:c r="C255" s="7" t="str">
        <x:v>RAE-E-08</x:v>
      </x:c>
      <x:c r="D255" s="7" t="str">
        <x:v>RFP-A1</x:v>
      </x:c>
      <x:c r="E255" s="7" t="str">
        <x:v>HP-25</x:v>
      </x:c>
      <x:c r="F255" s="7" t="str">
        <x:v>environment</x:v>
      </x:c>
      <x:c r="G255" s="7" t="str">
        <x:v>identity</x:v>
      </x:c>
      <x:c r="H255" s="10" t="str"/>
      <x:c r="I255" s="7" t="str"/>
      <x:c r="J255" s="7" t="str">
        <x:v>OPEN</x:v>
      </x:c>
    </x:row>
    <x:row r="256" ht="36" customHeight="1">
      <x:c r="B256" s="7" t="str">
        <x:v>RAE-E-08-HP-26</x:v>
      </x:c>
      <x:c r="C256" s="7" t="str">
        <x:v>RAE-E-08</x:v>
      </x:c>
      <x:c r="D256" s="7" t="str">
        <x:v>RFP-A1</x:v>
      </x:c>
      <x:c r="E256" s="7" t="str">
        <x:v>HP-26</x:v>
      </x:c>
      <x:c r="F256" s="7" t="str">
        <x:v>environment</x:v>
      </x:c>
      <x:c r="G256" s="7" t="str">
        <x:v>capacity</x:v>
      </x:c>
      <x:c r="H256" s="10" t="str"/>
      <x:c r="I256" s="7" t="str"/>
      <x:c r="J256" s="7" t="str">
        <x:v>OPEN</x:v>
      </x:c>
    </x:row>
    <x:row r="257" ht="36" customHeight="1">
      <x:c r="B257" s="7" t="str">
        <x:v>RAE-E-08-HP-27</x:v>
      </x:c>
      <x:c r="C257" s="7" t="str">
        <x:v>RAE-E-08</x:v>
      </x:c>
      <x:c r="D257" s="7" t="str">
        <x:v>RFP-A1</x:v>
      </x:c>
      <x:c r="E257" s="7" t="str">
        <x:v>HP-27</x:v>
      </x:c>
      <x:c r="F257" s="7" t="str">
        <x:v>environment</x:v>
      </x:c>
      <x:c r="G257" s="7" t="str">
        <x:v>state</x:v>
      </x:c>
      <x:c r="H257" s="10" t="str"/>
      <x:c r="I257" s="7" t="str"/>
      <x:c r="J257" s="7" t="str">
        <x:v>OPEN</x:v>
      </x:c>
    </x:row>
    <x:row r="258" ht="36" customHeight="1">
      <x:c r="B258" s="7" t="str">
        <x:v>RAE-E-08-HP-28</x:v>
      </x:c>
      <x:c r="C258" s="7" t="str">
        <x:v>RAE-E-08</x:v>
      </x:c>
      <x:c r="D258" s="7" t="str">
        <x:v>RFP-A1</x:v>
      </x:c>
      <x:c r="E258" s="7" t="str">
        <x:v>HP-28</x:v>
      </x:c>
      <x:c r="F258" s="7" t="str">
        <x:v>environment</x:v>
      </x:c>
      <x:c r="G258" s="7" t="str">
        <x:v>authority</x:v>
      </x:c>
      <x:c r="H258" s="10" t="str"/>
      <x:c r="I258" s="7" t="str"/>
      <x:c r="J258" s="7" t="str">
        <x:v>OPEN</x:v>
      </x:c>
    </x:row>
    <x:row r="259" ht="36" customHeight="1">
      <x:c r="B259" s="7" t="str">
        <x:v>RAE-E-08-HP-29</x:v>
      </x:c>
      <x:c r="C259" s="7" t="str">
        <x:v>RAE-E-08</x:v>
      </x:c>
      <x:c r="D259" s="7" t="str">
        <x:v>RFP-A1</x:v>
      </x:c>
      <x:c r="E259" s="7" t="str">
        <x:v>HP-29</x:v>
      </x:c>
      <x:c r="F259" s="7" t="str">
        <x:v>authority</x:v>
      </x:c>
      <x:c r="G259" s="7" t="str">
        <x:v>identity</x:v>
      </x:c>
      <x:c r="H259" s="10" t="str"/>
      <x:c r="I259" s="7" t="str"/>
      <x:c r="J259" s="7" t="str">
        <x:v>OPEN</x:v>
      </x:c>
    </x:row>
    <x:row r="260" ht="36" customHeight="1">
      <x:c r="B260" s="7" t="str">
        <x:v>RAE-E-08-HP-30</x:v>
      </x:c>
      <x:c r="C260" s="7" t="str">
        <x:v>RAE-E-08</x:v>
      </x:c>
      <x:c r="D260" s="7" t="str">
        <x:v>RFP-A1</x:v>
      </x:c>
      <x:c r="E260" s="7" t="str">
        <x:v>HP-30</x:v>
      </x:c>
      <x:c r="F260" s="7" t="str">
        <x:v>authority</x:v>
      </x:c>
      <x:c r="G260" s="7" t="str">
        <x:v>capacity</x:v>
      </x:c>
      <x:c r="H260" s="10" t="str"/>
      <x:c r="I260" s="7" t="str"/>
      <x:c r="J260" s="7" t="str">
        <x:v>OPEN</x:v>
      </x:c>
    </x:row>
    <x:row r="261" ht="36" customHeight="1">
      <x:c r="B261" s="7" t="str">
        <x:v>RAE-E-08-HP-31</x:v>
      </x:c>
      <x:c r="C261" s="7" t="str">
        <x:v>RAE-E-08</x:v>
      </x:c>
      <x:c r="D261" s="7" t="str">
        <x:v>RFP-A1</x:v>
      </x:c>
      <x:c r="E261" s="7" t="str">
        <x:v>HP-31</x:v>
      </x:c>
      <x:c r="F261" s="7" t="str">
        <x:v>authority</x:v>
      </x:c>
      <x:c r="G261" s="7" t="str">
        <x:v>state</x:v>
      </x:c>
      <x:c r="H261" s="10" t="str"/>
      <x:c r="I261" s="7" t="str"/>
      <x:c r="J261" s="7" t="str">
        <x:v>OPEN</x:v>
      </x:c>
    </x:row>
    <x:row r="262" ht="36" customHeight="1">
      <x:c r="B262" s="7" t="str">
        <x:v>RAE-E-08-HP-32</x:v>
      </x:c>
      <x:c r="C262" s="7" t="str">
        <x:v>RAE-E-08</x:v>
      </x:c>
      <x:c r="D262" s="7" t="str">
        <x:v>RFP-A1</x:v>
      </x:c>
      <x:c r="E262" s="7" t="str">
        <x:v>HP-32</x:v>
      </x:c>
      <x:c r="F262" s="7" t="str">
        <x:v>authority</x:v>
      </x:c>
      <x:c r="G262" s="7" t="str">
        <x:v>authority</x:v>
      </x:c>
      <x:c r="H262" s="10" t="str"/>
      <x:c r="I262" s="7" t="str"/>
      <x:c r="J262" s="7" t="str">
        <x:v>OPEN</x:v>
      </x:c>
    </x:row>
    <x:row r="263" ht="36" customHeight="1">
      <x:c r="B263" s="7" t="str">
        <x:v>RAE-E-09-HP-01</x:v>
      </x:c>
      <x:c r="C263" s="7" t="str">
        <x:v>RAE-E-09</x:v>
      </x:c>
      <x:c r="D263" s="7" t="str">
        <x:v>RFP-A2</x:v>
      </x:c>
      <x:c r="E263" s="7" t="str">
        <x:v>HP-01</x:v>
      </x:c>
      <x:c r="F263" s="7" t="str">
        <x:v>configuration</x:v>
      </x:c>
      <x:c r="G263" s="7" t="str">
        <x:v>identity</x:v>
      </x:c>
      <x:c r="H263" s="10" t="str"/>
      <x:c r="I263" s="7" t="str"/>
      <x:c r="J263" s="7" t="str">
        <x:v>OPEN</x:v>
      </x:c>
    </x:row>
    <x:row r="264" ht="36" customHeight="1">
      <x:c r="B264" s="7" t="str">
        <x:v>RAE-E-09-HP-02</x:v>
      </x:c>
      <x:c r="C264" s="7" t="str">
        <x:v>RAE-E-09</x:v>
      </x:c>
      <x:c r="D264" s="7" t="str">
        <x:v>RFP-A2</x:v>
      </x:c>
      <x:c r="E264" s="7" t="str">
        <x:v>HP-02</x:v>
      </x:c>
      <x:c r="F264" s="7" t="str">
        <x:v>configuration</x:v>
      </x:c>
      <x:c r="G264" s="7" t="str">
        <x:v>capacity</x:v>
      </x:c>
      <x:c r="H264" s="10" t="str"/>
      <x:c r="I264" s="7" t="str"/>
      <x:c r="J264" s="7" t="str">
        <x:v>OPEN</x:v>
      </x:c>
    </x:row>
    <x:row r="265" ht="36" customHeight="1">
      <x:c r="B265" s="7" t="str">
        <x:v>RAE-E-09-HP-03</x:v>
      </x:c>
      <x:c r="C265" s="7" t="str">
        <x:v>RAE-E-09</x:v>
      </x:c>
      <x:c r="D265" s="7" t="str">
        <x:v>RFP-A2</x:v>
      </x:c>
      <x:c r="E265" s="7" t="str">
        <x:v>HP-03</x:v>
      </x:c>
      <x:c r="F265" s="7" t="str">
        <x:v>configuration</x:v>
      </x:c>
      <x:c r="G265" s="7" t="str">
        <x:v>state</x:v>
      </x:c>
      <x:c r="H265" s="10" t="str"/>
      <x:c r="I265" s="7" t="str"/>
      <x:c r="J265" s="7" t="str">
        <x:v>OPEN</x:v>
      </x:c>
    </x:row>
    <x:row r="266" ht="36" customHeight="1">
      <x:c r="B266" s="7" t="str">
        <x:v>RAE-E-09-HP-04</x:v>
      </x:c>
      <x:c r="C266" s="7" t="str">
        <x:v>RAE-E-09</x:v>
      </x:c>
      <x:c r="D266" s="7" t="str">
        <x:v>RFP-A2</x:v>
      </x:c>
      <x:c r="E266" s="7" t="str">
        <x:v>HP-04</x:v>
      </x:c>
      <x:c r="F266" s="7" t="str">
        <x:v>configuration</x:v>
      </x:c>
      <x:c r="G266" s="7" t="str">
        <x:v>authority</x:v>
      </x:c>
      <x:c r="H266" s="10" t="str"/>
      <x:c r="I266" s="7" t="str"/>
      <x:c r="J266" s="7" t="str">
        <x:v>OPEN</x:v>
      </x:c>
    </x:row>
    <x:row r="267" ht="36" customHeight="1">
      <x:c r="B267" s="7" t="str">
        <x:v>RAE-E-09-HP-05</x:v>
      </x:c>
      <x:c r="C267" s="7" t="str">
        <x:v>RAE-E-09</x:v>
      </x:c>
      <x:c r="D267" s="7" t="str">
        <x:v>RFP-A2</x:v>
      </x:c>
      <x:c r="E267" s="7" t="str">
        <x:v>HP-05</x:v>
      </x:c>
      <x:c r="F267" s="7" t="str">
        <x:v>source</x:v>
      </x:c>
      <x:c r="G267" s="7" t="str">
        <x:v>identity</x:v>
      </x:c>
      <x:c r="H267" s="10" t="str"/>
      <x:c r="I267" s="7" t="str"/>
      <x:c r="J267" s="7" t="str">
        <x:v>OPEN</x:v>
      </x:c>
    </x:row>
    <x:row r="268" ht="36" customHeight="1">
      <x:c r="B268" s="7" t="str">
        <x:v>RAE-E-09-HP-06</x:v>
      </x:c>
      <x:c r="C268" s="7" t="str">
        <x:v>RAE-E-09</x:v>
      </x:c>
      <x:c r="D268" s="7" t="str">
        <x:v>RFP-A2</x:v>
      </x:c>
      <x:c r="E268" s="7" t="str">
        <x:v>HP-06</x:v>
      </x:c>
      <x:c r="F268" s="7" t="str">
        <x:v>source</x:v>
      </x:c>
      <x:c r="G268" s="7" t="str">
        <x:v>capacity</x:v>
      </x:c>
      <x:c r="H268" s="10" t="str"/>
      <x:c r="I268" s="7" t="str"/>
      <x:c r="J268" s="7" t="str">
        <x:v>OPEN</x:v>
      </x:c>
    </x:row>
    <x:row r="269" ht="36" customHeight="1">
      <x:c r="B269" s="7" t="str">
        <x:v>RAE-E-09-HP-07</x:v>
      </x:c>
      <x:c r="C269" s="7" t="str">
        <x:v>RAE-E-09</x:v>
      </x:c>
      <x:c r="D269" s="7" t="str">
        <x:v>RFP-A2</x:v>
      </x:c>
      <x:c r="E269" s="7" t="str">
        <x:v>HP-07</x:v>
      </x:c>
      <x:c r="F269" s="7" t="str">
        <x:v>source</x:v>
      </x:c>
      <x:c r="G269" s="7" t="str">
        <x:v>state</x:v>
      </x:c>
      <x:c r="H269" s="10" t="str"/>
      <x:c r="I269" s="7" t="str"/>
      <x:c r="J269" s="7" t="str">
        <x:v>OPEN</x:v>
      </x:c>
    </x:row>
    <x:row r="270" ht="36" customHeight="1">
      <x:c r="B270" s="7" t="str">
        <x:v>RAE-E-09-HP-08</x:v>
      </x:c>
      <x:c r="C270" s="7" t="str">
        <x:v>RAE-E-09</x:v>
      </x:c>
      <x:c r="D270" s="7" t="str">
        <x:v>RFP-A2</x:v>
      </x:c>
      <x:c r="E270" s="7" t="str">
        <x:v>HP-08</x:v>
      </x:c>
      <x:c r="F270" s="7" t="str">
        <x:v>source</x:v>
      </x:c>
      <x:c r="G270" s="7" t="str">
        <x:v>authority</x:v>
      </x:c>
      <x:c r="H270" s="10" t="str"/>
      <x:c r="I270" s="7" t="str"/>
      <x:c r="J270" s="7" t="str">
        <x:v>OPEN</x:v>
      </x:c>
    </x:row>
    <x:row r="271" ht="36" customHeight="1">
      <x:c r="B271" s="7" t="str">
        <x:v>RAE-E-09-HP-09</x:v>
      </x:c>
      <x:c r="C271" s="7" t="str">
        <x:v>RAE-E-09</x:v>
      </x:c>
      <x:c r="D271" s="7" t="str">
        <x:v>RFP-A2</x:v>
      </x:c>
      <x:c r="E271" s="7" t="str">
        <x:v>HP-09</x:v>
      </x:c>
      <x:c r="F271" s="7" t="str">
        <x:v>containment</x:v>
      </x:c>
      <x:c r="G271" s="7" t="str">
        <x:v>identity</x:v>
      </x:c>
      <x:c r="H271" s="10" t="str"/>
      <x:c r="I271" s="7" t="str"/>
      <x:c r="J271" s="7" t="str">
        <x:v>OPEN</x:v>
      </x:c>
    </x:row>
    <x:row r="272" ht="36" customHeight="1">
      <x:c r="B272" s="7" t="str">
        <x:v>RAE-E-09-HP-10</x:v>
      </x:c>
      <x:c r="C272" s="7" t="str">
        <x:v>RAE-E-09</x:v>
      </x:c>
      <x:c r="D272" s="7" t="str">
        <x:v>RFP-A2</x:v>
      </x:c>
      <x:c r="E272" s="7" t="str">
        <x:v>HP-10</x:v>
      </x:c>
      <x:c r="F272" s="7" t="str">
        <x:v>containment</x:v>
      </x:c>
      <x:c r="G272" s="7" t="str">
        <x:v>capacity</x:v>
      </x:c>
      <x:c r="H272" s="10" t="str"/>
      <x:c r="I272" s="7" t="str"/>
      <x:c r="J272" s="7" t="str">
        <x:v>OPEN</x:v>
      </x:c>
    </x:row>
    <x:row r="273" ht="36" customHeight="1">
      <x:c r="B273" s="7" t="str">
        <x:v>RAE-E-09-HP-11</x:v>
      </x:c>
      <x:c r="C273" s="7" t="str">
        <x:v>RAE-E-09</x:v>
      </x:c>
      <x:c r="D273" s="7" t="str">
        <x:v>RFP-A2</x:v>
      </x:c>
      <x:c r="E273" s="7" t="str">
        <x:v>HP-11</x:v>
      </x:c>
      <x:c r="F273" s="7" t="str">
        <x:v>containment</x:v>
      </x:c>
      <x:c r="G273" s="7" t="str">
        <x:v>state</x:v>
      </x:c>
      <x:c r="H273" s="10" t="str"/>
      <x:c r="I273" s="7" t="str"/>
      <x:c r="J273" s="7" t="str">
        <x:v>OPEN</x:v>
      </x:c>
    </x:row>
    <x:row r="274" ht="36" customHeight="1">
      <x:c r="B274" s="7" t="str">
        <x:v>RAE-E-09-HP-12</x:v>
      </x:c>
      <x:c r="C274" s="7" t="str">
        <x:v>RAE-E-09</x:v>
      </x:c>
      <x:c r="D274" s="7" t="str">
        <x:v>RFP-A2</x:v>
      </x:c>
      <x:c r="E274" s="7" t="str">
        <x:v>HP-12</x:v>
      </x:c>
      <x:c r="F274" s="7" t="str">
        <x:v>containment</x:v>
      </x:c>
      <x:c r="G274" s="7" t="str">
        <x:v>authority</x:v>
      </x:c>
      <x:c r="H274" s="10" t="str"/>
      <x:c r="I274" s="7" t="str"/>
      <x:c r="J274" s="7" t="str">
        <x:v>OPEN</x:v>
      </x:c>
    </x:row>
    <x:row r="275" ht="36" customHeight="1">
      <x:c r="B275" s="7" t="str">
        <x:v>RAE-E-09-HP-13</x:v>
      </x:c>
      <x:c r="C275" s="7" t="str">
        <x:v>RAE-E-09</x:v>
      </x:c>
      <x:c r="D275" s="7" t="str">
        <x:v>RFP-A2</x:v>
      </x:c>
      <x:c r="E275" s="7" t="str">
        <x:v>HP-13</x:v>
      </x:c>
      <x:c r="F275" s="7" t="str">
        <x:v>water</x:v>
      </x:c>
      <x:c r="G275" s="7" t="str">
        <x:v>identity</x:v>
      </x:c>
      <x:c r="H275" s="10" t="str"/>
      <x:c r="I275" s="7" t="str"/>
      <x:c r="J275" s="7" t="str">
        <x:v>OPEN</x:v>
      </x:c>
    </x:row>
    <x:row r="276" ht="36" customHeight="1">
      <x:c r="B276" s="7" t="str">
        <x:v>RAE-E-09-HP-14</x:v>
      </x:c>
      <x:c r="C276" s="7" t="str">
        <x:v>RAE-E-09</x:v>
      </x:c>
      <x:c r="D276" s="7" t="str">
        <x:v>RFP-A2</x:v>
      </x:c>
      <x:c r="E276" s="7" t="str">
        <x:v>HP-14</x:v>
      </x:c>
      <x:c r="F276" s="7" t="str">
        <x:v>water</x:v>
      </x:c>
      <x:c r="G276" s="7" t="str">
        <x:v>capacity</x:v>
      </x:c>
      <x:c r="H276" s="10" t="str"/>
      <x:c r="I276" s="7" t="str"/>
      <x:c r="J276" s="7" t="str">
        <x:v>OPEN</x:v>
      </x:c>
    </x:row>
    <x:row r="277" ht="36" customHeight="1">
      <x:c r="B277" s="7" t="str">
        <x:v>RAE-E-09-HP-15</x:v>
      </x:c>
      <x:c r="C277" s="7" t="str">
        <x:v>RAE-E-09</x:v>
      </x:c>
      <x:c r="D277" s="7" t="str">
        <x:v>RFP-A2</x:v>
      </x:c>
      <x:c r="E277" s="7" t="str">
        <x:v>HP-15</x:v>
      </x:c>
      <x:c r="F277" s="7" t="str">
        <x:v>water</x:v>
      </x:c>
      <x:c r="G277" s="7" t="str">
        <x:v>state</x:v>
      </x:c>
      <x:c r="H277" s="10" t="str"/>
      <x:c r="I277" s="7" t="str"/>
      <x:c r="J277" s="7" t="str">
        <x:v>OPEN</x:v>
      </x:c>
    </x:row>
    <x:row r="278" ht="36" customHeight="1">
      <x:c r="B278" s="7" t="str">
        <x:v>RAE-E-09-HP-16</x:v>
      </x:c>
      <x:c r="C278" s="7" t="str">
        <x:v>RAE-E-09</x:v>
      </x:c>
      <x:c r="D278" s="7" t="str">
        <x:v>RFP-A2</x:v>
      </x:c>
      <x:c r="E278" s="7" t="str">
        <x:v>HP-16</x:v>
      </x:c>
      <x:c r="F278" s="7" t="str">
        <x:v>water</x:v>
      </x:c>
      <x:c r="G278" s="7" t="str">
        <x:v>authority</x:v>
      </x:c>
      <x:c r="H278" s="10" t="str"/>
      <x:c r="I278" s="7" t="str"/>
      <x:c r="J278" s="7" t="str">
        <x:v>OPEN</x:v>
      </x:c>
    </x:row>
    <x:row r="279" ht="36" customHeight="1">
      <x:c r="B279" s="7" t="str">
        <x:v>RAE-E-09-HP-17</x:v>
      </x:c>
      <x:c r="C279" s="7" t="str">
        <x:v>RAE-E-09</x:v>
      </x:c>
      <x:c r="D279" s="7" t="str">
        <x:v>RFP-A2</x:v>
      </x:c>
      <x:c r="E279" s="7" t="str">
        <x:v>HP-17</x:v>
      </x:c>
      <x:c r="F279" s="7" t="str">
        <x:v>safeing</x:v>
      </x:c>
      <x:c r="G279" s="7" t="str">
        <x:v>identity</x:v>
      </x:c>
      <x:c r="H279" s="10" t="str"/>
      <x:c r="I279" s="7" t="str"/>
      <x:c r="J279" s="7" t="str">
        <x:v>OPEN</x:v>
      </x:c>
    </x:row>
    <x:row r="280" ht="36" customHeight="1">
      <x:c r="B280" s="7" t="str">
        <x:v>RAE-E-09-HP-18</x:v>
      </x:c>
      <x:c r="C280" s="7" t="str">
        <x:v>RAE-E-09</x:v>
      </x:c>
      <x:c r="D280" s="7" t="str">
        <x:v>RFP-A2</x:v>
      </x:c>
      <x:c r="E280" s="7" t="str">
        <x:v>HP-18</x:v>
      </x:c>
      <x:c r="F280" s="7" t="str">
        <x:v>safeing</x:v>
      </x:c>
      <x:c r="G280" s="7" t="str">
        <x:v>capacity</x:v>
      </x:c>
      <x:c r="H280" s="10" t="str"/>
      <x:c r="I280" s="7" t="str"/>
      <x:c r="J280" s="7" t="str">
        <x:v>OPEN</x:v>
      </x:c>
    </x:row>
    <x:row r="281" ht="36" customHeight="1">
      <x:c r="B281" s="7" t="str">
        <x:v>RAE-E-09-HP-19</x:v>
      </x:c>
      <x:c r="C281" s="7" t="str">
        <x:v>RAE-E-09</x:v>
      </x:c>
      <x:c r="D281" s="7" t="str">
        <x:v>RFP-A2</x:v>
      </x:c>
      <x:c r="E281" s="7" t="str">
        <x:v>HP-19</x:v>
      </x:c>
      <x:c r="F281" s="7" t="str">
        <x:v>safeing</x:v>
      </x:c>
      <x:c r="G281" s="7" t="str">
        <x:v>state</x:v>
      </x:c>
      <x:c r="H281" s="10" t="str"/>
      <x:c r="I281" s="7" t="str"/>
      <x:c r="J281" s="7" t="str">
        <x:v>OPEN</x:v>
      </x:c>
    </x:row>
    <x:row r="282" ht="36" customHeight="1">
      <x:c r="B282" s="7" t="str">
        <x:v>RAE-E-09-HP-20</x:v>
      </x:c>
      <x:c r="C282" s="7" t="str">
        <x:v>RAE-E-09</x:v>
      </x:c>
      <x:c r="D282" s="7" t="str">
        <x:v>RFP-A2</x:v>
      </x:c>
      <x:c r="E282" s="7" t="str">
        <x:v>HP-20</x:v>
      </x:c>
      <x:c r="F282" s="7" t="str">
        <x:v>safeing</x:v>
      </x:c>
      <x:c r="G282" s="7" t="str">
        <x:v>authority</x:v>
      </x:c>
      <x:c r="H282" s="10" t="str"/>
      <x:c r="I282" s="7" t="str"/>
      <x:c r="J282" s="7" t="str">
        <x:v>OPEN</x:v>
      </x:c>
    </x:row>
    <x:row r="283" ht="36" customHeight="1">
      <x:c r="B283" s="7" t="str">
        <x:v>RAE-E-09-HP-21</x:v>
      </x:c>
      <x:c r="C283" s="7" t="str">
        <x:v>RAE-E-09</x:v>
      </x:c>
      <x:c r="D283" s="7" t="str">
        <x:v>RFP-A2</x:v>
      </x:c>
      <x:c r="E283" s="7" t="str">
        <x:v>HP-21</x:v>
      </x:c>
      <x:c r="F283" s="7" t="str">
        <x:v>evidence</x:v>
      </x:c>
      <x:c r="G283" s="7" t="str">
        <x:v>identity</x:v>
      </x:c>
      <x:c r="H283" s="10" t="str"/>
      <x:c r="I283" s="7" t="str"/>
      <x:c r="J283" s="7" t="str">
        <x:v>OPEN</x:v>
      </x:c>
    </x:row>
    <x:row r="284" ht="36" customHeight="1">
      <x:c r="B284" s="7" t="str">
        <x:v>RAE-E-09-HP-22</x:v>
      </x:c>
      <x:c r="C284" s="7" t="str">
        <x:v>RAE-E-09</x:v>
      </x:c>
      <x:c r="D284" s="7" t="str">
        <x:v>RFP-A2</x:v>
      </x:c>
      <x:c r="E284" s="7" t="str">
        <x:v>HP-22</x:v>
      </x:c>
      <x:c r="F284" s="7" t="str">
        <x:v>evidence</x:v>
      </x:c>
      <x:c r="G284" s="7" t="str">
        <x:v>capacity</x:v>
      </x:c>
      <x:c r="H284" s="10" t="str"/>
      <x:c r="I284" s="7" t="str"/>
      <x:c r="J284" s="7" t="str">
        <x:v>OPEN</x:v>
      </x:c>
    </x:row>
    <x:row r="285" ht="36" customHeight="1">
      <x:c r="B285" s="7" t="str">
        <x:v>RAE-E-09-HP-23</x:v>
      </x:c>
      <x:c r="C285" s="7" t="str">
        <x:v>RAE-E-09</x:v>
      </x:c>
      <x:c r="D285" s="7" t="str">
        <x:v>RFP-A2</x:v>
      </x:c>
      <x:c r="E285" s="7" t="str">
        <x:v>HP-23</x:v>
      </x:c>
      <x:c r="F285" s="7" t="str">
        <x:v>evidence</x:v>
      </x:c>
      <x:c r="G285" s="7" t="str">
        <x:v>state</x:v>
      </x:c>
      <x:c r="H285" s="10" t="str"/>
      <x:c r="I285" s="7" t="str"/>
      <x:c r="J285" s="7" t="str">
        <x:v>OPEN</x:v>
      </x:c>
    </x:row>
    <x:row r="286" ht="36" customHeight="1">
      <x:c r="B286" s="7" t="str">
        <x:v>RAE-E-09-HP-24</x:v>
      </x:c>
      <x:c r="C286" s="7" t="str">
        <x:v>RAE-E-09</x:v>
      </x:c>
      <x:c r="D286" s="7" t="str">
        <x:v>RFP-A2</x:v>
      </x:c>
      <x:c r="E286" s="7" t="str">
        <x:v>HP-24</x:v>
      </x:c>
      <x:c r="F286" s="7" t="str">
        <x:v>evidence</x:v>
      </x:c>
      <x:c r="G286" s="7" t="str">
        <x:v>authority</x:v>
      </x:c>
      <x:c r="H286" s="10" t="str"/>
      <x:c r="I286" s="7" t="str"/>
      <x:c r="J286" s="7" t="str">
        <x:v>OPEN</x:v>
      </x:c>
    </x:row>
    <x:row r="287" ht="36" customHeight="1">
      <x:c r="B287" s="7" t="str">
        <x:v>RAE-E-09-HP-25</x:v>
      </x:c>
      <x:c r="C287" s="7" t="str">
        <x:v>RAE-E-09</x:v>
      </x:c>
      <x:c r="D287" s="7" t="str">
        <x:v>RFP-A2</x:v>
      </x:c>
      <x:c r="E287" s="7" t="str">
        <x:v>HP-25</x:v>
      </x:c>
      <x:c r="F287" s="7" t="str">
        <x:v>environment</x:v>
      </x:c>
      <x:c r="G287" s="7" t="str">
        <x:v>identity</x:v>
      </x:c>
      <x:c r="H287" s="10" t="str"/>
      <x:c r="I287" s="7" t="str"/>
      <x:c r="J287" s="7" t="str">
        <x:v>OPEN</x:v>
      </x:c>
    </x:row>
    <x:row r="288" ht="36" customHeight="1">
      <x:c r="B288" s="7" t="str">
        <x:v>RAE-E-09-HP-26</x:v>
      </x:c>
      <x:c r="C288" s="7" t="str">
        <x:v>RAE-E-09</x:v>
      </x:c>
      <x:c r="D288" s="7" t="str">
        <x:v>RFP-A2</x:v>
      </x:c>
      <x:c r="E288" s="7" t="str">
        <x:v>HP-26</x:v>
      </x:c>
      <x:c r="F288" s="7" t="str">
        <x:v>environment</x:v>
      </x:c>
      <x:c r="G288" s="7" t="str">
        <x:v>capacity</x:v>
      </x:c>
      <x:c r="H288" s="10" t="str"/>
      <x:c r="I288" s="7" t="str"/>
      <x:c r="J288" s="7" t="str">
        <x:v>OPEN</x:v>
      </x:c>
    </x:row>
    <x:row r="289" ht="36" customHeight="1">
      <x:c r="B289" s="7" t="str">
        <x:v>RAE-E-09-HP-27</x:v>
      </x:c>
      <x:c r="C289" s="7" t="str">
        <x:v>RAE-E-09</x:v>
      </x:c>
      <x:c r="D289" s="7" t="str">
        <x:v>RFP-A2</x:v>
      </x:c>
      <x:c r="E289" s="7" t="str">
        <x:v>HP-27</x:v>
      </x:c>
      <x:c r="F289" s="7" t="str">
        <x:v>environment</x:v>
      </x:c>
      <x:c r="G289" s="7" t="str">
        <x:v>state</x:v>
      </x:c>
      <x:c r="H289" s="10" t="str"/>
      <x:c r="I289" s="7" t="str"/>
      <x:c r="J289" s="7" t="str">
        <x:v>OPEN</x:v>
      </x:c>
    </x:row>
    <x:row r="290" ht="36" customHeight="1">
      <x:c r="B290" s="7" t="str">
        <x:v>RAE-E-09-HP-28</x:v>
      </x:c>
      <x:c r="C290" s="7" t="str">
        <x:v>RAE-E-09</x:v>
      </x:c>
      <x:c r="D290" s="7" t="str">
        <x:v>RFP-A2</x:v>
      </x:c>
      <x:c r="E290" s="7" t="str">
        <x:v>HP-28</x:v>
      </x:c>
      <x:c r="F290" s="7" t="str">
        <x:v>environment</x:v>
      </x:c>
      <x:c r="G290" s="7" t="str">
        <x:v>authority</x:v>
      </x:c>
      <x:c r="H290" s="10" t="str"/>
      <x:c r="I290" s="7" t="str"/>
      <x:c r="J290" s="7" t="str">
        <x:v>OPEN</x:v>
      </x:c>
    </x:row>
    <x:row r="291" ht="36" customHeight="1">
      <x:c r="B291" s="7" t="str">
        <x:v>RAE-E-09-HP-29</x:v>
      </x:c>
      <x:c r="C291" s="7" t="str">
        <x:v>RAE-E-09</x:v>
      </x:c>
      <x:c r="D291" s="7" t="str">
        <x:v>RFP-A2</x:v>
      </x:c>
      <x:c r="E291" s="7" t="str">
        <x:v>HP-29</x:v>
      </x:c>
      <x:c r="F291" s="7" t="str">
        <x:v>authority</x:v>
      </x:c>
      <x:c r="G291" s="7" t="str">
        <x:v>identity</x:v>
      </x:c>
      <x:c r="H291" s="10" t="str"/>
      <x:c r="I291" s="7" t="str"/>
      <x:c r="J291" s="7" t="str">
        <x:v>OPEN</x:v>
      </x:c>
    </x:row>
    <x:row r="292" ht="36" customHeight="1">
      <x:c r="B292" s="7" t="str">
        <x:v>RAE-E-09-HP-30</x:v>
      </x:c>
      <x:c r="C292" s="7" t="str">
        <x:v>RAE-E-09</x:v>
      </x:c>
      <x:c r="D292" s="7" t="str">
        <x:v>RFP-A2</x:v>
      </x:c>
      <x:c r="E292" s="7" t="str">
        <x:v>HP-30</x:v>
      </x:c>
      <x:c r="F292" s="7" t="str">
        <x:v>authority</x:v>
      </x:c>
      <x:c r="G292" s="7" t="str">
        <x:v>capacity</x:v>
      </x:c>
      <x:c r="H292" s="10" t="str"/>
      <x:c r="I292" s="7" t="str"/>
      <x:c r="J292" s="7" t="str">
        <x:v>OPEN</x:v>
      </x:c>
    </x:row>
    <x:row r="293" ht="36" customHeight="1">
      <x:c r="B293" s="7" t="str">
        <x:v>RAE-E-09-HP-31</x:v>
      </x:c>
      <x:c r="C293" s="7" t="str">
        <x:v>RAE-E-09</x:v>
      </x:c>
      <x:c r="D293" s="7" t="str">
        <x:v>RFP-A2</x:v>
      </x:c>
      <x:c r="E293" s="7" t="str">
        <x:v>HP-31</x:v>
      </x:c>
      <x:c r="F293" s="7" t="str">
        <x:v>authority</x:v>
      </x:c>
      <x:c r="G293" s="7" t="str">
        <x:v>state</x:v>
      </x:c>
      <x:c r="H293" s="10" t="str"/>
      <x:c r="I293" s="7" t="str"/>
      <x:c r="J293" s="7" t="str">
        <x:v>OPEN</x:v>
      </x:c>
    </x:row>
    <x:row r="294" ht="36" customHeight="1">
      <x:c r="B294" s="7" t="str">
        <x:v>RAE-E-09-HP-32</x:v>
      </x:c>
      <x:c r="C294" s="7" t="str">
        <x:v>RAE-E-09</x:v>
      </x:c>
      <x:c r="D294" s="7" t="str">
        <x:v>RFP-A2</x:v>
      </x:c>
      <x:c r="E294" s="7" t="str">
        <x:v>HP-32</x:v>
      </x:c>
      <x:c r="F294" s="7" t="str">
        <x:v>authority</x:v>
      </x:c>
      <x:c r="G294" s="7" t="str">
        <x:v>authority</x:v>
      </x:c>
      <x:c r="H294" s="10" t="str"/>
      <x:c r="I294" s="7" t="str"/>
      <x:c r="J294" s="7" t="str">
        <x:v>OPEN</x:v>
      </x:c>
    </x:row>
    <x:row r="295" ht="36" customHeight="1">
      <x:c r="B295" s="7" t="str">
        <x:v>RAE-E-10-HP-01</x:v>
      </x:c>
      <x:c r="C295" s="7" t="str">
        <x:v>RAE-E-10</x:v>
      </x:c>
      <x:c r="D295" s="7" t="str">
        <x:v>RFP-A2</x:v>
      </x:c>
      <x:c r="E295" s="7" t="str">
        <x:v>HP-01</x:v>
      </x:c>
      <x:c r="F295" s="7" t="str">
        <x:v>configuration</x:v>
      </x:c>
      <x:c r="G295" s="7" t="str">
        <x:v>identity</x:v>
      </x:c>
      <x:c r="H295" s="10" t="str"/>
      <x:c r="I295" s="7" t="str"/>
      <x:c r="J295" s="7" t="str">
        <x:v>OPEN</x:v>
      </x:c>
    </x:row>
    <x:row r="296" ht="36" customHeight="1">
      <x:c r="B296" s="7" t="str">
        <x:v>RAE-E-10-HP-02</x:v>
      </x:c>
      <x:c r="C296" s="7" t="str">
        <x:v>RAE-E-10</x:v>
      </x:c>
      <x:c r="D296" s="7" t="str">
        <x:v>RFP-A2</x:v>
      </x:c>
      <x:c r="E296" s="7" t="str">
        <x:v>HP-02</x:v>
      </x:c>
      <x:c r="F296" s="7" t="str">
        <x:v>configuration</x:v>
      </x:c>
      <x:c r="G296" s="7" t="str">
        <x:v>capacity</x:v>
      </x:c>
      <x:c r="H296" s="10" t="str"/>
      <x:c r="I296" s="7" t="str"/>
      <x:c r="J296" s="7" t="str">
        <x:v>OPEN</x:v>
      </x:c>
    </x:row>
    <x:row r="297" ht="36" customHeight="1">
      <x:c r="B297" s="7" t="str">
        <x:v>RAE-E-10-HP-03</x:v>
      </x:c>
      <x:c r="C297" s="7" t="str">
        <x:v>RAE-E-10</x:v>
      </x:c>
      <x:c r="D297" s="7" t="str">
        <x:v>RFP-A2</x:v>
      </x:c>
      <x:c r="E297" s="7" t="str">
        <x:v>HP-03</x:v>
      </x:c>
      <x:c r="F297" s="7" t="str">
        <x:v>configuration</x:v>
      </x:c>
      <x:c r="G297" s="7" t="str">
        <x:v>state</x:v>
      </x:c>
      <x:c r="H297" s="10" t="str"/>
      <x:c r="I297" s="7" t="str"/>
      <x:c r="J297" s="7" t="str">
        <x:v>OPEN</x:v>
      </x:c>
    </x:row>
    <x:row r="298" ht="36" customHeight="1">
      <x:c r="B298" s="7" t="str">
        <x:v>RAE-E-10-HP-04</x:v>
      </x:c>
      <x:c r="C298" s="7" t="str">
        <x:v>RAE-E-10</x:v>
      </x:c>
      <x:c r="D298" s="7" t="str">
        <x:v>RFP-A2</x:v>
      </x:c>
      <x:c r="E298" s="7" t="str">
        <x:v>HP-04</x:v>
      </x:c>
      <x:c r="F298" s="7" t="str">
        <x:v>configuration</x:v>
      </x:c>
      <x:c r="G298" s="7" t="str">
        <x:v>authority</x:v>
      </x:c>
      <x:c r="H298" s="10" t="str"/>
      <x:c r="I298" s="7" t="str"/>
      <x:c r="J298" s="7" t="str">
        <x:v>OPEN</x:v>
      </x:c>
    </x:row>
    <x:row r="299" ht="36" customHeight="1">
      <x:c r="B299" s="7" t="str">
        <x:v>RAE-E-10-HP-05</x:v>
      </x:c>
      <x:c r="C299" s="7" t="str">
        <x:v>RAE-E-10</x:v>
      </x:c>
      <x:c r="D299" s="7" t="str">
        <x:v>RFP-A2</x:v>
      </x:c>
      <x:c r="E299" s="7" t="str">
        <x:v>HP-05</x:v>
      </x:c>
      <x:c r="F299" s="7" t="str">
        <x:v>source</x:v>
      </x:c>
      <x:c r="G299" s="7" t="str">
        <x:v>identity</x:v>
      </x:c>
      <x:c r="H299" s="10" t="str"/>
      <x:c r="I299" s="7" t="str"/>
      <x:c r="J299" s="7" t="str">
        <x:v>OPEN</x:v>
      </x:c>
    </x:row>
    <x:row r="300" ht="36" customHeight="1">
      <x:c r="B300" s="7" t="str">
        <x:v>RAE-E-10-HP-06</x:v>
      </x:c>
      <x:c r="C300" s="7" t="str">
        <x:v>RAE-E-10</x:v>
      </x:c>
      <x:c r="D300" s="7" t="str">
        <x:v>RFP-A2</x:v>
      </x:c>
      <x:c r="E300" s="7" t="str">
        <x:v>HP-06</x:v>
      </x:c>
      <x:c r="F300" s="7" t="str">
        <x:v>source</x:v>
      </x:c>
      <x:c r="G300" s="7" t="str">
        <x:v>capacity</x:v>
      </x:c>
      <x:c r="H300" s="10" t="str"/>
      <x:c r="I300" s="7" t="str"/>
      <x:c r="J300" s="7" t="str">
        <x:v>OPEN</x:v>
      </x:c>
    </x:row>
    <x:row r="301" ht="36" customHeight="1">
      <x:c r="B301" s="7" t="str">
        <x:v>RAE-E-10-HP-07</x:v>
      </x:c>
      <x:c r="C301" s="7" t="str">
        <x:v>RAE-E-10</x:v>
      </x:c>
      <x:c r="D301" s="7" t="str">
        <x:v>RFP-A2</x:v>
      </x:c>
      <x:c r="E301" s="7" t="str">
        <x:v>HP-07</x:v>
      </x:c>
      <x:c r="F301" s="7" t="str">
        <x:v>source</x:v>
      </x:c>
      <x:c r="G301" s="7" t="str">
        <x:v>state</x:v>
      </x:c>
      <x:c r="H301" s="10" t="str"/>
      <x:c r="I301" s="7" t="str"/>
      <x:c r="J301" s="7" t="str">
        <x:v>OPEN</x:v>
      </x:c>
    </x:row>
    <x:row r="302" ht="36" customHeight="1">
      <x:c r="B302" s="7" t="str">
        <x:v>RAE-E-10-HP-08</x:v>
      </x:c>
      <x:c r="C302" s="7" t="str">
        <x:v>RAE-E-10</x:v>
      </x:c>
      <x:c r="D302" s="7" t="str">
        <x:v>RFP-A2</x:v>
      </x:c>
      <x:c r="E302" s="7" t="str">
        <x:v>HP-08</x:v>
      </x:c>
      <x:c r="F302" s="7" t="str">
        <x:v>source</x:v>
      </x:c>
      <x:c r="G302" s="7" t="str">
        <x:v>authority</x:v>
      </x:c>
      <x:c r="H302" s="10" t="str"/>
      <x:c r="I302" s="7" t="str"/>
      <x:c r="J302" s="7" t="str">
        <x:v>OPEN</x:v>
      </x:c>
    </x:row>
    <x:row r="303" ht="36" customHeight="1">
      <x:c r="B303" s="7" t="str">
        <x:v>RAE-E-10-HP-09</x:v>
      </x:c>
      <x:c r="C303" s="7" t="str">
        <x:v>RAE-E-10</x:v>
      </x:c>
      <x:c r="D303" s="7" t="str">
        <x:v>RFP-A2</x:v>
      </x:c>
      <x:c r="E303" s="7" t="str">
        <x:v>HP-09</x:v>
      </x:c>
      <x:c r="F303" s="7" t="str">
        <x:v>containment</x:v>
      </x:c>
      <x:c r="G303" s="7" t="str">
        <x:v>identity</x:v>
      </x:c>
      <x:c r="H303" s="10" t="str"/>
      <x:c r="I303" s="7" t="str"/>
      <x:c r="J303" s="7" t="str">
        <x:v>OPEN</x:v>
      </x:c>
    </x:row>
    <x:row r="304" ht="36" customHeight="1">
      <x:c r="B304" s="7" t="str">
        <x:v>RAE-E-10-HP-10</x:v>
      </x:c>
      <x:c r="C304" s="7" t="str">
        <x:v>RAE-E-10</x:v>
      </x:c>
      <x:c r="D304" s="7" t="str">
        <x:v>RFP-A2</x:v>
      </x:c>
      <x:c r="E304" s="7" t="str">
        <x:v>HP-10</x:v>
      </x:c>
      <x:c r="F304" s="7" t="str">
        <x:v>containment</x:v>
      </x:c>
      <x:c r="G304" s="7" t="str">
        <x:v>capacity</x:v>
      </x:c>
      <x:c r="H304" s="10" t="str"/>
      <x:c r="I304" s="7" t="str"/>
      <x:c r="J304" s="7" t="str">
        <x:v>OPEN</x:v>
      </x:c>
    </x:row>
    <x:row r="305" ht="36" customHeight="1">
      <x:c r="B305" s="7" t="str">
        <x:v>RAE-E-10-HP-11</x:v>
      </x:c>
      <x:c r="C305" s="7" t="str">
        <x:v>RAE-E-10</x:v>
      </x:c>
      <x:c r="D305" s="7" t="str">
        <x:v>RFP-A2</x:v>
      </x:c>
      <x:c r="E305" s="7" t="str">
        <x:v>HP-11</x:v>
      </x:c>
      <x:c r="F305" s="7" t="str">
        <x:v>containment</x:v>
      </x:c>
      <x:c r="G305" s="7" t="str">
        <x:v>state</x:v>
      </x:c>
      <x:c r="H305" s="10" t="str"/>
      <x:c r="I305" s="7" t="str"/>
      <x:c r="J305" s="7" t="str">
        <x:v>OPEN</x:v>
      </x:c>
    </x:row>
    <x:row r="306" ht="36" customHeight="1">
      <x:c r="B306" s="7" t="str">
        <x:v>RAE-E-10-HP-12</x:v>
      </x:c>
      <x:c r="C306" s="7" t="str">
        <x:v>RAE-E-10</x:v>
      </x:c>
      <x:c r="D306" s="7" t="str">
        <x:v>RFP-A2</x:v>
      </x:c>
      <x:c r="E306" s="7" t="str">
        <x:v>HP-12</x:v>
      </x:c>
      <x:c r="F306" s="7" t="str">
        <x:v>containment</x:v>
      </x:c>
      <x:c r="G306" s="7" t="str">
        <x:v>authority</x:v>
      </x:c>
      <x:c r="H306" s="10" t="str"/>
      <x:c r="I306" s="7" t="str"/>
      <x:c r="J306" s="7" t="str">
        <x:v>OPEN</x:v>
      </x:c>
    </x:row>
    <x:row r="307" ht="36" customHeight="1">
      <x:c r="B307" s="7" t="str">
        <x:v>RAE-E-10-HP-13</x:v>
      </x:c>
      <x:c r="C307" s="7" t="str">
        <x:v>RAE-E-10</x:v>
      </x:c>
      <x:c r="D307" s="7" t="str">
        <x:v>RFP-A2</x:v>
      </x:c>
      <x:c r="E307" s="7" t="str">
        <x:v>HP-13</x:v>
      </x:c>
      <x:c r="F307" s="7" t="str">
        <x:v>water</x:v>
      </x:c>
      <x:c r="G307" s="7" t="str">
        <x:v>identity</x:v>
      </x:c>
      <x:c r="H307" s="10" t="str"/>
      <x:c r="I307" s="7" t="str"/>
      <x:c r="J307" s="7" t="str">
        <x:v>OPEN</x:v>
      </x:c>
    </x:row>
    <x:row r="308" ht="36" customHeight="1">
      <x:c r="B308" s="7" t="str">
        <x:v>RAE-E-10-HP-14</x:v>
      </x:c>
      <x:c r="C308" s="7" t="str">
        <x:v>RAE-E-10</x:v>
      </x:c>
      <x:c r="D308" s="7" t="str">
        <x:v>RFP-A2</x:v>
      </x:c>
      <x:c r="E308" s="7" t="str">
        <x:v>HP-14</x:v>
      </x:c>
      <x:c r="F308" s="7" t="str">
        <x:v>water</x:v>
      </x:c>
      <x:c r="G308" s="7" t="str">
        <x:v>capacity</x:v>
      </x:c>
      <x:c r="H308" s="10" t="str"/>
      <x:c r="I308" s="7" t="str"/>
      <x:c r="J308" s="7" t="str">
        <x:v>OPEN</x:v>
      </x:c>
    </x:row>
    <x:row r="309" ht="36" customHeight="1">
      <x:c r="B309" s="7" t="str">
        <x:v>RAE-E-10-HP-15</x:v>
      </x:c>
      <x:c r="C309" s="7" t="str">
        <x:v>RAE-E-10</x:v>
      </x:c>
      <x:c r="D309" s="7" t="str">
        <x:v>RFP-A2</x:v>
      </x:c>
      <x:c r="E309" s="7" t="str">
        <x:v>HP-15</x:v>
      </x:c>
      <x:c r="F309" s="7" t="str">
        <x:v>water</x:v>
      </x:c>
      <x:c r="G309" s="7" t="str">
        <x:v>state</x:v>
      </x:c>
      <x:c r="H309" s="10" t="str"/>
      <x:c r="I309" s="7" t="str"/>
      <x:c r="J309" s="7" t="str">
        <x:v>OPEN</x:v>
      </x:c>
    </x:row>
    <x:row r="310" ht="36" customHeight="1">
      <x:c r="B310" s="7" t="str">
        <x:v>RAE-E-10-HP-16</x:v>
      </x:c>
      <x:c r="C310" s="7" t="str">
        <x:v>RAE-E-10</x:v>
      </x:c>
      <x:c r="D310" s="7" t="str">
        <x:v>RFP-A2</x:v>
      </x:c>
      <x:c r="E310" s="7" t="str">
        <x:v>HP-16</x:v>
      </x:c>
      <x:c r="F310" s="7" t="str">
        <x:v>water</x:v>
      </x:c>
      <x:c r="G310" s="7" t="str">
        <x:v>authority</x:v>
      </x:c>
      <x:c r="H310" s="10" t="str"/>
      <x:c r="I310" s="7" t="str"/>
      <x:c r="J310" s="7" t="str">
        <x:v>OPEN</x:v>
      </x:c>
    </x:row>
    <x:row r="311" ht="36" customHeight="1">
      <x:c r="B311" s="7" t="str">
        <x:v>RAE-E-10-HP-17</x:v>
      </x:c>
      <x:c r="C311" s="7" t="str">
        <x:v>RAE-E-10</x:v>
      </x:c>
      <x:c r="D311" s="7" t="str">
        <x:v>RFP-A2</x:v>
      </x:c>
      <x:c r="E311" s="7" t="str">
        <x:v>HP-17</x:v>
      </x:c>
      <x:c r="F311" s="7" t="str">
        <x:v>safeing</x:v>
      </x:c>
      <x:c r="G311" s="7" t="str">
        <x:v>identity</x:v>
      </x:c>
      <x:c r="H311" s="10" t="str"/>
      <x:c r="I311" s="7" t="str"/>
      <x:c r="J311" s="7" t="str">
        <x:v>OPEN</x:v>
      </x:c>
    </x:row>
    <x:row r="312" ht="36" customHeight="1">
      <x:c r="B312" s="7" t="str">
        <x:v>RAE-E-10-HP-18</x:v>
      </x:c>
      <x:c r="C312" s="7" t="str">
        <x:v>RAE-E-10</x:v>
      </x:c>
      <x:c r="D312" s="7" t="str">
        <x:v>RFP-A2</x:v>
      </x:c>
      <x:c r="E312" s="7" t="str">
        <x:v>HP-18</x:v>
      </x:c>
      <x:c r="F312" s="7" t="str">
        <x:v>safeing</x:v>
      </x:c>
      <x:c r="G312" s="7" t="str">
        <x:v>capacity</x:v>
      </x:c>
      <x:c r="H312" s="10" t="str"/>
      <x:c r="I312" s="7" t="str"/>
      <x:c r="J312" s="7" t="str">
        <x:v>OPEN</x:v>
      </x:c>
    </x:row>
    <x:row r="313" ht="36" customHeight="1">
      <x:c r="B313" s="7" t="str">
        <x:v>RAE-E-10-HP-19</x:v>
      </x:c>
      <x:c r="C313" s="7" t="str">
        <x:v>RAE-E-10</x:v>
      </x:c>
      <x:c r="D313" s="7" t="str">
        <x:v>RFP-A2</x:v>
      </x:c>
      <x:c r="E313" s="7" t="str">
        <x:v>HP-19</x:v>
      </x:c>
      <x:c r="F313" s="7" t="str">
        <x:v>safeing</x:v>
      </x:c>
      <x:c r="G313" s="7" t="str">
        <x:v>state</x:v>
      </x:c>
      <x:c r="H313" s="10" t="str"/>
      <x:c r="I313" s="7" t="str"/>
      <x:c r="J313" s="7" t="str">
        <x:v>OPEN</x:v>
      </x:c>
    </x:row>
    <x:row r="314" ht="36" customHeight="1">
      <x:c r="B314" s="7" t="str">
        <x:v>RAE-E-10-HP-20</x:v>
      </x:c>
      <x:c r="C314" s="7" t="str">
        <x:v>RAE-E-10</x:v>
      </x:c>
      <x:c r="D314" s="7" t="str">
        <x:v>RFP-A2</x:v>
      </x:c>
      <x:c r="E314" s="7" t="str">
        <x:v>HP-20</x:v>
      </x:c>
      <x:c r="F314" s="7" t="str">
        <x:v>safeing</x:v>
      </x:c>
      <x:c r="G314" s="7" t="str">
        <x:v>authority</x:v>
      </x:c>
      <x:c r="H314" s="10" t="str"/>
      <x:c r="I314" s="7" t="str"/>
      <x:c r="J314" s="7" t="str">
        <x:v>OPEN</x:v>
      </x:c>
    </x:row>
    <x:row r="315" ht="36" customHeight="1">
      <x:c r="B315" s="7" t="str">
        <x:v>RAE-E-10-HP-21</x:v>
      </x:c>
      <x:c r="C315" s="7" t="str">
        <x:v>RAE-E-10</x:v>
      </x:c>
      <x:c r="D315" s="7" t="str">
        <x:v>RFP-A2</x:v>
      </x:c>
      <x:c r="E315" s="7" t="str">
        <x:v>HP-21</x:v>
      </x:c>
      <x:c r="F315" s="7" t="str">
        <x:v>evidence</x:v>
      </x:c>
      <x:c r="G315" s="7" t="str">
        <x:v>identity</x:v>
      </x:c>
      <x:c r="H315" s="10" t="str"/>
      <x:c r="I315" s="7" t="str"/>
      <x:c r="J315" s="7" t="str">
        <x:v>OPEN</x:v>
      </x:c>
    </x:row>
    <x:row r="316" ht="36" customHeight="1">
      <x:c r="B316" s="7" t="str">
        <x:v>RAE-E-10-HP-22</x:v>
      </x:c>
      <x:c r="C316" s="7" t="str">
        <x:v>RAE-E-10</x:v>
      </x:c>
      <x:c r="D316" s="7" t="str">
        <x:v>RFP-A2</x:v>
      </x:c>
      <x:c r="E316" s="7" t="str">
        <x:v>HP-22</x:v>
      </x:c>
      <x:c r="F316" s="7" t="str">
        <x:v>evidence</x:v>
      </x:c>
      <x:c r="G316" s="7" t="str">
        <x:v>capacity</x:v>
      </x:c>
      <x:c r="H316" s="10" t="str"/>
      <x:c r="I316" s="7" t="str"/>
      <x:c r="J316" s="7" t="str">
        <x:v>OPEN</x:v>
      </x:c>
    </x:row>
    <x:row r="317" ht="36" customHeight="1">
      <x:c r="B317" s="7" t="str">
        <x:v>RAE-E-10-HP-23</x:v>
      </x:c>
      <x:c r="C317" s="7" t="str">
        <x:v>RAE-E-10</x:v>
      </x:c>
      <x:c r="D317" s="7" t="str">
        <x:v>RFP-A2</x:v>
      </x:c>
      <x:c r="E317" s="7" t="str">
        <x:v>HP-23</x:v>
      </x:c>
      <x:c r="F317" s="7" t="str">
        <x:v>evidence</x:v>
      </x:c>
      <x:c r="G317" s="7" t="str">
        <x:v>state</x:v>
      </x:c>
      <x:c r="H317" s="10" t="str"/>
      <x:c r="I317" s="7" t="str"/>
      <x:c r="J317" s="7" t="str">
        <x:v>OPEN</x:v>
      </x:c>
    </x:row>
    <x:row r="318" ht="36" customHeight="1">
      <x:c r="B318" s="7" t="str">
        <x:v>RAE-E-10-HP-24</x:v>
      </x:c>
      <x:c r="C318" s="7" t="str">
        <x:v>RAE-E-10</x:v>
      </x:c>
      <x:c r="D318" s="7" t="str">
        <x:v>RFP-A2</x:v>
      </x:c>
      <x:c r="E318" s="7" t="str">
        <x:v>HP-24</x:v>
      </x:c>
      <x:c r="F318" s="7" t="str">
        <x:v>evidence</x:v>
      </x:c>
      <x:c r="G318" s="7" t="str">
        <x:v>authority</x:v>
      </x:c>
      <x:c r="H318" s="10" t="str"/>
      <x:c r="I318" s="7" t="str"/>
      <x:c r="J318" s="7" t="str">
        <x:v>OPEN</x:v>
      </x:c>
    </x:row>
    <x:row r="319" ht="36" customHeight="1">
      <x:c r="B319" s="7" t="str">
        <x:v>RAE-E-10-HP-25</x:v>
      </x:c>
      <x:c r="C319" s="7" t="str">
        <x:v>RAE-E-10</x:v>
      </x:c>
      <x:c r="D319" s="7" t="str">
        <x:v>RFP-A2</x:v>
      </x:c>
      <x:c r="E319" s="7" t="str">
        <x:v>HP-25</x:v>
      </x:c>
      <x:c r="F319" s="7" t="str">
        <x:v>environment</x:v>
      </x:c>
      <x:c r="G319" s="7" t="str">
        <x:v>identity</x:v>
      </x:c>
      <x:c r="H319" s="10" t="str"/>
      <x:c r="I319" s="7" t="str"/>
      <x:c r="J319" s="7" t="str">
        <x:v>OPEN</x:v>
      </x:c>
    </x:row>
    <x:row r="320" ht="36" customHeight="1">
      <x:c r="B320" s="7" t="str">
        <x:v>RAE-E-10-HP-26</x:v>
      </x:c>
      <x:c r="C320" s="7" t="str">
        <x:v>RAE-E-10</x:v>
      </x:c>
      <x:c r="D320" s="7" t="str">
        <x:v>RFP-A2</x:v>
      </x:c>
      <x:c r="E320" s="7" t="str">
        <x:v>HP-26</x:v>
      </x:c>
      <x:c r="F320" s="7" t="str">
        <x:v>environment</x:v>
      </x:c>
      <x:c r="G320" s="7" t="str">
        <x:v>capacity</x:v>
      </x:c>
      <x:c r="H320" s="10" t="str"/>
      <x:c r="I320" s="7" t="str"/>
      <x:c r="J320" s="7" t="str">
        <x:v>OPEN</x:v>
      </x:c>
    </x:row>
    <x:row r="321" ht="36" customHeight="1">
      <x:c r="B321" s="7" t="str">
        <x:v>RAE-E-10-HP-27</x:v>
      </x:c>
      <x:c r="C321" s="7" t="str">
        <x:v>RAE-E-10</x:v>
      </x:c>
      <x:c r="D321" s="7" t="str">
        <x:v>RFP-A2</x:v>
      </x:c>
      <x:c r="E321" s="7" t="str">
        <x:v>HP-27</x:v>
      </x:c>
      <x:c r="F321" s="7" t="str">
        <x:v>environment</x:v>
      </x:c>
      <x:c r="G321" s="7" t="str">
        <x:v>state</x:v>
      </x:c>
      <x:c r="H321" s="10" t="str"/>
      <x:c r="I321" s="7" t="str"/>
      <x:c r="J321" s="7" t="str">
        <x:v>OPEN</x:v>
      </x:c>
    </x:row>
    <x:row r="322" ht="36" customHeight="1">
      <x:c r="B322" s="7" t="str">
        <x:v>RAE-E-10-HP-28</x:v>
      </x:c>
      <x:c r="C322" s="7" t="str">
        <x:v>RAE-E-10</x:v>
      </x:c>
      <x:c r="D322" s="7" t="str">
        <x:v>RFP-A2</x:v>
      </x:c>
      <x:c r="E322" s="7" t="str">
        <x:v>HP-28</x:v>
      </x:c>
      <x:c r="F322" s="7" t="str">
        <x:v>environment</x:v>
      </x:c>
      <x:c r="G322" s="7" t="str">
        <x:v>authority</x:v>
      </x:c>
      <x:c r="H322" s="10" t="str"/>
      <x:c r="I322" s="7" t="str"/>
      <x:c r="J322" s="7" t="str">
        <x:v>OPEN</x:v>
      </x:c>
    </x:row>
    <x:row r="323" ht="36" customHeight="1">
      <x:c r="B323" s="7" t="str">
        <x:v>RAE-E-10-HP-29</x:v>
      </x:c>
      <x:c r="C323" s="7" t="str">
        <x:v>RAE-E-10</x:v>
      </x:c>
      <x:c r="D323" s="7" t="str">
        <x:v>RFP-A2</x:v>
      </x:c>
      <x:c r="E323" s="7" t="str">
        <x:v>HP-29</x:v>
      </x:c>
      <x:c r="F323" s="7" t="str">
        <x:v>authority</x:v>
      </x:c>
      <x:c r="G323" s="7" t="str">
        <x:v>identity</x:v>
      </x:c>
      <x:c r="H323" s="10" t="str"/>
      <x:c r="I323" s="7" t="str"/>
      <x:c r="J323" s="7" t="str">
        <x:v>OPEN</x:v>
      </x:c>
    </x:row>
    <x:row r="324" ht="36" customHeight="1">
      <x:c r="B324" s="7" t="str">
        <x:v>RAE-E-10-HP-30</x:v>
      </x:c>
      <x:c r="C324" s="7" t="str">
        <x:v>RAE-E-10</x:v>
      </x:c>
      <x:c r="D324" s="7" t="str">
        <x:v>RFP-A2</x:v>
      </x:c>
      <x:c r="E324" s="7" t="str">
        <x:v>HP-30</x:v>
      </x:c>
      <x:c r="F324" s="7" t="str">
        <x:v>authority</x:v>
      </x:c>
      <x:c r="G324" s="7" t="str">
        <x:v>capacity</x:v>
      </x:c>
      <x:c r="H324" s="10" t="str"/>
      <x:c r="I324" s="7" t="str"/>
      <x:c r="J324" s="7" t="str">
        <x:v>OPEN</x:v>
      </x:c>
    </x:row>
    <x:row r="325" ht="36" customHeight="1">
      <x:c r="B325" s="7" t="str">
        <x:v>RAE-E-10-HP-31</x:v>
      </x:c>
      <x:c r="C325" s="7" t="str">
        <x:v>RAE-E-10</x:v>
      </x:c>
      <x:c r="D325" s="7" t="str">
        <x:v>RFP-A2</x:v>
      </x:c>
      <x:c r="E325" s="7" t="str">
        <x:v>HP-31</x:v>
      </x:c>
      <x:c r="F325" s="7" t="str">
        <x:v>authority</x:v>
      </x:c>
      <x:c r="G325" s="7" t="str">
        <x:v>state</x:v>
      </x:c>
      <x:c r="H325" s="10" t="str"/>
      <x:c r="I325" s="7" t="str"/>
      <x:c r="J325" s="7" t="str">
        <x:v>OPEN</x:v>
      </x:c>
    </x:row>
    <x:row r="326" ht="36" customHeight="1">
      <x:c r="B326" s="7" t="str">
        <x:v>RAE-E-10-HP-32</x:v>
      </x:c>
      <x:c r="C326" s="7" t="str">
        <x:v>RAE-E-10</x:v>
      </x:c>
      <x:c r="D326" s="7" t="str">
        <x:v>RFP-A2</x:v>
      </x:c>
      <x:c r="E326" s="7" t="str">
        <x:v>HP-32</x:v>
      </x:c>
      <x:c r="F326" s="7" t="str">
        <x:v>authority</x:v>
      </x:c>
      <x:c r="G326" s="7" t="str">
        <x:v>authority</x:v>
      </x:c>
      <x:c r="H326" s="10" t="str"/>
      <x:c r="I326" s="7" t="str"/>
      <x:c r="J326" s="7" t="str">
        <x:v>OPEN</x:v>
      </x:c>
    </x:row>
    <x:row r="327" ht="36" customHeight="1">
      <x:c r="B327" s="7" t="str">
        <x:v>RAE-E-11-HP-01</x:v>
      </x:c>
      <x:c r="C327" s="7" t="str">
        <x:v>RAE-E-11</x:v>
      </x:c>
      <x:c r="D327" s="7" t="str">
        <x:v>RFP-A2</x:v>
      </x:c>
      <x:c r="E327" s="7" t="str">
        <x:v>HP-01</x:v>
      </x:c>
      <x:c r="F327" s="7" t="str">
        <x:v>configuration</x:v>
      </x:c>
      <x:c r="G327" s="7" t="str">
        <x:v>identity</x:v>
      </x:c>
      <x:c r="H327" s="10" t="str"/>
      <x:c r="I327" s="7" t="str"/>
      <x:c r="J327" s="7" t="str">
        <x:v>OPEN</x:v>
      </x:c>
    </x:row>
    <x:row r="328" ht="36" customHeight="1">
      <x:c r="B328" s="7" t="str">
        <x:v>RAE-E-11-HP-02</x:v>
      </x:c>
      <x:c r="C328" s="7" t="str">
        <x:v>RAE-E-11</x:v>
      </x:c>
      <x:c r="D328" s="7" t="str">
        <x:v>RFP-A2</x:v>
      </x:c>
      <x:c r="E328" s="7" t="str">
        <x:v>HP-02</x:v>
      </x:c>
      <x:c r="F328" s="7" t="str">
        <x:v>configuration</x:v>
      </x:c>
      <x:c r="G328" s="7" t="str">
        <x:v>capacity</x:v>
      </x:c>
      <x:c r="H328" s="10" t="str"/>
      <x:c r="I328" s="7" t="str"/>
      <x:c r="J328" s="7" t="str">
        <x:v>OPEN</x:v>
      </x:c>
    </x:row>
    <x:row r="329" ht="36" customHeight="1">
      <x:c r="B329" s="7" t="str">
        <x:v>RAE-E-11-HP-03</x:v>
      </x:c>
      <x:c r="C329" s="7" t="str">
        <x:v>RAE-E-11</x:v>
      </x:c>
      <x:c r="D329" s="7" t="str">
        <x:v>RFP-A2</x:v>
      </x:c>
      <x:c r="E329" s="7" t="str">
        <x:v>HP-03</x:v>
      </x:c>
      <x:c r="F329" s="7" t="str">
        <x:v>configuration</x:v>
      </x:c>
      <x:c r="G329" s="7" t="str">
        <x:v>state</x:v>
      </x:c>
      <x:c r="H329" s="10" t="str"/>
      <x:c r="I329" s="7" t="str"/>
      <x:c r="J329" s="7" t="str">
        <x:v>OPEN</x:v>
      </x:c>
    </x:row>
    <x:row r="330" ht="36" customHeight="1">
      <x:c r="B330" s="7" t="str">
        <x:v>RAE-E-11-HP-04</x:v>
      </x:c>
      <x:c r="C330" s="7" t="str">
        <x:v>RAE-E-11</x:v>
      </x:c>
      <x:c r="D330" s="7" t="str">
        <x:v>RFP-A2</x:v>
      </x:c>
      <x:c r="E330" s="7" t="str">
        <x:v>HP-04</x:v>
      </x:c>
      <x:c r="F330" s="7" t="str">
        <x:v>configuration</x:v>
      </x:c>
      <x:c r="G330" s="7" t="str">
        <x:v>authority</x:v>
      </x:c>
      <x:c r="H330" s="10" t="str"/>
      <x:c r="I330" s="7" t="str"/>
      <x:c r="J330" s="7" t="str">
        <x:v>OPEN</x:v>
      </x:c>
    </x:row>
    <x:row r="331" ht="36" customHeight="1">
      <x:c r="B331" s="7" t="str">
        <x:v>RAE-E-11-HP-05</x:v>
      </x:c>
      <x:c r="C331" s="7" t="str">
        <x:v>RAE-E-11</x:v>
      </x:c>
      <x:c r="D331" s="7" t="str">
        <x:v>RFP-A2</x:v>
      </x:c>
      <x:c r="E331" s="7" t="str">
        <x:v>HP-05</x:v>
      </x:c>
      <x:c r="F331" s="7" t="str">
        <x:v>source</x:v>
      </x:c>
      <x:c r="G331" s="7" t="str">
        <x:v>identity</x:v>
      </x:c>
      <x:c r="H331" s="10" t="str"/>
      <x:c r="I331" s="7" t="str"/>
      <x:c r="J331" s="7" t="str">
        <x:v>OPEN</x:v>
      </x:c>
    </x:row>
    <x:row r="332" ht="36" customHeight="1">
      <x:c r="B332" s="7" t="str">
        <x:v>RAE-E-11-HP-06</x:v>
      </x:c>
      <x:c r="C332" s="7" t="str">
        <x:v>RAE-E-11</x:v>
      </x:c>
      <x:c r="D332" s="7" t="str">
        <x:v>RFP-A2</x:v>
      </x:c>
      <x:c r="E332" s="7" t="str">
        <x:v>HP-06</x:v>
      </x:c>
      <x:c r="F332" s="7" t="str">
        <x:v>source</x:v>
      </x:c>
      <x:c r="G332" s="7" t="str">
        <x:v>capacity</x:v>
      </x:c>
      <x:c r="H332" s="10" t="str"/>
      <x:c r="I332" s="7" t="str"/>
      <x:c r="J332" s="7" t="str">
        <x:v>OPEN</x:v>
      </x:c>
    </x:row>
    <x:row r="333" ht="36" customHeight="1">
      <x:c r="B333" s="7" t="str">
        <x:v>RAE-E-11-HP-07</x:v>
      </x:c>
      <x:c r="C333" s="7" t="str">
        <x:v>RAE-E-11</x:v>
      </x:c>
      <x:c r="D333" s="7" t="str">
        <x:v>RFP-A2</x:v>
      </x:c>
      <x:c r="E333" s="7" t="str">
        <x:v>HP-07</x:v>
      </x:c>
      <x:c r="F333" s="7" t="str">
        <x:v>source</x:v>
      </x:c>
      <x:c r="G333" s="7" t="str">
        <x:v>state</x:v>
      </x:c>
      <x:c r="H333" s="10" t="str"/>
      <x:c r="I333" s="7" t="str"/>
      <x:c r="J333" s="7" t="str">
        <x:v>OPEN</x:v>
      </x:c>
    </x:row>
    <x:row r="334" ht="36" customHeight="1">
      <x:c r="B334" s="7" t="str">
        <x:v>RAE-E-11-HP-08</x:v>
      </x:c>
      <x:c r="C334" s="7" t="str">
        <x:v>RAE-E-11</x:v>
      </x:c>
      <x:c r="D334" s="7" t="str">
        <x:v>RFP-A2</x:v>
      </x:c>
      <x:c r="E334" s="7" t="str">
        <x:v>HP-08</x:v>
      </x:c>
      <x:c r="F334" s="7" t="str">
        <x:v>source</x:v>
      </x:c>
      <x:c r="G334" s="7" t="str">
        <x:v>authority</x:v>
      </x:c>
      <x:c r="H334" s="10" t="str"/>
      <x:c r="I334" s="7" t="str"/>
      <x:c r="J334" s="7" t="str">
        <x:v>OPEN</x:v>
      </x:c>
    </x:row>
    <x:row r="335" ht="36" customHeight="1">
      <x:c r="B335" s="7" t="str">
        <x:v>RAE-E-11-HP-09</x:v>
      </x:c>
      <x:c r="C335" s="7" t="str">
        <x:v>RAE-E-11</x:v>
      </x:c>
      <x:c r="D335" s="7" t="str">
        <x:v>RFP-A2</x:v>
      </x:c>
      <x:c r="E335" s="7" t="str">
        <x:v>HP-09</x:v>
      </x:c>
      <x:c r="F335" s="7" t="str">
        <x:v>containment</x:v>
      </x:c>
      <x:c r="G335" s="7" t="str">
        <x:v>identity</x:v>
      </x:c>
      <x:c r="H335" s="10" t="str"/>
      <x:c r="I335" s="7" t="str"/>
      <x:c r="J335" s="7" t="str">
        <x:v>OPEN</x:v>
      </x:c>
    </x:row>
    <x:row r="336" ht="36" customHeight="1">
      <x:c r="B336" s="7" t="str">
        <x:v>RAE-E-11-HP-10</x:v>
      </x:c>
      <x:c r="C336" s="7" t="str">
        <x:v>RAE-E-11</x:v>
      </x:c>
      <x:c r="D336" s="7" t="str">
        <x:v>RFP-A2</x:v>
      </x:c>
      <x:c r="E336" s="7" t="str">
        <x:v>HP-10</x:v>
      </x:c>
      <x:c r="F336" s="7" t="str">
        <x:v>containment</x:v>
      </x:c>
      <x:c r="G336" s="7" t="str">
        <x:v>capacity</x:v>
      </x:c>
      <x:c r="H336" s="10" t="str"/>
      <x:c r="I336" s="7" t="str"/>
      <x:c r="J336" s="7" t="str">
        <x:v>OPEN</x:v>
      </x:c>
    </x:row>
    <x:row r="337" ht="36" customHeight="1">
      <x:c r="B337" s="7" t="str">
        <x:v>RAE-E-11-HP-11</x:v>
      </x:c>
      <x:c r="C337" s="7" t="str">
        <x:v>RAE-E-11</x:v>
      </x:c>
      <x:c r="D337" s="7" t="str">
        <x:v>RFP-A2</x:v>
      </x:c>
      <x:c r="E337" s="7" t="str">
        <x:v>HP-11</x:v>
      </x:c>
      <x:c r="F337" s="7" t="str">
        <x:v>containment</x:v>
      </x:c>
      <x:c r="G337" s="7" t="str">
        <x:v>state</x:v>
      </x:c>
      <x:c r="H337" s="10" t="str"/>
      <x:c r="I337" s="7" t="str"/>
      <x:c r="J337" s="7" t="str">
        <x:v>OPEN</x:v>
      </x:c>
    </x:row>
    <x:row r="338" ht="36" customHeight="1">
      <x:c r="B338" s="7" t="str">
        <x:v>RAE-E-11-HP-12</x:v>
      </x:c>
      <x:c r="C338" s="7" t="str">
        <x:v>RAE-E-11</x:v>
      </x:c>
      <x:c r="D338" s="7" t="str">
        <x:v>RFP-A2</x:v>
      </x:c>
      <x:c r="E338" s="7" t="str">
        <x:v>HP-12</x:v>
      </x:c>
      <x:c r="F338" s="7" t="str">
        <x:v>containment</x:v>
      </x:c>
      <x:c r="G338" s="7" t="str">
        <x:v>authority</x:v>
      </x:c>
      <x:c r="H338" s="10" t="str"/>
      <x:c r="I338" s="7" t="str"/>
      <x:c r="J338" s="7" t="str">
        <x:v>OPEN</x:v>
      </x:c>
    </x:row>
    <x:row r="339" ht="36" customHeight="1">
      <x:c r="B339" s="7" t="str">
        <x:v>RAE-E-11-HP-13</x:v>
      </x:c>
      <x:c r="C339" s="7" t="str">
        <x:v>RAE-E-11</x:v>
      </x:c>
      <x:c r="D339" s="7" t="str">
        <x:v>RFP-A2</x:v>
      </x:c>
      <x:c r="E339" s="7" t="str">
        <x:v>HP-13</x:v>
      </x:c>
      <x:c r="F339" s="7" t="str">
        <x:v>water</x:v>
      </x:c>
      <x:c r="G339" s="7" t="str">
        <x:v>identity</x:v>
      </x:c>
      <x:c r="H339" s="10" t="str"/>
      <x:c r="I339" s="7" t="str"/>
      <x:c r="J339" s="7" t="str">
        <x:v>OPEN</x:v>
      </x:c>
    </x:row>
    <x:row r="340" ht="36" customHeight="1">
      <x:c r="B340" s="7" t="str">
        <x:v>RAE-E-11-HP-14</x:v>
      </x:c>
      <x:c r="C340" s="7" t="str">
        <x:v>RAE-E-11</x:v>
      </x:c>
      <x:c r="D340" s="7" t="str">
        <x:v>RFP-A2</x:v>
      </x:c>
      <x:c r="E340" s="7" t="str">
        <x:v>HP-14</x:v>
      </x:c>
      <x:c r="F340" s="7" t="str">
        <x:v>water</x:v>
      </x:c>
      <x:c r="G340" s="7" t="str">
        <x:v>capacity</x:v>
      </x:c>
      <x:c r="H340" s="10" t="str"/>
      <x:c r="I340" s="7" t="str"/>
      <x:c r="J340" s="7" t="str">
        <x:v>OPEN</x:v>
      </x:c>
    </x:row>
    <x:row r="341" ht="36" customHeight="1">
      <x:c r="B341" s="7" t="str">
        <x:v>RAE-E-11-HP-15</x:v>
      </x:c>
      <x:c r="C341" s="7" t="str">
        <x:v>RAE-E-11</x:v>
      </x:c>
      <x:c r="D341" s="7" t="str">
        <x:v>RFP-A2</x:v>
      </x:c>
      <x:c r="E341" s="7" t="str">
        <x:v>HP-15</x:v>
      </x:c>
      <x:c r="F341" s="7" t="str">
        <x:v>water</x:v>
      </x:c>
      <x:c r="G341" s="7" t="str">
        <x:v>state</x:v>
      </x:c>
      <x:c r="H341" s="10" t="str"/>
      <x:c r="I341" s="7" t="str"/>
      <x:c r="J341" s="7" t="str">
        <x:v>OPEN</x:v>
      </x:c>
    </x:row>
    <x:row r="342" ht="36" customHeight="1">
      <x:c r="B342" s="7" t="str">
        <x:v>RAE-E-11-HP-16</x:v>
      </x:c>
      <x:c r="C342" s="7" t="str">
        <x:v>RAE-E-11</x:v>
      </x:c>
      <x:c r="D342" s="7" t="str">
        <x:v>RFP-A2</x:v>
      </x:c>
      <x:c r="E342" s="7" t="str">
        <x:v>HP-16</x:v>
      </x:c>
      <x:c r="F342" s="7" t="str">
        <x:v>water</x:v>
      </x:c>
      <x:c r="G342" s="7" t="str">
        <x:v>authority</x:v>
      </x:c>
      <x:c r="H342" s="10" t="str"/>
      <x:c r="I342" s="7" t="str"/>
      <x:c r="J342" s="7" t="str">
        <x:v>OPEN</x:v>
      </x:c>
    </x:row>
    <x:row r="343" ht="36" customHeight="1">
      <x:c r="B343" s="7" t="str">
        <x:v>RAE-E-11-HP-17</x:v>
      </x:c>
      <x:c r="C343" s="7" t="str">
        <x:v>RAE-E-11</x:v>
      </x:c>
      <x:c r="D343" s="7" t="str">
        <x:v>RFP-A2</x:v>
      </x:c>
      <x:c r="E343" s="7" t="str">
        <x:v>HP-17</x:v>
      </x:c>
      <x:c r="F343" s="7" t="str">
        <x:v>safeing</x:v>
      </x:c>
      <x:c r="G343" s="7" t="str">
        <x:v>identity</x:v>
      </x:c>
      <x:c r="H343" s="10" t="str"/>
      <x:c r="I343" s="7" t="str"/>
      <x:c r="J343" s="7" t="str">
        <x:v>OPEN</x:v>
      </x:c>
    </x:row>
    <x:row r="344" ht="36" customHeight="1">
      <x:c r="B344" s="7" t="str">
        <x:v>RAE-E-11-HP-18</x:v>
      </x:c>
      <x:c r="C344" s="7" t="str">
        <x:v>RAE-E-11</x:v>
      </x:c>
      <x:c r="D344" s="7" t="str">
        <x:v>RFP-A2</x:v>
      </x:c>
      <x:c r="E344" s="7" t="str">
        <x:v>HP-18</x:v>
      </x:c>
      <x:c r="F344" s="7" t="str">
        <x:v>safeing</x:v>
      </x:c>
      <x:c r="G344" s="7" t="str">
        <x:v>capacity</x:v>
      </x:c>
      <x:c r="H344" s="10" t="str"/>
      <x:c r="I344" s="7" t="str"/>
      <x:c r="J344" s="7" t="str">
        <x:v>OPEN</x:v>
      </x:c>
    </x:row>
    <x:row r="345" ht="36" customHeight="1">
      <x:c r="B345" s="7" t="str">
        <x:v>RAE-E-11-HP-19</x:v>
      </x:c>
      <x:c r="C345" s="7" t="str">
        <x:v>RAE-E-11</x:v>
      </x:c>
      <x:c r="D345" s="7" t="str">
        <x:v>RFP-A2</x:v>
      </x:c>
      <x:c r="E345" s="7" t="str">
        <x:v>HP-19</x:v>
      </x:c>
      <x:c r="F345" s="7" t="str">
        <x:v>safeing</x:v>
      </x:c>
      <x:c r="G345" s="7" t="str">
        <x:v>state</x:v>
      </x:c>
      <x:c r="H345" s="10" t="str"/>
      <x:c r="I345" s="7" t="str"/>
      <x:c r="J345" s="7" t="str">
        <x:v>OPEN</x:v>
      </x:c>
    </x:row>
    <x:row r="346" ht="36" customHeight="1">
      <x:c r="B346" s="7" t="str">
        <x:v>RAE-E-11-HP-20</x:v>
      </x:c>
      <x:c r="C346" s="7" t="str">
        <x:v>RAE-E-11</x:v>
      </x:c>
      <x:c r="D346" s="7" t="str">
        <x:v>RFP-A2</x:v>
      </x:c>
      <x:c r="E346" s="7" t="str">
        <x:v>HP-20</x:v>
      </x:c>
      <x:c r="F346" s="7" t="str">
        <x:v>safeing</x:v>
      </x:c>
      <x:c r="G346" s="7" t="str">
        <x:v>authority</x:v>
      </x:c>
      <x:c r="H346" s="10" t="str"/>
      <x:c r="I346" s="7" t="str"/>
      <x:c r="J346" s="7" t="str">
        <x:v>OPEN</x:v>
      </x:c>
    </x:row>
    <x:row r="347" ht="36" customHeight="1">
      <x:c r="B347" s="7" t="str">
        <x:v>RAE-E-11-HP-21</x:v>
      </x:c>
      <x:c r="C347" s="7" t="str">
        <x:v>RAE-E-11</x:v>
      </x:c>
      <x:c r="D347" s="7" t="str">
        <x:v>RFP-A2</x:v>
      </x:c>
      <x:c r="E347" s="7" t="str">
        <x:v>HP-21</x:v>
      </x:c>
      <x:c r="F347" s="7" t="str">
        <x:v>evidence</x:v>
      </x:c>
      <x:c r="G347" s="7" t="str">
        <x:v>identity</x:v>
      </x:c>
      <x:c r="H347" s="10" t="str"/>
      <x:c r="I347" s="7" t="str"/>
      <x:c r="J347" s="7" t="str">
        <x:v>OPEN</x:v>
      </x:c>
    </x:row>
    <x:row r="348" ht="36" customHeight="1">
      <x:c r="B348" s="7" t="str">
        <x:v>RAE-E-11-HP-22</x:v>
      </x:c>
      <x:c r="C348" s="7" t="str">
        <x:v>RAE-E-11</x:v>
      </x:c>
      <x:c r="D348" s="7" t="str">
        <x:v>RFP-A2</x:v>
      </x:c>
      <x:c r="E348" s="7" t="str">
        <x:v>HP-22</x:v>
      </x:c>
      <x:c r="F348" s="7" t="str">
        <x:v>evidence</x:v>
      </x:c>
      <x:c r="G348" s="7" t="str">
        <x:v>capacity</x:v>
      </x:c>
      <x:c r="H348" s="10" t="str"/>
      <x:c r="I348" s="7" t="str"/>
      <x:c r="J348" s="7" t="str">
        <x:v>OPEN</x:v>
      </x:c>
    </x:row>
    <x:row r="349" ht="36" customHeight="1">
      <x:c r="B349" s="7" t="str">
        <x:v>RAE-E-11-HP-23</x:v>
      </x:c>
      <x:c r="C349" s="7" t="str">
        <x:v>RAE-E-11</x:v>
      </x:c>
      <x:c r="D349" s="7" t="str">
        <x:v>RFP-A2</x:v>
      </x:c>
      <x:c r="E349" s="7" t="str">
        <x:v>HP-23</x:v>
      </x:c>
      <x:c r="F349" s="7" t="str">
        <x:v>evidence</x:v>
      </x:c>
      <x:c r="G349" s="7" t="str">
        <x:v>state</x:v>
      </x:c>
      <x:c r="H349" s="10" t="str"/>
      <x:c r="I349" s="7" t="str"/>
      <x:c r="J349" s="7" t="str">
        <x:v>OPEN</x:v>
      </x:c>
    </x:row>
    <x:row r="350" ht="36" customHeight="1">
      <x:c r="B350" s="7" t="str">
        <x:v>RAE-E-11-HP-24</x:v>
      </x:c>
      <x:c r="C350" s="7" t="str">
        <x:v>RAE-E-11</x:v>
      </x:c>
      <x:c r="D350" s="7" t="str">
        <x:v>RFP-A2</x:v>
      </x:c>
      <x:c r="E350" s="7" t="str">
        <x:v>HP-24</x:v>
      </x:c>
      <x:c r="F350" s="7" t="str">
        <x:v>evidence</x:v>
      </x:c>
      <x:c r="G350" s="7" t="str">
        <x:v>authority</x:v>
      </x:c>
      <x:c r="H350" s="10" t="str"/>
      <x:c r="I350" s="7" t="str"/>
      <x:c r="J350" s="7" t="str">
        <x:v>OPEN</x:v>
      </x:c>
    </x:row>
    <x:row r="351" ht="36" customHeight="1">
      <x:c r="B351" s="7" t="str">
        <x:v>RAE-E-11-HP-25</x:v>
      </x:c>
      <x:c r="C351" s="7" t="str">
        <x:v>RAE-E-11</x:v>
      </x:c>
      <x:c r="D351" s="7" t="str">
        <x:v>RFP-A2</x:v>
      </x:c>
      <x:c r="E351" s="7" t="str">
        <x:v>HP-25</x:v>
      </x:c>
      <x:c r="F351" s="7" t="str">
        <x:v>environment</x:v>
      </x:c>
      <x:c r="G351" s="7" t="str">
        <x:v>identity</x:v>
      </x:c>
      <x:c r="H351" s="10" t="str"/>
      <x:c r="I351" s="7" t="str"/>
      <x:c r="J351" s="7" t="str">
        <x:v>OPEN</x:v>
      </x:c>
    </x:row>
    <x:row r="352" ht="36" customHeight="1">
      <x:c r="B352" s="7" t="str">
        <x:v>RAE-E-11-HP-26</x:v>
      </x:c>
      <x:c r="C352" s="7" t="str">
        <x:v>RAE-E-11</x:v>
      </x:c>
      <x:c r="D352" s="7" t="str">
        <x:v>RFP-A2</x:v>
      </x:c>
      <x:c r="E352" s="7" t="str">
        <x:v>HP-26</x:v>
      </x:c>
      <x:c r="F352" s="7" t="str">
        <x:v>environment</x:v>
      </x:c>
      <x:c r="G352" s="7" t="str">
        <x:v>capacity</x:v>
      </x:c>
      <x:c r="H352" s="10" t="str"/>
      <x:c r="I352" s="7" t="str"/>
      <x:c r="J352" s="7" t="str">
        <x:v>OPEN</x:v>
      </x:c>
    </x:row>
    <x:row r="353" ht="36" customHeight="1">
      <x:c r="B353" s="7" t="str">
        <x:v>RAE-E-11-HP-27</x:v>
      </x:c>
      <x:c r="C353" s="7" t="str">
        <x:v>RAE-E-11</x:v>
      </x:c>
      <x:c r="D353" s="7" t="str">
        <x:v>RFP-A2</x:v>
      </x:c>
      <x:c r="E353" s="7" t="str">
        <x:v>HP-27</x:v>
      </x:c>
      <x:c r="F353" s="7" t="str">
        <x:v>environment</x:v>
      </x:c>
      <x:c r="G353" s="7" t="str">
        <x:v>state</x:v>
      </x:c>
      <x:c r="H353" s="10" t="str"/>
      <x:c r="I353" s="7" t="str"/>
      <x:c r="J353" s="7" t="str">
        <x:v>OPEN</x:v>
      </x:c>
    </x:row>
    <x:row r="354" ht="36" customHeight="1">
      <x:c r="B354" s="7" t="str">
        <x:v>RAE-E-11-HP-28</x:v>
      </x:c>
      <x:c r="C354" s="7" t="str">
        <x:v>RAE-E-11</x:v>
      </x:c>
      <x:c r="D354" s="7" t="str">
        <x:v>RFP-A2</x:v>
      </x:c>
      <x:c r="E354" s="7" t="str">
        <x:v>HP-28</x:v>
      </x:c>
      <x:c r="F354" s="7" t="str">
        <x:v>environment</x:v>
      </x:c>
      <x:c r="G354" s="7" t="str">
        <x:v>authority</x:v>
      </x:c>
      <x:c r="H354" s="10" t="str"/>
      <x:c r="I354" s="7" t="str"/>
      <x:c r="J354" s="7" t="str">
        <x:v>OPEN</x:v>
      </x:c>
    </x:row>
    <x:row r="355" ht="36" customHeight="1">
      <x:c r="B355" s="7" t="str">
        <x:v>RAE-E-11-HP-29</x:v>
      </x:c>
      <x:c r="C355" s="7" t="str">
        <x:v>RAE-E-11</x:v>
      </x:c>
      <x:c r="D355" s="7" t="str">
        <x:v>RFP-A2</x:v>
      </x:c>
      <x:c r="E355" s="7" t="str">
        <x:v>HP-29</x:v>
      </x:c>
      <x:c r="F355" s="7" t="str">
        <x:v>authority</x:v>
      </x:c>
      <x:c r="G355" s="7" t="str">
        <x:v>identity</x:v>
      </x:c>
      <x:c r="H355" s="10" t="str"/>
      <x:c r="I355" s="7" t="str"/>
      <x:c r="J355" s="7" t="str">
        <x:v>OPEN</x:v>
      </x:c>
    </x:row>
    <x:row r="356" ht="36" customHeight="1">
      <x:c r="B356" s="7" t="str">
        <x:v>RAE-E-11-HP-30</x:v>
      </x:c>
      <x:c r="C356" s="7" t="str">
        <x:v>RAE-E-11</x:v>
      </x:c>
      <x:c r="D356" s="7" t="str">
        <x:v>RFP-A2</x:v>
      </x:c>
      <x:c r="E356" s="7" t="str">
        <x:v>HP-30</x:v>
      </x:c>
      <x:c r="F356" s="7" t="str">
        <x:v>authority</x:v>
      </x:c>
      <x:c r="G356" s="7" t="str">
        <x:v>capacity</x:v>
      </x:c>
      <x:c r="H356" s="10" t="str"/>
      <x:c r="I356" s="7" t="str"/>
      <x:c r="J356" s="7" t="str">
        <x:v>OPEN</x:v>
      </x:c>
    </x:row>
    <x:row r="357" ht="36" customHeight="1">
      <x:c r="B357" s="7" t="str">
        <x:v>RAE-E-11-HP-31</x:v>
      </x:c>
      <x:c r="C357" s="7" t="str">
        <x:v>RAE-E-11</x:v>
      </x:c>
      <x:c r="D357" s="7" t="str">
        <x:v>RFP-A2</x:v>
      </x:c>
      <x:c r="E357" s="7" t="str">
        <x:v>HP-31</x:v>
      </x:c>
      <x:c r="F357" s="7" t="str">
        <x:v>authority</x:v>
      </x:c>
      <x:c r="G357" s="7" t="str">
        <x:v>state</x:v>
      </x:c>
      <x:c r="H357" s="10" t="str"/>
      <x:c r="I357" s="7" t="str"/>
      <x:c r="J357" s="7" t="str">
        <x:v>OPEN</x:v>
      </x:c>
    </x:row>
    <x:row r="358" ht="36" customHeight="1">
      <x:c r="B358" s="7" t="str">
        <x:v>RAE-E-11-HP-32</x:v>
      </x:c>
      <x:c r="C358" s="7" t="str">
        <x:v>RAE-E-11</x:v>
      </x:c>
      <x:c r="D358" s="7" t="str">
        <x:v>RFP-A2</x:v>
      </x:c>
      <x:c r="E358" s="7" t="str">
        <x:v>HP-32</x:v>
      </x:c>
      <x:c r="F358" s="7" t="str">
        <x:v>authority</x:v>
      </x:c>
      <x:c r="G358" s="7" t="str">
        <x:v>authority</x:v>
      </x:c>
      <x:c r="H358" s="10" t="str"/>
      <x:c r="I358" s="7" t="str"/>
      <x:c r="J358" s="7" t="str">
        <x:v>OPEN</x:v>
      </x:c>
    </x:row>
    <x:row r="359" ht="36" customHeight="1">
      <x:c r="B359" s="7" t="str">
        <x:v>RAE-E-12-HP-01</x:v>
      </x:c>
      <x:c r="C359" s="7" t="str">
        <x:v>RAE-E-12</x:v>
      </x:c>
      <x:c r="D359" s="7" t="str">
        <x:v>RFP-A2</x:v>
      </x:c>
      <x:c r="E359" s="7" t="str">
        <x:v>HP-01</x:v>
      </x:c>
      <x:c r="F359" s="7" t="str">
        <x:v>configuration</x:v>
      </x:c>
      <x:c r="G359" s="7" t="str">
        <x:v>identity</x:v>
      </x:c>
      <x:c r="H359" s="10" t="str"/>
      <x:c r="I359" s="7" t="str"/>
      <x:c r="J359" s="7" t="str">
        <x:v>OPEN</x:v>
      </x:c>
    </x:row>
    <x:row r="360" ht="36" customHeight="1">
      <x:c r="B360" s="7" t="str">
        <x:v>RAE-E-12-HP-02</x:v>
      </x:c>
      <x:c r="C360" s="7" t="str">
        <x:v>RAE-E-12</x:v>
      </x:c>
      <x:c r="D360" s="7" t="str">
        <x:v>RFP-A2</x:v>
      </x:c>
      <x:c r="E360" s="7" t="str">
        <x:v>HP-02</x:v>
      </x:c>
      <x:c r="F360" s="7" t="str">
        <x:v>configuration</x:v>
      </x:c>
      <x:c r="G360" s="7" t="str">
        <x:v>capacity</x:v>
      </x:c>
      <x:c r="H360" s="10" t="str"/>
      <x:c r="I360" s="7" t="str"/>
      <x:c r="J360" s="7" t="str">
        <x:v>OPEN</x:v>
      </x:c>
    </x:row>
    <x:row r="361" ht="36" customHeight="1">
      <x:c r="B361" s="7" t="str">
        <x:v>RAE-E-12-HP-03</x:v>
      </x:c>
      <x:c r="C361" s="7" t="str">
        <x:v>RAE-E-12</x:v>
      </x:c>
      <x:c r="D361" s="7" t="str">
        <x:v>RFP-A2</x:v>
      </x:c>
      <x:c r="E361" s="7" t="str">
        <x:v>HP-03</x:v>
      </x:c>
      <x:c r="F361" s="7" t="str">
        <x:v>configuration</x:v>
      </x:c>
      <x:c r="G361" s="7" t="str">
        <x:v>state</x:v>
      </x:c>
      <x:c r="H361" s="10" t="str"/>
      <x:c r="I361" s="7" t="str"/>
      <x:c r="J361" s="7" t="str">
        <x:v>OPEN</x:v>
      </x:c>
    </x:row>
    <x:row r="362" ht="36" customHeight="1">
      <x:c r="B362" s="7" t="str">
        <x:v>RAE-E-12-HP-04</x:v>
      </x:c>
      <x:c r="C362" s="7" t="str">
        <x:v>RAE-E-12</x:v>
      </x:c>
      <x:c r="D362" s="7" t="str">
        <x:v>RFP-A2</x:v>
      </x:c>
      <x:c r="E362" s="7" t="str">
        <x:v>HP-04</x:v>
      </x:c>
      <x:c r="F362" s="7" t="str">
        <x:v>configuration</x:v>
      </x:c>
      <x:c r="G362" s="7" t="str">
        <x:v>authority</x:v>
      </x:c>
      <x:c r="H362" s="10" t="str"/>
      <x:c r="I362" s="7" t="str"/>
      <x:c r="J362" s="7" t="str">
        <x:v>OPEN</x:v>
      </x:c>
    </x:row>
    <x:row r="363" ht="36" customHeight="1">
      <x:c r="B363" s="7" t="str">
        <x:v>RAE-E-12-HP-05</x:v>
      </x:c>
      <x:c r="C363" s="7" t="str">
        <x:v>RAE-E-12</x:v>
      </x:c>
      <x:c r="D363" s="7" t="str">
        <x:v>RFP-A2</x:v>
      </x:c>
      <x:c r="E363" s="7" t="str">
        <x:v>HP-05</x:v>
      </x:c>
      <x:c r="F363" s="7" t="str">
        <x:v>source</x:v>
      </x:c>
      <x:c r="G363" s="7" t="str">
        <x:v>identity</x:v>
      </x:c>
      <x:c r="H363" s="10" t="str"/>
      <x:c r="I363" s="7" t="str"/>
      <x:c r="J363" s="7" t="str">
        <x:v>OPEN</x:v>
      </x:c>
    </x:row>
    <x:row r="364" ht="36" customHeight="1">
      <x:c r="B364" s="7" t="str">
        <x:v>RAE-E-12-HP-06</x:v>
      </x:c>
      <x:c r="C364" s="7" t="str">
        <x:v>RAE-E-12</x:v>
      </x:c>
      <x:c r="D364" s="7" t="str">
        <x:v>RFP-A2</x:v>
      </x:c>
      <x:c r="E364" s="7" t="str">
        <x:v>HP-06</x:v>
      </x:c>
      <x:c r="F364" s="7" t="str">
        <x:v>source</x:v>
      </x:c>
      <x:c r="G364" s="7" t="str">
        <x:v>capacity</x:v>
      </x:c>
      <x:c r="H364" s="10" t="str"/>
      <x:c r="I364" s="7" t="str"/>
      <x:c r="J364" s="7" t="str">
        <x:v>OPEN</x:v>
      </x:c>
    </x:row>
    <x:row r="365" ht="36" customHeight="1">
      <x:c r="B365" s="7" t="str">
        <x:v>RAE-E-12-HP-07</x:v>
      </x:c>
      <x:c r="C365" s="7" t="str">
        <x:v>RAE-E-12</x:v>
      </x:c>
      <x:c r="D365" s="7" t="str">
        <x:v>RFP-A2</x:v>
      </x:c>
      <x:c r="E365" s="7" t="str">
        <x:v>HP-07</x:v>
      </x:c>
      <x:c r="F365" s="7" t="str">
        <x:v>source</x:v>
      </x:c>
      <x:c r="G365" s="7" t="str">
        <x:v>state</x:v>
      </x:c>
      <x:c r="H365" s="10" t="str"/>
      <x:c r="I365" s="7" t="str"/>
      <x:c r="J365" s="7" t="str">
        <x:v>OPEN</x:v>
      </x:c>
    </x:row>
    <x:row r="366" ht="36" customHeight="1">
      <x:c r="B366" s="7" t="str">
        <x:v>RAE-E-12-HP-08</x:v>
      </x:c>
      <x:c r="C366" s="7" t="str">
        <x:v>RAE-E-12</x:v>
      </x:c>
      <x:c r="D366" s="7" t="str">
        <x:v>RFP-A2</x:v>
      </x:c>
      <x:c r="E366" s="7" t="str">
        <x:v>HP-08</x:v>
      </x:c>
      <x:c r="F366" s="7" t="str">
        <x:v>source</x:v>
      </x:c>
      <x:c r="G366" s="7" t="str">
        <x:v>authority</x:v>
      </x:c>
      <x:c r="H366" s="10" t="str"/>
      <x:c r="I366" s="7" t="str"/>
      <x:c r="J366" s="7" t="str">
        <x:v>OPEN</x:v>
      </x:c>
    </x:row>
    <x:row r="367" ht="36" customHeight="1">
      <x:c r="B367" s="7" t="str">
        <x:v>RAE-E-12-HP-09</x:v>
      </x:c>
      <x:c r="C367" s="7" t="str">
        <x:v>RAE-E-12</x:v>
      </x:c>
      <x:c r="D367" s="7" t="str">
        <x:v>RFP-A2</x:v>
      </x:c>
      <x:c r="E367" s="7" t="str">
        <x:v>HP-09</x:v>
      </x:c>
      <x:c r="F367" s="7" t="str">
        <x:v>containment</x:v>
      </x:c>
      <x:c r="G367" s="7" t="str">
        <x:v>identity</x:v>
      </x:c>
      <x:c r="H367" s="10" t="str"/>
      <x:c r="I367" s="7" t="str"/>
      <x:c r="J367" s="7" t="str">
        <x:v>OPEN</x:v>
      </x:c>
    </x:row>
    <x:row r="368" ht="36" customHeight="1">
      <x:c r="B368" s="7" t="str">
        <x:v>RAE-E-12-HP-10</x:v>
      </x:c>
      <x:c r="C368" s="7" t="str">
        <x:v>RAE-E-12</x:v>
      </x:c>
      <x:c r="D368" s="7" t="str">
        <x:v>RFP-A2</x:v>
      </x:c>
      <x:c r="E368" s="7" t="str">
        <x:v>HP-10</x:v>
      </x:c>
      <x:c r="F368" s="7" t="str">
        <x:v>containment</x:v>
      </x:c>
      <x:c r="G368" s="7" t="str">
        <x:v>capacity</x:v>
      </x:c>
      <x:c r="H368" s="10" t="str"/>
      <x:c r="I368" s="7" t="str"/>
      <x:c r="J368" s="7" t="str">
        <x:v>OPEN</x:v>
      </x:c>
    </x:row>
    <x:row r="369" ht="36" customHeight="1">
      <x:c r="B369" s="7" t="str">
        <x:v>RAE-E-12-HP-11</x:v>
      </x:c>
      <x:c r="C369" s="7" t="str">
        <x:v>RAE-E-12</x:v>
      </x:c>
      <x:c r="D369" s="7" t="str">
        <x:v>RFP-A2</x:v>
      </x:c>
      <x:c r="E369" s="7" t="str">
        <x:v>HP-11</x:v>
      </x:c>
      <x:c r="F369" s="7" t="str">
        <x:v>containment</x:v>
      </x:c>
      <x:c r="G369" s="7" t="str">
        <x:v>state</x:v>
      </x:c>
      <x:c r="H369" s="10" t="str"/>
      <x:c r="I369" s="7" t="str"/>
      <x:c r="J369" s="7" t="str">
        <x:v>OPEN</x:v>
      </x:c>
    </x:row>
    <x:row r="370" ht="36" customHeight="1">
      <x:c r="B370" s="7" t="str">
        <x:v>RAE-E-12-HP-12</x:v>
      </x:c>
      <x:c r="C370" s="7" t="str">
        <x:v>RAE-E-12</x:v>
      </x:c>
      <x:c r="D370" s="7" t="str">
        <x:v>RFP-A2</x:v>
      </x:c>
      <x:c r="E370" s="7" t="str">
        <x:v>HP-12</x:v>
      </x:c>
      <x:c r="F370" s="7" t="str">
        <x:v>containment</x:v>
      </x:c>
      <x:c r="G370" s="7" t="str">
        <x:v>authority</x:v>
      </x:c>
      <x:c r="H370" s="10" t="str"/>
      <x:c r="I370" s="7" t="str"/>
      <x:c r="J370" s="7" t="str">
        <x:v>OPEN</x:v>
      </x:c>
    </x:row>
    <x:row r="371" ht="36" customHeight="1">
      <x:c r="B371" s="7" t="str">
        <x:v>RAE-E-12-HP-13</x:v>
      </x:c>
      <x:c r="C371" s="7" t="str">
        <x:v>RAE-E-12</x:v>
      </x:c>
      <x:c r="D371" s="7" t="str">
        <x:v>RFP-A2</x:v>
      </x:c>
      <x:c r="E371" s="7" t="str">
        <x:v>HP-13</x:v>
      </x:c>
      <x:c r="F371" s="7" t="str">
        <x:v>water</x:v>
      </x:c>
      <x:c r="G371" s="7" t="str">
        <x:v>identity</x:v>
      </x:c>
      <x:c r="H371" s="10" t="str"/>
      <x:c r="I371" s="7" t="str"/>
      <x:c r="J371" s="7" t="str">
        <x:v>OPEN</x:v>
      </x:c>
    </x:row>
    <x:row r="372" ht="36" customHeight="1">
      <x:c r="B372" s="7" t="str">
        <x:v>RAE-E-12-HP-14</x:v>
      </x:c>
      <x:c r="C372" s="7" t="str">
        <x:v>RAE-E-12</x:v>
      </x:c>
      <x:c r="D372" s="7" t="str">
        <x:v>RFP-A2</x:v>
      </x:c>
      <x:c r="E372" s="7" t="str">
        <x:v>HP-14</x:v>
      </x:c>
      <x:c r="F372" s="7" t="str">
        <x:v>water</x:v>
      </x:c>
      <x:c r="G372" s="7" t="str">
        <x:v>capacity</x:v>
      </x:c>
      <x:c r="H372" s="10" t="str"/>
      <x:c r="I372" s="7" t="str"/>
      <x:c r="J372" s="7" t="str">
        <x:v>OPEN</x:v>
      </x:c>
    </x:row>
    <x:row r="373" ht="36" customHeight="1">
      <x:c r="B373" s="7" t="str">
        <x:v>RAE-E-12-HP-15</x:v>
      </x:c>
      <x:c r="C373" s="7" t="str">
        <x:v>RAE-E-12</x:v>
      </x:c>
      <x:c r="D373" s="7" t="str">
        <x:v>RFP-A2</x:v>
      </x:c>
      <x:c r="E373" s="7" t="str">
        <x:v>HP-15</x:v>
      </x:c>
      <x:c r="F373" s="7" t="str">
        <x:v>water</x:v>
      </x:c>
      <x:c r="G373" s="7" t="str">
        <x:v>state</x:v>
      </x:c>
      <x:c r="H373" s="10" t="str"/>
      <x:c r="I373" s="7" t="str"/>
      <x:c r="J373" s="7" t="str">
        <x:v>OPEN</x:v>
      </x:c>
    </x:row>
    <x:row r="374" ht="36" customHeight="1">
      <x:c r="B374" s="7" t="str">
        <x:v>RAE-E-12-HP-16</x:v>
      </x:c>
      <x:c r="C374" s="7" t="str">
        <x:v>RAE-E-12</x:v>
      </x:c>
      <x:c r="D374" s="7" t="str">
        <x:v>RFP-A2</x:v>
      </x:c>
      <x:c r="E374" s="7" t="str">
        <x:v>HP-16</x:v>
      </x:c>
      <x:c r="F374" s="7" t="str">
        <x:v>water</x:v>
      </x:c>
      <x:c r="G374" s="7" t="str">
        <x:v>authority</x:v>
      </x:c>
      <x:c r="H374" s="10" t="str"/>
      <x:c r="I374" s="7" t="str"/>
      <x:c r="J374" s="7" t="str">
        <x:v>OPEN</x:v>
      </x:c>
    </x:row>
    <x:row r="375" ht="36" customHeight="1">
      <x:c r="B375" s="7" t="str">
        <x:v>RAE-E-12-HP-17</x:v>
      </x:c>
      <x:c r="C375" s="7" t="str">
        <x:v>RAE-E-12</x:v>
      </x:c>
      <x:c r="D375" s="7" t="str">
        <x:v>RFP-A2</x:v>
      </x:c>
      <x:c r="E375" s="7" t="str">
        <x:v>HP-17</x:v>
      </x:c>
      <x:c r="F375" s="7" t="str">
        <x:v>safeing</x:v>
      </x:c>
      <x:c r="G375" s="7" t="str">
        <x:v>identity</x:v>
      </x:c>
      <x:c r="H375" s="10" t="str"/>
      <x:c r="I375" s="7" t="str"/>
      <x:c r="J375" s="7" t="str">
        <x:v>OPEN</x:v>
      </x:c>
    </x:row>
    <x:row r="376" ht="36" customHeight="1">
      <x:c r="B376" s="7" t="str">
        <x:v>RAE-E-12-HP-18</x:v>
      </x:c>
      <x:c r="C376" s="7" t="str">
        <x:v>RAE-E-12</x:v>
      </x:c>
      <x:c r="D376" s="7" t="str">
        <x:v>RFP-A2</x:v>
      </x:c>
      <x:c r="E376" s="7" t="str">
        <x:v>HP-18</x:v>
      </x:c>
      <x:c r="F376" s="7" t="str">
        <x:v>safeing</x:v>
      </x:c>
      <x:c r="G376" s="7" t="str">
        <x:v>capacity</x:v>
      </x:c>
      <x:c r="H376" s="10" t="str"/>
      <x:c r="I376" s="7" t="str"/>
      <x:c r="J376" s="7" t="str">
        <x:v>OPEN</x:v>
      </x:c>
    </x:row>
    <x:row r="377" ht="36" customHeight="1">
      <x:c r="B377" s="7" t="str">
        <x:v>RAE-E-12-HP-19</x:v>
      </x:c>
      <x:c r="C377" s="7" t="str">
        <x:v>RAE-E-12</x:v>
      </x:c>
      <x:c r="D377" s="7" t="str">
        <x:v>RFP-A2</x:v>
      </x:c>
      <x:c r="E377" s="7" t="str">
        <x:v>HP-19</x:v>
      </x:c>
      <x:c r="F377" s="7" t="str">
        <x:v>safeing</x:v>
      </x:c>
      <x:c r="G377" s="7" t="str">
        <x:v>state</x:v>
      </x:c>
      <x:c r="H377" s="10" t="str"/>
      <x:c r="I377" s="7" t="str"/>
      <x:c r="J377" s="7" t="str">
        <x:v>OPEN</x:v>
      </x:c>
    </x:row>
    <x:row r="378" ht="36" customHeight="1">
      <x:c r="B378" s="7" t="str">
        <x:v>RAE-E-12-HP-20</x:v>
      </x:c>
      <x:c r="C378" s="7" t="str">
        <x:v>RAE-E-12</x:v>
      </x:c>
      <x:c r="D378" s="7" t="str">
        <x:v>RFP-A2</x:v>
      </x:c>
      <x:c r="E378" s="7" t="str">
        <x:v>HP-20</x:v>
      </x:c>
      <x:c r="F378" s="7" t="str">
        <x:v>safeing</x:v>
      </x:c>
      <x:c r="G378" s="7" t="str">
        <x:v>authority</x:v>
      </x:c>
      <x:c r="H378" s="10" t="str"/>
      <x:c r="I378" s="7" t="str"/>
      <x:c r="J378" s="7" t="str">
        <x:v>OPEN</x:v>
      </x:c>
    </x:row>
    <x:row r="379" ht="36" customHeight="1">
      <x:c r="B379" s="7" t="str">
        <x:v>RAE-E-12-HP-21</x:v>
      </x:c>
      <x:c r="C379" s="7" t="str">
        <x:v>RAE-E-12</x:v>
      </x:c>
      <x:c r="D379" s="7" t="str">
        <x:v>RFP-A2</x:v>
      </x:c>
      <x:c r="E379" s="7" t="str">
        <x:v>HP-21</x:v>
      </x:c>
      <x:c r="F379" s="7" t="str">
        <x:v>evidence</x:v>
      </x:c>
      <x:c r="G379" s="7" t="str">
        <x:v>identity</x:v>
      </x:c>
      <x:c r="H379" s="10" t="str"/>
      <x:c r="I379" s="7" t="str"/>
      <x:c r="J379" s="7" t="str">
        <x:v>OPEN</x:v>
      </x:c>
    </x:row>
    <x:row r="380" ht="36" customHeight="1">
      <x:c r="B380" s="7" t="str">
        <x:v>RAE-E-12-HP-22</x:v>
      </x:c>
      <x:c r="C380" s="7" t="str">
        <x:v>RAE-E-12</x:v>
      </x:c>
      <x:c r="D380" s="7" t="str">
        <x:v>RFP-A2</x:v>
      </x:c>
      <x:c r="E380" s="7" t="str">
        <x:v>HP-22</x:v>
      </x:c>
      <x:c r="F380" s="7" t="str">
        <x:v>evidence</x:v>
      </x:c>
      <x:c r="G380" s="7" t="str">
        <x:v>capacity</x:v>
      </x:c>
      <x:c r="H380" s="10" t="str"/>
      <x:c r="I380" s="7" t="str"/>
      <x:c r="J380" s="7" t="str">
        <x:v>OPEN</x:v>
      </x:c>
    </x:row>
    <x:row r="381" ht="36" customHeight="1">
      <x:c r="B381" s="7" t="str">
        <x:v>RAE-E-12-HP-23</x:v>
      </x:c>
      <x:c r="C381" s="7" t="str">
        <x:v>RAE-E-12</x:v>
      </x:c>
      <x:c r="D381" s="7" t="str">
        <x:v>RFP-A2</x:v>
      </x:c>
      <x:c r="E381" s="7" t="str">
        <x:v>HP-23</x:v>
      </x:c>
      <x:c r="F381" s="7" t="str">
        <x:v>evidence</x:v>
      </x:c>
      <x:c r="G381" s="7" t="str">
        <x:v>state</x:v>
      </x:c>
      <x:c r="H381" s="10" t="str"/>
      <x:c r="I381" s="7" t="str"/>
      <x:c r="J381" s="7" t="str">
        <x:v>OPEN</x:v>
      </x:c>
    </x:row>
    <x:row r="382" ht="36" customHeight="1">
      <x:c r="B382" s="7" t="str">
        <x:v>RAE-E-12-HP-24</x:v>
      </x:c>
      <x:c r="C382" s="7" t="str">
        <x:v>RAE-E-12</x:v>
      </x:c>
      <x:c r="D382" s="7" t="str">
        <x:v>RFP-A2</x:v>
      </x:c>
      <x:c r="E382" s="7" t="str">
        <x:v>HP-24</x:v>
      </x:c>
      <x:c r="F382" s="7" t="str">
        <x:v>evidence</x:v>
      </x:c>
      <x:c r="G382" s="7" t="str">
        <x:v>authority</x:v>
      </x:c>
      <x:c r="H382" s="10" t="str"/>
      <x:c r="I382" s="7" t="str"/>
      <x:c r="J382" s="7" t="str">
        <x:v>OPEN</x:v>
      </x:c>
    </x:row>
    <x:row r="383" ht="36" customHeight="1">
      <x:c r="B383" s="7" t="str">
        <x:v>RAE-E-12-HP-25</x:v>
      </x:c>
      <x:c r="C383" s="7" t="str">
        <x:v>RAE-E-12</x:v>
      </x:c>
      <x:c r="D383" s="7" t="str">
        <x:v>RFP-A2</x:v>
      </x:c>
      <x:c r="E383" s="7" t="str">
        <x:v>HP-25</x:v>
      </x:c>
      <x:c r="F383" s="7" t="str">
        <x:v>environment</x:v>
      </x:c>
      <x:c r="G383" s="7" t="str">
        <x:v>identity</x:v>
      </x:c>
      <x:c r="H383" s="10" t="str"/>
      <x:c r="I383" s="7" t="str"/>
      <x:c r="J383" s="7" t="str">
        <x:v>OPEN</x:v>
      </x:c>
    </x:row>
    <x:row r="384" ht="36" customHeight="1">
      <x:c r="B384" s="7" t="str">
        <x:v>RAE-E-12-HP-26</x:v>
      </x:c>
      <x:c r="C384" s="7" t="str">
        <x:v>RAE-E-12</x:v>
      </x:c>
      <x:c r="D384" s="7" t="str">
        <x:v>RFP-A2</x:v>
      </x:c>
      <x:c r="E384" s="7" t="str">
        <x:v>HP-26</x:v>
      </x:c>
      <x:c r="F384" s="7" t="str">
        <x:v>environment</x:v>
      </x:c>
      <x:c r="G384" s="7" t="str">
        <x:v>capacity</x:v>
      </x:c>
      <x:c r="H384" s="10" t="str"/>
      <x:c r="I384" s="7" t="str"/>
      <x:c r="J384" s="7" t="str">
        <x:v>OPEN</x:v>
      </x:c>
    </x:row>
    <x:row r="385" ht="36" customHeight="1">
      <x:c r="B385" s="7" t="str">
        <x:v>RAE-E-12-HP-27</x:v>
      </x:c>
      <x:c r="C385" s="7" t="str">
        <x:v>RAE-E-12</x:v>
      </x:c>
      <x:c r="D385" s="7" t="str">
        <x:v>RFP-A2</x:v>
      </x:c>
      <x:c r="E385" s="7" t="str">
        <x:v>HP-27</x:v>
      </x:c>
      <x:c r="F385" s="7" t="str">
        <x:v>environment</x:v>
      </x:c>
      <x:c r="G385" s="7" t="str">
        <x:v>state</x:v>
      </x:c>
      <x:c r="H385" s="10" t="str"/>
      <x:c r="I385" s="7" t="str"/>
      <x:c r="J385" s="7" t="str">
        <x:v>OPEN</x:v>
      </x:c>
    </x:row>
    <x:row r="386" ht="36" customHeight="1">
      <x:c r="B386" s="7" t="str">
        <x:v>RAE-E-12-HP-28</x:v>
      </x:c>
      <x:c r="C386" s="7" t="str">
        <x:v>RAE-E-12</x:v>
      </x:c>
      <x:c r="D386" s="7" t="str">
        <x:v>RFP-A2</x:v>
      </x:c>
      <x:c r="E386" s="7" t="str">
        <x:v>HP-28</x:v>
      </x:c>
      <x:c r="F386" s="7" t="str">
        <x:v>environment</x:v>
      </x:c>
      <x:c r="G386" s="7" t="str">
        <x:v>authority</x:v>
      </x:c>
      <x:c r="H386" s="10" t="str"/>
      <x:c r="I386" s="7" t="str"/>
      <x:c r="J386" s="7" t="str">
        <x:v>OPEN</x:v>
      </x:c>
    </x:row>
    <x:row r="387" ht="36" customHeight="1">
      <x:c r="B387" s="7" t="str">
        <x:v>RAE-E-12-HP-29</x:v>
      </x:c>
      <x:c r="C387" s="7" t="str">
        <x:v>RAE-E-12</x:v>
      </x:c>
      <x:c r="D387" s="7" t="str">
        <x:v>RFP-A2</x:v>
      </x:c>
      <x:c r="E387" s="7" t="str">
        <x:v>HP-29</x:v>
      </x:c>
      <x:c r="F387" s="7" t="str">
        <x:v>authority</x:v>
      </x:c>
      <x:c r="G387" s="7" t="str">
        <x:v>identity</x:v>
      </x:c>
      <x:c r="H387" s="10" t="str"/>
      <x:c r="I387" s="7" t="str"/>
      <x:c r="J387" s="7" t="str">
        <x:v>OPEN</x:v>
      </x:c>
    </x:row>
    <x:row r="388" ht="36" customHeight="1">
      <x:c r="B388" s="7" t="str">
        <x:v>RAE-E-12-HP-30</x:v>
      </x:c>
      <x:c r="C388" s="7" t="str">
        <x:v>RAE-E-12</x:v>
      </x:c>
      <x:c r="D388" s="7" t="str">
        <x:v>RFP-A2</x:v>
      </x:c>
      <x:c r="E388" s="7" t="str">
        <x:v>HP-30</x:v>
      </x:c>
      <x:c r="F388" s="7" t="str">
        <x:v>authority</x:v>
      </x:c>
      <x:c r="G388" s="7" t="str">
        <x:v>capacity</x:v>
      </x:c>
      <x:c r="H388" s="10" t="str"/>
      <x:c r="I388" s="7" t="str"/>
      <x:c r="J388" s="7" t="str">
        <x:v>OPEN</x:v>
      </x:c>
    </x:row>
    <x:row r="389" ht="36" customHeight="1">
      <x:c r="B389" s="7" t="str">
        <x:v>RAE-E-12-HP-31</x:v>
      </x:c>
      <x:c r="C389" s="7" t="str">
        <x:v>RAE-E-12</x:v>
      </x:c>
      <x:c r="D389" s="7" t="str">
        <x:v>RFP-A2</x:v>
      </x:c>
      <x:c r="E389" s="7" t="str">
        <x:v>HP-31</x:v>
      </x:c>
      <x:c r="F389" s="7" t="str">
        <x:v>authority</x:v>
      </x:c>
      <x:c r="G389" s="7" t="str">
        <x:v>state</x:v>
      </x:c>
      <x:c r="H389" s="10" t="str"/>
      <x:c r="I389" s="7" t="str"/>
      <x:c r="J389" s="7" t="str">
        <x:v>OPEN</x:v>
      </x:c>
    </x:row>
    <x:row r="390" ht="36" customHeight="1">
      <x:c r="B390" s="7" t="str">
        <x:v>RAE-E-12-HP-32</x:v>
      </x:c>
      <x:c r="C390" s="7" t="str">
        <x:v>RAE-E-12</x:v>
      </x:c>
      <x:c r="D390" s="7" t="str">
        <x:v>RFP-A2</x:v>
      </x:c>
      <x:c r="E390" s="7" t="str">
        <x:v>HP-32</x:v>
      </x:c>
      <x:c r="F390" s="7" t="str">
        <x:v>authority</x:v>
      </x:c>
      <x:c r="G390" s="7" t="str">
        <x:v>authority</x:v>
      </x:c>
      <x:c r="H390" s="10" t="str"/>
      <x:c r="I390" s="7" t="str"/>
      <x:c r="J390" s="7" t="str">
        <x:v>OPEN</x:v>
      </x:c>
    </x:row>
    <x:row r="391" ht="36" customHeight="1">
      <x:c r="B391" s="7" t="str">
        <x:v>RAE-E-13-HP-01</x:v>
      </x:c>
      <x:c r="C391" s="7" t="str">
        <x:v>RAE-E-13</x:v>
      </x:c>
      <x:c r="D391" s="7" t="str">
        <x:v>RFP-A2</x:v>
      </x:c>
      <x:c r="E391" s="7" t="str">
        <x:v>HP-01</x:v>
      </x:c>
      <x:c r="F391" s="7" t="str">
        <x:v>configuration</x:v>
      </x:c>
      <x:c r="G391" s="7" t="str">
        <x:v>identity</x:v>
      </x:c>
      <x:c r="H391" s="10" t="str"/>
      <x:c r="I391" s="7" t="str"/>
      <x:c r="J391" s="7" t="str">
        <x:v>OPEN</x:v>
      </x:c>
    </x:row>
    <x:row r="392" ht="36" customHeight="1">
      <x:c r="B392" s="7" t="str">
        <x:v>RAE-E-13-HP-02</x:v>
      </x:c>
      <x:c r="C392" s="7" t="str">
        <x:v>RAE-E-13</x:v>
      </x:c>
      <x:c r="D392" s="7" t="str">
        <x:v>RFP-A2</x:v>
      </x:c>
      <x:c r="E392" s="7" t="str">
        <x:v>HP-02</x:v>
      </x:c>
      <x:c r="F392" s="7" t="str">
        <x:v>configuration</x:v>
      </x:c>
      <x:c r="G392" s="7" t="str">
        <x:v>capacity</x:v>
      </x:c>
      <x:c r="H392" s="10" t="str"/>
      <x:c r="I392" s="7" t="str"/>
      <x:c r="J392" s="7" t="str">
        <x:v>OPEN</x:v>
      </x:c>
    </x:row>
    <x:row r="393" ht="36" customHeight="1">
      <x:c r="B393" s="7" t="str">
        <x:v>RAE-E-13-HP-03</x:v>
      </x:c>
      <x:c r="C393" s="7" t="str">
        <x:v>RAE-E-13</x:v>
      </x:c>
      <x:c r="D393" s="7" t="str">
        <x:v>RFP-A2</x:v>
      </x:c>
      <x:c r="E393" s="7" t="str">
        <x:v>HP-03</x:v>
      </x:c>
      <x:c r="F393" s="7" t="str">
        <x:v>configuration</x:v>
      </x:c>
      <x:c r="G393" s="7" t="str">
        <x:v>state</x:v>
      </x:c>
      <x:c r="H393" s="10" t="str"/>
      <x:c r="I393" s="7" t="str"/>
      <x:c r="J393" s="7" t="str">
        <x:v>OPEN</x:v>
      </x:c>
    </x:row>
    <x:row r="394" ht="36" customHeight="1">
      <x:c r="B394" s="7" t="str">
        <x:v>RAE-E-13-HP-04</x:v>
      </x:c>
      <x:c r="C394" s="7" t="str">
        <x:v>RAE-E-13</x:v>
      </x:c>
      <x:c r="D394" s="7" t="str">
        <x:v>RFP-A2</x:v>
      </x:c>
      <x:c r="E394" s="7" t="str">
        <x:v>HP-04</x:v>
      </x:c>
      <x:c r="F394" s="7" t="str">
        <x:v>configuration</x:v>
      </x:c>
      <x:c r="G394" s="7" t="str">
        <x:v>authority</x:v>
      </x:c>
      <x:c r="H394" s="10" t="str"/>
      <x:c r="I394" s="7" t="str"/>
      <x:c r="J394" s="7" t="str">
        <x:v>OPEN</x:v>
      </x:c>
    </x:row>
    <x:row r="395" ht="36" customHeight="1">
      <x:c r="B395" s="7" t="str">
        <x:v>RAE-E-13-HP-05</x:v>
      </x:c>
      <x:c r="C395" s="7" t="str">
        <x:v>RAE-E-13</x:v>
      </x:c>
      <x:c r="D395" s="7" t="str">
        <x:v>RFP-A2</x:v>
      </x:c>
      <x:c r="E395" s="7" t="str">
        <x:v>HP-05</x:v>
      </x:c>
      <x:c r="F395" s="7" t="str">
        <x:v>source</x:v>
      </x:c>
      <x:c r="G395" s="7" t="str">
        <x:v>identity</x:v>
      </x:c>
      <x:c r="H395" s="10" t="str"/>
      <x:c r="I395" s="7" t="str"/>
      <x:c r="J395" s="7" t="str">
        <x:v>OPEN</x:v>
      </x:c>
    </x:row>
    <x:row r="396" ht="36" customHeight="1">
      <x:c r="B396" s="7" t="str">
        <x:v>RAE-E-13-HP-06</x:v>
      </x:c>
      <x:c r="C396" s="7" t="str">
        <x:v>RAE-E-13</x:v>
      </x:c>
      <x:c r="D396" s="7" t="str">
        <x:v>RFP-A2</x:v>
      </x:c>
      <x:c r="E396" s="7" t="str">
        <x:v>HP-06</x:v>
      </x:c>
      <x:c r="F396" s="7" t="str">
        <x:v>source</x:v>
      </x:c>
      <x:c r="G396" s="7" t="str">
        <x:v>capacity</x:v>
      </x:c>
      <x:c r="H396" s="10" t="str"/>
      <x:c r="I396" s="7" t="str"/>
      <x:c r="J396" s="7" t="str">
        <x:v>OPEN</x:v>
      </x:c>
    </x:row>
    <x:row r="397" ht="36" customHeight="1">
      <x:c r="B397" s="7" t="str">
        <x:v>RAE-E-13-HP-07</x:v>
      </x:c>
      <x:c r="C397" s="7" t="str">
        <x:v>RAE-E-13</x:v>
      </x:c>
      <x:c r="D397" s="7" t="str">
        <x:v>RFP-A2</x:v>
      </x:c>
      <x:c r="E397" s="7" t="str">
        <x:v>HP-07</x:v>
      </x:c>
      <x:c r="F397" s="7" t="str">
        <x:v>source</x:v>
      </x:c>
      <x:c r="G397" s="7" t="str">
        <x:v>state</x:v>
      </x:c>
      <x:c r="H397" s="10" t="str"/>
      <x:c r="I397" s="7" t="str"/>
      <x:c r="J397" s="7" t="str">
        <x:v>OPEN</x:v>
      </x:c>
    </x:row>
    <x:row r="398" ht="36" customHeight="1">
      <x:c r="B398" s="7" t="str">
        <x:v>RAE-E-13-HP-08</x:v>
      </x:c>
      <x:c r="C398" s="7" t="str">
        <x:v>RAE-E-13</x:v>
      </x:c>
      <x:c r="D398" s="7" t="str">
        <x:v>RFP-A2</x:v>
      </x:c>
      <x:c r="E398" s="7" t="str">
        <x:v>HP-08</x:v>
      </x:c>
      <x:c r="F398" s="7" t="str">
        <x:v>source</x:v>
      </x:c>
      <x:c r="G398" s="7" t="str">
        <x:v>authority</x:v>
      </x:c>
      <x:c r="H398" s="10" t="str"/>
      <x:c r="I398" s="7" t="str"/>
      <x:c r="J398" s="7" t="str">
        <x:v>OPEN</x:v>
      </x:c>
    </x:row>
    <x:row r="399" ht="36" customHeight="1">
      <x:c r="B399" s="7" t="str">
        <x:v>RAE-E-13-HP-09</x:v>
      </x:c>
      <x:c r="C399" s="7" t="str">
        <x:v>RAE-E-13</x:v>
      </x:c>
      <x:c r="D399" s="7" t="str">
        <x:v>RFP-A2</x:v>
      </x:c>
      <x:c r="E399" s="7" t="str">
        <x:v>HP-09</x:v>
      </x:c>
      <x:c r="F399" s="7" t="str">
        <x:v>containment</x:v>
      </x:c>
      <x:c r="G399" s="7" t="str">
        <x:v>identity</x:v>
      </x:c>
      <x:c r="H399" s="10" t="str"/>
      <x:c r="I399" s="7" t="str"/>
      <x:c r="J399" s="7" t="str">
        <x:v>OPEN</x:v>
      </x:c>
    </x:row>
    <x:row r="400" ht="36" customHeight="1">
      <x:c r="B400" s="7" t="str">
        <x:v>RAE-E-13-HP-10</x:v>
      </x:c>
      <x:c r="C400" s="7" t="str">
        <x:v>RAE-E-13</x:v>
      </x:c>
      <x:c r="D400" s="7" t="str">
        <x:v>RFP-A2</x:v>
      </x:c>
      <x:c r="E400" s="7" t="str">
        <x:v>HP-10</x:v>
      </x:c>
      <x:c r="F400" s="7" t="str">
        <x:v>containment</x:v>
      </x:c>
      <x:c r="G400" s="7" t="str">
        <x:v>capacity</x:v>
      </x:c>
      <x:c r="H400" s="10" t="str"/>
      <x:c r="I400" s="7" t="str"/>
      <x:c r="J400" s="7" t="str">
        <x:v>OPEN</x:v>
      </x:c>
    </x:row>
    <x:row r="401" ht="36" customHeight="1">
      <x:c r="B401" s="7" t="str">
        <x:v>RAE-E-13-HP-11</x:v>
      </x:c>
      <x:c r="C401" s="7" t="str">
        <x:v>RAE-E-13</x:v>
      </x:c>
      <x:c r="D401" s="7" t="str">
        <x:v>RFP-A2</x:v>
      </x:c>
      <x:c r="E401" s="7" t="str">
        <x:v>HP-11</x:v>
      </x:c>
      <x:c r="F401" s="7" t="str">
        <x:v>containment</x:v>
      </x:c>
      <x:c r="G401" s="7" t="str">
        <x:v>state</x:v>
      </x:c>
      <x:c r="H401" s="10" t="str"/>
      <x:c r="I401" s="7" t="str"/>
      <x:c r="J401" s="7" t="str">
        <x:v>OPEN</x:v>
      </x:c>
    </x:row>
    <x:row r="402" ht="36" customHeight="1">
      <x:c r="B402" s="7" t="str">
        <x:v>RAE-E-13-HP-12</x:v>
      </x:c>
      <x:c r="C402" s="7" t="str">
        <x:v>RAE-E-13</x:v>
      </x:c>
      <x:c r="D402" s="7" t="str">
        <x:v>RFP-A2</x:v>
      </x:c>
      <x:c r="E402" s="7" t="str">
        <x:v>HP-12</x:v>
      </x:c>
      <x:c r="F402" s="7" t="str">
        <x:v>containment</x:v>
      </x:c>
      <x:c r="G402" s="7" t="str">
        <x:v>authority</x:v>
      </x:c>
      <x:c r="H402" s="10" t="str"/>
      <x:c r="I402" s="7" t="str"/>
      <x:c r="J402" s="7" t="str">
        <x:v>OPEN</x:v>
      </x:c>
    </x:row>
    <x:row r="403" ht="36" customHeight="1">
      <x:c r="B403" s="7" t="str">
        <x:v>RAE-E-13-HP-13</x:v>
      </x:c>
      <x:c r="C403" s="7" t="str">
        <x:v>RAE-E-13</x:v>
      </x:c>
      <x:c r="D403" s="7" t="str">
        <x:v>RFP-A2</x:v>
      </x:c>
      <x:c r="E403" s="7" t="str">
        <x:v>HP-13</x:v>
      </x:c>
      <x:c r="F403" s="7" t="str">
        <x:v>water</x:v>
      </x:c>
      <x:c r="G403" s="7" t="str">
        <x:v>identity</x:v>
      </x:c>
      <x:c r="H403" s="10" t="str"/>
      <x:c r="I403" s="7" t="str"/>
      <x:c r="J403" s="7" t="str">
        <x:v>OPEN</x:v>
      </x:c>
    </x:row>
    <x:row r="404" ht="36" customHeight="1">
      <x:c r="B404" s="7" t="str">
        <x:v>RAE-E-13-HP-14</x:v>
      </x:c>
      <x:c r="C404" s="7" t="str">
        <x:v>RAE-E-13</x:v>
      </x:c>
      <x:c r="D404" s="7" t="str">
        <x:v>RFP-A2</x:v>
      </x:c>
      <x:c r="E404" s="7" t="str">
        <x:v>HP-14</x:v>
      </x:c>
      <x:c r="F404" s="7" t="str">
        <x:v>water</x:v>
      </x:c>
      <x:c r="G404" s="7" t="str">
        <x:v>capacity</x:v>
      </x:c>
      <x:c r="H404" s="10" t="str"/>
      <x:c r="I404" s="7" t="str"/>
      <x:c r="J404" s="7" t="str">
        <x:v>OPEN</x:v>
      </x:c>
    </x:row>
    <x:row r="405" ht="36" customHeight="1">
      <x:c r="B405" s="7" t="str">
        <x:v>RAE-E-13-HP-15</x:v>
      </x:c>
      <x:c r="C405" s="7" t="str">
        <x:v>RAE-E-13</x:v>
      </x:c>
      <x:c r="D405" s="7" t="str">
        <x:v>RFP-A2</x:v>
      </x:c>
      <x:c r="E405" s="7" t="str">
        <x:v>HP-15</x:v>
      </x:c>
      <x:c r="F405" s="7" t="str">
        <x:v>water</x:v>
      </x:c>
      <x:c r="G405" s="7" t="str">
        <x:v>state</x:v>
      </x:c>
      <x:c r="H405" s="10" t="str"/>
      <x:c r="I405" s="7" t="str"/>
      <x:c r="J405" s="7" t="str">
        <x:v>OPEN</x:v>
      </x:c>
    </x:row>
    <x:row r="406" ht="36" customHeight="1">
      <x:c r="B406" s="7" t="str">
        <x:v>RAE-E-13-HP-16</x:v>
      </x:c>
      <x:c r="C406" s="7" t="str">
        <x:v>RAE-E-13</x:v>
      </x:c>
      <x:c r="D406" s="7" t="str">
        <x:v>RFP-A2</x:v>
      </x:c>
      <x:c r="E406" s="7" t="str">
        <x:v>HP-16</x:v>
      </x:c>
      <x:c r="F406" s="7" t="str">
        <x:v>water</x:v>
      </x:c>
      <x:c r="G406" s="7" t="str">
        <x:v>authority</x:v>
      </x:c>
      <x:c r="H406" s="10" t="str"/>
      <x:c r="I406" s="7" t="str"/>
      <x:c r="J406" s="7" t="str">
        <x:v>OPEN</x:v>
      </x:c>
    </x:row>
    <x:row r="407" ht="36" customHeight="1">
      <x:c r="B407" s="7" t="str">
        <x:v>RAE-E-13-HP-17</x:v>
      </x:c>
      <x:c r="C407" s="7" t="str">
        <x:v>RAE-E-13</x:v>
      </x:c>
      <x:c r="D407" s="7" t="str">
        <x:v>RFP-A2</x:v>
      </x:c>
      <x:c r="E407" s="7" t="str">
        <x:v>HP-17</x:v>
      </x:c>
      <x:c r="F407" s="7" t="str">
        <x:v>safeing</x:v>
      </x:c>
      <x:c r="G407" s="7" t="str">
        <x:v>identity</x:v>
      </x:c>
      <x:c r="H407" s="10" t="str"/>
      <x:c r="I407" s="7" t="str"/>
      <x:c r="J407" s="7" t="str">
        <x:v>OPEN</x:v>
      </x:c>
    </x:row>
    <x:row r="408" ht="36" customHeight="1">
      <x:c r="B408" s="7" t="str">
        <x:v>RAE-E-13-HP-18</x:v>
      </x:c>
      <x:c r="C408" s="7" t="str">
        <x:v>RAE-E-13</x:v>
      </x:c>
      <x:c r="D408" s="7" t="str">
        <x:v>RFP-A2</x:v>
      </x:c>
      <x:c r="E408" s="7" t="str">
        <x:v>HP-18</x:v>
      </x:c>
      <x:c r="F408" s="7" t="str">
        <x:v>safeing</x:v>
      </x:c>
      <x:c r="G408" s="7" t="str">
        <x:v>capacity</x:v>
      </x:c>
      <x:c r="H408" s="10" t="str"/>
      <x:c r="I408" s="7" t="str"/>
      <x:c r="J408" s="7" t="str">
        <x:v>OPEN</x:v>
      </x:c>
    </x:row>
    <x:row r="409" ht="36" customHeight="1">
      <x:c r="B409" s="7" t="str">
        <x:v>RAE-E-13-HP-19</x:v>
      </x:c>
      <x:c r="C409" s="7" t="str">
        <x:v>RAE-E-13</x:v>
      </x:c>
      <x:c r="D409" s="7" t="str">
        <x:v>RFP-A2</x:v>
      </x:c>
      <x:c r="E409" s="7" t="str">
        <x:v>HP-19</x:v>
      </x:c>
      <x:c r="F409" s="7" t="str">
        <x:v>safeing</x:v>
      </x:c>
      <x:c r="G409" s="7" t="str">
        <x:v>state</x:v>
      </x:c>
      <x:c r="H409" s="10" t="str"/>
      <x:c r="I409" s="7" t="str"/>
      <x:c r="J409" s="7" t="str">
        <x:v>OPEN</x:v>
      </x:c>
    </x:row>
    <x:row r="410" ht="36" customHeight="1">
      <x:c r="B410" s="7" t="str">
        <x:v>RAE-E-13-HP-20</x:v>
      </x:c>
      <x:c r="C410" s="7" t="str">
        <x:v>RAE-E-13</x:v>
      </x:c>
      <x:c r="D410" s="7" t="str">
        <x:v>RFP-A2</x:v>
      </x:c>
      <x:c r="E410" s="7" t="str">
        <x:v>HP-20</x:v>
      </x:c>
      <x:c r="F410" s="7" t="str">
        <x:v>safeing</x:v>
      </x:c>
      <x:c r="G410" s="7" t="str">
        <x:v>authority</x:v>
      </x:c>
      <x:c r="H410" s="10" t="str"/>
      <x:c r="I410" s="7" t="str"/>
      <x:c r="J410" s="7" t="str">
        <x:v>OPEN</x:v>
      </x:c>
    </x:row>
    <x:row r="411" ht="36" customHeight="1">
      <x:c r="B411" s="7" t="str">
        <x:v>RAE-E-13-HP-21</x:v>
      </x:c>
      <x:c r="C411" s="7" t="str">
        <x:v>RAE-E-13</x:v>
      </x:c>
      <x:c r="D411" s="7" t="str">
        <x:v>RFP-A2</x:v>
      </x:c>
      <x:c r="E411" s="7" t="str">
        <x:v>HP-21</x:v>
      </x:c>
      <x:c r="F411" s="7" t="str">
        <x:v>evidence</x:v>
      </x:c>
      <x:c r="G411" s="7" t="str">
        <x:v>identity</x:v>
      </x:c>
      <x:c r="H411" s="10" t="str"/>
      <x:c r="I411" s="7" t="str"/>
      <x:c r="J411" s="7" t="str">
        <x:v>OPEN</x:v>
      </x:c>
    </x:row>
    <x:row r="412" ht="36" customHeight="1">
      <x:c r="B412" s="7" t="str">
        <x:v>RAE-E-13-HP-22</x:v>
      </x:c>
      <x:c r="C412" s="7" t="str">
        <x:v>RAE-E-13</x:v>
      </x:c>
      <x:c r="D412" s="7" t="str">
        <x:v>RFP-A2</x:v>
      </x:c>
      <x:c r="E412" s="7" t="str">
        <x:v>HP-22</x:v>
      </x:c>
      <x:c r="F412" s="7" t="str">
        <x:v>evidence</x:v>
      </x:c>
      <x:c r="G412" s="7" t="str">
        <x:v>capacity</x:v>
      </x:c>
      <x:c r="H412" s="10" t="str"/>
      <x:c r="I412" s="7" t="str"/>
      <x:c r="J412" s="7" t="str">
        <x:v>OPEN</x:v>
      </x:c>
    </x:row>
    <x:row r="413" ht="36" customHeight="1">
      <x:c r="B413" s="7" t="str">
        <x:v>RAE-E-13-HP-23</x:v>
      </x:c>
      <x:c r="C413" s="7" t="str">
        <x:v>RAE-E-13</x:v>
      </x:c>
      <x:c r="D413" s="7" t="str">
        <x:v>RFP-A2</x:v>
      </x:c>
      <x:c r="E413" s="7" t="str">
        <x:v>HP-23</x:v>
      </x:c>
      <x:c r="F413" s="7" t="str">
        <x:v>evidence</x:v>
      </x:c>
      <x:c r="G413" s="7" t="str">
        <x:v>state</x:v>
      </x:c>
      <x:c r="H413" s="10" t="str"/>
      <x:c r="I413" s="7" t="str"/>
      <x:c r="J413" s="7" t="str">
        <x:v>OPEN</x:v>
      </x:c>
    </x:row>
    <x:row r="414" ht="36" customHeight="1">
      <x:c r="B414" s="7" t="str">
        <x:v>RAE-E-13-HP-24</x:v>
      </x:c>
      <x:c r="C414" s="7" t="str">
        <x:v>RAE-E-13</x:v>
      </x:c>
      <x:c r="D414" s="7" t="str">
        <x:v>RFP-A2</x:v>
      </x:c>
      <x:c r="E414" s="7" t="str">
        <x:v>HP-24</x:v>
      </x:c>
      <x:c r="F414" s="7" t="str">
        <x:v>evidence</x:v>
      </x:c>
      <x:c r="G414" s="7" t="str">
        <x:v>authority</x:v>
      </x:c>
      <x:c r="H414" s="10" t="str"/>
      <x:c r="I414" s="7" t="str"/>
      <x:c r="J414" s="7" t="str">
        <x:v>OPEN</x:v>
      </x:c>
    </x:row>
    <x:row r="415" ht="36" customHeight="1">
      <x:c r="B415" s="7" t="str">
        <x:v>RAE-E-13-HP-25</x:v>
      </x:c>
      <x:c r="C415" s="7" t="str">
        <x:v>RAE-E-13</x:v>
      </x:c>
      <x:c r="D415" s="7" t="str">
        <x:v>RFP-A2</x:v>
      </x:c>
      <x:c r="E415" s="7" t="str">
        <x:v>HP-25</x:v>
      </x:c>
      <x:c r="F415" s="7" t="str">
        <x:v>environment</x:v>
      </x:c>
      <x:c r="G415" s="7" t="str">
        <x:v>identity</x:v>
      </x:c>
      <x:c r="H415" s="10" t="str"/>
      <x:c r="I415" s="7" t="str"/>
      <x:c r="J415" s="7" t="str">
        <x:v>OPEN</x:v>
      </x:c>
    </x:row>
    <x:row r="416" ht="36" customHeight="1">
      <x:c r="B416" s="7" t="str">
        <x:v>RAE-E-13-HP-26</x:v>
      </x:c>
      <x:c r="C416" s="7" t="str">
        <x:v>RAE-E-13</x:v>
      </x:c>
      <x:c r="D416" s="7" t="str">
        <x:v>RFP-A2</x:v>
      </x:c>
      <x:c r="E416" s="7" t="str">
        <x:v>HP-26</x:v>
      </x:c>
      <x:c r="F416" s="7" t="str">
        <x:v>environment</x:v>
      </x:c>
      <x:c r="G416" s="7" t="str">
        <x:v>capacity</x:v>
      </x:c>
      <x:c r="H416" s="10" t="str"/>
      <x:c r="I416" s="7" t="str"/>
      <x:c r="J416" s="7" t="str">
        <x:v>OPEN</x:v>
      </x:c>
    </x:row>
    <x:row r="417" ht="36" customHeight="1">
      <x:c r="B417" s="7" t="str">
        <x:v>RAE-E-13-HP-27</x:v>
      </x:c>
      <x:c r="C417" s="7" t="str">
        <x:v>RAE-E-13</x:v>
      </x:c>
      <x:c r="D417" s="7" t="str">
        <x:v>RFP-A2</x:v>
      </x:c>
      <x:c r="E417" s="7" t="str">
        <x:v>HP-27</x:v>
      </x:c>
      <x:c r="F417" s="7" t="str">
        <x:v>environment</x:v>
      </x:c>
      <x:c r="G417" s="7" t="str">
        <x:v>state</x:v>
      </x:c>
      <x:c r="H417" s="10" t="str"/>
      <x:c r="I417" s="7" t="str"/>
      <x:c r="J417" s="7" t="str">
        <x:v>OPEN</x:v>
      </x:c>
    </x:row>
    <x:row r="418" ht="36" customHeight="1">
      <x:c r="B418" s="7" t="str">
        <x:v>RAE-E-13-HP-28</x:v>
      </x:c>
      <x:c r="C418" s="7" t="str">
        <x:v>RAE-E-13</x:v>
      </x:c>
      <x:c r="D418" s="7" t="str">
        <x:v>RFP-A2</x:v>
      </x:c>
      <x:c r="E418" s="7" t="str">
        <x:v>HP-28</x:v>
      </x:c>
      <x:c r="F418" s="7" t="str">
        <x:v>environment</x:v>
      </x:c>
      <x:c r="G418" s="7" t="str">
        <x:v>authority</x:v>
      </x:c>
      <x:c r="H418" s="10" t="str"/>
      <x:c r="I418" s="7" t="str"/>
      <x:c r="J418" s="7" t="str">
        <x:v>OPEN</x:v>
      </x:c>
    </x:row>
    <x:row r="419" ht="36" customHeight="1">
      <x:c r="B419" s="7" t="str">
        <x:v>RAE-E-13-HP-29</x:v>
      </x:c>
      <x:c r="C419" s="7" t="str">
        <x:v>RAE-E-13</x:v>
      </x:c>
      <x:c r="D419" s="7" t="str">
        <x:v>RFP-A2</x:v>
      </x:c>
      <x:c r="E419" s="7" t="str">
        <x:v>HP-29</x:v>
      </x:c>
      <x:c r="F419" s="7" t="str">
        <x:v>authority</x:v>
      </x:c>
      <x:c r="G419" s="7" t="str">
        <x:v>identity</x:v>
      </x:c>
      <x:c r="H419" s="10" t="str"/>
      <x:c r="I419" s="7" t="str"/>
      <x:c r="J419" s="7" t="str">
        <x:v>OPEN</x:v>
      </x:c>
    </x:row>
    <x:row r="420" ht="36" customHeight="1">
      <x:c r="B420" s="7" t="str">
        <x:v>RAE-E-13-HP-30</x:v>
      </x:c>
      <x:c r="C420" s="7" t="str">
        <x:v>RAE-E-13</x:v>
      </x:c>
      <x:c r="D420" s="7" t="str">
        <x:v>RFP-A2</x:v>
      </x:c>
      <x:c r="E420" s="7" t="str">
        <x:v>HP-30</x:v>
      </x:c>
      <x:c r="F420" s="7" t="str">
        <x:v>authority</x:v>
      </x:c>
      <x:c r="G420" s="7" t="str">
        <x:v>capacity</x:v>
      </x:c>
      <x:c r="H420" s="10" t="str"/>
      <x:c r="I420" s="7" t="str"/>
      <x:c r="J420" s="7" t="str">
        <x:v>OPEN</x:v>
      </x:c>
    </x:row>
    <x:row r="421" ht="36" customHeight="1">
      <x:c r="B421" s="7" t="str">
        <x:v>RAE-E-13-HP-31</x:v>
      </x:c>
      <x:c r="C421" s="7" t="str">
        <x:v>RAE-E-13</x:v>
      </x:c>
      <x:c r="D421" s="7" t="str">
        <x:v>RFP-A2</x:v>
      </x:c>
      <x:c r="E421" s="7" t="str">
        <x:v>HP-31</x:v>
      </x:c>
      <x:c r="F421" s="7" t="str">
        <x:v>authority</x:v>
      </x:c>
      <x:c r="G421" s="7" t="str">
        <x:v>state</x:v>
      </x:c>
      <x:c r="H421" s="10" t="str"/>
      <x:c r="I421" s="7" t="str"/>
      <x:c r="J421" s="7" t="str">
        <x:v>OPEN</x:v>
      </x:c>
    </x:row>
    <x:row r="422" ht="36" customHeight="1">
      <x:c r="B422" s="7" t="str">
        <x:v>RAE-E-13-HP-32</x:v>
      </x:c>
      <x:c r="C422" s="7" t="str">
        <x:v>RAE-E-13</x:v>
      </x:c>
      <x:c r="D422" s="7" t="str">
        <x:v>RFP-A2</x:v>
      </x:c>
      <x:c r="E422" s="7" t="str">
        <x:v>HP-32</x:v>
      </x:c>
      <x:c r="F422" s="7" t="str">
        <x:v>authority</x:v>
      </x:c>
      <x:c r="G422" s="7" t="str">
        <x:v>authority</x:v>
      </x:c>
      <x:c r="H422" s="10" t="str"/>
      <x:c r="I422" s="7" t="str"/>
      <x:c r="J422" s="7" t="str">
        <x:v>OPEN</x:v>
      </x:c>
    </x:row>
    <x:row r="423" ht="36" customHeight="1">
      <x:c r="B423" s="7" t="str">
        <x:v>RAE-E-14-HP-01</x:v>
      </x:c>
      <x:c r="C423" s="7" t="str">
        <x:v>RAE-E-14</x:v>
      </x:c>
      <x:c r="D423" s="7" t="str">
        <x:v>RFP-A2</x:v>
      </x:c>
      <x:c r="E423" s="7" t="str">
        <x:v>HP-01</x:v>
      </x:c>
      <x:c r="F423" s="7" t="str">
        <x:v>configuration</x:v>
      </x:c>
      <x:c r="G423" s="7" t="str">
        <x:v>identity</x:v>
      </x:c>
      <x:c r="H423" s="10" t="str"/>
      <x:c r="I423" s="7" t="str"/>
      <x:c r="J423" s="7" t="str">
        <x:v>OPEN</x:v>
      </x:c>
    </x:row>
    <x:row r="424" ht="36" customHeight="1">
      <x:c r="B424" s="7" t="str">
        <x:v>RAE-E-14-HP-02</x:v>
      </x:c>
      <x:c r="C424" s="7" t="str">
        <x:v>RAE-E-14</x:v>
      </x:c>
      <x:c r="D424" s="7" t="str">
        <x:v>RFP-A2</x:v>
      </x:c>
      <x:c r="E424" s="7" t="str">
        <x:v>HP-02</x:v>
      </x:c>
      <x:c r="F424" s="7" t="str">
        <x:v>configuration</x:v>
      </x:c>
      <x:c r="G424" s="7" t="str">
        <x:v>capacity</x:v>
      </x:c>
      <x:c r="H424" s="10" t="str"/>
      <x:c r="I424" s="7" t="str"/>
      <x:c r="J424" s="7" t="str">
        <x:v>OPEN</x:v>
      </x:c>
    </x:row>
    <x:row r="425" ht="36" customHeight="1">
      <x:c r="B425" s="7" t="str">
        <x:v>RAE-E-14-HP-03</x:v>
      </x:c>
      <x:c r="C425" s="7" t="str">
        <x:v>RAE-E-14</x:v>
      </x:c>
      <x:c r="D425" s="7" t="str">
        <x:v>RFP-A2</x:v>
      </x:c>
      <x:c r="E425" s="7" t="str">
        <x:v>HP-03</x:v>
      </x:c>
      <x:c r="F425" s="7" t="str">
        <x:v>configuration</x:v>
      </x:c>
      <x:c r="G425" s="7" t="str">
        <x:v>state</x:v>
      </x:c>
      <x:c r="H425" s="10" t="str"/>
      <x:c r="I425" s="7" t="str"/>
      <x:c r="J425" s="7" t="str">
        <x:v>OPEN</x:v>
      </x:c>
    </x:row>
    <x:row r="426" ht="36" customHeight="1">
      <x:c r="B426" s="7" t="str">
        <x:v>RAE-E-14-HP-04</x:v>
      </x:c>
      <x:c r="C426" s="7" t="str">
        <x:v>RAE-E-14</x:v>
      </x:c>
      <x:c r="D426" s="7" t="str">
        <x:v>RFP-A2</x:v>
      </x:c>
      <x:c r="E426" s="7" t="str">
        <x:v>HP-04</x:v>
      </x:c>
      <x:c r="F426" s="7" t="str">
        <x:v>configuration</x:v>
      </x:c>
      <x:c r="G426" s="7" t="str">
        <x:v>authority</x:v>
      </x:c>
      <x:c r="H426" s="10" t="str"/>
      <x:c r="I426" s="7" t="str"/>
      <x:c r="J426" s="7" t="str">
        <x:v>OPEN</x:v>
      </x:c>
    </x:row>
    <x:row r="427" ht="36" customHeight="1">
      <x:c r="B427" s="7" t="str">
        <x:v>RAE-E-14-HP-05</x:v>
      </x:c>
      <x:c r="C427" s="7" t="str">
        <x:v>RAE-E-14</x:v>
      </x:c>
      <x:c r="D427" s="7" t="str">
        <x:v>RFP-A2</x:v>
      </x:c>
      <x:c r="E427" s="7" t="str">
        <x:v>HP-05</x:v>
      </x:c>
      <x:c r="F427" s="7" t="str">
        <x:v>source</x:v>
      </x:c>
      <x:c r="G427" s="7" t="str">
        <x:v>identity</x:v>
      </x:c>
      <x:c r="H427" s="10" t="str"/>
      <x:c r="I427" s="7" t="str"/>
      <x:c r="J427" s="7" t="str">
        <x:v>OPEN</x:v>
      </x:c>
    </x:row>
    <x:row r="428" ht="36" customHeight="1">
      <x:c r="B428" s="7" t="str">
        <x:v>RAE-E-14-HP-06</x:v>
      </x:c>
      <x:c r="C428" s="7" t="str">
        <x:v>RAE-E-14</x:v>
      </x:c>
      <x:c r="D428" s="7" t="str">
        <x:v>RFP-A2</x:v>
      </x:c>
      <x:c r="E428" s="7" t="str">
        <x:v>HP-06</x:v>
      </x:c>
      <x:c r="F428" s="7" t="str">
        <x:v>source</x:v>
      </x:c>
      <x:c r="G428" s="7" t="str">
        <x:v>capacity</x:v>
      </x:c>
      <x:c r="H428" s="10" t="str"/>
      <x:c r="I428" s="7" t="str"/>
      <x:c r="J428" s="7" t="str">
        <x:v>OPEN</x:v>
      </x:c>
    </x:row>
    <x:row r="429" ht="36" customHeight="1">
      <x:c r="B429" s="7" t="str">
        <x:v>RAE-E-14-HP-07</x:v>
      </x:c>
      <x:c r="C429" s="7" t="str">
        <x:v>RAE-E-14</x:v>
      </x:c>
      <x:c r="D429" s="7" t="str">
        <x:v>RFP-A2</x:v>
      </x:c>
      <x:c r="E429" s="7" t="str">
        <x:v>HP-07</x:v>
      </x:c>
      <x:c r="F429" s="7" t="str">
        <x:v>source</x:v>
      </x:c>
      <x:c r="G429" s="7" t="str">
        <x:v>state</x:v>
      </x:c>
      <x:c r="H429" s="10" t="str"/>
      <x:c r="I429" s="7" t="str"/>
      <x:c r="J429" s="7" t="str">
        <x:v>OPEN</x:v>
      </x:c>
    </x:row>
    <x:row r="430" ht="36" customHeight="1">
      <x:c r="B430" s="7" t="str">
        <x:v>RAE-E-14-HP-08</x:v>
      </x:c>
      <x:c r="C430" s="7" t="str">
        <x:v>RAE-E-14</x:v>
      </x:c>
      <x:c r="D430" s="7" t="str">
        <x:v>RFP-A2</x:v>
      </x:c>
      <x:c r="E430" s="7" t="str">
        <x:v>HP-08</x:v>
      </x:c>
      <x:c r="F430" s="7" t="str">
        <x:v>source</x:v>
      </x:c>
      <x:c r="G430" s="7" t="str">
        <x:v>authority</x:v>
      </x:c>
      <x:c r="H430" s="10" t="str"/>
      <x:c r="I430" s="7" t="str"/>
      <x:c r="J430" s="7" t="str">
        <x:v>OPEN</x:v>
      </x:c>
    </x:row>
    <x:row r="431" ht="36" customHeight="1">
      <x:c r="B431" s="7" t="str">
        <x:v>RAE-E-14-HP-09</x:v>
      </x:c>
      <x:c r="C431" s="7" t="str">
        <x:v>RAE-E-14</x:v>
      </x:c>
      <x:c r="D431" s="7" t="str">
        <x:v>RFP-A2</x:v>
      </x:c>
      <x:c r="E431" s="7" t="str">
        <x:v>HP-09</x:v>
      </x:c>
      <x:c r="F431" s="7" t="str">
        <x:v>containment</x:v>
      </x:c>
      <x:c r="G431" s="7" t="str">
        <x:v>identity</x:v>
      </x:c>
      <x:c r="H431" s="10" t="str"/>
      <x:c r="I431" s="7" t="str"/>
      <x:c r="J431" s="7" t="str">
        <x:v>OPEN</x:v>
      </x:c>
    </x:row>
    <x:row r="432" ht="36" customHeight="1">
      <x:c r="B432" s="7" t="str">
        <x:v>RAE-E-14-HP-10</x:v>
      </x:c>
      <x:c r="C432" s="7" t="str">
        <x:v>RAE-E-14</x:v>
      </x:c>
      <x:c r="D432" s="7" t="str">
        <x:v>RFP-A2</x:v>
      </x:c>
      <x:c r="E432" s="7" t="str">
        <x:v>HP-10</x:v>
      </x:c>
      <x:c r="F432" s="7" t="str">
        <x:v>containment</x:v>
      </x:c>
      <x:c r="G432" s="7" t="str">
        <x:v>capacity</x:v>
      </x:c>
      <x:c r="H432" s="10" t="str"/>
      <x:c r="I432" s="7" t="str"/>
      <x:c r="J432" s="7" t="str">
        <x:v>OPEN</x:v>
      </x:c>
    </x:row>
    <x:row r="433" ht="36" customHeight="1">
      <x:c r="B433" s="7" t="str">
        <x:v>RAE-E-14-HP-11</x:v>
      </x:c>
      <x:c r="C433" s="7" t="str">
        <x:v>RAE-E-14</x:v>
      </x:c>
      <x:c r="D433" s="7" t="str">
        <x:v>RFP-A2</x:v>
      </x:c>
      <x:c r="E433" s="7" t="str">
        <x:v>HP-11</x:v>
      </x:c>
      <x:c r="F433" s="7" t="str">
        <x:v>containment</x:v>
      </x:c>
      <x:c r="G433" s="7" t="str">
        <x:v>state</x:v>
      </x:c>
      <x:c r="H433" s="10" t="str"/>
      <x:c r="I433" s="7" t="str"/>
      <x:c r="J433" s="7" t="str">
        <x:v>OPEN</x:v>
      </x:c>
    </x:row>
    <x:row r="434" ht="36" customHeight="1">
      <x:c r="B434" s="7" t="str">
        <x:v>RAE-E-14-HP-12</x:v>
      </x:c>
      <x:c r="C434" s="7" t="str">
        <x:v>RAE-E-14</x:v>
      </x:c>
      <x:c r="D434" s="7" t="str">
        <x:v>RFP-A2</x:v>
      </x:c>
      <x:c r="E434" s="7" t="str">
        <x:v>HP-12</x:v>
      </x:c>
      <x:c r="F434" s="7" t="str">
        <x:v>containment</x:v>
      </x:c>
      <x:c r="G434" s="7" t="str">
        <x:v>authority</x:v>
      </x:c>
      <x:c r="H434" s="10" t="str"/>
      <x:c r="I434" s="7" t="str"/>
      <x:c r="J434" s="7" t="str">
        <x:v>OPEN</x:v>
      </x:c>
    </x:row>
    <x:row r="435" ht="36" customHeight="1">
      <x:c r="B435" s="7" t="str">
        <x:v>RAE-E-14-HP-13</x:v>
      </x:c>
      <x:c r="C435" s="7" t="str">
        <x:v>RAE-E-14</x:v>
      </x:c>
      <x:c r="D435" s="7" t="str">
        <x:v>RFP-A2</x:v>
      </x:c>
      <x:c r="E435" s="7" t="str">
        <x:v>HP-13</x:v>
      </x:c>
      <x:c r="F435" s="7" t="str">
        <x:v>water</x:v>
      </x:c>
      <x:c r="G435" s="7" t="str">
        <x:v>identity</x:v>
      </x:c>
      <x:c r="H435" s="10" t="str"/>
      <x:c r="I435" s="7" t="str"/>
      <x:c r="J435" s="7" t="str">
        <x:v>OPEN</x:v>
      </x:c>
    </x:row>
    <x:row r="436" ht="36" customHeight="1">
      <x:c r="B436" s="7" t="str">
        <x:v>RAE-E-14-HP-14</x:v>
      </x:c>
      <x:c r="C436" s="7" t="str">
        <x:v>RAE-E-14</x:v>
      </x:c>
      <x:c r="D436" s="7" t="str">
        <x:v>RFP-A2</x:v>
      </x:c>
      <x:c r="E436" s="7" t="str">
        <x:v>HP-14</x:v>
      </x:c>
      <x:c r="F436" s="7" t="str">
        <x:v>water</x:v>
      </x:c>
      <x:c r="G436" s="7" t="str">
        <x:v>capacity</x:v>
      </x:c>
      <x:c r="H436" s="10" t="str"/>
      <x:c r="I436" s="7" t="str"/>
      <x:c r="J436" s="7" t="str">
        <x:v>OPEN</x:v>
      </x:c>
    </x:row>
    <x:row r="437" ht="36" customHeight="1">
      <x:c r="B437" s="7" t="str">
        <x:v>RAE-E-14-HP-15</x:v>
      </x:c>
      <x:c r="C437" s="7" t="str">
        <x:v>RAE-E-14</x:v>
      </x:c>
      <x:c r="D437" s="7" t="str">
        <x:v>RFP-A2</x:v>
      </x:c>
      <x:c r="E437" s="7" t="str">
        <x:v>HP-15</x:v>
      </x:c>
      <x:c r="F437" s="7" t="str">
        <x:v>water</x:v>
      </x:c>
      <x:c r="G437" s="7" t="str">
        <x:v>state</x:v>
      </x:c>
      <x:c r="H437" s="10" t="str"/>
      <x:c r="I437" s="7" t="str"/>
      <x:c r="J437" s="7" t="str">
        <x:v>OPEN</x:v>
      </x:c>
    </x:row>
    <x:row r="438" ht="36" customHeight="1">
      <x:c r="B438" s="7" t="str">
        <x:v>RAE-E-14-HP-16</x:v>
      </x:c>
      <x:c r="C438" s="7" t="str">
        <x:v>RAE-E-14</x:v>
      </x:c>
      <x:c r="D438" s="7" t="str">
        <x:v>RFP-A2</x:v>
      </x:c>
      <x:c r="E438" s="7" t="str">
        <x:v>HP-16</x:v>
      </x:c>
      <x:c r="F438" s="7" t="str">
        <x:v>water</x:v>
      </x:c>
      <x:c r="G438" s="7" t="str">
        <x:v>authority</x:v>
      </x:c>
      <x:c r="H438" s="10" t="str"/>
      <x:c r="I438" s="7" t="str"/>
      <x:c r="J438" s="7" t="str">
        <x:v>OPEN</x:v>
      </x:c>
    </x:row>
    <x:row r="439" ht="36" customHeight="1">
      <x:c r="B439" s="7" t="str">
        <x:v>RAE-E-14-HP-17</x:v>
      </x:c>
      <x:c r="C439" s="7" t="str">
        <x:v>RAE-E-14</x:v>
      </x:c>
      <x:c r="D439" s="7" t="str">
        <x:v>RFP-A2</x:v>
      </x:c>
      <x:c r="E439" s="7" t="str">
        <x:v>HP-17</x:v>
      </x:c>
      <x:c r="F439" s="7" t="str">
        <x:v>safeing</x:v>
      </x:c>
      <x:c r="G439" s="7" t="str">
        <x:v>identity</x:v>
      </x:c>
      <x:c r="H439" s="10" t="str"/>
      <x:c r="I439" s="7" t="str"/>
      <x:c r="J439" s="7" t="str">
        <x:v>OPEN</x:v>
      </x:c>
    </x:row>
    <x:row r="440" ht="36" customHeight="1">
      <x:c r="B440" s="7" t="str">
        <x:v>RAE-E-14-HP-18</x:v>
      </x:c>
      <x:c r="C440" s="7" t="str">
        <x:v>RAE-E-14</x:v>
      </x:c>
      <x:c r="D440" s="7" t="str">
        <x:v>RFP-A2</x:v>
      </x:c>
      <x:c r="E440" s="7" t="str">
        <x:v>HP-18</x:v>
      </x:c>
      <x:c r="F440" s="7" t="str">
        <x:v>safeing</x:v>
      </x:c>
      <x:c r="G440" s="7" t="str">
        <x:v>capacity</x:v>
      </x:c>
      <x:c r="H440" s="10" t="str"/>
      <x:c r="I440" s="7" t="str"/>
      <x:c r="J440" s="7" t="str">
        <x:v>OPEN</x:v>
      </x:c>
    </x:row>
    <x:row r="441" ht="36" customHeight="1">
      <x:c r="B441" s="7" t="str">
        <x:v>RAE-E-14-HP-19</x:v>
      </x:c>
      <x:c r="C441" s="7" t="str">
        <x:v>RAE-E-14</x:v>
      </x:c>
      <x:c r="D441" s="7" t="str">
        <x:v>RFP-A2</x:v>
      </x:c>
      <x:c r="E441" s="7" t="str">
        <x:v>HP-19</x:v>
      </x:c>
      <x:c r="F441" s="7" t="str">
        <x:v>safeing</x:v>
      </x:c>
      <x:c r="G441" s="7" t="str">
        <x:v>state</x:v>
      </x:c>
      <x:c r="H441" s="10" t="str"/>
      <x:c r="I441" s="7" t="str"/>
      <x:c r="J441" s="7" t="str">
        <x:v>OPEN</x:v>
      </x:c>
    </x:row>
    <x:row r="442" ht="36" customHeight="1">
      <x:c r="B442" s="7" t="str">
        <x:v>RAE-E-14-HP-20</x:v>
      </x:c>
      <x:c r="C442" s="7" t="str">
        <x:v>RAE-E-14</x:v>
      </x:c>
      <x:c r="D442" s="7" t="str">
        <x:v>RFP-A2</x:v>
      </x:c>
      <x:c r="E442" s="7" t="str">
        <x:v>HP-20</x:v>
      </x:c>
      <x:c r="F442" s="7" t="str">
        <x:v>safeing</x:v>
      </x:c>
      <x:c r="G442" s="7" t="str">
        <x:v>authority</x:v>
      </x:c>
      <x:c r="H442" s="10" t="str"/>
      <x:c r="I442" s="7" t="str"/>
      <x:c r="J442" s="7" t="str">
        <x:v>OPEN</x:v>
      </x:c>
    </x:row>
    <x:row r="443" ht="36" customHeight="1">
      <x:c r="B443" s="7" t="str">
        <x:v>RAE-E-14-HP-21</x:v>
      </x:c>
      <x:c r="C443" s="7" t="str">
        <x:v>RAE-E-14</x:v>
      </x:c>
      <x:c r="D443" s="7" t="str">
        <x:v>RFP-A2</x:v>
      </x:c>
      <x:c r="E443" s="7" t="str">
        <x:v>HP-21</x:v>
      </x:c>
      <x:c r="F443" s="7" t="str">
        <x:v>evidence</x:v>
      </x:c>
      <x:c r="G443" s="7" t="str">
        <x:v>identity</x:v>
      </x:c>
      <x:c r="H443" s="10" t="str"/>
      <x:c r="I443" s="7" t="str"/>
      <x:c r="J443" s="7" t="str">
        <x:v>OPEN</x:v>
      </x:c>
    </x:row>
    <x:row r="444" ht="36" customHeight="1">
      <x:c r="B444" s="7" t="str">
        <x:v>RAE-E-14-HP-22</x:v>
      </x:c>
      <x:c r="C444" s="7" t="str">
        <x:v>RAE-E-14</x:v>
      </x:c>
      <x:c r="D444" s="7" t="str">
        <x:v>RFP-A2</x:v>
      </x:c>
      <x:c r="E444" s="7" t="str">
        <x:v>HP-22</x:v>
      </x:c>
      <x:c r="F444" s="7" t="str">
        <x:v>evidence</x:v>
      </x:c>
      <x:c r="G444" s="7" t="str">
        <x:v>capacity</x:v>
      </x:c>
      <x:c r="H444" s="10" t="str"/>
      <x:c r="I444" s="7" t="str"/>
      <x:c r="J444" s="7" t="str">
        <x:v>OPEN</x:v>
      </x:c>
    </x:row>
    <x:row r="445" ht="36" customHeight="1">
      <x:c r="B445" s="7" t="str">
        <x:v>RAE-E-14-HP-23</x:v>
      </x:c>
      <x:c r="C445" s="7" t="str">
        <x:v>RAE-E-14</x:v>
      </x:c>
      <x:c r="D445" s="7" t="str">
        <x:v>RFP-A2</x:v>
      </x:c>
      <x:c r="E445" s="7" t="str">
        <x:v>HP-23</x:v>
      </x:c>
      <x:c r="F445" s="7" t="str">
        <x:v>evidence</x:v>
      </x:c>
      <x:c r="G445" s="7" t="str">
        <x:v>state</x:v>
      </x:c>
      <x:c r="H445" s="10" t="str"/>
      <x:c r="I445" s="7" t="str"/>
      <x:c r="J445" s="7" t="str">
        <x:v>OPEN</x:v>
      </x:c>
    </x:row>
    <x:row r="446" ht="36" customHeight="1">
      <x:c r="B446" s="7" t="str">
        <x:v>RAE-E-14-HP-24</x:v>
      </x:c>
      <x:c r="C446" s="7" t="str">
        <x:v>RAE-E-14</x:v>
      </x:c>
      <x:c r="D446" s="7" t="str">
        <x:v>RFP-A2</x:v>
      </x:c>
      <x:c r="E446" s="7" t="str">
        <x:v>HP-24</x:v>
      </x:c>
      <x:c r="F446" s="7" t="str">
        <x:v>evidence</x:v>
      </x:c>
      <x:c r="G446" s="7" t="str">
        <x:v>authority</x:v>
      </x:c>
      <x:c r="H446" s="10" t="str"/>
      <x:c r="I446" s="7" t="str"/>
      <x:c r="J446" s="7" t="str">
        <x:v>OPEN</x:v>
      </x:c>
    </x:row>
    <x:row r="447" ht="36" customHeight="1">
      <x:c r="B447" s="7" t="str">
        <x:v>RAE-E-14-HP-25</x:v>
      </x:c>
      <x:c r="C447" s="7" t="str">
        <x:v>RAE-E-14</x:v>
      </x:c>
      <x:c r="D447" s="7" t="str">
        <x:v>RFP-A2</x:v>
      </x:c>
      <x:c r="E447" s="7" t="str">
        <x:v>HP-25</x:v>
      </x:c>
      <x:c r="F447" s="7" t="str">
        <x:v>environment</x:v>
      </x:c>
      <x:c r="G447" s="7" t="str">
        <x:v>identity</x:v>
      </x:c>
      <x:c r="H447" s="10" t="str"/>
      <x:c r="I447" s="7" t="str"/>
      <x:c r="J447" s="7" t="str">
        <x:v>OPEN</x:v>
      </x:c>
    </x:row>
    <x:row r="448" ht="36" customHeight="1">
      <x:c r="B448" s="7" t="str">
        <x:v>RAE-E-14-HP-26</x:v>
      </x:c>
      <x:c r="C448" s="7" t="str">
        <x:v>RAE-E-14</x:v>
      </x:c>
      <x:c r="D448" s="7" t="str">
        <x:v>RFP-A2</x:v>
      </x:c>
      <x:c r="E448" s="7" t="str">
        <x:v>HP-26</x:v>
      </x:c>
      <x:c r="F448" s="7" t="str">
        <x:v>environment</x:v>
      </x:c>
      <x:c r="G448" s="7" t="str">
        <x:v>capacity</x:v>
      </x:c>
      <x:c r="H448" s="10" t="str"/>
      <x:c r="I448" s="7" t="str"/>
      <x:c r="J448" s="7" t="str">
        <x:v>OPEN</x:v>
      </x:c>
    </x:row>
    <x:row r="449" ht="36" customHeight="1">
      <x:c r="B449" s="7" t="str">
        <x:v>RAE-E-14-HP-27</x:v>
      </x:c>
      <x:c r="C449" s="7" t="str">
        <x:v>RAE-E-14</x:v>
      </x:c>
      <x:c r="D449" s="7" t="str">
        <x:v>RFP-A2</x:v>
      </x:c>
      <x:c r="E449" s="7" t="str">
        <x:v>HP-27</x:v>
      </x:c>
      <x:c r="F449" s="7" t="str">
        <x:v>environment</x:v>
      </x:c>
      <x:c r="G449" s="7" t="str">
        <x:v>state</x:v>
      </x:c>
      <x:c r="H449" s="10" t="str"/>
      <x:c r="I449" s="7" t="str"/>
      <x:c r="J449" s="7" t="str">
        <x:v>OPEN</x:v>
      </x:c>
    </x:row>
    <x:row r="450" ht="36" customHeight="1">
      <x:c r="B450" s="7" t="str">
        <x:v>RAE-E-14-HP-28</x:v>
      </x:c>
      <x:c r="C450" s="7" t="str">
        <x:v>RAE-E-14</x:v>
      </x:c>
      <x:c r="D450" s="7" t="str">
        <x:v>RFP-A2</x:v>
      </x:c>
      <x:c r="E450" s="7" t="str">
        <x:v>HP-28</x:v>
      </x:c>
      <x:c r="F450" s="7" t="str">
        <x:v>environment</x:v>
      </x:c>
      <x:c r="G450" s="7" t="str">
        <x:v>authority</x:v>
      </x:c>
      <x:c r="H450" s="10" t="str"/>
      <x:c r="I450" s="7" t="str"/>
      <x:c r="J450" s="7" t="str">
        <x:v>OPEN</x:v>
      </x:c>
    </x:row>
    <x:row r="451" ht="36" customHeight="1">
      <x:c r="B451" s="7" t="str">
        <x:v>RAE-E-14-HP-29</x:v>
      </x:c>
      <x:c r="C451" s="7" t="str">
        <x:v>RAE-E-14</x:v>
      </x:c>
      <x:c r="D451" s="7" t="str">
        <x:v>RFP-A2</x:v>
      </x:c>
      <x:c r="E451" s="7" t="str">
        <x:v>HP-29</x:v>
      </x:c>
      <x:c r="F451" s="7" t="str">
        <x:v>authority</x:v>
      </x:c>
      <x:c r="G451" s="7" t="str">
        <x:v>identity</x:v>
      </x:c>
      <x:c r="H451" s="10" t="str"/>
      <x:c r="I451" s="7" t="str"/>
      <x:c r="J451" s="7" t="str">
        <x:v>OPEN</x:v>
      </x:c>
    </x:row>
    <x:row r="452" ht="36" customHeight="1">
      <x:c r="B452" s="7" t="str">
        <x:v>RAE-E-14-HP-30</x:v>
      </x:c>
      <x:c r="C452" s="7" t="str">
        <x:v>RAE-E-14</x:v>
      </x:c>
      <x:c r="D452" s="7" t="str">
        <x:v>RFP-A2</x:v>
      </x:c>
      <x:c r="E452" s="7" t="str">
        <x:v>HP-30</x:v>
      </x:c>
      <x:c r="F452" s="7" t="str">
        <x:v>authority</x:v>
      </x:c>
      <x:c r="G452" s="7" t="str">
        <x:v>capacity</x:v>
      </x:c>
      <x:c r="H452" s="10" t="str"/>
      <x:c r="I452" s="7" t="str"/>
      <x:c r="J452" s="7" t="str">
        <x:v>OPEN</x:v>
      </x:c>
    </x:row>
    <x:row r="453" ht="36" customHeight="1">
      <x:c r="B453" s="7" t="str">
        <x:v>RAE-E-14-HP-31</x:v>
      </x:c>
      <x:c r="C453" s="7" t="str">
        <x:v>RAE-E-14</x:v>
      </x:c>
      <x:c r="D453" s="7" t="str">
        <x:v>RFP-A2</x:v>
      </x:c>
      <x:c r="E453" s="7" t="str">
        <x:v>HP-31</x:v>
      </x:c>
      <x:c r="F453" s="7" t="str">
        <x:v>authority</x:v>
      </x:c>
      <x:c r="G453" s="7" t="str">
        <x:v>state</x:v>
      </x:c>
      <x:c r="H453" s="10" t="str"/>
      <x:c r="I453" s="7" t="str"/>
      <x:c r="J453" s="7" t="str">
        <x:v>OPEN</x:v>
      </x:c>
    </x:row>
    <x:row r="454" ht="36" customHeight="1">
      <x:c r="B454" s="7" t="str">
        <x:v>RAE-E-14-HP-32</x:v>
      </x:c>
      <x:c r="C454" s="7" t="str">
        <x:v>RAE-E-14</x:v>
      </x:c>
      <x:c r="D454" s="7" t="str">
        <x:v>RFP-A2</x:v>
      </x:c>
      <x:c r="E454" s="7" t="str">
        <x:v>HP-32</x:v>
      </x:c>
      <x:c r="F454" s="7" t="str">
        <x:v>authority</x:v>
      </x:c>
      <x:c r="G454" s="7" t="str">
        <x:v>authority</x:v>
      </x:c>
      <x:c r="H454" s="10" t="str"/>
      <x:c r="I454" s="7" t="str"/>
      <x:c r="J454" s="7" t="str">
        <x:v>OPEN</x:v>
      </x:c>
    </x:row>
    <x:row r="455" ht="36" customHeight="1">
      <x:c r="B455" s="7" t="str">
        <x:v>RAE-E-15-HP-01</x:v>
      </x:c>
      <x:c r="C455" s="7" t="str">
        <x:v>RAE-E-15</x:v>
      </x:c>
      <x:c r="D455" s="7" t="str">
        <x:v>RFP-A2</x:v>
      </x:c>
      <x:c r="E455" s="7" t="str">
        <x:v>HP-01</x:v>
      </x:c>
      <x:c r="F455" s="7" t="str">
        <x:v>configuration</x:v>
      </x:c>
      <x:c r="G455" s="7" t="str">
        <x:v>identity</x:v>
      </x:c>
      <x:c r="H455" s="10" t="str"/>
      <x:c r="I455" s="7" t="str"/>
      <x:c r="J455" s="7" t="str">
        <x:v>OPEN</x:v>
      </x:c>
    </x:row>
    <x:row r="456" ht="36" customHeight="1">
      <x:c r="B456" s="7" t="str">
        <x:v>RAE-E-15-HP-02</x:v>
      </x:c>
      <x:c r="C456" s="7" t="str">
        <x:v>RAE-E-15</x:v>
      </x:c>
      <x:c r="D456" s="7" t="str">
        <x:v>RFP-A2</x:v>
      </x:c>
      <x:c r="E456" s="7" t="str">
        <x:v>HP-02</x:v>
      </x:c>
      <x:c r="F456" s="7" t="str">
        <x:v>configuration</x:v>
      </x:c>
      <x:c r="G456" s="7" t="str">
        <x:v>capacity</x:v>
      </x:c>
      <x:c r="H456" s="10" t="str"/>
      <x:c r="I456" s="7" t="str"/>
      <x:c r="J456" s="7" t="str">
        <x:v>OPEN</x:v>
      </x:c>
    </x:row>
    <x:row r="457" ht="36" customHeight="1">
      <x:c r="B457" s="7" t="str">
        <x:v>RAE-E-15-HP-03</x:v>
      </x:c>
      <x:c r="C457" s="7" t="str">
        <x:v>RAE-E-15</x:v>
      </x:c>
      <x:c r="D457" s="7" t="str">
        <x:v>RFP-A2</x:v>
      </x:c>
      <x:c r="E457" s="7" t="str">
        <x:v>HP-03</x:v>
      </x:c>
      <x:c r="F457" s="7" t="str">
        <x:v>configuration</x:v>
      </x:c>
      <x:c r="G457" s="7" t="str">
        <x:v>state</x:v>
      </x:c>
      <x:c r="H457" s="10" t="str"/>
      <x:c r="I457" s="7" t="str"/>
      <x:c r="J457" s="7" t="str">
        <x:v>OPEN</x:v>
      </x:c>
    </x:row>
    <x:row r="458" ht="36" customHeight="1">
      <x:c r="B458" s="7" t="str">
        <x:v>RAE-E-15-HP-04</x:v>
      </x:c>
      <x:c r="C458" s="7" t="str">
        <x:v>RAE-E-15</x:v>
      </x:c>
      <x:c r="D458" s="7" t="str">
        <x:v>RFP-A2</x:v>
      </x:c>
      <x:c r="E458" s="7" t="str">
        <x:v>HP-04</x:v>
      </x:c>
      <x:c r="F458" s="7" t="str">
        <x:v>configuration</x:v>
      </x:c>
      <x:c r="G458" s="7" t="str">
        <x:v>authority</x:v>
      </x:c>
      <x:c r="H458" s="10" t="str"/>
      <x:c r="I458" s="7" t="str"/>
      <x:c r="J458" s="7" t="str">
        <x:v>OPEN</x:v>
      </x:c>
    </x:row>
    <x:row r="459" ht="36" customHeight="1">
      <x:c r="B459" s="7" t="str">
        <x:v>RAE-E-15-HP-05</x:v>
      </x:c>
      <x:c r="C459" s="7" t="str">
        <x:v>RAE-E-15</x:v>
      </x:c>
      <x:c r="D459" s="7" t="str">
        <x:v>RFP-A2</x:v>
      </x:c>
      <x:c r="E459" s="7" t="str">
        <x:v>HP-05</x:v>
      </x:c>
      <x:c r="F459" s="7" t="str">
        <x:v>source</x:v>
      </x:c>
      <x:c r="G459" s="7" t="str">
        <x:v>identity</x:v>
      </x:c>
      <x:c r="H459" s="10" t="str"/>
      <x:c r="I459" s="7" t="str"/>
      <x:c r="J459" s="7" t="str">
        <x:v>OPEN</x:v>
      </x:c>
    </x:row>
    <x:row r="460" ht="36" customHeight="1">
      <x:c r="B460" s="7" t="str">
        <x:v>RAE-E-15-HP-06</x:v>
      </x:c>
      <x:c r="C460" s="7" t="str">
        <x:v>RAE-E-15</x:v>
      </x:c>
      <x:c r="D460" s="7" t="str">
        <x:v>RFP-A2</x:v>
      </x:c>
      <x:c r="E460" s="7" t="str">
        <x:v>HP-06</x:v>
      </x:c>
      <x:c r="F460" s="7" t="str">
        <x:v>source</x:v>
      </x:c>
      <x:c r="G460" s="7" t="str">
        <x:v>capacity</x:v>
      </x:c>
      <x:c r="H460" s="10" t="str"/>
      <x:c r="I460" s="7" t="str"/>
      <x:c r="J460" s="7" t="str">
        <x:v>OPEN</x:v>
      </x:c>
    </x:row>
    <x:row r="461" ht="36" customHeight="1">
      <x:c r="B461" s="7" t="str">
        <x:v>RAE-E-15-HP-07</x:v>
      </x:c>
      <x:c r="C461" s="7" t="str">
        <x:v>RAE-E-15</x:v>
      </x:c>
      <x:c r="D461" s="7" t="str">
        <x:v>RFP-A2</x:v>
      </x:c>
      <x:c r="E461" s="7" t="str">
        <x:v>HP-07</x:v>
      </x:c>
      <x:c r="F461" s="7" t="str">
        <x:v>source</x:v>
      </x:c>
      <x:c r="G461" s="7" t="str">
        <x:v>state</x:v>
      </x:c>
      <x:c r="H461" s="10" t="str"/>
      <x:c r="I461" s="7" t="str"/>
      <x:c r="J461" s="7" t="str">
        <x:v>OPEN</x:v>
      </x:c>
    </x:row>
    <x:row r="462" ht="36" customHeight="1">
      <x:c r="B462" s="7" t="str">
        <x:v>RAE-E-15-HP-08</x:v>
      </x:c>
      <x:c r="C462" s="7" t="str">
        <x:v>RAE-E-15</x:v>
      </x:c>
      <x:c r="D462" s="7" t="str">
        <x:v>RFP-A2</x:v>
      </x:c>
      <x:c r="E462" s="7" t="str">
        <x:v>HP-08</x:v>
      </x:c>
      <x:c r="F462" s="7" t="str">
        <x:v>source</x:v>
      </x:c>
      <x:c r="G462" s="7" t="str">
        <x:v>authority</x:v>
      </x:c>
      <x:c r="H462" s="10" t="str"/>
      <x:c r="I462" s="7" t="str"/>
      <x:c r="J462" s="7" t="str">
        <x:v>OPEN</x:v>
      </x:c>
    </x:row>
    <x:row r="463" ht="36" customHeight="1">
      <x:c r="B463" s="7" t="str">
        <x:v>RAE-E-15-HP-09</x:v>
      </x:c>
      <x:c r="C463" s="7" t="str">
        <x:v>RAE-E-15</x:v>
      </x:c>
      <x:c r="D463" s="7" t="str">
        <x:v>RFP-A2</x:v>
      </x:c>
      <x:c r="E463" s="7" t="str">
        <x:v>HP-09</x:v>
      </x:c>
      <x:c r="F463" s="7" t="str">
        <x:v>containment</x:v>
      </x:c>
      <x:c r="G463" s="7" t="str">
        <x:v>identity</x:v>
      </x:c>
      <x:c r="H463" s="10" t="str"/>
      <x:c r="I463" s="7" t="str"/>
      <x:c r="J463" s="7" t="str">
        <x:v>OPEN</x:v>
      </x:c>
    </x:row>
    <x:row r="464" ht="36" customHeight="1">
      <x:c r="B464" s="7" t="str">
        <x:v>RAE-E-15-HP-10</x:v>
      </x:c>
      <x:c r="C464" s="7" t="str">
        <x:v>RAE-E-15</x:v>
      </x:c>
      <x:c r="D464" s="7" t="str">
        <x:v>RFP-A2</x:v>
      </x:c>
      <x:c r="E464" s="7" t="str">
        <x:v>HP-10</x:v>
      </x:c>
      <x:c r="F464" s="7" t="str">
        <x:v>containment</x:v>
      </x:c>
      <x:c r="G464" s="7" t="str">
        <x:v>capacity</x:v>
      </x:c>
      <x:c r="H464" s="10" t="str"/>
      <x:c r="I464" s="7" t="str"/>
      <x:c r="J464" s="7" t="str">
        <x:v>OPEN</x:v>
      </x:c>
    </x:row>
    <x:row r="465" ht="36" customHeight="1">
      <x:c r="B465" s="7" t="str">
        <x:v>RAE-E-15-HP-11</x:v>
      </x:c>
      <x:c r="C465" s="7" t="str">
        <x:v>RAE-E-15</x:v>
      </x:c>
      <x:c r="D465" s="7" t="str">
        <x:v>RFP-A2</x:v>
      </x:c>
      <x:c r="E465" s="7" t="str">
        <x:v>HP-11</x:v>
      </x:c>
      <x:c r="F465" s="7" t="str">
        <x:v>containment</x:v>
      </x:c>
      <x:c r="G465" s="7" t="str">
        <x:v>state</x:v>
      </x:c>
      <x:c r="H465" s="10" t="str"/>
      <x:c r="I465" s="7" t="str"/>
      <x:c r="J465" s="7" t="str">
        <x:v>OPEN</x:v>
      </x:c>
    </x:row>
    <x:row r="466" ht="36" customHeight="1">
      <x:c r="B466" s="7" t="str">
        <x:v>RAE-E-15-HP-12</x:v>
      </x:c>
      <x:c r="C466" s="7" t="str">
        <x:v>RAE-E-15</x:v>
      </x:c>
      <x:c r="D466" s="7" t="str">
        <x:v>RFP-A2</x:v>
      </x:c>
      <x:c r="E466" s="7" t="str">
        <x:v>HP-12</x:v>
      </x:c>
      <x:c r="F466" s="7" t="str">
        <x:v>containment</x:v>
      </x:c>
      <x:c r="G466" s="7" t="str">
        <x:v>authority</x:v>
      </x:c>
      <x:c r="H466" s="10" t="str"/>
      <x:c r="I466" s="7" t="str"/>
      <x:c r="J466" s="7" t="str">
        <x:v>OPEN</x:v>
      </x:c>
    </x:row>
    <x:row r="467" ht="36" customHeight="1">
      <x:c r="B467" s="7" t="str">
        <x:v>RAE-E-15-HP-13</x:v>
      </x:c>
      <x:c r="C467" s="7" t="str">
        <x:v>RAE-E-15</x:v>
      </x:c>
      <x:c r="D467" s="7" t="str">
        <x:v>RFP-A2</x:v>
      </x:c>
      <x:c r="E467" s="7" t="str">
        <x:v>HP-13</x:v>
      </x:c>
      <x:c r="F467" s="7" t="str">
        <x:v>water</x:v>
      </x:c>
      <x:c r="G467" s="7" t="str">
        <x:v>identity</x:v>
      </x:c>
      <x:c r="H467" s="10" t="str"/>
      <x:c r="I467" s="7" t="str"/>
      <x:c r="J467" s="7" t="str">
        <x:v>OPEN</x:v>
      </x:c>
    </x:row>
    <x:row r="468" ht="36" customHeight="1">
      <x:c r="B468" s="7" t="str">
        <x:v>RAE-E-15-HP-14</x:v>
      </x:c>
      <x:c r="C468" s="7" t="str">
        <x:v>RAE-E-15</x:v>
      </x:c>
      <x:c r="D468" s="7" t="str">
        <x:v>RFP-A2</x:v>
      </x:c>
      <x:c r="E468" s="7" t="str">
        <x:v>HP-14</x:v>
      </x:c>
      <x:c r="F468" s="7" t="str">
        <x:v>water</x:v>
      </x:c>
      <x:c r="G468" s="7" t="str">
        <x:v>capacity</x:v>
      </x:c>
      <x:c r="H468" s="10" t="str"/>
      <x:c r="I468" s="7" t="str"/>
      <x:c r="J468" s="7" t="str">
        <x:v>OPEN</x:v>
      </x:c>
    </x:row>
    <x:row r="469" ht="36" customHeight="1">
      <x:c r="B469" s="7" t="str">
        <x:v>RAE-E-15-HP-15</x:v>
      </x:c>
      <x:c r="C469" s="7" t="str">
        <x:v>RAE-E-15</x:v>
      </x:c>
      <x:c r="D469" s="7" t="str">
        <x:v>RFP-A2</x:v>
      </x:c>
      <x:c r="E469" s="7" t="str">
        <x:v>HP-15</x:v>
      </x:c>
      <x:c r="F469" s="7" t="str">
        <x:v>water</x:v>
      </x:c>
      <x:c r="G469" s="7" t="str">
        <x:v>state</x:v>
      </x:c>
      <x:c r="H469" s="10" t="str"/>
      <x:c r="I469" s="7" t="str"/>
      <x:c r="J469" s="7" t="str">
        <x:v>OPEN</x:v>
      </x:c>
    </x:row>
    <x:row r="470" ht="36" customHeight="1">
      <x:c r="B470" s="7" t="str">
        <x:v>RAE-E-15-HP-16</x:v>
      </x:c>
      <x:c r="C470" s="7" t="str">
        <x:v>RAE-E-15</x:v>
      </x:c>
      <x:c r="D470" s="7" t="str">
        <x:v>RFP-A2</x:v>
      </x:c>
      <x:c r="E470" s="7" t="str">
        <x:v>HP-16</x:v>
      </x:c>
      <x:c r="F470" s="7" t="str">
        <x:v>water</x:v>
      </x:c>
      <x:c r="G470" s="7" t="str">
        <x:v>authority</x:v>
      </x:c>
      <x:c r="H470" s="10" t="str"/>
      <x:c r="I470" s="7" t="str"/>
      <x:c r="J470" s="7" t="str">
        <x:v>OPEN</x:v>
      </x:c>
    </x:row>
    <x:row r="471" ht="36" customHeight="1">
      <x:c r="B471" s="7" t="str">
        <x:v>RAE-E-15-HP-17</x:v>
      </x:c>
      <x:c r="C471" s="7" t="str">
        <x:v>RAE-E-15</x:v>
      </x:c>
      <x:c r="D471" s="7" t="str">
        <x:v>RFP-A2</x:v>
      </x:c>
      <x:c r="E471" s="7" t="str">
        <x:v>HP-17</x:v>
      </x:c>
      <x:c r="F471" s="7" t="str">
        <x:v>safeing</x:v>
      </x:c>
      <x:c r="G471" s="7" t="str">
        <x:v>identity</x:v>
      </x:c>
      <x:c r="H471" s="10" t="str"/>
      <x:c r="I471" s="7" t="str"/>
      <x:c r="J471" s="7" t="str">
        <x:v>OPEN</x:v>
      </x:c>
    </x:row>
    <x:row r="472" ht="36" customHeight="1">
      <x:c r="B472" s="7" t="str">
        <x:v>RAE-E-15-HP-18</x:v>
      </x:c>
      <x:c r="C472" s="7" t="str">
        <x:v>RAE-E-15</x:v>
      </x:c>
      <x:c r="D472" s="7" t="str">
        <x:v>RFP-A2</x:v>
      </x:c>
      <x:c r="E472" s="7" t="str">
        <x:v>HP-18</x:v>
      </x:c>
      <x:c r="F472" s="7" t="str">
        <x:v>safeing</x:v>
      </x:c>
      <x:c r="G472" s="7" t="str">
        <x:v>capacity</x:v>
      </x:c>
      <x:c r="H472" s="10" t="str"/>
      <x:c r="I472" s="7" t="str"/>
      <x:c r="J472" s="7" t="str">
        <x:v>OPEN</x:v>
      </x:c>
    </x:row>
    <x:row r="473" ht="36" customHeight="1">
      <x:c r="B473" s="7" t="str">
        <x:v>RAE-E-15-HP-19</x:v>
      </x:c>
      <x:c r="C473" s="7" t="str">
        <x:v>RAE-E-15</x:v>
      </x:c>
      <x:c r="D473" s="7" t="str">
        <x:v>RFP-A2</x:v>
      </x:c>
      <x:c r="E473" s="7" t="str">
        <x:v>HP-19</x:v>
      </x:c>
      <x:c r="F473" s="7" t="str">
        <x:v>safeing</x:v>
      </x:c>
      <x:c r="G473" s="7" t="str">
        <x:v>state</x:v>
      </x:c>
      <x:c r="H473" s="10" t="str"/>
      <x:c r="I473" s="7" t="str"/>
      <x:c r="J473" s="7" t="str">
        <x:v>OPEN</x:v>
      </x:c>
    </x:row>
    <x:row r="474" ht="36" customHeight="1">
      <x:c r="B474" s="7" t="str">
        <x:v>RAE-E-15-HP-20</x:v>
      </x:c>
      <x:c r="C474" s="7" t="str">
        <x:v>RAE-E-15</x:v>
      </x:c>
      <x:c r="D474" s="7" t="str">
        <x:v>RFP-A2</x:v>
      </x:c>
      <x:c r="E474" s="7" t="str">
        <x:v>HP-20</x:v>
      </x:c>
      <x:c r="F474" s="7" t="str">
        <x:v>safeing</x:v>
      </x:c>
      <x:c r="G474" s="7" t="str">
        <x:v>authority</x:v>
      </x:c>
      <x:c r="H474" s="10" t="str"/>
      <x:c r="I474" s="7" t="str"/>
      <x:c r="J474" s="7" t="str">
        <x:v>OPEN</x:v>
      </x:c>
    </x:row>
    <x:row r="475" ht="36" customHeight="1">
      <x:c r="B475" s="7" t="str">
        <x:v>RAE-E-15-HP-21</x:v>
      </x:c>
      <x:c r="C475" s="7" t="str">
        <x:v>RAE-E-15</x:v>
      </x:c>
      <x:c r="D475" s="7" t="str">
        <x:v>RFP-A2</x:v>
      </x:c>
      <x:c r="E475" s="7" t="str">
        <x:v>HP-21</x:v>
      </x:c>
      <x:c r="F475" s="7" t="str">
        <x:v>evidence</x:v>
      </x:c>
      <x:c r="G475" s="7" t="str">
        <x:v>identity</x:v>
      </x:c>
      <x:c r="H475" s="10" t="str"/>
      <x:c r="I475" s="7" t="str"/>
      <x:c r="J475" s="7" t="str">
        <x:v>OPEN</x:v>
      </x:c>
    </x:row>
    <x:row r="476" ht="36" customHeight="1">
      <x:c r="B476" s="7" t="str">
        <x:v>RAE-E-15-HP-22</x:v>
      </x:c>
      <x:c r="C476" s="7" t="str">
        <x:v>RAE-E-15</x:v>
      </x:c>
      <x:c r="D476" s="7" t="str">
        <x:v>RFP-A2</x:v>
      </x:c>
      <x:c r="E476" s="7" t="str">
        <x:v>HP-22</x:v>
      </x:c>
      <x:c r="F476" s="7" t="str">
        <x:v>evidence</x:v>
      </x:c>
      <x:c r="G476" s="7" t="str">
        <x:v>capacity</x:v>
      </x:c>
      <x:c r="H476" s="10" t="str"/>
      <x:c r="I476" s="7" t="str"/>
      <x:c r="J476" s="7" t="str">
        <x:v>OPEN</x:v>
      </x:c>
    </x:row>
    <x:row r="477" ht="36" customHeight="1">
      <x:c r="B477" s="7" t="str">
        <x:v>RAE-E-15-HP-23</x:v>
      </x:c>
      <x:c r="C477" s="7" t="str">
        <x:v>RAE-E-15</x:v>
      </x:c>
      <x:c r="D477" s="7" t="str">
        <x:v>RFP-A2</x:v>
      </x:c>
      <x:c r="E477" s="7" t="str">
        <x:v>HP-23</x:v>
      </x:c>
      <x:c r="F477" s="7" t="str">
        <x:v>evidence</x:v>
      </x:c>
      <x:c r="G477" s="7" t="str">
        <x:v>state</x:v>
      </x:c>
      <x:c r="H477" s="10" t="str"/>
      <x:c r="I477" s="7" t="str"/>
      <x:c r="J477" s="7" t="str">
        <x:v>OPEN</x:v>
      </x:c>
    </x:row>
    <x:row r="478" ht="36" customHeight="1">
      <x:c r="B478" s="7" t="str">
        <x:v>RAE-E-15-HP-24</x:v>
      </x:c>
      <x:c r="C478" s="7" t="str">
        <x:v>RAE-E-15</x:v>
      </x:c>
      <x:c r="D478" s="7" t="str">
        <x:v>RFP-A2</x:v>
      </x:c>
      <x:c r="E478" s="7" t="str">
        <x:v>HP-24</x:v>
      </x:c>
      <x:c r="F478" s="7" t="str">
        <x:v>evidence</x:v>
      </x:c>
      <x:c r="G478" s="7" t="str">
        <x:v>authority</x:v>
      </x:c>
      <x:c r="H478" s="10" t="str"/>
      <x:c r="I478" s="7" t="str"/>
      <x:c r="J478" s="7" t="str">
        <x:v>OPEN</x:v>
      </x:c>
    </x:row>
    <x:row r="479" ht="36" customHeight="1">
      <x:c r="B479" s="7" t="str">
        <x:v>RAE-E-15-HP-25</x:v>
      </x:c>
      <x:c r="C479" s="7" t="str">
        <x:v>RAE-E-15</x:v>
      </x:c>
      <x:c r="D479" s="7" t="str">
        <x:v>RFP-A2</x:v>
      </x:c>
      <x:c r="E479" s="7" t="str">
        <x:v>HP-25</x:v>
      </x:c>
      <x:c r="F479" s="7" t="str">
        <x:v>environment</x:v>
      </x:c>
      <x:c r="G479" s="7" t="str">
        <x:v>identity</x:v>
      </x:c>
      <x:c r="H479" s="10" t="str"/>
      <x:c r="I479" s="7" t="str"/>
      <x:c r="J479" s="7" t="str">
        <x:v>OPEN</x:v>
      </x:c>
    </x:row>
    <x:row r="480" ht="36" customHeight="1">
      <x:c r="B480" s="7" t="str">
        <x:v>RAE-E-15-HP-26</x:v>
      </x:c>
      <x:c r="C480" s="7" t="str">
        <x:v>RAE-E-15</x:v>
      </x:c>
      <x:c r="D480" s="7" t="str">
        <x:v>RFP-A2</x:v>
      </x:c>
      <x:c r="E480" s="7" t="str">
        <x:v>HP-26</x:v>
      </x:c>
      <x:c r="F480" s="7" t="str">
        <x:v>environment</x:v>
      </x:c>
      <x:c r="G480" s="7" t="str">
        <x:v>capacity</x:v>
      </x:c>
      <x:c r="H480" s="10" t="str"/>
      <x:c r="I480" s="7" t="str"/>
      <x:c r="J480" s="7" t="str">
        <x:v>OPEN</x:v>
      </x:c>
    </x:row>
    <x:row r="481" ht="36" customHeight="1">
      <x:c r="B481" s="7" t="str">
        <x:v>RAE-E-15-HP-27</x:v>
      </x:c>
      <x:c r="C481" s="7" t="str">
        <x:v>RAE-E-15</x:v>
      </x:c>
      <x:c r="D481" s="7" t="str">
        <x:v>RFP-A2</x:v>
      </x:c>
      <x:c r="E481" s="7" t="str">
        <x:v>HP-27</x:v>
      </x:c>
      <x:c r="F481" s="7" t="str">
        <x:v>environment</x:v>
      </x:c>
      <x:c r="G481" s="7" t="str">
        <x:v>state</x:v>
      </x:c>
      <x:c r="H481" s="10" t="str"/>
      <x:c r="I481" s="7" t="str"/>
      <x:c r="J481" s="7" t="str">
        <x:v>OPEN</x:v>
      </x:c>
    </x:row>
    <x:row r="482" ht="36" customHeight="1">
      <x:c r="B482" s="7" t="str">
        <x:v>RAE-E-15-HP-28</x:v>
      </x:c>
      <x:c r="C482" s="7" t="str">
        <x:v>RAE-E-15</x:v>
      </x:c>
      <x:c r="D482" s="7" t="str">
        <x:v>RFP-A2</x:v>
      </x:c>
      <x:c r="E482" s="7" t="str">
        <x:v>HP-28</x:v>
      </x:c>
      <x:c r="F482" s="7" t="str">
        <x:v>environment</x:v>
      </x:c>
      <x:c r="G482" s="7" t="str">
        <x:v>authority</x:v>
      </x:c>
      <x:c r="H482" s="10" t="str"/>
      <x:c r="I482" s="7" t="str"/>
      <x:c r="J482" s="7" t="str">
        <x:v>OPEN</x:v>
      </x:c>
    </x:row>
    <x:row r="483" ht="36" customHeight="1">
      <x:c r="B483" s="7" t="str">
        <x:v>RAE-E-15-HP-29</x:v>
      </x:c>
      <x:c r="C483" s="7" t="str">
        <x:v>RAE-E-15</x:v>
      </x:c>
      <x:c r="D483" s="7" t="str">
        <x:v>RFP-A2</x:v>
      </x:c>
      <x:c r="E483" s="7" t="str">
        <x:v>HP-29</x:v>
      </x:c>
      <x:c r="F483" s="7" t="str">
        <x:v>authority</x:v>
      </x:c>
      <x:c r="G483" s="7" t="str">
        <x:v>identity</x:v>
      </x:c>
      <x:c r="H483" s="10" t="str"/>
      <x:c r="I483" s="7" t="str"/>
      <x:c r="J483" s="7" t="str">
        <x:v>OPEN</x:v>
      </x:c>
    </x:row>
    <x:row r="484" ht="36" customHeight="1">
      <x:c r="B484" s="7" t="str">
        <x:v>RAE-E-15-HP-30</x:v>
      </x:c>
      <x:c r="C484" s="7" t="str">
        <x:v>RAE-E-15</x:v>
      </x:c>
      <x:c r="D484" s="7" t="str">
        <x:v>RFP-A2</x:v>
      </x:c>
      <x:c r="E484" s="7" t="str">
        <x:v>HP-30</x:v>
      </x:c>
      <x:c r="F484" s="7" t="str">
        <x:v>authority</x:v>
      </x:c>
      <x:c r="G484" s="7" t="str">
        <x:v>capacity</x:v>
      </x:c>
      <x:c r="H484" s="10" t="str"/>
      <x:c r="I484" s="7" t="str"/>
      <x:c r="J484" s="7" t="str">
        <x:v>OPEN</x:v>
      </x:c>
    </x:row>
    <x:row r="485" ht="36" customHeight="1">
      <x:c r="B485" s="7" t="str">
        <x:v>RAE-E-15-HP-31</x:v>
      </x:c>
      <x:c r="C485" s="7" t="str">
        <x:v>RAE-E-15</x:v>
      </x:c>
      <x:c r="D485" s="7" t="str">
        <x:v>RFP-A2</x:v>
      </x:c>
      <x:c r="E485" s="7" t="str">
        <x:v>HP-31</x:v>
      </x:c>
      <x:c r="F485" s="7" t="str">
        <x:v>authority</x:v>
      </x:c>
      <x:c r="G485" s="7" t="str">
        <x:v>state</x:v>
      </x:c>
      <x:c r="H485" s="10" t="str"/>
      <x:c r="I485" s="7" t="str"/>
      <x:c r="J485" s="7" t="str">
        <x:v>OPEN</x:v>
      </x:c>
    </x:row>
    <x:row r="486" ht="36" customHeight="1">
      <x:c r="B486" s="7" t="str">
        <x:v>RAE-E-15-HP-32</x:v>
      </x:c>
      <x:c r="C486" s="7" t="str">
        <x:v>RAE-E-15</x:v>
      </x:c>
      <x:c r="D486" s="7" t="str">
        <x:v>RFP-A2</x:v>
      </x:c>
      <x:c r="E486" s="7" t="str">
        <x:v>HP-32</x:v>
      </x:c>
      <x:c r="F486" s="7" t="str">
        <x:v>authority</x:v>
      </x:c>
      <x:c r="G486" s="7" t="str">
        <x:v>authority</x:v>
      </x:c>
      <x:c r="H486" s="10" t="str"/>
      <x:c r="I486" s="7" t="str"/>
      <x:c r="J486" s="7" t="str">
        <x:v>OPEN</x:v>
      </x:c>
    </x:row>
    <x:row r="487" ht="36" customHeight="1">
      <x:c r="B487" s="7" t="str">
        <x:v>RAE-E-16-HP-01</x:v>
      </x:c>
      <x:c r="C487" s="7" t="str">
        <x:v>RAE-E-16</x:v>
      </x:c>
      <x:c r="D487" s="7" t="str">
        <x:v>RFP-A2</x:v>
      </x:c>
      <x:c r="E487" s="7" t="str">
        <x:v>HP-01</x:v>
      </x:c>
      <x:c r="F487" s="7" t="str">
        <x:v>configuration</x:v>
      </x:c>
      <x:c r="G487" s="7" t="str">
        <x:v>identity</x:v>
      </x:c>
      <x:c r="H487" s="10" t="str"/>
      <x:c r="I487" s="7" t="str"/>
      <x:c r="J487" s="7" t="str">
        <x:v>OPEN</x:v>
      </x:c>
    </x:row>
    <x:row r="488" ht="36" customHeight="1">
      <x:c r="B488" s="7" t="str">
        <x:v>RAE-E-16-HP-02</x:v>
      </x:c>
      <x:c r="C488" s="7" t="str">
        <x:v>RAE-E-16</x:v>
      </x:c>
      <x:c r="D488" s="7" t="str">
        <x:v>RFP-A2</x:v>
      </x:c>
      <x:c r="E488" s="7" t="str">
        <x:v>HP-02</x:v>
      </x:c>
      <x:c r="F488" s="7" t="str">
        <x:v>configuration</x:v>
      </x:c>
      <x:c r="G488" s="7" t="str">
        <x:v>capacity</x:v>
      </x:c>
      <x:c r="H488" s="10" t="str"/>
      <x:c r="I488" s="7" t="str"/>
      <x:c r="J488" s="7" t="str">
        <x:v>OPEN</x:v>
      </x:c>
    </x:row>
    <x:row r="489" ht="36" customHeight="1">
      <x:c r="B489" s="7" t="str">
        <x:v>RAE-E-16-HP-03</x:v>
      </x:c>
      <x:c r="C489" s="7" t="str">
        <x:v>RAE-E-16</x:v>
      </x:c>
      <x:c r="D489" s="7" t="str">
        <x:v>RFP-A2</x:v>
      </x:c>
      <x:c r="E489" s="7" t="str">
        <x:v>HP-03</x:v>
      </x:c>
      <x:c r="F489" s="7" t="str">
        <x:v>configuration</x:v>
      </x:c>
      <x:c r="G489" s="7" t="str">
        <x:v>state</x:v>
      </x:c>
      <x:c r="H489" s="10" t="str"/>
      <x:c r="I489" s="7" t="str"/>
      <x:c r="J489" s="7" t="str">
        <x:v>OPEN</x:v>
      </x:c>
    </x:row>
    <x:row r="490" ht="36" customHeight="1">
      <x:c r="B490" s="7" t="str">
        <x:v>RAE-E-16-HP-04</x:v>
      </x:c>
      <x:c r="C490" s="7" t="str">
        <x:v>RAE-E-16</x:v>
      </x:c>
      <x:c r="D490" s="7" t="str">
        <x:v>RFP-A2</x:v>
      </x:c>
      <x:c r="E490" s="7" t="str">
        <x:v>HP-04</x:v>
      </x:c>
      <x:c r="F490" s="7" t="str">
        <x:v>configuration</x:v>
      </x:c>
      <x:c r="G490" s="7" t="str">
        <x:v>authority</x:v>
      </x:c>
      <x:c r="H490" s="10" t="str"/>
      <x:c r="I490" s="7" t="str"/>
      <x:c r="J490" s="7" t="str">
        <x:v>OPEN</x:v>
      </x:c>
    </x:row>
    <x:row r="491" ht="36" customHeight="1">
      <x:c r="B491" s="7" t="str">
        <x:v>RAE-E-16-HP-05</x:v>
      </x:c>
      <x:c r="C491" s="7" t="str">
        <x:v>RAE-E-16</x:v>
      </x:c>
      <x:c r="D491" s="7" t="str">
        <x:v>RFP-A2</x:v>
      </x:c>
      <x:c r="E491" s="7" t="str">
        <x:v>HP-05</x:v>
      </x:c>
      <x:c r="F491" s="7" t="str">
        <x:v>source</x:v>
      </x:c>
      <x:c r="G491" s="7" t="str">
        <x:v>identity</x:v>
      </x:c>
      <x:c r="H491" s="10" t="str"/>
      <x:c r="I491" s="7" t="str"/>
      <x:c r="J491" s="7" t="str">
        <x:v>OPEN</x:v>
      </x:c>
    </x:row>
    <x:row r="492" ht="36" customHeight="1">
      <x:c r="B492" s="7" t="str">
        <x:v>RAE-E-16-HP-06</x:v>
      </x:c>
      <x:c r="C492" s="7" t="str">
        <x:v>RAE-E-16</x:v>
      </x:c>
      <x:c r="D492" s="7" t="str">
        <x:v>RFP-A2</x:v>
      </x:c>
      <x:c r="E492" s="7" t="str">
        <x:v>HP-06</x:v>
      </x:c>
      <x:c r="F492" s="7" t="str">
        <x:v>source</x:v>
      </x:c>
      <x:c r="G492" s="7" t="str">
        <x:v>capacity</x:v>
      </x:c>
      <x:c r="H492" s="10" t="str"/>
      <x:c r="I492" s="7" t="str"/>
      <x:c r="J492" s="7" t="str">
        <x:v>OPEN</x:v>
      </x:c>
    </x:row>
    <x:row r="493" ht="36" customHeight="1">
      <x:c r="B493" s="7" t="str">
        <x:v>RAE-E-16-HP-07</x:v>
      </x:c>
      <x:c r="C493" s="7" t="str">
        <x:v>RAE-E-16</x:v>
      </x:c>
      <x:c r="D493" s="7" t="str">
        <x:v>RFP-A2</x:v>
      </x:c>
      <x:c r="E493" s="7" t="str">
        <x:v>HP-07</x:v>
      </x:c>
      <x:c r="F493" s="7" t="str">
        <x:v>source</x:v>
      </x:c>
      <x:c r="G493" s="7" t="str">
        <x:v>state</x:v>
      </x:c>
      <x:c r="H493" s="10" t="str"/>
      <x:c r="I493" s="7" t="str"/>
      <x:c r="J493" s="7" t="str">
        <x:v>OPEN</x:v>
      </x:c>
    </x:row>
    <x:row r="494" ht="36" customHeight="1">
      <x:c r="B494" s="7" t="str">
        <x:v>RAE-E-16-HP-08</x:v>
      </x:c>
      <x:c r="C494" s="7" t="str">
        <x:v>RAE-E-16</x:v>
      </x:c>
      <x:c r="D494" s="7" t="str">
        <x:v>RFP-A2</x:v>
      </x:c>
      <x:c r="E494" s="7" t="str">
        <x:v>HP-08</x:v>
      </x:c>
      <x:c r="F494" s="7" t="str">
        <x:v>source</x:v>
      </x:c>
      <x:c r="G494" s="7" t="str">
        <x:v>authority</x:v>
      </x:c>
      <x:c r="H494" s="10" t="str"/>
      <x:c r="I494" s="7" t="str"/>
      <x:c r="J494" s="7" t="str">
        <x:v>OPEN</x:v>
      </x:c>
    </x:row>
    <x:row r="495" ht="36" customHeight="1">
      <x:c r="B495" s="7" t="str">
        <x:v>RAE-E-16-HP-09</x:v>
      </x:c>
      <x:c r="C495" s="7" t="str">
        <x:v>RAE-E-16</x:v>
      </x:c>
      <x:c r="D495" s="7" t="str">
        <x:v>RFP-A2</x:v>
      </x:c>
      <x:c r="E495" s="7" t="str">
        <x:v>HP-09</x:v>
      </x:c>
      <x:c r="F495" s="7" t="str">
        <x:v>containment</x:v>
      </x:c>
      <x:c r="G495" s="7" t="str">
        <x:v>identity</x:v>
      </x:c>
      <x:c r="H495" s="10" t="str"/>
      <x:c r="I495" s="7" t="str"/>
      <x:c r="J495" s="7" t="str">
        <x:v>OPEN</x:v>
      </x:c>
    </x:row>
    <x:row r="496" ht="36" customHeight="1">
      <x:c r="B496" s="7" t="str">
        <x:v>RAE-E-16-HP-10</x:v>
      </x:c>
      <x:c r="C496" s="7" t="str">
        <x:v>RAE-E-16</x:v>
      </x:c>
      <x:c r="D496" s="7" t="str">
        <x:v>RFP-A2</x:v>
      </x:c>
      <x:c r="E496" s="7" t="str">
        <x:v>HP-10</x:v>
      </x:c>
      <x:c r="F496" s="7" t="str">
        <x:v>containment</x:v>
      </x:c>
      <x:c r="G496" s="7" t="str">
        <x:v>capacity</x:v>
      </x:c>
      <x:c r="H496" s="10" t="str"/>
      <x:c r="I496" s="7" t="str"/>
      <x:c r="J496" s="7" t="str">
        <x:v>OPEN</x:v>
      </x:c>
    </x:row>
    <x:row r="497" ht="36" customHeight="1">
      <x:c r="B497" s="7" t="str">
        <x:v>RAE-E-16-HP-11</x:v>
      </x:c>
      <x:c r="C497" s="7" t="str">
        <x:v>RAE-E-16</x:v>
      </x:c>
      <x:c r="D497" s="7" t="str">
        <x:v>RFP-A2</x:v>
      </x:c>
      <x:c r="E497" s="7" t="str">
        <x:v>HP-11</x:v>
      </x:c>
      <x:c r="F497" s="7" t="str">
        <x:v>containment</x:v>
      </x:c>
      <x:c r="G497" s="7" t="str">
        <x:v>state</x:v>
      </x:c>
      <x:c r="H497" s="10" t="str"/>
      <x:c r="I497" s="7" t="str"/>
      <x:c r="J497" s="7" t="str">
        <x:v>OPEN</x:v>
      </x:c>
    </x:row>
    <x:row r="498" ht="36" customHeight="1">
      <x:c r="B498" s="7" t="str">
        <x:v>RAE-E-16-HP-12</x:v>
      </x:c>
      <x:c r="C498" s="7" t="str">
        <x:v>RAE-E-16</x:v>
      </x:c>
      <x:c r="D498" s="7" t="str">
        <x:v>RFP-A2</x:v>
      </x:c>
      <x:c r="E498" s="7" t="str">
        <x:v>HP-12</x:v>
      </x:c>
      <x:c r="F498" s="7" t="str">
        <x:v>containment</x:v>
      </x:c>
      <x:c r="G498" s="7" t="str">
        <x:v>authority</x:v>
      </x:c>
      <x:c r="H498" s="10" t="str"/>
      <x:c r="I498" s="7" t="str"/>
      <x:c r="J498" s="7" t="str">
        <x:v>OPEN</x:v>
      </x:c>
    </x:row>
    <x:row r="499" ht="36" customHeight="1">
      <x:c r="B499" s="7" t="str">
        <x:v>RAE-E-16-HP-13</x:v>
      </x:c>
      <x:c r="C499" s="7" t="str">
        <x:v>RAE-E-16</x:v>
      </x:c>
      <x:c r="D499" s="7" t="str">
        <x:v>RFP-A2</x:v>
      </x:c>
      <x:c r="E499" s="7" t="str">
        <x:v>HP-13</x:v>
      </x:c>
      <x:c r="F499" s="7" t="str">
        <x:v>water</x:v>
      </x:c>
      <x:c r="G499" s="7" t="str">
        <x:v>identity</x:v>
      </x:c>
      <x:c r="H499" s="10" t="str"/>
      <x:c r="I499" s="7" t="str"/>
      <x:c r="J499" s="7" t="str">
        <x:v>OPEN</x:v>
      </x:c>
    </x:row>
    <x:row r="500" ht="36" customHeight="1">
      <x:c r="B500" s="7" t="str">
        <x:v>RAE-E-16-HP-14</x:v>
      </x:c>
      <x:c r="C500" s="7" t="str">
        <x:v>RAE-E-16</x:v>
      </x:c>
      <x:c r="D500" s="7" t="str">
        <x:v>RFP-A2</x:v>
      </x:c>
      <x:c r="E500" s="7" t="str">
        <x:v>HP-14</x:v>
      </x:c>
      <x:c r="F500" s="7" t="str">
        <x:v>water</x:v>
      </x:c>
      <x:c r="G500" s="7" t="str">
        <x:v>capacity</x:v>
      </x:c>
      <x:c r="H500" s="10" t="str"/>
      <x:c r="I500" s="7" t="str"/>
      <x:c r="J500" s="7" t="str">
        <x:v>OPEN</x:v>
      </x:c>
    </x:row>
    <x:row r="501" ht="36" customHeight="1">
      <x:c r="B501" s="7" t="str">
        <x:v>RAE-E-16-HP-15</x:v>
      </x:c>
      <x:c r="C501" s="7" t="str">
        <x:v>RAE-E-16</x:v>
      </x:c>
      <x:c r="D501" s="7" t="str">
        <x:v>RFP-A2</x:v>
      </x:c>
      <x:c r="E501" s="7" t="str">
        <x:v>HP-15</x:v>
      </x:c>
      <x:c r="F501" s="7" t="str">
        <x:v>water</x:v>
      </x:c>
      <x:c r="G501" s="7" t="str">
        <x:v>state</x:v>
      </x:c>
      <x:c r="H501" s="10" t="str"/>
      <x:c r="I501" s="7" t="str"/>
      <x:c r="J501" s="7" t="str">
        <x:v>OPEN</x:v>
      </x:c>
    </x:row>
    <x:row r="502" ht="36" customHeight="1">
      <x:c r="B502" s="7" t="str">
        <x:v>RAE-E-16-HP-16</x:v>
      </x:c>
      <x:c r="C502" s="7" t="str">
        <x:v>RAE-E-16</x:v>
      </x:c>
      <x:c r="D502" s="7" t="str">
        <x:v>RFP-A2</x:v>
      </x:c>
      <x:c r="E502" s="7" t="str">
        <x:v>HP-16</x:v>
      </x:c>
      <x:c r="F502" s="7" t="str">
        <x:v>water</x:v>
      </x:c>
      <x:c r="G502" s="7" t="str">
        <x:v>authority</x:v>
      </x:c>
      <x:c r="H502" s="10" t="str"/>
      <x:c r="I502" s="7" t="str"/>
      <x:c r="J502" s="7" t="str">
        <x:v>OPEN</x:v>
      </x:c>
    </x:row>
    <x:row r="503" ht="36" customHeight="1">
      <x:c r="B503" s="7" t="str">
        <x:v>RAE-E-16-HP-17</x:v>
      </x:c>
      <x:c r="C503" s="7" t="str">
        <x:v>RAE-E-16</x:v>
      </x:c>
      <x:c r="D503" s="7" t="str">
        <x:v>RFP-A2</x:v>
      </x:c>
      <x:c r="E503" s="7" t="str">
        <x:v>HP-17</x:v>
      </x:c>
      <x:c r="F503" s="7" t="str">
        <x:v>safeing</x:v>
      </x:c>
      <x:c r="G503" s="7" t="str">
        <x:v>identity</x:v>
      </x:c>
      <x:c r="H503" s="10" t="str"/>
      <x:c r="I503" s="7" t="str"/>
      <x:c r="J503" s="7" t="str">
        <x:v>OPEN</x:v>
      </x:c>
    </x:row>
    <x:row r="504" ht="36" customHeight="1">
      <x:c r="B504" s="7" t="str">
        <x:v>RAE-E-16-HP-18</x:v>
      </x:c>
      <x:c r="C504" s="7" t="str">
        <x:v>RAE-E-16</x:v>
      </x:c>
      <x:c r="D504" s="7" t="str">
        <x:v>RFP-A2</x:v>
      </x:c>
      <x:c r="E504" s="7" t="str">
        <x:v>HP-18</x:v>
      </x:c>
      <x:c r="F504" s="7" t="str">
        <x:v>safeing</x:v>
      </x:c>
      <x:c r="G504" s="7" t="str">
        <x:v>capacity</x:v>
      </x:c>
      <x:c r="H504" s="10" t="str"/>
      <x:c r="I504" s="7" t="str"/>
      <x:c r="J504" s="7" t="str">
        <x:v>OPEN</x:v>
      </x:c>
    </x:row>
    <x:row r="505" ht="36" customHeight="1">
      <x:c r="B505" s="7" t="str">
        <x:v>RAE-E-16-HP-19</x:v>
      </x:c>
      <x:c r="C505" s="7" t="str">
        <x:v>RAE-E-16</x:v>
      </x:c>
      <x:c r="D505" s="7" t="str">
        <x:v>RFP-A2</x:v>
      </x:c>
      <x:c r="E505" s="7" t="str">
        <x:v>HP-19</x:v>
      </x:c>
      <x:c r="F505" s="7" t="str">
        <x:v>safeing</x:v>
      </x:c>
      <x:c r="G505" s="7" t="str">
        <x:v>state</x:v>
      </x:c>
      <x:c r="H505" s="10" t="str"/>
      <x:c r="I505" s="7" t="str"/>
      <x:c r="J505" s="7" t="str">
        <x:v>OPEN</x:v>
      </x:c>
    </x:row>
    <x:row r="506" ht="36" customHeight="1">
      <x:c r="B506" s="7" t="str">
        <x:v>RAE-E-16-HP-20</x:v>
      </x:c>
      <x:c r="C506" s="7" t="str">
        <x:v>RAE-E-16</x:v>
      </x:c>
      <x:c r="D506" s="7" t="str">
        <x:v>RFP-A2</x:v>
      </x:c>
      <x:c r="E506" s="7" t="str">
        <x:v>HP-20</x:v>
      </x:c>
      <x:c r="F506" s="7" t="str">
        <x:v>safeing</x:v>
      </x:c>
      <x:c r="G506" s="7" t="str">
        <x:v>authority</x:v>
      </x:c>
      <x:c r="H506" s="10" t="str"/>
      <x:c r="I506" s="7" t="str"/>
      <x:c r="J506" s="7" t="str">
        <x:v>OPEN</x:v>
      </x:c>
    </x:row>
    <x:row r="507" ht="36" customHeight="1">
      <x:c r="B507" s="7" t="str">
        <x:v>RAE-E-16-HP-21</x:v>
      </x:c>
      <x:c r="C507" s="7" t="str">
        <x:v>RAE-E-16</x:v>
      </x:c>
      <x:c r="D507" s="7" t="str">
        <x:v>RFP-A2</x:v>
      </x:c>
      <x:c r="E507" s="7" t="str">
        <x:v>HP-21</x:v>
      </x:c>
      <x:c r="F507" s="7" t="str">
        <x:v>evidence</x:v>
      </x:c>
      <x:c r="G507" s="7" t="str">
        <x:v>identity</x:v>
      </x:c>
      <x:c r="H507" s="10" t="str"/>
      <x:c r="I507" s="7" t="str"/>
      <x:c r="J507" s="7" t="str">
        <x:v>OPEN</x:v>
      </x:c>
    </x:row>
    <x:row r="508" ht="36" customHeight="1">
      <x:c r="B508" s="7" t="str">
        <x:v>RAE-E-16-HP-22</x:v>
      </x:c>
      <x:c r="C508" s="7" t="str">
        <x:v>RAE-E-16</x:v>
      </x:c>
      <x:c r="D508" s="7" t="str">
        <x:v>RFP-A2</x:v>
      </x:c>
      <x:c r="E508" s="7" t="str">
        <x:v>HP-22</x:v>
      </x:c>
      <x:c r="F508" s="7" t="str">
        <x:v>evidence</x:v>
      </x:c>
      <x:c r="G508" s="7" t="str">
        <x:v>capacity</x:v>
      </x:c>
      <x:c r="H508" s="10" t="str"/>
      <x:c r="I508" s="7" t="str"/>
      <x:c r="J508" s="7" t="str">
        <x:v>OPEN</x:v>
      </x:c>
    </x:row>
    <x:row r="509" ht="36" customHeight="1">
      <x:c r="B509" s="7" t="str">
        <x:v>RAE-E-16-HP-23</x:v>
      </x:c>
      <x:c r="C509" s="7" t="str">
        <x:v>RAE-E-16</x:v>
      </x:c>
      <x:c r="D509" s="7" t="str">
        <x:v>RFP-A2</x:v>
      </x:c>
      <x:c r="E509" s="7" t="str">
        <x:v>HP-23</x:v>
      </x:c>
      <x:c r="F509" s="7" t="str">
        <x:v>evidence</x:v>
      </x:c>
      <x:c r="G509" s="7" t="str">
        <x:v>state</x:v>
      </x:c>
      <x:c r="H509" s="10" t="str"/>
      <x:c r="I509" s="7" t="str"/>
      <x:c r="J509" s="7" t="str">
        <x:v>OPEN</x:v>
      </x:c>
    </x:row>
    <x:row r="510" ht="36" customHeight="1">
      <x:c r="B510" s="7" t="str">
        <x:v>RAE-E-16-HP-24</x:v>
      </x:c>
      <x:c r="C510" s="7" t="str">
        <x:v>RAE-E-16</x:v>
      </x:c>
      <x:c r="D510" s="7" t="str">
        <x:v>RFP-A2</x:v>
      </x:c>
      <x:c r="E510" s="7" t="str">
        <x:v>HP-24</x:v>
      </x:c>
      <x:c r="F510" s="7" t="str">
        <x:v>evidence</x:v>
      </x:c>
      <x:c r="G510" s="7" t="str">
        <x:v>authority</x:v>
      </x:c>
      <x:c r="H510" s="10" t="str"/>
      <x:c r="I510" s="7" t="str"/>
      <x:c r="J510" s="7" t="str">
        <x:v>OPEN</x:v>
      </x:c>
    </x:row>
    <x:row r="511" ht="36" customHeight="1">
      <x:c r="B511" s="7" t="str">
        <x:v>RAE-E-16-HP-25</x:v>
      </x:c>
      <x:c r="C511" s="7" t="str">
        <x:v>RAE-E-16</x:v>
      </x:c>
      <x:c r="D511" s="7" t="str">
        <x:v>RFP-A2</x:v>
      </x:c>
      <x:c r="E511" s="7" t="str">
        <x:v>HP-25</x:v>
      </x:c>
      <x:c r="F511" s="7" t="str">
        <x:v>environment</x:v>
      </x:c>
      <x:c r="G511" s="7" t="str">
        <x:v>identity</x:v>
      </x:c>
      <x:c r="H511" s="10" t="str"/>
      <x:c r="I511" s="7" t="str"/>
      <x:c r="J511" s="7" t="str">
        <x:v>OPEN</x:v>
      </x:c>
    </x:row>
    <x:row r="512" ht="36" customHeight="1">
      <x:c r="B512" s="7" t="str">
        <x:v>RAE-E-16-HP-26</x:v>
      </x:c>
      <x:c r="C512" s="7" t="str">
        <x:v>RAE-E-16</x:v>
      </x:c>
      <x:c r="D512" s="7" t="str">
        <x:v>RFP-A2</x:v>
      </x:c>
      <x:c r="E512" s="7" t="str">
        <x:v>HP-26</x:v>
      </x:c>
      <x:c r="F512" s="7" t="str">
        <x:v>environment</x:v>
      </x:c>
      <x:c r="G512" s="7" t="str">
        <x:v>capacity</x:v>
      </x:c>
      <x:c r="H512" s="10" t="str"/>
      <x:c r="I512" s="7" t="str"/>
      <x:c r="J512" s="7" t="str">
        <x:v>OPEN</x:v>
      </x:c>
    </x:row>
    <x:row r="513" ht="36" customHeight="1">
      <x:c r="B513" s="7" t="str">
        <x:v>RAE-E-16-HP-27</x:v>
      </x:c>
      <x:c r="C513" s="7" t="str">
        <x:v>RAE-E-16</x:v>
      </x:c>
      <x:c r="D513" s="7" t="str">
        <x:v>RFP-A2</x:v>
      </x:c>
      <x:c r="E513" s="7" t="str">
        <x:v>HP-27</x:v>
      </x:c>
      <x:c r="F513" s="7" t="str">
        <x:v>environment</x:v>
      </x:c>
      <x:c r="G513" s="7" t="str">
        <x:v>state</x:v>
      </x:c>
      <x:c r="H513" s="10" t="str"/>
      <x:c r="I513" s="7" t="str"/>
      <x:c r="J513" s="7" t="str">
        <x:v>OPEN</x:v>
      </x:c>
    </x:row>
    <x:row r="514" ht="36" customHeight="1">
      <x:c r="B514" s="7" t="str">
        <x:v>RAE-E-16-HP-28</x:v>
      </x:c>
      <x:c r="C514" s="7" t="str">
        <x:v>RAE-E-16</x:v>
      </x:c>
      <x:c r="D514" s="7" t="str">
        <x:v>RFP-A2</x:v>
      </x:c>
      <x:c r="E514" s="7" t="str">
        <x:v>HP-28</x:v>
      </x:c>
      <x:c r="F514" s="7" t="str">
        <x:v>environment</x:v>
      </x:c>
      <x:c r="G514" s="7" t="str">
        <x:v>authority</x:v>
      </x:c>
      <x:c r="H514" s="10" t="str"/>
      <x:c r="I514" s="7" t="str"/>
      <x:c r="J514" s="7" t="str">
        <x:v>OPEN</x:v>
      </x:c>
    </x:row>
    <x:row r="515" ht="36" customHeight="1">
      <x:c r="B515" s="7" t="str">
        <x:v>RAE-E-16-HP-29</x:v>
      </x:c>
      <x:c r="C515" s="7" t="str">
        <x:v>RAE-E-16</x:v>
      </x:c>
      <x:c r="D515" s="7" t="str">
        <x:v>RFP-A2</x:v>
      </x:c>
      <x:c r="E515" s="7" t="str">
        <x:v>HP-29</x:v>
      </x:c>
      <x:c r="F515" s="7" t="str">
        <x:v>authority</x:v>
      </x:c>
      <x:c r="G515" s="7" t="str">
        <x:v>identity</x:v>
      </x:c>
      <x:c r="H515" s="10" t="str"/>
      <x:c r="I515" s="7" t="str"/>
      <x:c r="J515" s="7" t="str">
        <x:v>OPEN</x:v>
      </x:c>
    </x:row>
    <x:row r="516" ht="36" customHeight="1">
      <x:c r="B516" s="7" t="str">
        <x:v>RAE-E-16-HP-30</x:v>
      </x:c>
      <x:c r="C516" s="7" t="str">
        <x:v>RAE-E-16</x:v>
      </x:c>
      <x:c r="D516" s="7" t="str">
        <x:v>RFP-A2</x:v>
      </x:c>
      <x:c r="E516" s="7" t="str">
        <x:v>HP-30</x:v>
      </x:c>
      <x:c r="F516" s="7" t="str">
        <x:v>authority</x:v>
      </x:c>
      <x:c r="G516" s="7" t="str">
        <x:v>capacity</x:v>
      </x:c>
      <x:c r="H516" s="10" t="str"/>
      <x:c r="I516" s="7" t="str"/>
      <x:c r="J516" s="7" t="str">
        <x:v>OPEN</x:v>
      </x:c>
    </x:row>
    <x:row r="517" ht="36" customHeight="1">
      <x:c r="B517" s="7" t="str">
        <x:v>RAE-E-16-HP-31</x:v>
      </x:c>
      <x:c r="C517" s="7" t="str">
        <x:v>RAE-E-16</x:v>
      </x:c>
      <x:c r="D517" s="7" t="str">
        <x:v>RFP-A2</x:v>
      </x:c>
      <x:c r="E517" s="7" t="str">
        <x:v>HP-31</x:v>
      </x:c>
      <x:c r="F517" s="7" t="str">
        <x:v>authority</x:v>
      </x:c>
      <x:c r="G517" s="7" t="str">
        <x:v>state</x:v>
      </x:c>
      <x:c r="H517" s="10" t="str"/>
      <x:c r="I517" s="7" t="str"/>
      <x:c r="J517" s="7" t="str">
        <x:v>OPEN</x:v>
      </x:c>
    </x:row>
    <x:row r="518" ht="36" customHeight="1">
      <x:c r="B518" s="7" t="str">
        <x:v>RAE-E-16-HP-32</x:v>
      </x:c>
      <x:c r="C518" s="7" t="str">
        <x:v>RAE-E-16</x:v>
      </x:c>
      <x:c r="D518" s="7" t="str">
        <x:v>RFP-A2</x:v>
      </x:c>
      <x:c r="E518" s="7" t="str">
        <x:v>HP-32</x:v>
      </x:c>
      <x:c r="F518" s="7" t="str">
        <x:v>authority</x:v>
      </x:c>
      <x:c r="G518" s="7" t="str">
        <x:v>authority</x:v>
      </x:c>
      <x:c r="H518" s="10" t="str"/>
      <x:c r="I518" s="7" t="str"/>
      <x:c r="J518" s="7" t="str">
        <x:v>OPEN</x:v>
      </x:c>
    </x:row>
    <x:row r="519" ht="36" customHeight="1">
      <x:c r="B519" s="7" t="str">
        <x:v>RAE-E-17-HP-01</x:v>
      </x:c>
      <x:c r="C519" s="7" t="str">
        <x:v>RAE-E-17</x:v>
      </x:c>
      <x:c r="D519" s="7" t="str">
        <x:v>RFP-B1</x:v>
      </x:c>
      <x:c r="E519" s="7" t="str">
        <x:v>HP-01</x:v>
      </x:c>
      <x:c r="F519" s="7" t="str">
        <x:v>configuration</x:v>
      </x:c>
      <x:c r="G519" s="7" t="str">
        <x:v>identity</x:v>
      </x:c>
      <x:c r="H519" s="10" t="str"/>
      <x:c r="I519" s="7" t="str"/>
      <x:c r="J519" s="7" t="str">
        <x:v>OPEN</x:v>
      </x:c>
    </x:row>
    <x:row r="520" ht="36" customHeight="1">
      <x:c r="B520" s="7" t="str">
        <x:v>RAE-E-17-HP-02</x:v>
      </x:c>
      <x:c r="C520" s="7" t="str">
        <x:v>RAE-E-17</x:v>
      </x:c>
      <x:c r="D520" s="7" t="str">
        <x:v>RFP-B1</x:v>
      </x:c>
      <x:c r="E520" s="7" t="str">
        <x:v>HP-02</x:v>
      </x:c>
      <x:c r="F520" s="7" t="str">
        <x:v>configuration</x:v>
      </x:c>
      <x:c r="G520" s="7" t="str">
        <x:v>capacity</x:v>
      </x:c>
      <x:c r="H520" s="10" t="str"/>
      <x:c r="I520" s="7" t="str"/>
      <x:c r="J520" s="7" t="str">
        <x:v>OPEN</x:v>
      </x:c>
    </x:row>
    <x:row r="521" ht="36" customHeight="1">
      <x:c r="B521" s="7" t="str">
        <x:v>RAE-E-17-HP-03</x:v>
      </x:c>
      <x:c r="C521" s="7" t="str">
        <x:v>RAE-E-17</x:v>
      </x:c>
      <x:c r="D521" s="7" t="str">
        <x:v>RFP-B1</x:v>
      </x:c>
      <x:c r="E521" s="7" t="str">
        <x:v>HP-03</x:v>
      </x:c>
      <x:c r="F521" s="7" t="str">
        <x:v>configuration</x:v>
      </x:c>
      <x:c r="G521" s="7" t="str">
        <x:v>state</x:v>
      </x:c>
      <x:c r="H521" s="10" t="str"/>
      <x:c r="I521" s="7" t="str"/>
      <x:c r="J521" s="7" t="str">
        <x:v>OPEN</x:v>
      </x:c>
    </x:row>
    <x:row r="522" ht="36" customHeight="1">
      <x:c r="B522" s="7" t="str">
        <x:v>RAE-E-17-HP-04</x:v>
      </x:c>
      <x:c r="C522" s="7" t="str">
        <x:v>RAE-E-17</x:v>
      </x:c>
      <x:c r="D522" s="7" t="str">
        <x:v>RFP-B1</x:v>
      </x:c>
      <x:c r="E522" s="7" t="str">
        <x:v>HP-04</x:v>
      </x:c>
      <x:c r="F522" s="7" t="str">
        <x:v>configuration</x:v>
      </x:c>
      <x:c r="G522" s="7" t="str">
        <x:v>authority</x:v>
      </x:c>
      <x:c r="H522" s="10" t="str"/>
      <x:c r="I522" s="7" t="str"/>
      <x:c r="J522" s="7" t="str">
        <x:v>OPEN</x:v>
      </x:c>
    </x:row>
    <x:row r="523" ht="36" customHeight="1">
      <x:c r="B523" s="7" t="str">
        <x:v>RAE-E-17-HP-05</x:v>
      </x:c>
      <x:c r="C523" s="7" t="str">
        <x:v>RAE-E-17</x:v>
      </x:c>
      <x:c r="D523" s="7" t="str">
        <x:v>RFP-B1</x:v>
      </x:c>
      <x:c r="E523" s="7" t="str">
        <x:v>HP-05</x:v>
      </x:c>
      <x:c r="F523" s="7" t="str">
        <x:v>source</x:v>
      </x:c>
      <x:c r="G523" s="7" t="str">
        <x:v>identity</x:v>
      </x:c>
      <x:c r="H523" s="10" t="str"/>
      <x:c r="I523" s="7" t="str"/>
      <x:c r="J523" s="7" t="str">
        <x:v>OPEN</x:v>
      </x:c>
    </x:row>
    <x:row r="524" ht="36" customHeight="1">
      <x:c r="B524" s="7" t="str">
        <x:v>RAE-E-17-HP-06</x:v>
      </x:c>
      <x:c r="C524" s="7" t="str">
        <x:v>RAE-E-17</x:v>
      </x:c>
      <x:c r="D524" s="7" t="str">
        <x:v>RFP-B1</x:v>
      </x:c>
      <x:c r="E524" s="7" t="str">
        <x:v>HP-06</x:v>
      </x:c>
      <x:c r="F524" s="7" t="str">
        <x:v>source</x:v>
      </x:c>
      <x:c r="G524" s="7" t="str">
        <x:v>capacity</x:v>
      </x:c>
      <x:c r="H524" s="10" t="str"/>
      <x:c r="I524" s="7" t="str"/>
      <x:c r="J524" s="7" t="str">
        <x:v>OPEN</x:v>
      </x:c>
    </x:row>
    <x:row r="525" ht="36" customHeight="1">
      <x:c r="B525" s="7" t="str">
        <x:v>RAE-E-17-HP-07</x:v>
      </x:c>
      <x:c r="C525" s="7" t="str">
        <x:v>RAE-E-17</x:v>
      </x:c>
      <x:c r="D525" s="7" t="str">
        <x:v>RFP-B1</x:v>
      </x:c>
      <x:c r="E525" s="7" t="str">
        <x:v>HP-07</x:v>
      </x:c>
      <x:c r="F525" s="7" t="str">
        <x:v>source</x:v>
      </x:c>
      <x:c r="G525" s="7" t="str">
        <x:v>state</x:v>
      </x:c>
      <x:c r="H525" s="10" t="str"/>
      <x:c r="I525" s="7" t="str"/>
      <x:c r="J525" s="7" t="str">
        <x:v>OPEN</x:v>
      </x:c>
    </x:row>
    <x:row r="526" ht="36" customHeight="1">
      <x:c r="B526" s="7" t="str">
        <x:v>RAE-E-17-HP-08</x:v>
      </x:c>
      <x:c r="C526" s="7" t="str">
        <x:v>RAE-E-17</x:v>
      </x:c>
      <x:c r="D526" s="7" t="str">
        <x:v>RFP-B1</x:v>
      </x:c>
      <x:c r="E526" s="7" t="str">
        <x:v>HP-08</x:v>
      </x:c>
      <x:c r="F526" s="7" t="str">
        <x:v>source</x:v>
      </x:c>
      <x:c r="G526" s="7" t="str">
        <x:v>authority</x:v>
      </x:c>
      <x:c r="H526" s="10" t="str"/>
      <x:c r="I526" s="7" t="str"/>
      <x:c r="J526" s="7" t="str">
        <x:v>OPEN</x:v>
      </x:c>
    </x:row>
    <x:row r="527" ht="36" customHeight="1">
      <x:c r="B527" s="7" t="str">
        <x:v>RAE-E-17-HP-09</x:v>
      </x:c>
      <x:c r="C527" s="7" t="str">
        <x:v>RAE-E-17</x:v>
      </x:c>
      <x:c r="D527" s="7" t="str">
        <x:v>RFP-B1</x:v>
      </x:c>
      <x:c r="E527" s="7" t="str">
        <x:v>HP-09</x:v>
      </x:c>
      <x:c r="F527" s="7" t="str">
        <x:v>containment</x:v>
      </x:c>
      <x:c r="G527" s="7" t="str">
        <x:v>identity</x:v>
      </x:c>
      <x:c r="H527" s="10" t="str"/>
      <x:c r="I527" s="7" t="str"/>
      <x:c r="J527" s="7" t="str">
        <x:v>OPEN</x:v>
      </x:c>
    </x:row>
    <x:row r="528" ht="36" customHeight="1">
      <x:c r="B528" s="7" t="str">
        <x:v>RAE-E-17-HP-10</x:v>
      </x:c>
      <x:c r="C528" s="7" t="str">
        <x:v>RAE-E-17</x:v>
      </x:c>
      <x:c r="D528" s="7" t="str">
        <x:v>RFP-B1</x:v>
      </x:c>
      <x:c r="E528" s="7" t="str">
        <x:v>HP-10</x:v>
      </x:c>
      <x:c r="F528" s="7" t="str">
        <x:v>containment</x:v>
      </x:c>
      <x:c r="G528" s="7" t="str">
        <x:v>capacity</x:v>
      </x:c>
      <x:c r="H528" s="10" t="str"/>
      <x:c r="I528" s="7" t="str"/>
      <x:c r="J528" s="7" t="str">
        <x:v>OPEN</x:v>
      </x:c>
    </x:row>
    <x:row r="529" ht="36" customHeight="1">
      <x:c r="B529" s="7" t="str">
        <x:v>RAE-E-17-HP-11</x:v>
      </x:c>
      <x:c r="C529" s="7" t="str">
        <x:v>RAE-E-17</x:v>
      </x:c>
      <x:c r="D529" s="7" t="str">
        <x:v>RFP-B1</x:v>
      </x:c>
      <x:c r="E529" s="7" t="str">
        <x:v>HP-11</x:v>
      </x:c>
      <x:c r="F529" s="7" t="str">
        <x:v>containment</x:v>
      </x:c>
      <x:c r="G529" s="7" t="str">
        <x:v>state</x:v>
      </x:c>
      <x:c r="H529" s="10" t="str"/>
      <x:c r="I529" s="7" t="str"/>
      <x:c r="J529" s="7" t="str">
        <x:v>OPEN</x:v>
      </x:c>
    </x:row>
    <x:row r="530" ht="36" customHeight="1">
      <x:c r="B530" s="7" t="str">
        <x:v>RAE-E-17-HP-12</x:v>
      </x:c>
      <x:c r="C530" s="7" t="str">
        <x:v>RAE-E-17</x:v>
      </x:c>
      <x:c r="D530" s="7" t="str">
        <x:v>RFP-B1</x:v>
      </x:c>
      <x:c r="E530" s="7" t="str">
        <x:v>HP-12</x:v>
      </x:c>
      <x:c r="F530" s="7" t="str">
        <x:v>containment</x:v>
      </x:c>
      <x:c r="G530" s="7" t="str">
        <x:v>authority</x:v>
      </x:c>
      <x:c r="H530" s="10" t="str"/>
      <x:c r="I530" s="7" t="str"/>
      <x:c r="J530" s="7" t="str">
        <x:v>OPEN</x:v>
      </x:c>
    </x:row>
    <x:row r="531" ht="36" customHeight="1">
      <x:c r="B531" s="7" t="str">
        <x:v>RAE-E-17-HP-13</x:v>
      </x:c>
      <x:c r="C531" s="7" t="str">
        <x:v>RAE-E-17</x:v>
      </x:c>
      <x:c r="D531" s="7" t="str">
        <x:v>RFP-B1</x:v>
      </x:c>
      <x:c r="E531" s="7" t="str">
        <x:v>HP-13</x:v>
      </x:c>
      <x:c r="F531" s="7" t="str">
        <x:v>water</x:v>
      </x:c>
      <x:c r="G531" s="7" t="str">
        <x:v>identity</x:v>
      </x:c>
      <x:c r="H531" s="10" t="str"/>
      <x:c r="I531" s="7" t="str"/>
      <x:c r="J531" s="7" t="str">
        <x:v>OPEN</x:v>
      </x:c>
    </x:row>
    <x:row r="532" ht="36" customHeight="1">
      <x:c r="B532" s="7" t="str">
        <x:v>RAE-E-17-HP-14</x:v>
      </x:c>
      <x:c r="C532" s="7" t="str">
        <x:v>RAE-E-17</x:v>
      </x:c>
      <x:c r="D532" s="7" t="str">
        <x:v>RFP-B1</x:v>
      </x:c>
      <x:c r="E532" s="7" t="str">
        <x:v>HP-14</x:v>
      </x:c>
      <x:c r="F532" s="7" t="str">
        <x:v>water</x:v>
      </x:c>
      <x:c r="G532" s="7" t="str">
        <x:v>capacity</x:v>
      </x:c>
      <x:c r="H532" s="10" t="str"/>
      <x:c r="I532" s="7" t="str"/>
      <x:c r="J532" s="7" t="str">
        <x:v>OPEN</x:v>
      </x:c>
    </x:row>
    <x:row r="533" ht="36" customHeight="1">
      <x:c r="B533" s="7" t="str">
        <x:v>RAE-E-17-HP-15</x:v>
      </x:c>
      <x:c r="C533" s="7" t="str">
        <x:v>RAE-E-17</x:v>
      </x:c>
      <x:c r="D533" s="7" t="str">
        <x:v>RFP-B1</x:v>
      </x:c>
      <x:c r="E533" s="7" t="str">
        <x:v>HP-15</x:v>
      </x:c>
      <x:c r="F533" s="7" t="str">
        <x:v>water</x:v>
      </x:c>
      <x:c r="G533" s="7" t="str">
        <x:v>state</x:v>
      </x:c>
      <x:c r="H533" s="10" t="str"/>
      <x:c r="I533" s="7" t="str"/>
      <x:c r="J533" s="7" t="str">
        <x:v>OPEN</x:v>
      </x:c>
    </x:row>
    <x:row r="534" ht="36" customHeight="1">
      <x:c r="B534" s="7" t="str">
        <x:v>RAE-E-17-HP-16</x:v>
      </x:c>
      <x:c r="C534" s="7" t="str">
        <x:v>RAE-E-17</x:v>
      </x:c>
      <x:c r="D534" s="7" t="str">
        <x:v>RFP-B1</x:v>
      </x:c>
      <x:c r="E534" s="7" t="str">
        <x:v>HP-16</x:v>
      </x:c>
      <x:c r="F534" s="7" t="str">
        <x:v>water</x:v>
      </x:c>
      <x:c r="G534" s="7" t="str">
        <x:v>authority</x:v>
      </x:c>
      <x:c r="H534" s="10" t="str"/>
      <x:c r="I534" s="7" t="str"/>
      <x:c r="J534" s="7" t="str">
        <x:v>OPEN</x:v>
      </x:c>
    </x:row>
    <x:row r="535" ht="36" customHeight="1">
      <x:c r="B535" s="7" t="str">
        <x:v>RAE-E-17-HP-17</x:v>
      </x:c>
      <x:c r="C535" s="7" t="str">
        <x:v>RAE-E-17</x:v>
      </x:c>
      <x:c r="D535" s="7" t="str">
        <x:v>RFP-B1</x:v>
      </x:c>
      <x:c r="E535" s="7" t="str">
        <x:v>HP-17</x:v>
      </x:c>
      <x:c r="F535" s="7" t="str">
        <x:v>safeing</x:v>
      </x:c>
      <x:c r="G535" s="7" t="str">
        <x:v>identity</x:v>
      </x:c>
      <x:c r="H535" s="10" t="str"/>
      <x:c r="I535" s="7" t="str"/>
      <x:c r="J535" s="7" t="str">
        <x:v>OPEN</x:v>
      </x:c>
    </x:row>
    <x:row r="536" ht="36" customHeight="1">
      <x:c r="B536" s="7" t="str">
        <x:v>RAE-E-17-HP-18</x:v>
      </x:c>
      <x:c r="C536" s="7" t="str">
        <x:v>RAE-E-17</x:v>
      </x:c>
      <x:c r="D536" s="7" t="str">
        <x:v>RFP-B1</x:v>
      </x:c>
      <x:c r="E536" s="7" t="str">
        <x:v>HP-18</x:v>
      </x:c>
      <x:c r="F536" s="7" t="str">
        <x:v>safeing</x:v>
      </x:c>
      <x:c r="G536" s="7" t="str">
        <x:v>capacity</x:v>
      </x:c>
      <x:c r="H536" s="10" t="str"/>
      <x:c r="I536" s="7" t="str"/>
      <x:c r="J536" s="7" t="str">
        <x:v>OPEN</x:v>
      </x:c>
    </x:row>
    <x:row r="537" ht="36" customHeight="1">
      <x:c r="B537" s="7" t="str">
        <x:v>RAE-E-17-HP-19</x:v>
      </x:c>
      <x:c r="C537" s="7" t="str">
        <x:v>RAE-E-17</x:v>
      </x:c>
      <x:c r="D537" s="7" t="str">
        <x:v>RFP-B1</x:v>
      </x:c>
      <x:c r="E537" s="7" t="str">
        <x:v>HP-19</x:v>
      </x:c>
      <x:c r="F537" s="7" t="str">
        <x:v>safeing</x:v>
      </x:c>
      <x:c r="G537" s="7" t="str">
        <x:v>state</x:v>
      </x:c>
      <x:c r="H537" s="10" t="str"/>
      <x:c r="I537" s="7" t="str"/>
      <x:c r="J537" s="7" t="str">
        <x:v>OPEN</x:v>
      </x:c>
    </x:row>
    <x:row r="538" ht="36" customHeight="1">
      <x:c r="B538" s="7" t="str">
        <x:v>RAE-E-17-HP-20</x:v>
      </x:c>
      <x:c r="C538" s="7" t="str">
        <x:v>RAE-E-17</x:v>
      </x:c>
      <x:c r="D538" s="7" t="str">
        <x:v>RFP-B1</x:v>
      </x:c>
      <x:c r="E538" s="7" t="str">
        <x:v>HP-20</x:v>
      </x:c>
      <x:c r="F538" s="7" t="str">
        <x:v>safeing</x:v>
      </x:c>
      <x:c r="G538" s="7" t="str">
        <x:v>authority</x:v>
      </x:c>
      <x:c r="H538" s="10" t="str"/>
      <x:c r="I538" s="7" t="str"/>
      <x:c r="J538" s="7" t="str">
        <x:v>OPEN</x:v>
      </x:c>
    </x:row>
    <x:row r="539" ht="36" customHeight="1">
      <x:c r="B539" s="7" t="str">
        <x:v>RAE-E-17-HP-21</x:v>
      </x:c>
      <x:c r="C539" s="7" t="str">
        <x:v>RAE-E-17</x:v>
      </x:c>
      <x:c r="D539" s="7" t="str">
        <x:v>RFP-B1</x:v>
      </x:c>
      <x:c r="E539" s="7" t="str">
        <x:v>HP-21</x:v>
      </x:c>
      <x:c r="F539" s="7" t="str">
        <x:v>evidence</x:v>
      </x:c>
      <x:c r="G539" s="7" t="str">
        <x:v>identity</x:v>
      </x:c>
      <x:c r="H539" s="10" t="str"/>
      <x:c r="I539" s="7" t="str"/>
      <x:c r="J539" s="7" t="str">
        <x:v>OPEN</x:v>
      </x:c>
    </x:row>
    <x:row r="540" ht="36" customHeight="1">
      <x:c r="B540" s="7" t="str">
        <x:v>RAE-E-17-HP-22</x:v>
      </x:c>
      <x:c r="C540" s="7" t="str">
        <x:v>RAE-E-17</x:v>
      </x:c>
      <x:c r="D540" s="7" t="str">
        <x:v>RFP-B1</x:v>
      </x:c>
      <x:c r="E540" s="7" t="str">
        <x:v>HP-22</x:v>
      </x:c>
      <x:c r="F540" s="7" t="str">
        <x:v>evidence</x:v>
      </x:c>
      <x:c r="G540" s="7" t="str">
        <x:v>capacity</x:v>
      </x:c>
      <x:c r="H540" s="10" t="str"/>
      <x:c r="I540" s="7" t="str"/>
      <x:c r="J540" s="7" t="str">
        <x:v>OPEN</x:v>
      </x:c>
    </x:row>
    <x:row r="541" ht="36" customHeight="1">
      <x:c r="B541" s="7" t="str">
        <x:v>RAE-E-17-HP-23</x:v>
      </x:c>
      <x:c r="C541" s="7" t="str">
        <x:v>RAE-E-17</x:v>
      </x:c>
      <x:c r="D541" s="7" t="str">
        <x:v>RFP-B1</x:v>
      </x:c>
      <x:c r="E541" s="7" t="str">
        <x:v>HP-23</x:v>
      </x:c>
      <x:c r="F541" s="7" t="str">
        <x:v>evidence</x:v>
      </x:c>
      <x:c r="G541" s="7" t="str">
        <x:v>state</x:v>
      </x:c>
      <x:c r="H541" s="10" t="str"/>
      <x:c r="I541" s="7" t="str"/>
      <x:c r="J541" s="7" t="str">
        <x:v>OPEN</x:v>
      </x:c>
    </x:row>
    <x:row r="542" ht="36" customHeight="1">
      <x:c r="B542" s="7" t="str">
        <x:v>RAE-E-17-HP-24</x:v>
      </x:c>
      <x:c r="C542" s="7" t="str">
        <x:v>RAE-E-17</x:v>
      </x:c>
      <x:c r="D542" s="7" t="str">
        <x:v>RFP-B1</x:v>
      </x:c>
      <x:c r="E542" s="7" t="str">
        <x:v>HP-24</x:v>
      </x:c>
      <x:c r="F542" s="7" t="str">
        <x:v>evidence</x:v>
      </x:c>
      <x:c r="G542" s="7" t="str">
        <x:v>authority</x:v>
      </x:c>
      <x:c r="H542" s="10" t="str"/>
      <x:c r="I542" s="7" t="str"/>
      <x:c r="J542" s="7" t="str">
        <x:v>OPEN</x:v>
      </x:c>
    </x:row>
    <x:row r="543" ht="36" customHeight="1">
      <x:c r="B543" s="7" t="str">
        <x:v>RAE-E-17-HP-25</x:v>
      </x:c>
      <x:c r="C543" s="7" t="str">
        <x:v>RAE-E-17</x:v>
      </x:c>
      <x:c r="D543" s="7" t="str">
        <x:v>RFP-B1</x:v>
      </x:c>
      <x:c r="E543" s="7" t="str">
        <x:v>HP-25</x:v>
      </x:c>
      <x:c r="F543" s="7" t="str">
        <x:v>environment</x:v>
      </x:c>
      <x:c r="G543" s="7" t="str">
        <x:v>identity</x:v>
      </x:c>
      <x:c r="H543" s="10" t="str"/>
      <x:c r="I543" s="7" t="str"/>
      <x:c r="J543" s="7" t="str">
        <x:v>OPEN</x:v>
      </x:c>
    </x:row>
    <x:row r="544" ht="36" customHeight="1">
      <x:c r="B544" s="7" t="str">
        <x:v>RAE-E-17-HP-26</x:v>
      </x:c>
      <x:c r="C544" s="7" t="str">
        <x:v>RAE-E-17</x:v>
      </x:c>
      <x:c r="D544" s="7" t="str">
        <x:v>RFP-B1</x:v>
      </x:c>
      <x:c r="E544" s="7" t="str">
        <x:v>HP-26</x:v>
      </x:c>
      <x:c r="F544" s="7" t="str">
        <x:v>environment</x:v>
      </x:c>
      <x:c r="G544" s="7" t="str">
        <x:v>capacity</x:v>
      </x:c>
      <x:c r="H544" s="10" t="str"/>
      <x:c r="I544" s="7" t="str"/>
      <x:c r="J544" s="7" t="str">
        <x:v>OPEN</x:v>
      </x:c>
    </x:row>
    <x:row r="545" ht="36" customHeight="1">
      <x:c r="B545" s="7" t="str">
        <x:v>RAE-E-17-HP-27</x:v>
      </x:c>
      <x:c r="C545" s="7" t="str">
        <x:v>RAE-E-17</x:v>
      </x:c>
      <x:c r="D545" s="7" t="str">
        <x:v>RFP-B1</x:v>
      </x:c>
      <x:c r="E545" s="7" t="str">
        <x:v>HP-27</x:v>
      </x:c>
      <x:c r="F545" s="7" t="str">
        <x:v>environment</x:v>
      </x:c>
      <x:c r="G545" s="7" t="str">
        <x:v>state</x:v>
      </x:c>
      <x:c r="H545" s="10" t="str"/>
      <x:c r="I545" s="7" t="str"/>
      <x:c r="J545" s="7" t="str">
        <x:v>OPEN</x:v>
      </x:c>
    </x:row>
    <x:row r="546" ht="36" customHeight="1">
      <x:c r="B546" s="7" t="str">
        <x:v>RAE-E-17-HP-28</x:v>
      </x:c>
      <x:c r="C546" s="7" t="str">
        <x:v>RAE-E-17</x:v>
      </x:c>
      <x:c r="D546" s="7" t="str">
        <x:v>RFP-B1</x:v>
      </x:c>
      <x:c r="E546" s="7" t="str">
        <x:v>HP-28</x:v>
      </x:c>
      <x:c r="F546" s="7" t="str">
        <x:v>environment</x:v>
      </x:c>
      <x:c r="G546" s="7" t="str">
        <x:v>authority</x:v>
      </x:c>
      <x:c r="H546" s="10" t="str"/>
      <x:c r="I546" s="7" t="str"/>
      <x:c r="J546" s="7" t="str">
        <x:v>OPEN</x:v>
      </x:c>
    </x:row>
    <x:row r="547" ht="36" customHeight="1">
      <x:c r="B547" s="7" t="str">
        <x:v>RAE-E-17-HP-29</x:v>
      </x:c>
      <x:c r="C547" s="7" t="str">
        <x:v>RAE-E-17</x:v>
      </x:c>
      <x:c r="D547" s="7" t="str">
        <x:v>RFP-B1</x:v>
      </x:c>
      <x:c r="E547" s="7" t="str">
        <x:v>HP-29</x:v>
      </x:c>
      <x:c r="F547" s="7" t="str">
        <x:v>authority</x:v>
      </x:c>
      <x:c r="G547" s="7" t="str">
        <x:v>identity</x:v>
      </x:c>
      <x:c r="H547" s="10" t="str"/>
      <x:c r="I547" s="7" t="str"/>
      <x:c r="J547" s="7" t="str">
        <x:v>OPEN</x:v>
      </x:c>
    </x:row>
    <x:row r="548" ht="36" customHeight="1">
      <x:c r="B548" s="7" t="str">
        <x:v>RAE-E-17-HP-30</x:v>
      </x:c>
      <x:c r="C548" s="7" t="str">
        <x:v>RAE-E-17</x:v>
      </x:c>
      <x:c r="D548" s="7" t="str">
        <x:v>RFP-B1</x:v>
      </x:c>
      <x:c r="E548" s="7" t="str">
        <x:v>HP-30</x:v>
      </x:c>
      <x:c r="F548" s="7" t="str">
        <x:v>authority</x:v>
      </x:c>
      <x:c r="G548" s="7" t="str">
        <x:v>capacity</x:v>
      </x:c>
      <x:c r="H548" s="10" t="str"/>
      <x:c r="I548" s="7" t="str"/>
      <x:c r="J548" s="7" t="str">
        <x:v>OPEN</x:v>
      </x:c>
    </x:row>
    <x:row r="549" ht="36" customHeight="1">
      <x:c r="B549" s="7" t="str">
        <x:v>RAE-E-17-HP-31</x:v>
      </x:c>
      <x:c r="C549" s="7" t="str">
        <x:v>RAE-E-17</x:v>
      </x:c>
      <x:c r="D549" s="7" t="str">
        <x:v>RFP-B1</x:v>
      </x:c>
      <x:c r="E549" s="7" t="str">
        <x:v>HP-31</x:v>
      </x:c>
      <x:c r="F549" s="7" t="str">
        <x:v>authority</x:v>
      </x:c>
      <x:c r="G549" s="7" t="str">
        <x:v>state</x:v>
      </x:c>
      <x:c r="H549" s="10" t="str"/>
      <x:c r="I549" s="7" t="str"/>
      <x:c r="J549" s="7" t="str">
        <x:v>OPEN</x:v>
      </x:c>
    </x:row>
    <x:row r="550" ht="36" customHeight="1">
      <x:c r="B550" s="7" t="str">
        <x:v>RAE-E-17-HP-32</x:v>
      </x:c>
      <x:c r="C550" s="7" t="str">
        <x:v>RAE-E-17</x:v>
      </x:c>
      <x:c r="D550" s="7" t="str">
        <x:v>RFP-B1</x:v>
      </x:c>
      <x:c r="E550" s="7" t="str">
        <x:v>HP-32</x:v>
      </x:c>
      <x:c r="F550" s="7" t="str">
        <x:v>authority</x:v>
      </x:c>
      <x:c r="G550" s="7" t="str">
        <x:v>authority</x:v>
      </x:c>
      <x:c r="H550" s="10" t="str"/>
      <x:c r="I550" s="7" t="str"/>
      <x:c r="J550" s="7" t="str">
        <x:v>OPEN</x:v>
      </x:c>
    </x:row>
    <x:row r="551" ht="36" customHeight="1">
      <x:c r="B551" s="7" t="str">
        <x:v>RAE-E-18-HP-01</x:v>
      </x:c>
      <x:c r="C551" s="7" t="str">
        <x:v>RAE-E-18</x:v>
      </x:c>
      <x:c r="D551" s="7" t="str">
        <x:v>RFP-B1</x:v>
      </x:c>
      <x:c r="E551" s="7" t="str">
        <x:v>HP-01</x:v>
      </x:c>
      <x:c r="F551" s="7" t="str">
        <x:v>configuration</x:v>
      </x:c>
      <x:c r="G551" s="7" t="str">
        <x:v>identity</x:v>
      </x:c>
      <x:c r="H551" s="10" t="str"/>
      <x:c r="I551" s="7" t="str"/>
      <x:c r="J551" s="7" t="str">
        <x:v>OPEN</x:v>
      </x:c>
    </x:row>
    <x:row r="552" ht="36" customHeight="1">
      <x:c r="B552" s="7" t="str">
        <x:v>RAE-E-18-HP-02</x:v>
      </x:c>
      <x:c r="C552" s="7" t="str">
        <x:v>RAE-E-18</x:v>
      </x:c>
      <x:c r="D552" s="7" t="str">
        <x:v>RFP-B1</x:v>
      </x:c>
      <x:c r="E552" s="7" t="str">
        <x:v>HP-02</x:v>
      </x:c>
      <x:c r="F552" s="7" t="str">
        <x:v>configuration</x:v>
      </x:c>
      <x:c r="G552" s="7" t="str">
        <x:v>capacity</x:v>
      </x:c>
      <x:c r="H552" s="10" t="str"/>
      <x:c r="I552" s="7" t="str"/>
      <x:c r="J552" s="7" t="str">
        <x:v>OPEN</x:v>
      </x:c>
    </x:row>
    <x:row r="553" ht="36" customHeight="1">
      <x:c r="B553" s="7" t="str">
        <x:v>RAE-E-18-HP-03</x:v>
      </x:c>
      <x:c r="C553" s="7" t="str">
        <x:v>RAE-E-18</x:v>
      </x:c>
      <x:c r="D553" s="7" t="str">
        <x:v>RFP-B1</x:v>
      </x:c>
      <x:c r="E553" s="7" t="str">
        <x:v>HP-03</x:v>
      </x:c>
      <x:c r="F553" s="7" t="str">
        <x:v>configuration</x:v>
      </x:c>
      <x:c r="G553" s="7" t="str">
        <x:v>state</x:v>
      </x:c>
      <x:c r="H553" s="10" t="str"/>
      <x:c r="I553" s="7" t="str"/>
      <x:c r="J553" s="7" t="str">
        <x:v>OPEN</x:v>
      </x:c>
    </x:row>
    <x:row r="554" ht="36" customHeight="1">
      <x:c r="B554" s="7" t="str">
        <x:v>RAE-E-18-HP-04</x:v>
      </x:c>
      <x:c r="C554" s="7" t="str">
        <x:v>RAE-E-18</x:v>
      </x:c>
      <x:c r="D554" s="7" t="str">
        <x:v>RFP-B1</x:v>
      </x:c>
      <x:c r="E554" s="7" t="str">
        <x:v>HP-04</x:v>
      </x:c>
      <x:c r="F554" s="7" t="str">
        <x:v>configuration</x:v>
      </x:c>
      <x:c r="G554" s="7" t="str">
        <x:v>authority</x:v>
      </x:c>
      <x:c r="H554" s="10" t="str"/>
      <x:c r="I554" s="7" t="str"/>
      <x:c r="J554" s="7" t="str">
        <x:v>OPEN</x:v>
      </x:c>
    </x:row>
    <x:row r="555" ht="36" customHeight="1">
      <x:c r="B555" s="7" t="str">
        <x:v>RAE-E-18-HP-05</x:v>
      </x:c>
      <x:c r="C555" s="7" t="str">
        <x:v>RAE-E-18</x:v>
      </x:c>
      <x:c r="D555" s="7" t="str">
        <x:v>RFP-B1</x:v>
      </x:c>
      <x:c r="E555" s="7" t="str">
        <x:v>HP-05</x:v>
      </x:c>
      <x:c r="F555" s="7" t="str">
        <x:v>source</x:v>
      </x:c>
      <x:c r="G555" s="7" t="str">
        <x:v>identity</x:v>
      </x:c>
      <x:c r="H555" s="10" t="str"/>
      <x:c r="I555" s="7" t="str"/>
      <x:c r="J555" s="7" t="str">
        <x:v>OPEN</x:v>
      </x:c>
    </x:row>
    <x:row r="556" ht="36" customHeight="1">
      <x:c r="B556" s="7" t="str">
        <x:v>RAE-E-18-HP-06</x:v>
      </x:c>
      <x:c r="C556" s="7" t="str">
        <x:v>RAE-E-18</x:v>
      </x:c>
      <x:c r="D556" s="7" t="str">
        <x:v>RFP-B1</x:v>
      </x:c>
      <x:c r="E556" s="7" t="str">
        <x:v>HP-06</x:v>
      </x:c>
      <x:c r="F556" s="7" t="str">
        <x:v>source</x:v>
      </x:c>
      <x:c r="G556" s="7" t="str">
        <x:v>capacity</x:v>
      </x:c>
      <x:c r="H556" s="10" t="str"/>
      <x:c r="I556" s="7" t="str"/>
      <x:c r="J556" s="7" t="str">
        <x:v>OPEN</x:v>
      </x:c>
    </x:row>
    <x:row r="557" ht="36" customHeight="1">
      <x:c r="B557" s="7" t="str">
        <x:v>RAE-E-18-HP-07</x:v>
      </x:c>
      <x:c r="C557" s="7" t="str">
        <x:v>RAE-E-18</x:v>
      </x:c>
      <x:c r="D557" s="7" t="str">
        <x:v>RFP-B1</x:v>
      </x:c>
      <x:c r="E557" s="7" t="str">
        <x:v>HP-07</x:v>
      </x:c>
      <x:c r="F557" s="7" t="str">
        <x:v>source</x:v>
      </x:c>
      <x:c r="G557" s="7" t="str">
        <x:v>state</x:v>
      </x:c>
      <x:c r="H557" s="10" t="str"/>
      <x:c r="I557" s="7" t="str"/>
      <x:c r="J557" s="7" t="str">
        <x:v>OPEN</x:v>
      </x:c>
    </x:row>
    <x:row r="558" ht="36" customHeight="1">
      <x:c r="B558" s="7" t="str">
        <x:v>RAE-E-18-HP-08</x:v>
      </x:c>
      <x:c r="C558" s="7" t="str">
        <x:v>RAE-E-18</x:v>
      </x:c>
      <x:c r="D558" s="7" t="str">
        <x:v>RFP-B1</x:v>
      </x:c>
      <x:c r="E558" s="7" t="str">
        <x:v>HP-08</x:v>
      </x:c>
      <x:c r="F558" s="7" t="str">
        <x:v>source</x:v>
      </x:c>
      <x:c r="G558" s="7" t="str">
        <x:v>authority</x:v>
      </x:c>
      <x:c r="H558" s="10" t="str"/>
      <x:c r="I558" s="7" t="str"/>
      <x:c r="J558" s="7" t="str">
        <x:v>OPEN</x:v>
      </x:c>
    </x:row>
    <x:row r="559" ht="36" customHeight="1">
      <x:c r="B559" s="7" t="str">
        <x:v>RAE-E-18-HP-09</x:v>
      </x:c>
      <x:c r="C559" s="7" t="str">
        <x:v>RAE-E-18</x:v>
      </x:c>
      <x:c r="D559" s="7" t="str">
        <x:v>RFP-B1</x:v>
      </x:c>
      <x:c r="E559" s="7" t="str">
        <x:v>HP-09</x:v>
      </x:c>
      <x:c r="F559" s="7" t="str">
        <x:v>containment</x:v>
      </x:c>
      <x:c r="G559" s="7" t="str">
        <x:v>identity</x:v>
      </x:c>
      <x:c r="H559" s="10" t="str"/>
      <x:c r="I559" s="7" t="str"/>
      <x:c r="J559" s="7" t="str">
        <x:v>OPEN</x:v>
      </x:c>
    </x:row>
    <x:row r="560" ht="36" customHeight="1">
      <x:c r="B560" s="7" t="str">
        <x:v>RAE-E-18-HP-10</x:v>
      </x:c>
      <x:c r="C560" s="7" t="str">
        <x:v>RAE-E-18</x:v>
      </x:c>
      <x:c r="D560" s="7" t="str">
        <x:v>RFP-B1</x:v>
      </x:c>
      <x:c r="E560" s="7" t="str">
        <x:v>HP-10</x:v>
      </x:c>
      <x:c r="F560" s="7" t="str">
        <x:v>containment</x:v>
      </x:c>
      <x:c r="G560" s="7" t="str">
        <x:v>capacity</x:v>
      </x:c>
      <x:c r="H560" s="10" t="str"/>
      <x:c r="I560" s="7" t="str"/>
      <x:c r="J560" s="7" t="str">
        <x:v>OPEN</x:v>
      </x:c>
    </x:row>
    <x:row r="561" ht="36" customHeight="1">
      <x:c r="B561" s="7" t="str">
        <x:v>RAE-E-18-HP-11</x:v>
      </x:c>
      <x:c r="C561" s="7" t="str">
        <x:v>RAE-E-18</x:v>
      </x:c>
      <x:c r="D561" s="7" t="str">
        <x:v>RFP-B1</x:v>
      </x:c>
      <x:c r="E561" s="7" t="str">
        <x:v>HP-11</x:v>
      </x:c>
      <x:c r="F561" s="7" t="str">
        <x:v>containment</x:v>
      </x:c>
      <x:c r="G561" s="7" t="str">
        <x:v>state</x:v>
      </x:c>
      <x:c r="H561" s="10" t="str"/>
      <x:c r="I561" s="7" t="str"/>
      <x:c r="J561" s="7" t="str">
        <x:v>OPEN</x:v>
      </x:c>
    </x:row>
    <x:row r="562" ht="36" customHeight="1">
      <x:c r="B562" s="7" t="str">
        <x:v>RAE-E-18-HP-12</x:v>
      </x:c>
      <x:c r="C562" s="7" t="str">
        <x:v>RAE-E-18</x:v>
      </x:c>
      <x:c r="D562" s="7" t="str">
        <x:v>RFP-B1</x:v>
      </x:c>
      <x:c r="E562" s="7" t="str">
        <x:v>HP-12</x:v>
      </x:c>
      <x:c r="F562" s="7" t="str">
        <x:v>containment</x:v>
      </x:c>
      <x:c r="G562" s="7" t="str">
        <x:v>authority</x:v>
      </x:c>
      <x:c r="H562" s="10" t="str"/>
      <x:c r="I562" s="7" t="str"/>
      <x:c r="J562" s="7" t="str">
        <x:v>OPEN</x:v>
      </x:c>
    </x:row>
    <x:row r="563" ht="36" customHeight="1">
      <x:c r="B563" s="7" t="str">
        <x:v>RAE-E-18-HP-13</x:v>
      </x:c>
      <x:c r="C563" s="7" t="str">
        <x:v>RAE-E-18</x:v>
      </x:c>
      <x:c r="D563" s="7" t="str">
        <x:v>RFP-B1</x:v>
      </x:c>
      <x:c r="E563" s="7" t="str">
        <x:v>HP-13</x:v>
      </x:c>
      <x:c r="F563" s="7" t="str">
        <x:v>water</x:v>
      </x:c>
      <x:c r="G563" s="7" t="str">
        <x:v>identity</x:v>
      </x:c>
      <x:c r="H563" s="10" t="str"/>
      <x:c r="I563" s="7" t="str"/>
      <x:c r="J563" s="7" t="str">
        <x:v>OPEN</x:v>
      </x:c>
    </x:row>
    <x:row r="564" ht="36" customHeight="1">
      <x:c r="B564" s="7" t="str">
        <x:v>RAE-E-18-HP-14</x:v>
      </x:c>
      <x:c r="C564" s="7" t="str">
        <x:v>RAE-E-18</x:v>
      </x:c>
      <x:c r="D564" s="7" t="str">
        <x:v>RFP-B1</x:v>
      </x:c>
      <x:c r="E564" s="7" t="str">
        <x:v>HP-14</x:v>
      </x:c>
      <x:c r="F564" s="7" t="str">
        <x:v>water</x:v>
      </x:c>
      <x:c r="G564" s="7" t="str">
        <x:v>capacity</x:v>
      </x:c>
      <x:c r="H564" s="10" t="str"/>
      <x:c r="I564" s="7" t="str"/>
      <x:c r="J564" s="7" t="str">
        <x:v>OPEN</x:v>
      </x:c>
    </x:row>
    <x:row r="565" ht="36" customHeight="1">
      <x:c r="B565" s="7" t="str">
        <x:v>RAE-E-18-HP-15</x:v>
      </x:c>
      <x:c r="C565" s="7" t="str">
        <x:v>RAE-E-18</x:v>
      </x:c>
      <x:c r="D565" s="7" t="str">
        <x:v>RFP-B1</x:v>
      </x:c>
      <x:c r="E565" s="7" t="str">
        <x:v>HP-15</x:v>
      </x:c>
      <x:c r="F565" s="7" t="str">
        <x:v>water</x:v>
      </x:c>
      <x:c r="G565" s="7" t="str">
        <x:v>state</x:v>
      </x:c>
      <x:c r="H565" s="10" t="str"/>
      <x:c r="I565" s="7" t="str"/>
      <x:c r="J565" s="7" t="str">
        <x:v>OPEN</x:v>
      </x:c>
    </x:row>
    <x:row r="566" ht="36" customHeight="1">
      <x:c r="B566" s="7" t="str">
        <x:v>RAE-E-18-HP-16</x:v>
      </x:c>
      <x:c r="C566" s="7" t="str">
        <x:v>RAE-E-18</x:v>
      </x:c>
      <x:c r="D566" s="7" t="str">
        <x:v>RFP-B1</x:v>
      </x:c>
      <x:c r="E566" s="7" t="str">
        <x:v>HP-16</x:v>
      </x:c>
      <x:c r="F566" s="7" t="str">
        <x:v>water</x:v>
      </x:c>
      <x:c r="G566" s="7" t="str">
        <x:v>authority</x:v>
      </x:c>
      <x:c r="H566" s="10" t="str"/>
      <x:c r="I566" s="7" t="str"/>
      <x:c r="J566" s="7" t="str">
        <x:v>OPEN</x:v>
      </x:c>
    </x:row>
    <x:row r="567" ht="36" customHeight="1">
      <x:c r="B567" s="7" t="str">
        <x:v>RAE-E-18-HP-17</x:v>
      </x:c>
      <x:c r="C567" s="7" t="str">
        <x:v>RAE-E-18</x:v>
      </x:c>
      <x:c r="D567" s="7" t="str">
        <x:v>RFP-B1</x:v>
      </x:c>
      <x:c r="E567" s="7" t="str">
        <x:v>HP-17</x:v>
      </x:c>
      <x:c r="F567" s="7" t="str">
        <x:v>safeing</x:v>
      </x:c>
      <x:c r="G567" s="7" t="str">
        <x:v>identity</x:v>
      </x:c>
      <x:c r="H567" s="10" t="str"/>
      <x:c r="I567" s="7" t="str"/>
      <x:c r="J567" s="7" t="str">
        <x:v>OPEN</x:v>
      </x:c>
    </x:row>
    <x:row r="568" ht="36" customHeight="1">
      <x:c r="B568" s="7" t="str">
        <x:v>RAE-E-18-HP-18</x:v>
      </x:c>
      <x:c r="C568" s="7" t="str">
        <x:v>RAE-E-18</x:v>
      </x:c>
      <x:c r="D568" s="7" t="str">
        <x:v>RFP-B1</x:v>
      </x:c>
      <x:c r="E568" s="7" t="str">
        <x:v>HP-18</x:v>
      </x:c>
      <x:c r="F568" s="7" t="str">
        <x:v>safeing</x:v>
      </x:c>
      <x:c r="G568" s="7" t="str">
        <x:v>capacity</x:v>
      </x:c>
      <x:c r="H568" s="10" t="str"/>
      <x:c r="I568" s="7" t="str"/>
      <x:c r="J568" s="7" t="str">
        <x:v>OPEN</x:v>
      </x:c>
    </x:row>
    <x:row r="569" ht="36" customHeight="1">
      <x:c r="B569" s="7" t="str">
        <x:v>RAE-E-18-HP-19</x:v>
      </x:c>
      <x:c r="C569" s="7" t="str">
        <x:v>RAE-E-18</x:v>
      </x:c>
      <x:c r="D569" s="7" t="str">
        <x:v>RFP-B1</x:v>
      </x:c>
      <x:c r="E569" s="7" t="str">
        <x:v>HP-19</x:v>
      </x:c>
      <x:c r="F569" s="7" t="str">
        <x:v>safeing</x:v>
      </x:c>
      <x:c r="G569" s="7" t="str">
        <x:v>state</x:v>
      </x:c>
      <x:c r="H569" s="10" t="str"/>
      <x:c r="I569" s="7" t="str"/>
      <x:c r="J569" s="7" t="str">
        <x:v>OPEN</x:v>
      </x:c>
    </x:row>
    <x:row r="570" ht="36" customHeight="1">
      <x:c r="B570" s="7" t="str">
        <x:v>RAE-E-18-HP-20</x:v>
      </x:c>
      <x:c r="C570" s="7" t="str">
        <x:v>RAE-E-18</x:v>
      </x:c>
      <x:c r="D570" s="7" t="str">
        <x:v>RFP-B1</x:v>
      </x:c>
      <x:c r="E570" s="7" t="str">
        <x:v>HP-20</x:v>
      </x:c>
      <x:c r="F570" s="7" t="str">
        <x:v>safeing</x:v>
      </x:c>
      <x:c r="G570" s="7" t="str">
        <x:v>authority</x:v>
      </x:c>
      <x:c r="H570" s="10" t="str"/>
      <x:c r="I570" s="7" t="str"/>
      <x:c r="J570" s="7" t="str">
        <x:v>OPEN</x:v>
      </x:c>
    </x:row>
    <x:row r="571" ht="36" customHeight="1">
      <x:c r="B571" s="7" t="str">
        <x:v>RAE-E-18-HP-21</x:v>
      </x:c>
      <x:c r="C571" s="7" t="str">
        <x:v>RAE-E-18</x:v>
      </x:c>
      <x:c r="D571" s="7" t="str">
        <x:v>RFP-B1</x:v>
      </x:c>
      <x:c r="E571" s="7" t="str">
        <x:v>HP-21</x:v>
      </x:c>
      <x:c r="F571" s="7" t="str">
        <x:v>evidence</x:v>
      </x:c>
      <x:c r="G571" s="7" t="str">
        <x:v>identity</x:v>
      </x:c>
      <x:c r="H571" s="10" t="str"/>
      <x:c r="I571" s="7" t="str"/>
      <x:c r="J571" s="7" t="str">
        <x:v>OPEN</x:v>
      </x:c>
    </x:row>
    <x:row r="572" ht="36" customHeight="1">
      <x:c r="B572" s="7" t="str">
        <x:v>RAE-E-18-HP-22</x:v>
      </x:c>
      <x:c r="C572" s="7" t="str">
        <x:v>RAE-E-18</x:v>
      </x:c>
      <x:c r="D572" s="7" t="str">
        <x:v>RFP-B1</x:v>
      </x:c>
      <x:c r="E572" s="7" t="str">
        <x:v>HP-22</x:v>
      </x:c>
      <x:c r="F572" s="7" t="str">
        <x:v>evidence</x:v>
      </x:c>
      <x:c r="G572" s="7" t="str">
        <x:v>capacity</x:v>
      </x:c>
      <x:c r="H572" s="10" t="str"/>
      <x:c r="I572" s="7" t="str"/>
      <x:c r="J572" s="7" t="str">
        <x:v>OPEN</x:v>
      </x:c>
    </x:row>
    <x:row r="573" ht="36" customHeight="1">
      <x:c r="B573" s="7" t="str">
        <x:v>RAE-E-18-HP-23</x:v>
      </x:c>
      <x:c r="C573" s="7" t="str">
        <x:v>RAE-E-18</x:v>
      </x:c>
      <x:c r="D573" s="7" t="str">
        <x:v>RFP-B1</x:v>
      </x:c>
      <x:c r="E573" s="7" t="str">
        <x:v>HP-23</x:v>
      </x:c>
      <x:c r="F573" s="7" t="str">
        <x:v>evidence</x:v>
      </x:c>
      <x:c r="G573" s="7" t="str">
        <x:v>state</x:v>
      </x:c>
      <x:c r="H573" s="10" t="str"/>
      <x:c r="I573" s="7" t="str"/>
      <x:c r="J573" s="7" t="str">
        <x:v>OPEN</x:v>
      </x:c>
    </x:row>
    <x:row r="574" ht="36" customHeight="1">
      <x:c r="B574" s="7" t="str">
        <x:v>RAE-E-18-HP-24</x:v>
      </x:c>
      <x:c r="C574" s="7" t="str">
        <x:v>RAE-E-18</x:v>
      </x:c>
      <x:c r="D574" s="7" t="str">
        <x:v>RFP-B1</x:v>
      </x:c>
      <x:c r="E574" s="7" t="str">
        <x:v>HP-24</x:v>
      </x:c>
      <x:c r="F574" s="7" t="str">
        <x:v>evidence</x:v>
      </x:c>
      <x:c r="G574" s="7" t="str">
        <x:v>authority</x:v>
      </x:c>
      <x:c r="H574" s="10" t="str"/>
      <x:c r="I574" s="7" t="str"/>
      <x:c r="J574" s="7" t="str">
        <x:v>OPEN</x:v>
      </x:c>
    </x:row>
    <x:row r="575" ht="36" customHeight="1">
      <x:c r="B575" s="7" t="str">
        <x:v>RAE-E-18-HP-25</x:v>
      </x:c>
      <x:c r="C575" s="7" t="str">
        <x:v>RAE-E-18</x:v>
      </x:c>
      <x:c r="D575" s="7" t="str">
        <x:v>RFP-B1</x:v>
      </x:c>
      <x:c r="E575" s="7" t="str">
        <x:v>HP-25</x:v>
      </x:c>
      <x:c r="F575" s="7" t="str">
        <x:v>environment</x:v>
      </x:c>
      <x:c r="G575" s="7" t="str">
        <x:v>identity</x:v>
      </x:c>
      <x:c r="H575" s="10" t="str"/>
      <x:c r="I575" s="7" t="str"/>
      <x:c r="J575" s="7" t="str">
        <x:v>OPEN</x:v>
      </x:c>
    </x:row>
    <x:row r="576" ht="36" customHeight="1">
      <x:c r="B576" s="7" t="str">
        <x:v>RAE-E-18-HP-26</x:v>
      </x:c>
      <x:c r="C576" s="7" t="str">
        <x:v>RAE-E-18</x:v>
      </x:c>
      <x:c r="D576" s="7" t="str">
        <x:v>RFP-B1</x:v>
      </x:c>
      <x:c r="E576" s="7" t="str">
        <x:v>HP-26</x:v>
      </x:c>
      <x:c r="F576" s="7" t="str">
        <x:v>environment</x:v>
      </x:c>
      <x:c r="G576" s="7" t="str">
        <x:v>capacity</x:v>
      </x:c>
      <x:c r="H576" s="10" t="str"/>
      <x:c r="I576" s="7" t="str"/>
      <x:c r="J576" s="7" t="str">
        <x:v>OPEN</x:v>
      </x:c>
    </x:row>
    <x:row r="577" ht="36" customHeight="1">
      <x:c r="B577" s="7" t="str">
        <x:v>RAE-E-18-HP-27</x:v>
      </x:c>
      <x:c r="C577" s="7" t="str">
        <x:v>RAE-E-18</x:v>
      </x:c>
      <x:c r="D577" s="7" t="str">
        <x:v>RFP-B1</x:v>
      </x:c>
      <x:c r="E577" s="7" t="str">
        <x:v>HP-27</x:v>
      </x:c>
      <x:c r="F577" s="7" t="str">
        <x:v>environment</x:v>
      </x:c>
      <x:c r="G577" s="7" t="str">
        <x:v>state</x:v>
      </x:c>
      <x:c r="H577" s="10" t="str"/>
      <x:c r="I577" s="7" t="str"/>
      <x:c r="J577" s="7" t="str">
        <x:v>OPEN</x:v>
      </x:c>
    </x:row>
    <x:row r="578" ht="36" customHeight="1">
      <x:c r="B578" s="7" t="str">
        <x:v>RAE-E-18-HP-28</x:v>
      </x:c>
      <x:c r="C578" s="7" t="str">
        <x:v>RAE-E-18</x:v>
      </x:c>
      <x:c r="D578" s="7" t="str">
        <x:v>RFP-B1</x:v>
      </x:c>
      <x:c r="E578" s="7" t="str">
        <x:v>HP-28</x:v>
      </x:c>
      <x:c r="F578" s="7" t="str">
        <x:v>environment</x:v>
      </x:c>
      <x:c r="G578" s="7" t="str">
        <x:v>authority</x:v>
      </x:c>
      <x:c r="H578" s="10" t="str"/>
      <x:c r="I578" s="7" t="str"/>
      <x:c r="J578" s="7" t="str">
        <x:v>OPEN</x:v>
      </x:c>
    </x:row>
    <x:row r="579" ht="36" customHeight="1">
      <x:c r="B579" s="7" t="str">
        <x:v>RAE-E-18-HP-29</x:v>
      </x:c>
      <x:c r="C579" s="7" t="str">
        <x:v>RAE-E-18</x:v>
      </x:c>
      <x:c r="D579" s="7" t="str">
        <x:v>RFP-B1</x:v>
      </x:c>
      <x:c r="E579" s="7" t="str">
        <x:v>HP-29</x:v>
      </x:c>
      <x:c r="F579" s="7" t="str">
        <x:v>authority</x:v>
      </x:c>
      <x:c r="G579" s="7" t="str">
        <x:v>identity</x:v>
      </x:c>
      <x:c r="H579" s="10" t="str"/>
      <x:c r="I579" s="7" t="str"/>
      <x:c r="J579" s="7" t="str">
        <x:v>OPEN</x:v>
      </x:c>
    </x:row>
    <x:row r="580" ht="36" customHeight="1">
      <x:c r="B580" s="7" t="str">
        <x:v>RAE-E-18-HP-30</x:v>
      </x:c>
      <x:c r="C580" s="7" t="str">
        <x:v>RAE-E-18</x:v>
      </x:c>
      <x:c r="D580" s="7" t="str">
        <x:v>RFP-B1</x:v>
      </x:c>
      <x:c r="E580" s="7" t="str">
        <x:v>HP-30</x:v>
      </x:c>
      <x:c r="F580" s="7" t="str">
        <x:v>authority</x:v>
      </x:c>
      <x:c r="G580" s="7" t="str">
        <x:v>capacity</x:v>
      </x:c>
      <x:c r="H580" s="10" t="str"/>
      <x:c r="I580" s="7" t="str"/>
      <x:c r="J580" s="7" t="str">
        <x:v>OPEN</x:v>
      </x:c>
    </x:row>
    <x:row r="581" ht="36" customHeight="1">
      <x:c r="B581" s="7" t="str">
        <x:v>RAE-E-18-HP-31</x:v>
      </x:c>
      <x:c r="C581" s="7" t="str">
        <x:v>RAE-E-18</x:v>
      </x:c>
      <x:c r="D581" s="7" t="str">
        <x:v>RFP-B1</x:v>
      </x:c>
      <x:c r="E581" s="7" t="str">
        <x:v>HP-31</x:v>
      </x:c>
      <x:c r="F581" s="7" t="str">
        <x:v>authority</x:v>
      </x:c>
      <x:c r="G581" s="7" t="str">
        <x:v>state</x:v>
      </x:c>
      <x:c r="H581" s="10" t="str"/>
      <x:c r="I581" s="7" t="str"/>
      <x:c r="J581" s="7" t="str">
        <x:v>OPEN</x:v>
      </x:c>
    </x:row>
    <x:row r="582" ht="36" customHeight="1">
      <x:c r="B582" s="7" t="str">
        <x:v>RAE-E-18-HP-32</x:v>
      </x:c>
      <x:c r="C582" s="7" t="str">
        <x:v>RAE-E-18</x:v>
      </x:c>
      <x:c r="D582" s="7" t="str">
        <x:v>RFP-B1</x:v>
      </x:c>
      <x:c r="E582" s="7" t="str">
        <x:v>HP-32</x:v>
      </x:c>
      <x:c r="F582" s="7" t="str">
        <x:v>authority</x:v>
      </x:c>
      <x:c r="G582" s="7" t="str">
        <x:v>authority</x:v>
      </x:c>
      <x:c r="H582" s="10" t="str"/>
      <x:c r="I582" s="7" t="str"/>
      <x:c r="J582" s="7" t="str">
        <x:v>OPEN</x:v>
      </x:c>
    </x:row>
    <x:row r="583" ht="36" customHeight="1">
      <x:c r="B583" s="7" t="str">
        <x:v>RAE-E-19-HP-01</x:v>
      </x:c>
      <x:c r="C583" s="7" t="str">
        <x:v>RAE-E-19</x:v>
      </x:c>
      <x:c r="D583" s="7" t="str">
        <x:v>RFP-B1</x:v>
      </x:c>
      <x:c r="E583" s="7" t="str">
        <x:v>HP-01</x:v>
      </x:c>
      <x:c r="F583" s="7" t="str">
        <x:v>configuration</x:v>
      </x:c>
      <x:c r="G583" s="7" t="str">
        <x:v>identity</x:v>
      </x:c>
      <x:c r="H583" s="10" t="str"/>
      <x:c r="I583" s="7" t="str"/>
      <x:c r="J583" s="7" t="str">
        <x:v>OPEN</x:v>
      </x:c>
    </x:row>
    <x:row r="584" ht="36" customHeight="1">
      <x:c r="B584" s="7" t="str">
        <x:v>RAE-E-19-HP-02</x:v>
      </x:c>
      <x:c r="C584" s="7" t="str">
        <x:v>RAE-E-19</x:v>
      </x:c>
      <x:c r="D584" s="7" t="str">
        <x:v>RFP-B1</x:v>
      </x:c>
      <x:c r="E584" s="7" t="str">
        <x:v>HP-02</x:v>
      </x:c>
      <x:c r="F584" s="7" t="str">
        <x:v>configuration</x:v>
      </x:c>
      <x:c r="G584" s="7" t="str">
        <x:v>capacity</x:v>
      </x:c>
      <x:c r="H584" s="10" t="str"/>
      <x:c r="I584" s="7" t="str"/>
      <x:c r="J584" s="7" t="str">
        <x:v>OPEN</x:v>
      </x:c>
    </x:row>
    <x:row r="585" ht="36" customHeight="1">
      <x:c r="B585" s="7" t="str">
        <x:v>RAE-E-19-HP-03</x:v>
      </x:c>
      <x:c r="C585" s="7" t="str">
        <x:v>RAE-E-19</x:v>
      </x:c>
      <x:c r="D585" s="7" t="str">
        <x:v>RFP-B1</x:v>
      </x:c>
      <x:c r="E585" s="7" t="str">
        <x:v>HP-03</x:v>
      </x:c>
      <x:c r="F585" s="7" t="str">
        <x:v>configuration</x:v>
      </x:c>
      <x:c r="G585" s="7" t="str">
        <x:v>state</x:v>
      </x:c>
      <x:c r="H585" s="10" t="str"/>
      <x:c r="I585" s="7" t="str"/>
      <x:c r="J585" s="7" t="str">
        <x:v>OPEN</x:v>
      </x:c>
    </x:row>
    <x:row r="586" ht="36" customHeight="1">
      <x:c r="B586" s="7" t="str">
        <x:v>RAE-E-19-HP-04</x:v>
      </x:c>
      <x:c r="C586" s="7" t="str">
        <x:v>RAE-E-19</x:v>
      </x:c>
      <x:c r="D586" s="7" t="str">
        <x:v>RFP-B1</x:v>
      </x:c>
      <x:c r="E586" s="7" t="str">
        <x:v>HP-04</x:v>
      </x:c>
      <x:c r="F586" s="7" t="str">
        <x:v>configuration</x:v>
      </x:c>
      <x:c r="G586" s="7" t="str">
        <x:v>authority</x:v>
      </x:c>
      <x:c r="H586" s="10" t="str"/>
      <x:c r="I586" s="7" t="str"/>
      <x:c r="J586" s="7" t="str">
        <x:v>OPEN</x:v>
      </x:c>
    </x:row>
    <x:row r="587" ht="36" customHeight="1">
      <x:c r="B587" s="7" t="str">
        <x:v>RAE-E-19-HP-05</x:v>
      </x:c>
      <x:c r="C587" s="7" t="str">
        <x:v>RAE-E-19</x:v>
      </x:c>
      <x:c r="D587" s="7" t="str">
        <x:v>RFP-B1</x:v>
      </x:c>
      <x:c r="E587" s="7" t="str">
        <x:v>HP-05</x:v>
      </x:c>
      <x:c r="F587" s="7" t="str">
        <x:v>source</x:v>
      </x:c>
      <x:c r="G587" s="7" t="str">
        <x:v>identity</x:v>
      </x:c>
      <x:c r="H587" s="10" t="str"/>
      <x:c r="I587" s="7" t="str"/>
      <x:c r="J587" s="7" t="str">
        <x:v>OPEN</x:v>
      </x:c>
    </x:row>
    <x:row r="588" ht="36" customHeight="1">
      <x:c r="B588" s="7" t="str">
        <x:v>RAE-E-19-HP-06</x:v>
      </x:c>
      <x:c r="C588" s="7" t="str">
        <x:v>RAE-E-19</x:v>
      </x:c>
      <x:c r="D588" s="7" t="str">
        <x:v>RFP-B1</x:v>
      </x:c>
      <x:c r="E588" s="7" t="str">
        <x:v>HP-06</x:v>
      </x:c>
      <x:c r="F588" s="7" t="str">
        <x:v>source</x:v>
      </x:c>
      <x:c r="G588" s="7" t="str">
        <x:v>capacity</x:v>
      </x:c>
      <x:c r="H588" s="10" t="str"/>
      <x:c r="I588" s="7" t="str"/>
      <x:c r="J588" s="7" t="str">
        <x:v>OPEN</x:v>
      </x:c>
    </x:row>
    <x:row r="589" ht="36" customHeight="1">
      <x:c r="B589" s="7" t="str">
        <x:v>RAE-E-19-HP-07</x:v>
      </x:c>
      <x:c r="C589" s="7" t="str">
        <x:v>RAE-E-19</x:v>
      </x:c>
      <x:c r="D589" s="7" t="str">
        <x:v>RFP-B1</x:v>
      </x:c>
      <x:c r="E589" s="7" t="str">
        <x:v>HP-07</x:v>
      </x:c>
      <x:c r="F589" s="7" t="str">
        <x:v>source</x:v>
      </x:c>
      <x:c r="G589" s="7" t="str">
        <x:v>state</x:v>
      </x:c>
      <x:c r="H589" s="10" t="str"/>
      <x:c r="I589" s="7" t="str"/>
      <x:c r="J589" s="7" t="str">
        <x:v>OPEN</x:v>
      </x:c>
    </x:row>
    <x:row r="590" ht="36" customHeight="1">
      <x:c r="B590" s="7" t="str">
        <x:v>RAE-E-19-HP-08</x:v>
      </x:c>
      <x:c r="C590" s="7" t="str">
        <x:v>RAE-E-19</x:v>
      </x:c>
      <x:c r="D590" s="7" t="str">
        <x:v>RFP-B1</x:v>
      </x:c>
      <x:c r="E590" s="7" t="str">
        <x:v>HP-08</x:v>
      </x:c>
      <x:c r="F590" s="7" t="str">
        <x:v>source</x:v>
      </x:c>
      <x:c r="G590" s="7" t="str">
        <x:v>authority</x:v>
      </x:c>
      <x:c r="H590" s="10" t="str"/>
      <x:c r="I590" s="7" t="str"/>
      <x:c r="J590" s="7" t="str">
        <x:v>OPEN</x:v>
      </x:c>
    </x:row>
    <x:row r="591" ht="36" customHeight="1">
      <x:c r="B591" s="7" t="str">
        <x:v>RAE-E-19-HP-09</x:v>
      </x:c>
      <x:c r="C591" s="7" t="str">
        <x:v>RAE-E-19</x:v>
      </x:c>
      <x:c r="D591" s="7" t="str">
        <x:v>RFP-B1</x:v>
      </x:c>
      <x:c r="E591" s="7" t="str">
        <x:v>HP-09</x:v>
      </x:c>
      <x:c r="F591" s="7" t="str">
        <x:v>containment</x:v>
      </x:c>
      <x:c r="G591" s="7" t="str">
        <x:v>identity</x:v>
      </x:c>
      <x:c r="H591" s="10" t="str"/>
      <x:c r="I591" s="7" t="str"/>
      <x:c r="J591" s="7" t="str">
        <x:v>OPEN</x:v>
      </x:c>
    </x:row>
    <x:row r="592" ht="36" customHeight="1">
      <x:c r="B592" s="7" t="str">
        <x:v>RAE-E-19-HP-10</x:v>
      </x:c>
      <x:c r="C592" s="7" t="str">
        <x:v>RAE-E-19</x:v>
      </x:c>
      <x:c r="D592" s="7" t="str">
        <x:v>RFP-B1</x:v>
      </x:c>
      <x:c r="E592" s="7" t="str">
        <x:v>HP-10</x:v>
      </x:c>
      <x:c r="F592" s="7" t="str">
        <x:v>containment</x:v>
      </x:c>
      <x:c r="G592" s="7" t="str">
        <x:v>capacity</x:v>
      </x:c>
      <x:c r="H592" s="10" t="str"/>
      <x:c r="I592" s="7" t="str"/>
      <x:c r="J592" s="7" t="str">
        <x:v>OPEN</x:v>
      </x:c>
    </x:row>
    <x:row r="593" ht="36" customHeight="1">
      <x:c r="B593" s="7" t="str">
        <x:v>RAE-E-19-HP-11</x:v>
      </x:c>
      <x:c r="C593" s="7" t="str">
        <x:v>RAE-E-19</x:v>
      </x:c>
      <x:c r="D593" s="7" t="str">
        <x:v>RFP-B1</x:v>
      </x:c>
      <x:c r="E593" s="7" t="str">
        <x:v>HP-11</x:v>
      </x:c>
      <x:c r="F593" s="7" t="str">
        <x:v>containment</x:v>
      </x:c>
      <x:c r="G593" s="7" t="str">
        <x:v>state</x:v>
      </x:c>
      <x:c r="H593" s="10" t="str"/>
      <x:c r="I593" s="7" t="str"/>
      <x:c r="J593" s="7" t="str">
        <x:v>OPEN</x:v>
      </x:c>
    </x:row>
    <x:row r="594" ht="36" customHeight="1">
      <x:c r="B594" s="7" t="str">
        <x:v>RAE-E-19-HP-12</x:v>
      </x:c>
      <x:c r="C594" s="7" t="str">
        <x:v>RAE-E-19</x:v>
      </x:c>
      <x:c r="D594" s="7" t="str">
        <x:v>RFP-B1</x:v>
      </x:c>
      <x:c r="E594" s="7" t="str">
        <x:v>HP-12</x:v>
      </x:c>
      <x:c r="F594" s="7" t="str">
        <x:v>containment</x:v>
      </x:c>
      <x:c r="G594" s="7" t="str">
        <x:v>authority</x:v>
      </x:c>
      <x:c r="H594" s="10" t="str"/>
      <x:c r="I594" s="7" t="str"/>
      <x:c r="J594" s="7" t="str">
        <x:v>OPEN</x:v>
      </x:c>
    </x:row>
    <x:row r="595" ht="36" customHeight="1">
      <x:c r="B595" s="7" t="str">
        <x:v>RAE-E-19-HP-13</x:v>
      </x:c>
      <x:c r="C595" s="7" t="str">
        <x:v>RAE-E-19</x:v>
      </x:c>
      <x:c r="D595" s="7" t="str">
        <x:v>RFP-B1</x:v>
      </x:c>
      <x:c r="E595" s="7" t="str">
        <x:v>HP-13</x:v>
      </x:c>
      <x:c r="F595" s="7" t="str">
        <x:v>water</x:v>
      </x:c>
      <x:c r="G595" s="7" t="str">
        <x:v>identity</x:v>
      </x:c>
      <x:c r="H595" s="10" t="str"/>
      <x:c r="I595" s="7" t="str"/>
      <x:c r="J595" s="7" t="str">
        <x:v>OPEN</x:v>
      </x:c>
    </x:row>
    <x:row r="596" ht="36" customHeight="1">
      <x:c r="B596" s="7" t="str">
        <x:v>RAE-E-19-HP-14</x:v>
      </x:c>
      <x:c r="C596" s="7" t="str">
        <x:v>RAE-E-19</x:v>
      </x:c>
      <x:c r="D596" s="7" t="str">
        <x:v>RFP-B1</x:v>
      </x:c>
      <x:c r="E596" s="7" t="str">
        <x:v>HP-14</x:v>
      </x:c>
      <x:c r="F596" s="7" t="str">
        <x:v>water</x:v>
      </x:c>
      <x:c r="G596" s="7" t="str">
        <x:v>capacity</x:v>
      </x:c>
      <x:c r="H596" s="10" t="str"/>
      <x:c r="I596" s="7" t="str"/>
      <x:c r="J596" s="7" t="str">
        <x:v>OPEN</x:v>
      </x:c>
    </x:row>
    <x:row r="597" ht="36" customHeight="1">
      <x:c r="B597" s="7" t="str">
        <x:v>RAE-E-19-HP-15</x:v>
      </x:c>
      <x:c r="C597" s="7" t="str">
        <x:v>RAE-E-19</x:v>
      </x:c>
      <x:c r="D597" s="7" t="str">
        <x:v>RFP-B1</x:v>
      </x:c>
      <x:c r="E597" s="7" t="str">
        <x:v>HP-15</x:v>
      </x:c>
      <x:c r="F597" s="7" t="str">
        <x:v>water</x:v>
      </x:c>
      <x:c r="G597" s="7" t="str">
        <x:v>state</x:v>
      </x:c>
      <x:c r="H597" s="10" t="str"/>
      <x:c r="I597" s="7" t="str"/>
      <x:c r="J597" s="7" t="str">
        <x:v>OPEN</x:v>
      </x:c>
    </x:row>
    <x:row r="598" ht="36" customHeight="1">
      <x:c r="B598" s="7" t="str">
        <x:v>RAE-E-19-HP-16</x:v>
      </x:c>
      <x:c r="C598" s="7" t="str">
        <x:v>RAE-E-19</x:v>
      </x:c>
      <x:c r="D598" s="7" t="str">
        <x:v>RFP-B1</x:v>
      </x:c>
      <x:c r="E598" s="7" t="str">
        <x:v>HP-16</x:v>
      </x:c>
      <x:c r="F598" s="7" t="str">
        <x:v>water</x:v>
      </x:c>
      <x:c r="G598" s="7" t="str">
        <x:v>authority</x:v>
      </x:c>
      <x:c r="H598" s="10" t="str"/>
      <x:c r="I598" s="7" t="str"/>
      <x:c r="J598" s="7" t="str">
        <x:v>OPEN</x:v>
      </x:c>
    </x:row>
    <x:row r="599" ht="36" customHeight="1">
      <x:c r="B599" s="7" t="str">
        <x:v>RAE-E-19-HP-17</x:v>
      </x:c>
      <x:c r="C599" s="7" t="str">
        <x:v>RAE-E-19</x:v>
      </x:c>
      <x:c r="D599" s="7" t="str">
        <x:v>RFP-B1</x:v>
      </x:c>
      <x:c r="E599" s="7" t="str">
        <x:v>HP-17</x:v>
      </x:c>
      <x:c r="F599" s="7" t="str">
        <x:v>safeing</x:v>
      </x:c>
      <x:c r="G599" s="7" t="str">
        <x:v>identity</x:v>
      </x:c>
      <x:c r="H599" s="10" t="str"/>
      <x:c r="I599" s="7" t="str"/>
      <x:c r="J599" s="7" t="str">
        <x:v>OPEN</x:v>
      </x:c>
    </x:row>
    <x:row r="600" ht="36" customHeight="1">
      <x:c r="B600" s="7" t="str">
        <x:v>RAE-E-19-HP-18</x:v>
      </x:c>
      <x:c r="C600" s="7" t="str">
        <x:v>RAE-E-19</x:v>
      </x:c>
      <x:c r="D600" s="7" t="str">
        <x:v>RFP-B1</x:v>
      </x:c>
      <x:c r="E600" s="7" t="str">
        <x:v>HP-18</x:v>
      </x:c>
      <x:c r="F600" s="7" t="str">
        <x:v>safeing</x:v>
      </x:c>
      <x:c r="G600" s="7" t="str">
        <x:v>capacity</x:v>
      </x:c>
      <x:c r="H600" s="10" t="str"/>
      <x:c r="I600" s="7" t="str"/>
      <x:c r="J600" s="7" t="str">
        <x:v>OPEN</x:v>
      </x:c>
    </x:row>
    <x:row r="601" ht="36" customHeight="1">
      <x:c r="B601" s="7" t="str">
        <x:v>RAE-E-19-HP-19</x:v>
      </x:c>
      <x:c r="C601" s="7" t="str">
        <x:v>RAE-E-19</x:v>
      </x:c>
      <x:c r="D601" s="7" t="str">
        <x:v>RFP-B1</x:v>
      </x:c>
      <x:c r="E601" s="7" t="str">
        <x:v>HP-19</x:v>
      </x:c>
      <x:c r="F601" s="7" t="str">
        <x:v>safeing</x:v>
      </x:c>
      <x:c r="G601" s="7" t="str">
        <x:v>state</x:v>
      </x:c>
      <x:c r="H601" s="10" t="str"/>
      <x:c r="I601" s="7" t="str"/>
      <x:c r="J601" s="7" t="str">
        <x:v>OPEN</x:v>
      </x:c>
    </x:row>
    <x:row r="602" ht="36" customHeight="1">
      <x:c r="B602" s="7" t="str">
        <x:v>RAE-E-19-HP-20</x:v>
      </x:c>
      <x:c r="C602" s="7" t="str">
        <x:v>RAE-E-19</x:v>
      </x:c>
      <x:c r="D602" s="7" t="str">
        <x:v>RFP-B1</x:v>
      </x:c>
      <x:c r="E602" s="7" t="str">
        <x:v>HP-20</x:v>
      </x:c>
      <x:c r="F602" s="7" t="str">
        <x:v>safeing</x:v>
      </x:c>
      <x:c r="G602" s="7" t="str">
        <x:v>authority</x:v>
      </x:c>
      <x:c r="H602" s="10" t="str"/>
      <x:c r="I602" s="7" t="str"/>
      <x:c r="J602" s="7" t="str">
        <x:v>OPEN</x:v>
      </x:c>
    </x:row>
    <x:row r="603" ht="36" customHeight="1">
      <x:c r="B603" s="7" t="str">
        <x:v>RAE-E-19-HP-21</x:v>
      </x:c>
      <x:c r="C603" s="7" t="str">
        <x:v>RAE-E-19</x:v>
      </x:c>
      <x:c r="D603" s="7" t="str">
        <x:v>RFP-B1</x:v>
      </x:c>
      <x:c r="E603" s="7" t="str">
        <x:v>HP-21</x:v>
      </x:c>
      <x:c r="F603" s="7" t="str">
        <x:v>evidence</x:v>
      </x:c>
      <x:c r="G603" s="7" t="str">
        <x:v>identity</x:v>
      </x:c>
      <x:c r="H603" s="10" t="str"/>
      <x:c r="I603" s="7" t="str"/>
      <x:c r="J603" s="7" t="str">
        <x:v>OPEN</x:v>
      </x:c>
    </x:row>
    <x:row r="604" ht="36" customHeight="1">
      <x:c r="B604" s="7" t="str">
        <x:v>RAE-E-19-HP-22</x:v>
      </x:c>
      <x:c r="C604" s="7" t="str">
        <x:v>RAE-E-19</x:v>
      </x:c>
      <x:c r="D604" s="7" t="str">
        <x:v>RFP-B1</x:v>
      </x:c>
      <x:c r="E604" s="7" t="str">
        <x:v>HP-22</x:v>
      </x:c>
      <x:c r="F604" s="7" t="str">
        <x:v>evidence</x:v>
      </x:c>
      <x:c r="G604" s="7" t="str">
        <x:v>capacity</x:v>
      </x:c>
      <x:c r="H604" s="10" t="str"/>
      <x:c r="I604" s="7" t="str"/>
      <x:c r="J604" s="7" t="str">
        <x:v>OPEN</x:v>
      </x:c>
    </x:row>
    <x:row r="605" ht="36" customHeight="1">
      <x:c r="B605" s="7" t="str">
        <x:v>RAE-E-19-HP-23</x:v>
      </x:c>
      <x:c r="C605" s="7" t="str">
        <x:v>RAE-E-19</x:v>
      </x:c>
      <x:c r="D605" s="7" t="str">
        <x:v>RFP-B1</x:v>
      </x:c>
      <x:c r="E605" s="7" t="str">
        <x:v>HP-23</x:v>
      </x:c>
      <x:c r="F605" s="7" t="str">
        <x:v>evidence</x:v>
      </x:c>
      <x:c r="G605" s="7" t="str">
        <x:v>state</x:v>
      </x:c>
      <x:c r="H605" s="10" t="str"/>
      <x:c r="I605" s="7" t="str"/>
      <x:c r="J605" s="7" t="str">
        <x:v>OPEN</x:v>
      </x:c>
    </x:row>
    <x:row r="606" ht="36" customHeight="1">
      <x:c r="B606" s="7" t="str">
        <x:v>RAE-E-19-HP-24</x:v>
      </x:c>
      <x:c r="C606" s="7" t="str">
        <x:v>RAE-E-19</x:v>
      </x:c>
      <x:c r="D606" s="7" t="str">
        <x:v>RFP-B1</x:v>
      </x:c>
      <x:c r="E606" s="7" t="str">
        <x:v>HP-24</x:v>
      </x:c>
      <x:c r="F606" s="7" t="str">
        <x:v>evidence</x:v>
      </x:c>
      <x:c r="G606" s="7" t="str">
        <x:v>authority</x:v>
      </x:c>
      <x:c r="H606" s="10" t="str"/>
      <x:c r="I606" s="7" t="str"/>
      <x:c r="J606" s="7" t="str">
        <x:v>OPEN</x:v>
      </x:c>
    </x:row>
    <x:row r="607" ht="36" customHeight="1">
      <x:c r="B607" s="7" t="str">
        <x:v>RAE-E-19-HP-25</x:v>
      </x:c>
      <x:c r="C607" s="7" t="str">
        <x:v>RAE-E-19</x:v>
      </x:c>
      <x:c r="D607" s="7" t="str">
        <x:v>RFP-B1</x:v>
      </x:c>
      <x:c r="E607" s="7" t="str">
        <x:v>HP-25</x:v>
      </x:c>
      <x:c r="F607" s="7" t="str">
        <x:v>environment</x:v>
      </x:c>
      <x:c r="G607" s="7" t="str">
        <x:v>identity</x:v>
      </x:c>
      <x:c r="H607" s="10" t="str"/>
      <x:c r="I607" s="7" t="str"/>
      <x:c r="J607" s="7" t="str">
        <x:v>OPEN</x:v>
      </x:c>
    </x:row>
    <x:row r="608" ht="36" customHeight="1">
      <x:c r="B608" s="7" t="str">
        <x:v>RAE-E-19-HP-26</x:v>
      </x:c>
      <x:c r="C608" s="7" t="str">
        <x:v>RAE-E-19</x:v>
      </x:c>
      <x:c r="D608" s="7" t="str">
        <x:v>RFP-B1</x:v>
      </x:c>
      <x:c r="E608" s="7" t="str">
        <x:v>HP-26</x:v>
      </x:c>
      <x:c r="F608" s="7" t="str">
        <x:v>environment</x:v>
      </x:c>
      <x:c r="G608" s="7" t="str">
        <x:v>capacity</x:v>
      </x:c>
      <x:c r="H608" s="10" t="str"/>
      <x:c r="I608" s="7" t="str"/>
      <x:c r="J608" s="7" t="str">
        <x:v>OPEN</x:v>
      </x:c>
    </x:row>
    <x:row r="609" ht="36" customHeight="1">
      <x:c r="B609" s="7" t="str">
        <x:v>RAE-E-19-HP-27</x:v>
      </x:c>
      <x:c r="C609" s="7" t="str">
        <x:v>RAE-E-19</x:v>
      </x:c>
      <x:c r="D609" s="7" t="str">
        <x:v>RFP-B1</x:v>
      </x:c>
      <x:c r="E609" s="7" t="str">
        <x:v>HP-27</x:v>
      </x:c>
      <x:c r="F609" s="7" t="str">
        <x:v>environment</x:v>
      </x:c>
      <x:c r="G609" s="7" t="str">
        <x:v>state</x:v>
      </x:c>
      <x:c r="H609" s="10" t="str"/>
      <x:c r="I609" s="7" t="str"/>
      <x:c r="J609" s="7" t="str">
        <x:v>OPEN</x:v>
      </x:c>
    </x:row>
    <x:row r="610" ht="36" customHeight="1">
      <x:c r="B610" s="7" t="str">
        <x:v>RAE-E-19-HP-28</x:v>
      </x:c>
      <x:c r="C610" s="7" t="str">
        <x:v>RAE-E-19</x:v>
      </x:c>
      <x:c r="D610" s="7" t="str">
        <x:v>RFP-B1</x:v>
      </x:c>
      <x:c r="E610" s="7" t="str">
        <x:v>HP-28</x:v>
      </x:c>
      <x:c r="F610" s="7" t="str">
        <x:v>environment</x:v>
      </x:c>
      <x:c r="G610" s="7" t="str">
        <x:v>authority</x:v>
      </x:c>
      <x:c r="H610" s="10" t="str"/>
      <x:c r="I610" s="7" t="str"/>
      <x:c r="J610" s="7" t="str">
        <x:v>OPEN</x:v>
      </x:c>
    </x:row>
    <x:row r="611" ht="36" customHeight="1">
      <x:c r="B611" s="7" t="str">
        <x:v>RAE-E-19-HP-29</x:v>
      </x:c>
      <x:c r="C611" s="7" t="str">
        <x:v>RAE-E-19</x:v>
      </x:c>
      <x:c r="D611" s="7" t="str">
        <x:v>RFP-B1</x:v>
      </x:c>
      <x:c r="E611" s="7" t="str">
        <x:v>HP-29</x:v>
      </x:c>
      <x:c r="F611" s="7" t="str">
        <x:v>authority</x:v>
      </x:c>
      <x:c r="G611" s="7" t="str">
        <x:v>identity</x:v>
      </x:c>
      <x:c r="H611" s="10" t="str"/>
      <x:c r="I611" s="7" t="str"/>
      <x:c r="J611" s="7" t="str">
        <x:v>OPEN</x:v>
      </x:c>
    </x:row>
    <x:row r="612" ht="36" customHeight="1">
      <x:c r="B612" s="7" t="str">
        <x:v>RAE-E-19-HP-30</x:v>
      </x:c>
      <x:c r="C612" s="7" t="str">
        <x:v>RAE-E-19</x:v>
      </x:c>
      <x:c r="D612" s="7" t="str">
        <x:v>RFP-B1</x:v>
      </x:c>
      <x:c r="E612" s="7" t="str">
        <x:v>HP-30</x:v>
      </x:c>
      <x:c r="F612" s="7" t="str">
        <x:v>authority</x:v>
      </x:c>
      <x:c r="G612" s="7" t="str">
        <x:v>capacity</x:v>
      </x:c>
      <x:c r="H612" s="10" t="str"/>
      <x:c r="I612" s="7" t="str"/>
      <x:c r="J612" s="7" t="str">
        <x:v>OPEN</x:v>
      </x:c>
    </x:row>
    <x:row r="613" ht="36" customHeight="1">
      <x:c r="B613" s="7" t="str">
        <x:v>RAE-E-19-HP-31</x:v>
      </x:c>
      <x:c r="C613" s="7" t="str">
        <x:v>RAE-E-19</x:v>
      </x:c>
      <x:c r="D613" s="7" t="str">
        <x:v>RFP-B1</x:v>
      </x:c>
      <x:c r="E613" s="7" t="str">
        <x:v>HP-31</x:v>
      </x:c>
      <x:c r="F613" s="7" t="str">
        <x:v>authority</x:v>
      </x:c>
      <x:c r="G613" s="7" t="str">
        <x:v>state</x:v>
      </x:c>
      <x:c r="H613" s="10" t="str"/>
      <x:c r="I613" s="7" t="str"/>
      <x:c r="J613" s="7" t="str">
        <x:v>OPEN</x:v>
      </x:c>
    </x:row>
    <x:row r="614" ht="36" customHeight="1">
      <x:c r="B614" s="7" t="str">
        <x:v>RAE-E-19-HP-32</x:v>
      </x:c>
      <x:c r="C614" s="7" t="str">
        <x:v>RAE-E-19</x:v>
      </x:c>
      <x:c r="D614" s="7" t="str">
        <x:v>RFP-B1</x:v>
      </x:c>
      <x:c r="E614" s="7" t="str">
        <x:v>HP-32</x:v>
      </x:c>
      <x:c r="F614" s="7" t="str">
        <x:v>authority</x:v>
      </x:c>
      <x:c r="G614" s="7" t="str">
        <x:v>authority</x:v>
      </x:c>
      <x:c r="H614" s="10" t="str"/>
      <x:c r="I614" s="7" t="str"/>
      <x:c r="J614" s="7" t="str">
        <x:v>OPEN</x:v>
      </x:c>
    </x:row>
    <x:row r="615" ht="36" customHeight="1">
      <x:c r="B615" s="7" t="str">
        <x:v>RAE-E-20-HP-01</x:v>
      </x:c>
      <x:c r="C615" s="7" t="str">
        <x:v>RAE-E-20</x:v>
      </x:c>
      <x:c r="D615" s="7" t="str">
        <x:v>RFP-B1</x:v>
      </x:c>
      <x:c r="E615" s="7" t="str">
        <x:v>HP-01</x:v>
      </x:c>
      <x:c r="F615" s="7" t="str">
        <x:v>configuration</x:v>
      </x:c>
      <x:c r="G615" s="7" t="str">
        <x:v>identity</x:v>
      </x:c>
      <x:c r="H615" s="10" t="str"/>
      <x:c r="I615" s="7" t="str"/>
      <x:c r="J615" s="7" t="str">
        <x:v>OPEN</x:v>
      </x:c>
    </x:row>
    <x:row r="616" ht="36" customHeight="1">
      <x:c r="B616" s="7" t="str">
        <x:v>RAE-E-20-HP-02</x:v>
      </x:c>
      <x:c r="C616" s="7" t="str">
        <x:v>RAE-E-20</x:v>
      </x:c>
      <x:c r="D616" s="7" t="str">
        <x:v>RFP-B1</x:v>
      </x:c>
      <x:c r="E616" s="7" t="str">
        <x:v>HP-02</x:v>
      </x:c>
      <x:c r="F616" s="7" t="str">
        <x:v>configuration</x:v>
      </x:c>
      <x:c r="G616" s="7" t="str">
        <x:v>capacity</x:v>
      </x:c>
      <x:c r="H616" s="10" t="str"/>
      <x:c r="I616" s="7" t="str"/>
      <x:c r="J616" s="7" t="str">
        <x:v>OPEN</x:v>
      </x:c>
    </x:row>
    <x:row r="617" ht="36" customHeight="1">
      <x:c r="B617" s="7" t="str">
        <x:v>RAE-E-20-HP-03</x:v>
      </x:c>
      <x:c r="C617" s="7" t="str">
        <x:v>RAE-E-20</x:v>
      </x:c>
      <x:c r="D617" s="7" t="str">
        <x:v>RFP-B1</x:v>
      </x:c>
      <x:c r="E617" s="7" t="str">
        <x:v>HP-03</x:v>
      </x:c>
      <x:c r="F617" s="7" t="str">
        <x:v>configuration</x:v>
      </x:c>
      <x:c r="G617" s="7" t="str">
        <x:v>state</x:v>
      </x:c>
      <x:c r="H617" s="10" t="str"/>
      <x:c r="I617" s="7" t="str"/>
      <x:c r="J617" s="7" t="str">
        <x:v>OPEN</x:v>
      </x:c>
    </x:row>
    <x:row r="618" ht="36" customHeight="1">
      <x:c r="B618" s="7" t="str">
        <x:v>RAE-E-20-HP-04</x:v>
      </x:c>
      <x:c r="C618" s="7" t="str">
        <x:v>RAE-E-20</x:v>
      </x:c>
      <x:c r="D618" s="7" t="str">
        <x:v>RFP-B1</x:v>
      </x:c>
      <x:c r="E618" s="7" t="str">
        <x:v>HP-04</x:v>
      </x:c>
      <x:c r="F618" s="7" t="str">
        <x:v>configuration</x:v>
      </x:c>
      <x:c r="G618" s="7" t="str">
        <x:v>authority</x:v>
      </x:c>
      <x:c r="H618" s="10" t="str"/>
      <x:c r="I618" s="7" t="str"/>
      <x:c r="J618" s="7" t="str">
        <x:v>OPEN</x:v>
      </x:c>
    </x:row>
    <x:row r="619" ht="36" customHeight="1">
      <x:c r="B619" s="7" t="str">
        <x:v>RAE-E-20-HP-05</x:v>
      </x:c>
      <x:c r="C619" s="7" t="str">
        <x:v>RAE-E-20</x:v>
      </x:c>
      <x:c r="D619" s="7" t="str">
        <x:v>RFP-B1</x:v>
      </x:c>
      <x:c r="E619" s="7" t="str">
        <x:v>HP-05</x:v>
      </x:c>
      <x:c r="F619" s="7" t="str">
        <x:v>source</x:v>
      </x:c>
      <x:c r="G619" s="7" t="str">
        <x:v>identity</x:v>
      </x:c>
      <x:c r="H619" s="10" t="str"/>
      <x:c r="I619" s="7" t="str"/>
      <x:c r="J619" s="7" t="str">
        <x:v>OPEN</x:v>
      </x:c>
    </x:row>
    <x:row r="620" ht="36" customHeight="1">
      <x:c r="B620" s="7" t="str">
        <x:v>RAE-E-20-HP-06</x:v>
      </x:c>
      <x:c r="C620" s="7" t="str">
        <x:v>RAE-E-20</x:v>
      </x:c>
      <x:c r="D620" s="7" t="str">
        <x:v>RFP-B1</x:v>
      </x:c>
      <x:c r="E620" s="7" t="str">
        <x:v>HP-06</x:v>
      </x:c>
      <x:c r="F620" s="7" t="str">
        <x:v>source</x:v>
      </x:c>
      <x:c r="G620" s="7" t="str">
        <x:v>capacity</x:v>
      </x:c>
      <x:c r="H620" s="10" t="str"/>
      <x:c r="I620" s="7" t="str"/>
      <x:c r="J620" s="7" t="str">
        <x:v>OPEN</x:v>
      </x:c>
    </x:row>
    <x:row r="621" ht="36" customHeight="1">
      <x:c r="B621" s="7" t="str">
        <x:v>RAE-E-20-HP-07</x:v>
      </x:c>
      <x:c r="C621" s="7" t="str">
        <x:v>RAE-E-20</x:v>
      </x:c>
      <x:c r="D621" s="7" t="str">
        <x:v>RFP-B1</x:v>
      </x:c>
      <x:c r="E621" s="7" t="str">
        <x:v>HP-07</x:v>
      </x:c>
      <x:c r="F621" s="7" t="str">
        <x:v>source</x:v>
      </x:c>
      <x:c r="G621" s="7" t="str">
        <x:v>state</x:v>
      </x:c>
      <x:c r="H621" s="10" t="str"/>
      <x:c r="I621" s="7" t="str"/>
      <x:c r="J621" s="7" t="str">
        <x:v>OPEN</x:v>
      </x:c>
    </x:row>
    <x:row r="622" ht="36" customHeight="1">
      <x:c r="B622" s="7" t="str">
        <x:v>RAE-E-20-HP-08</x:v>
      </x:c>
      <x:c r="C622" s="7" t="str">
        <x:v>RAE-E-20</x:v>
      </x:c>
      <x:c r="D622" s="7" t="str">
        <x:v>RFP-B1</x:v>
      </x:c>
      <x:c r="E622" s="7" t="str">
        <x:v>HP-08</x:v>
      </x:c>
      <x:c r="F622" s="7" t="str">
        <x:v>source</x:v>
      </x:c>
      <x:c r="G622" s="7" t="str">
        <x:v>authority</x:v>
      </x:c>
      <x:c r="H622" s="10" t="str"/>
      <x:c r="I622" s="7" t="str"/>
      <x:c r="J622" s="7" t="str">
        <x:v>OPEN</x:v>
      </x:c>
    </x:row>
    <x:row r="623" ht="36" customHeight="1">
      <x:c r="B623" s="7" t="str">
        <x:v>RAE-E-20-HP-09</x:v>
      </x:c>
      <x:c r="C623" s="7" t="str">
        <x:v>RAE-E-20</x:v>
      </x:c>
      <x:c r="D623" s="7" t="str">
        <x:v>RFP-B1</x:v>
      </x:c>
      <x:c r="E623" s="7" t="str">
        <x:v>HP-09</x:v>
      </x:c>
      <x:c r="F623" s="7" t="str">
        <x:v>containment</x:v>
      </x:c>
      <x:c r="G623" s="7" t="str">
        <x:v>identity</x:v>
      </x:c>
      <x:c r="H623" s="10" t="str"/>
      <x:c r="I623" s="7" t="str"/>
      <x:c r="J623" s="7" t="str">
        <x:v>OPEN</x:v>
      </x:c>
    </x:row>
    <x:row r="624" ht="36" customHeight="1">
      <x:c r="B624" s="7" t="str">
        <x:v>RAE-E-20-HP-10</x:v>
      </x:c>
      <x:c r="C624" s="7" t="str">
        <x:v>RAE-E-20</x:v>
      </x:c>
      <x:c r="D624" s="7" t="str">
        <x:v>RFP-B1</x:v>
      </x:c>
      <x:c r="E624" s="7" t="str">
        <x:v>HP-10</x:v>
      </x:c>
      <x:c r="F624" s="7" t="str">
        <x:v>containment</x:v>
      </x:c>
      <x:c r="G624" s="7" t="str">
        <x:v>capacity</x:v>
      </x:c>
      <x:c r="H624" s="10" t="str"/>
      <x:c r="I624" s="7" t="str"/>
      <x:c r="J624" s="7" t="str">
        <x:v>OPEN</x:v>
      </x:c>
    </x:row>
    <x:row r="625" ht="36" customHeight="1">
      <x:c r="B625" s="7" t="str">
        <x:v>RAE-E-20-HP-11</x:v>
      </x:c>
      <x:c r="C625" s="7" t="str">
        <x:v>RAE-E-20</x:v>
      </x:c>
      <x:c r="D625" s="7" t="str">
        <x:v>RFP-B1</x:v>
      </x:c>
      <x:c r="E625" s="7" t="str">
        <x:v>HP-11</x:v>
      </x:c>
      <x:c r="F625" s="7" t="str">
        <x:v>containment</x:v>
      </x:c>
      <x:c r="G625" s="7" t="str">
        <x:v>state</x:v>
      </x:c>
      <x:c r="H625" s="10" t="str"/>
      <x:c r="I625" s="7" t="str"/>
      <x:c r="J625" s="7" t="str">
        <x:v>OPEN</x:v>
      </x:c>
    </x:row>
    <x:row r="626" ht="36" customHeight="1">
      <x:c r="B626" s="7" t="str">
        <x:v>RAE-E-20-HP-12</x:v>
      </x:c>
      <x:c r="C626" s="7" t="str">
        <x:v>RAE-E-20</x:v>
      </x:c>
      <x:c r="D626" s="7" t="str">
        <x:v>RFP-B1</x:v>
      </x:c>
      <x:c r="E626" s="7" t="str">
        <x:v>HP-12</x:v>
      </x:c>
      <x:c r="F626" s="7" t="str">
        <x:v>containment</x:v>
      </x:c>
      <x:c r="G626" s="7" t="str">
        <x:v>authority</x:v>
      </x:c>
      <x:c r="H626" s="10" t="str"/>
      <x:c r="I626" s="7" t="str"/>
      <x:c r="J626" s="7" t="str">
        <x:v>OPEN</x:v>
      </x:c>
    </x:row>
    <x:row r="627" ht="36" customHeight="1">
      <x:c r="B627" s="7" t="str">
        <x:v>RAE-E-20-HP-13</x:v>
      </x:c>
      <x:c r="C627" s="7" t="str">
        <x:v>RAE-E-20</x:v>
      </x:c>
      <x:c r="D627" s="7" t="str">
        <x:v>RFP-B1</x:v>
      </x:c>
      <x:c r="E627" s="7" t="str">
        <x:v>HP-13</x:v>
      </x:c>
      <x:c r="F627" s="7" t="str">
        <x:v>water</x:v>
      </x:c>
      <x:c r="G627" s="7" t="str">
        <x:v>identity</x:v>
      </x:c>
      <x:c r="H627" s="10" t="str"/>
      <x:c r="I627" s="7" t="str"/>
      <x:c r="J627" s="7" t="str">
        <x:v>OPEN</x:v>
      </x:c>
    </x:row>
    <x:row r="628" ht="36" customHeight="1">
      <x:c r="B628" s="7" t="str">
        <x:v>RAE-E-20-HP-14</x:v>
      </x:c>
      <x:c r="C628" s="7" t="str">
        <x:v>RAE-E-20</x:v>
      </x:c>
      <x:c r="D628" s="7" t="str">
        <x:v>RFP-B1</x:v>
      </x:c>
      <x:c r="E628" s="7" t="str">
        <x:v>HP-14</x:v>
      </x:c>
      <x:c r="F628" s="7" t="str">
        <x:v>water</x:v>
      </x:c>
      <x:c r="G628" s="7" t="str">
        <x:v>capacity</x:v>
      </x:c>
      <x:c r="H628" s="10" t="str"/>
      <x:c r="I628" s="7" t="str"/>
      <x:c r="J628" s="7" t="str">
        <x:v>OPEN</x:v>
      </x:c>
    </x:row>
    <x:row r="629" ht="36" customHeight="1">
      <x:c r="B629" s="7" t="str">
        <x:v>RAE-E-20-HP-15</x:v>
      </x:c>
      <x:c r="C629" s="7" t="str">
        <x:v>RAE-E-20</x:v>
      </x:c>
      <x:c r="D629" s="7" t="str">
        <x:v>RFP-B1</x:v>
      </x:c>
      <x:c r="E629" s="7" t="str">
        <x:v>HP-15</x:v>
      </x:c>
      <x:c r="F629" s="7" t="str">
        <x:v>water</x:v>
      </x:c>
      <x:c r="G629" s="7" t="str">
        <x:v>state</x:v>
      </x:c>
      <x:c r="H629" s="10" t="str"/>
      <x:c r="I629" s="7" t="str"/>
      <x:c r="J629" s="7" t="str">
        <x:v>OPEN</x:v>
      </x:c>
    </x:row>
    <x:row r="630" ht="36" customHeight="1">
      <x:c r="B630" s="7" t="str">
        <x:v>RAE-E-20-HP-16</x:v>
      </x:c>
      <x:c r="C630" s="7" t="str">
        <x:v>RAE-E-20</x:v>
      </x:c>
      <x:c r="D630" s="7" t="str">
        <x:v>RFP-B1</x:v>
      </x:c>
      <x:c r="E630" s="7" t="str">
        <x:v>HP-16</x:v>
      </x:c>
      <x:c r="F630" s="7" t="str">
        <x:v>water</x:v>
      </x:c>
      <x:c r="G630" s="7" t="str">
        <x:v>authority</x:v>
      </x:c>
      <x:c r="H630" s="10" t="str"/>
      <x:c r="I630" s="7" t="str"/>
      <x:c r="J630" s="7" t="str">
        <x:v>OPEN</x:v>
      </x:c>
    </x:row>
    <x:row r="631" ht="36" customHeight="1">
      <x:c r="B631" s="7" t="str">
        <x:v>RAE-E-20-HP-17</x:v>
      </x:c>
      <x:c r="C631" s="7" t="str">
        <x:v>RAE-E-20</x:v>
      </x:c>
      <x:c r="D631" s="7" t="str">
        <x:v>RFP-B1</x:v>
      </x:c>
      <x:c r="E631" s="7" t="str">
        <x:v>HP-17</x:v>
      </x:c>
      <x:c r="F631" s="7" t="str">
        <x:v>safeing</x:v>
      </x:c>
      <x:c r="G631" s="7" t="str">
        <x:v>identity</x:v>
      </x:c>
      <x:c r="H631" s="10" t="str"/>
      <x:c r="I631" s="7" t="str"/>
      <x:c r="J631" s="7" t="str">
        <x:v>OPEN</x:v>
      </x:c>
    </x:row>
    <x:row r="632" ht="36" customHeight="1">
      <x:c r="B632" s="7" t="str">
        <x:v>RAE-E-20-HP-18</x:v>
      </x:c>
      <x:c r="C632" s="7" t="str">
        <x:v>RAE-E-20</x:v>
      </x:c>
      <x:c r="D632" s="7" t="str">
        <x:v>RFP-B1</x:v>
      </x:c>
      <x:c r="E632" s="7" t="str">
        <x:v>HP-18</x:v>
      </x:c>
      <x:c r="F632" s="7" t="str">
        <x:v>safeing</x:v>
      </x:c>
      <x:c r="G632" s="7" t="str">
        <x:v>capacity</x:v>
      </x:c>
      <x:c r="H632" s="10" t="str"/>
      <x:c r="I632" s="7" t="str"/>
      <x:c r="J632" s="7" t="str">
        <x:v>OPEN</x:v>
      </x:c>
    </x:row>
    <x:row r="633" ht="36" customHeight="1">
      <x:c r="B633" s="7" t="str">
        <x:v>RAE-E-20-HP-19</x:v>
      </x:c>
      <x:c r="C633" s="7" t="str">
        <x:v>RAE-E-20</x:v>
      </x:c>
      <x:c r="D633" s="7" t="str">
        <x:v>RFP-B1</x:v>
      </x:c>
      <x:c r="E633" s="7" t="str">
        <x:v>HP-19</x:v>
      </x:c>
      <x:c r="F633" s="7" t="str">
        <x:v>safeing</x:v>
      </x:c>
      <x:c r="G633" s="7" t="str">
        <x:v>state</x:v>
      </x:c>
      <x:c r="H633" s="10" t="str"/>
      <x:c r="I633" s="7" t="str"/>
      <x:c r="J633" s="7" t="str">
        <x:v>OPEN</x:v>
      </x:c>
    </x:row>
    <x:row r="634" ht="36" customHeight="1">
      <x:c r="B634" s="7" t="str">
        <x:v>RAE-E-20-HP-20</x:v>
      </x:c>
      <x:c r="C634" s="7" t="str">
        <x:v>RAE-E-20</x:v>
      </x:c>
      <x:c r="D634" s="7" t="str">
        <x:v>RFP-B1</x:v>
      </x:c>
      <x:c r="E634" s="7" t="str">
        <x:v>HP-20</x:v>
      </x:c>
      <x:c r="F634" s="7" t="str">
        <x:v>safeing</x:v>
      </x:c>
      <x:c r="G634" s="7" t="str">
        <x:v>authority</x:v>
      </x:c>
      <x:c r="H634" s="10" t="str"/>
      <x:c r="I634" s="7" t="str"/>
      <x:c r="J634" s="7" t="str">
        <x:v>OPEN</x:v>
      </x:c>
    </x:row>
    <x:row r="635" ht="36" customHeight="1">
      <x:c r="B635" s="7" t="str">
        <x:v>RAE-E-20-HP-21</x:v>
      </x:c>
      <x:c r="C635" s="7" t="str">
        <x:v>RAE-E-20</x:v>
      </x:c>
      <x:c r="D635" s="7" t="str">
        <x:v>RFP-B1</x:v>
      </x:c>
      <x:c r="E635" s="7" t="str">
        <x:v>HP-21</x:v>
      </x:c>
      <x:c r="F635" s="7" t="str">
        <x:v>evidence</x:v>
      </x:c>
      <x:c r="G635" s="7" t="str">
        <x:v>identity</x:v>
      </x:c>
      <x:c r="H635" s="10" t="str"/>
      <x:c r="I635" s="7" t="str"/>
      <x:c r="J635" s="7" t="str">
        <x:v>OPEN</x:v>
      </x:c>
    </x:row>
    <x:row r="636" ht="36" customHeight="1">
      <x:c r="B636" s="7" t="str">
        <x:v>RAE-E-20-HP-22</x:v>
      </x:c>
      <x:c r="C636" s="7" t="str">
        <x:v>RAE-E-20</x:v>
      </x:c>
      <x:c r="D636" s="7" t="str">
        <x:v>RFP-B1</x:v>
      </x:c>
      <x:c r="E636" s="7" t="str">
        <x:v>HP-22</x:v>
      </x:c>
      <x:c r="F636" s="7" t="str">
        <x:v>evidence</x:v>
      </x:c>
      <x:c r="G636" s="7" t="str">
        <x:v>capacity</x:v>
      </x:c>
      <x:c r="H636" s="10" t="str"/>
      <x:c r="I636" s="7" t="str"/>
      <x:c r="J636" s="7" t="str">
        <x:v>OPEN</x:v>
      </x:c>
    </x:row>
    <x:row r="637" ht="36" customHeight="1">
      <x:c r="B637" s="7" t="str">
        <x:v>RAE-E-20-HP-23</x:v>
      </x:c>
      <x:c r="C637" s="7" t="str">
        <x:v>RAE-E-20</x:v>
      </x:c>
      <x:c r="D637" s="7" t="str">
        <x:v>RFP-B1</x:v>
      </x:c>
      <x:c r="E637" s="7" t="str">
        <x:v>HP-23</x:v>
      </x:c>
      <x:c r="F637" s="7" t="str">
        <x:v>evidence</x:v>
      </x:c>
      <x:c r="G637" s="7" t="str">
        <x:v>state</x:v>
      </x:c>
      <x:c r="H637" s="10" t="str"/>
      <x:c r="I637" s="7" t="str"/>
      <x:c r="J637" s="7" t="str">
        <x:v>OPEN</x:v>
      </x:c>
    </x:row>
    <x:row r="638" ht="36" customHeight="1">
      <x:c r="B638" s="7" t="str">
        <x:v>RAE-E-20-HP-24</x:v>
      </x:c>
      <x:c r="C638" s="7" t="str">
        <x:v>RAE-E-20</x:v>
      </x:c>
      <x:c r="D638" s="7" t="str">
        <x:v>RFP-B1</x:v>
      </x:c>
      <x:c r="E638" s="7" t="str">
        <x:v>HP-24</x:v>
      </x:c>
      <x:c r="F638" s="7" t="str">
        <x:v>evidence</x:v>
      </x:c>
      <x:c r="G638" s="7" t="str">
        <x:v>authority</x:v>
      </x:c>
      <x:c r="H638" s="10" t="str"/>
      <x:c r="I638" s="7" t="str"/>
      <x:c r="J638" s="7" t="str">
        <x:v>OPEN</x:v>
      </x:c>
    </x:row>
    <x:row r="639" ht="36" customHeight="1">
      <x:c r="B639" s="7" t="str">
        <x:v>RAE-E-20-HP-25</x:v>
      </x:c>
      <x:c r="C639" s="7" t="str">
        <x:v>RAE-E-20</x:v>
      </x:c>
      <x:c r="D639" s="7" t="str">
        <x:v>RFP-B1</x:v>
      </x:c>
      <x:c r="E639" s="7" t="str">
        <x:v>HP-25</x:v>
      </x:c>
      <x:c r="F639" s="7" t="str">
        <x:v>environment</x:v>
      </x:c>
      <x:c r="G639" s="7" t="str">
        <x:v>identity</x:v>
      </x:c>
      <x:c r="H639" s="10" t="str"/>
      <x:c r="I639" s="7" t="str"/>
      <x:c r="J639" s="7" t="str">
        <x:v>OPEN</x:v>
      </x:c>
    </x:row>
    <x:row r="640" ht="36" customHeight="1">
      <x:c r="B640" s="7" t="str">
        <x:v>RAE-E-20-HP-26</x:v>
      </x:c>
      <x:c r="C640" s="7" t="str">
        <x:v>RAE-E-20</x:v>
      </x:c>
      <x:c r="D640" s="7" t="str">
        <x:v>RFP-B1</x:v>
      </x:c>
      <x:c r="E640" s="7" t="str">
        <x:v>HP-26</x:v>
      </x:c>
      <x:c r="F640" s="7" t="str">
        <x:v>environment</x:v>
      </x:c>
      <x:c r="G640" s="7" t="str">
        <x:v>capacity</x:v>
      </x:c>
      <x:c r="H640" s="10" t="str"/>
      <x:c r="I640" s="7" t="str"/>
      <x:c r="J640" s="7" t="str">
        <x:v>OPEN</x:v>
      </x:c>
    </x:row>
    <x:row r="641" ht="36" customHeight="1">
      <x:c r="B641" s="7" t="str">
        <x:v>RAE-E-20-HP-27</x:v>
      </x:c>
      <x:c r="C641" s="7" t="str">
        <x:v>RAE-E-20</x:v>
      </x:c>
      <x:c r="D641" s="7" t="str">
        <x:v>RFP-B1</x:v>
      </x:c>
      <x:c r="E641" s="7" t="str">
        <x:v>HP-27</x:v>
      </x:c>
      <x:c r="F641" s="7" t="str">
        <x:v>environment</x:v>
      </x:c>
      <x:c r="G641" s="7" t="str">
        <x:v>state</x:v>
      </x:c>
      <x:c r="H641" s="10" t="str"/>
      <x:c r="I641" s="7" t="str"/>
      <x:c r="J641" s="7" t="str">
        <x:v>OPEN</x:v>
      </x:c>
    </x:row>
    <x:row r="642" ht="36" customHeight="1">
      <x:c r="B642" s="7" t="str">
        <x:v>RAE-E-20-HP-28</x:v>
      </x:c>
      <x:c r="C642" s="7" t="str">
        <x:v>RAE-E-20</x:v>
      </x:c>
      <x:c r="D642" s="7" t="str">
        <x:v>RFP-B1</x:v>
      </x:c>
      <x:c r="E642" s="7" t="str">
        <x:v>HP-28</x:v>
      </x:c>
      <x:c r="F642" s="7" t="str">
        <x:v>environment</x:v>
      </x:c>
      <x:c r="G642" s="7" t="str">
        <x:v>authority</x:v>
      </x:c>
      <x:c r="H642" s="10" t="str"/>
      <x:c r="I642" s="7" t="str"/>
      <x:c r="J642" s="7" t="str">
        <x:v>OPEN</x:v>
      </x:c>
    </x:row>
    <x:row r="643" ht="36" customHeight="1">
      <x:c r="B643" s="7" t="str">
        <x:v>RAE-E-20-HP-29</x:v>
      </x:c>
      <x:c r="C643" s="7" t="str">
        <x:v>RAE-E-20</x:v>
      </x:c>
      <x:c r="D643" s="7" t="str">
        <x:v>RFP-B1</x:v>
      </x:c>
      <x:c r="E643" s="7" t="str">
        <x:v>HP-29</x:v>
      </x:c>
      <x:c r="F643" s="7" t="str">
        <x:v>authority</x:v>
      </x:c>
      <x:c r="G643" s="7" t="str">
        <x:v>identity</x:v>
      </x:c>
      <x:c r="H643" s="10" t="str"/>
      <x:c r="I643" s="7" t="str"/>
      <x:c r="J643" s="7" t="str">
        <x:v>OPEN</x:v>
      </x:c>
    </x:row>
    <x:row r="644" ht="36" customHeight="1">
      <x:c r="B644" s="7" t="str">
        <x:v>RAE-E-20-HP-30</x:v>
      </x:c>
      <x:c r="C644" s="7" t="str">
        <x:v>RAE-E-20</x:v>
      </x:c>
      <x:c r="D644" s="7" t="str">
        <x:v>RFP-B1</x:v>
      </x:c>
      <x:c r="E644" s="7" t="str">
        <x:v>HP-30</x:v>
      </x:c>
      <x:c r="F644" s="7" t="str">
        <x:v>authority</x:v>
      </x:c>
      <x:c r="G644" s="7" t="str">
        <x:v>capacity</x:v>
      </x:c>
      <x:c r="H644" s="10" t="str"/>
      <x:c r="I644" s="7" t="str"/>
      <x:c r="J644" s="7" t="str">
        <x:v>OPEN</x:v>
      </x:c>
    </x:row>
    <x:row r="645" ht="36" customHeight="1">
      <x:c r="B645" s="7" t="str">
        <x:v>RAE-E-20-HP-31</x:v>
      </x:c>
      <x:c r="C645" s="7" t="str">
        <x:v>RAE-E-20</x:v>
      </x:c>
      <x:c r="D645" s="7" t="str">
        <x:v>RFP-B1</x:v>
      </x:c>
      <x:c r="E645" s="7" t="str">
        <x:v>HP-31</x:v>
      </x:c>
      <x:c r="F645" s="7" t="str">
        <x:v>authority</x:v>
      </x:c>
      <x:c r="G645" s="7" t="str">
        <x:v>state</x:v>
      </x:c>
      <x:c r="H645" s="10" t="str"/>
      <x:c r="I645" s="7" t="str"/>
      <x:c r="J645" s="7" t="str">
        <x:v>OPEN</x:v>
      </x:c>
    </x:row>
    <x:row r="646" ht="36" customHeight="1">
      <x:c r="B646" s="7" t="str">
        <x:v>RAE-E-20-HP-32</x:v>
      </x:c>
      <x:c r="C646" s="7" t="str">
        <x:v>RAE-E-20</x:v>
      </x:c>
      <x:c r="D646" s="7" t="str">
        <x:v>RFP-B1</x:v>
      </x:c>
      <x:c r="E646" s="7" t="str">
        <x:v>HP-32</x:v>
      </x:c>
      <x:c r="F646" s="7" t="str">
        <x:v>authority</x:v>
      </x:c>
      <x:c r="G646" s="7" t="str">
        <x:v>authority</x:v>
      </x:c>
      <x:c r="H646" s="10" t="str"/>
      <x:c r="I646" s="7" t="str"/>
      <x:c r="J646" s="7" t="str">
        <x:v>OPEN</x:v>
      </x:c>
    </x:row>
    <x:row r="647" ht="36" customHeight="1">
      <x:c r="B647" s="7" t="str">
        <x:v>RAE-E-21-HP-01</x:v>
      </x:c>
      <x:c r="C647" s="7" t="str">
        <x:v>RAE-E-21</x:v>
      </x:c>
      <x:c r="D647" s="7" t="str">
        <x:v>RFP-B1</x:v>
      </x:c>
      <x:c r="E647" s="7" t="str">
        <x:v>HP-01</x:v>
      </x:c>
      <x:c r="F647" s="7" t="str">
        <x:v>configuration</x:v>
      </x:c>
      <x:c r="G647" s="7" t="str">
        <x:v>identity</x:v>
      </x:c>
      <x:c r="H647" s="10" t="str"/>
      <x:c r="I647" s="7" t="str"/>
      <x:c r="J647" s="7" t="str">
        <x:v>OPEN</x:v>
      </x:c>
    </x:row>
    <x:row r="648" ht="36" customHeight="1">
      <x:c r="B648" s="7" t="str">
        <x:v>RAE-E-21-HP-02</x:v>
      </x:c>
      <x:c r="C648" s="7" t="str">
        <x:v>RAE-E-21</x:v>
      </x:c>
      <x:c r="D648" s="7" t="str">
        <x:v>RFP-B1</x:v>
      </x:c>
      <x:c r="E648" s="7" t="str">
        <x:v>HP-02</x:v>
      </x:c>
      <x:c r="F648" s="7" t="str">
        <x:v>configuration</x:v>
      </x:c>
      <x:c r="G648" s="7" t="str">
        <x:v>capacity</x:v>
      </x:c>
      <x:c r="H648" s="10" t="str"/>
      <x:c r="I648" s="7" t="str"/>
      <x:c r="J648" s="7" t="str">
        <x:v>OPEN</x:v>
      </x:c>
    </x:row>
    <x:row r="649" ht="36" customHeight="1">
      <x:c r="B649" s="7" t="str">
        <x:v>RAE-E-21-HP-03</x:v>
      </x:c>
      <x:c r="C649" s="7" t="str">
        <x:v>RAE-E-21</x:v>
      </x:c>
      <x:c r="D649" s="7" t="str">
        <x:v>RFP-B1</x:v>
      </x:c>
      <x:c r="E649" s="7" t="str">
        <x:v>HP-03</x:v>
      </x:c>
      <x:c r="F649" s="7" t="str">
        <x:v>configuration</x:v>
      </x:c>
      <x:c r="G649" s="7" t="str">
        <x:v>state</x:v>
      </x:c>
      <x:c r="H649" s="10" t="str"/>
      <x:c r="I649" s="7" t="str"/>
      <x:c r="J649" s="7" t="str">
        <x:v>OPEN</x:v>
      </x:c>
    </x:row>
    <x:row r="650" ht="36" customHeight="1">
      <x:c r="B650" s="7" t="str">
        <x:v>RAE-E-21-HP-04</x:v>
      </x:c>
      <x:c r="C650" s="7" t="str">
        <x:v>RAE-E-21</x:v>
      </x:c>
      <x:c r="D650" s="7" t="str">
        <x:v>RFP-B1</x:v>
      </x:c>
      <x:c r="E650" s="7" t="str">
        <x:v>HP-04</x:v>
      </x:c>
      <x:c r="F650" s="7" t="str">
        <x:v>configuration</x:v>
      </x:c>
      <x:c r="G650" s="7" t="str">
        <x:v>authority</x:v>
      </x:c>
      <x:c r="H650" s="10" t="str"/>
      <x:c r="I650" s="7" t="str"/>
      <x:c r="J650" s="7" t="str">
        <x:v>OPEN</x:v>
      </x:c>
    </x:row>
    <x:row r="651" ht="36" customHeight="1">
      <x:c r="B651" s="7" t="str">
        <x:v>RAE-E-21-HP-05</x:v>
      </x:c>
      <x:c r="C651" s="7" t="str">
        <x:v>RAE-E-21</x:v>
      </x:c>
      <x:c r="D651" s="7" t="str">
        <x:v>RFP-B1</x:v>
      </x:c>
      <x:c r="E651" s="7" t="str">
        <x:v>HP-05</x:v>
      </x:c>
      <x:c r="F651" s="7" t="str">
        <x:v>source</x:v>
      </x:c>
      <x:c r="G651" s="7" t="str">
        <x:v>identity</x:v>
      </x:c>
      <x:c r="H651" s="10" t="str"/>
      <x:c r="I651" s="7" t="str"/>
      <x:c r="J651" s="7" t="str">
        <x:v>OPEN</x:v>
      </x:c>
    </x:row>
    <x:row r="652" ht="36" customHeight="1">
      <x:c r="B652" s="7" t="str">
        <x:v>RAE-E-21-HP-06</x:v>
      </x:c>
      <x:c r="C652" s="7" t="str">
        <x:v>RAE-E-21</x:v>
      </x:c>
      <x:c r="D652" s="7" t="str">
        <x:v>RFP-B1</x:v>
      </x:c>
      <x:c r="E652" s="7" t="str">
        <x:v>HP-06</x:v>
      </x:c>
      <x:c r="F652" s="7" t="str">
        <x:v>source</x:v>
      </x:c>
      <x:c r="G652" s="7" t="str">
        <x:v>capacity</x:v>
      </x:c>
      <x:c r="H652" s="10" t="str"/>
      <x:c r="I652" s="7" t="str"/>
      <x:c r="J652" s="7" t="str">
        <x:v>OPEN</x:v>
      </x:c>
    </x:row>
    <x:row r="653" ht="36" customHeight="1">
      <x:c r="B653" s="7" t="str">
        <x:v>RAE-E-21-HP-07</x:v>
      </x:c>
      <x:c r="C653" s="7" t="str">
        <x:v>RAE-E-21</x:v>
      </x:c>
      <x:c r="D653" s="7" t="str">
        <x:v>RFP-B1</x:v>
      </x:c>
      <x:c r="E653" s="7" t="str">
        <x:v>HP-07</x:v>
      </x:c>
      <x:c r="F653" s="7" t="str">
        <x:v>source</x:v>
      </x:c>
      <x:c r="G653" s="7" t="str">
        <x:v>state</x:v>
      </x:c>
      <x:c r="H653" s="10" t="str"/>
      <x:c r="I653" s="7" t="str"/>
      <x:c r="J653" s="7" t="str">
        <x:v>OPEN</x:v>
      </x:c>
    </x:row>
    <x:row r="654" ht="36" customHeight="1">
      <x:c r="B654" s="7" t="str">
        <x:v>RAE-E-21-HP-08</x:v>
      </x:c>
      <x:c r="C654" s="7" t="str">
        <x:v>RAE-E-21</x:v>
      </x:c>
      <x:c r="D654" s="7" t="str">
        <x:v>RFP-B1</x:v>
      </x:c>
      <x:c r="E654" s="7" t="str">
        <x:v>HP-08</x:v>
      </x:c>
      <x:c r="F654" s="7" t="str">
        <x:v>source</x:v>
      </x:c>
      <x:c r="G654" s="7" t="str">
        <x:v>authority</x:v>
      </x:c>
      <x:c r="H654" s="10" t="str"/>
      <x:c r="I654" s="7" t="str"/>
      <x:c r="J654" s="7" t="str">
        <x:v>OPEN</x:v>
      </x:c>
    </x:row>
    <x:row r="655" ht="36" customHeight="1">
      <x:c r="B655" s="7" t="str">
        <x:v>RAE-E-21-HP-09</x:v>
      </x:c>
      <x:c r="C655" s="7" t="str">
        <x:v>RAE-E-21</x:v>
      </x:c>
      <x:c r="D655" s="7" t="str">
        <x:v>RFP-B1</x:v>
      </x:c>
      <x:c r="E655" s="7" t="str">
        <x:v>HP-09</x:v>
      </x:c>
      <x:c r="F655" s="7" t="str">
        <x:v>containment</x:v>
      </x:c>
      <x:c r="G655" s="7" t="str">
        <x:v>identity</x:v>
      </x:c>
      <x:c r="H655" s="10" t="str"/>
      <x:c r="I655" s="7" t="str"/>
      <x:c r="J655" s="7" t="str">
        <x:v>OPEN</x:v>
      </x:c>
    </x:row>
    <x:row r="656" ht="36" customHeight="1">
      <x:c r="B656" s="7" t="str">
        <x:v>RAE-E-21-HP-10</x:v>
      </x:c>
      <x:c r="C656" s="7" t="str">
        <x:v>RAE-E-21</x:v>
      </x:c>
      <x:c r="D656" s="7" t="str">
        <x:v>RFP-B1</x:v>
      </x:c>
      <x:c r="E656" s="7" t="str">
        <x:v>HP-10</x:v>
      </x:c>
      <x:c r="F656" s="7" t="str">
        <x:v>containment</x:v>
      </x:c>
      <x:c r="G656" s="7" t="str">
        <x:v>capacity</x:v>
      </x:c>
      <x:c r="H656" s="10" t="str"/>
      <x:c r="I656" s="7" t="str"/>
      <x:c r="J656" s="7" t="str">
        <x:v>OPEN</x:v>
      </x:c>
    </x:row>
    <x:row r="657" ht="36" customHeight="1">
      <x:c r="B657" s="7" t="str">
        <x:v>RAE-E-21-HP-11</x:v>
      </x:c>
      <x:c r="C657" s="7" t="str">
        <x:v>RAE-E-21</x:v>
      </x:c>
      <x:c r="D657" s="7" t="str">
        <x:v>RFP-B1</x:v>
      </x:c>
      <x:c r="E657" s="7" t="str">
        <x:v>HP-11</x:v>
      </x:c>
      <x:c r="F657" s="7" t="str">
        <x:v>containment</x:v>
      </x:c>
      <x:c r="G657" s="7" t="str">
        <x:v>state</x:v>
      </x:c>
      <x:c r="H657" s="10" t="str"/>
      <x:c r="I657" s="7" t="str"/>
      <x:c r="J657" s="7" t="str">
        <x:v>OPEN</x:v>
      </x:c>
    </x:row>
    <x:row r="658" ht="36" customHeight="1">
      <x:c r="B658" s="7" t="str">
        <x:v>RAE-E-21-HP-12</x:v>
      </x:c>
      <x:c r="C658" s="7" t="str">
        <x:v>RAE-E-21</x:v>
      </x:c>
      <x:c r="D658" s="7" t="str">
        <x:v>RFP-B1</x:v>
      </x:c>
      <x:c r="E658" s="7" t="str">
        <x:v>HP-12</x:v>
      </x:c>
      <x:c r="F658" s="7" t="str">
        <x:v>containment</x:v>
      </x:c>
      <x:c r="G658" s="7" t="str">
        <x:v>authority</x:v>
      </x:c>
      <x:c r="H658" s="10" t="str"/>
      <x:c r="I658" s="7" t="str"/>
      <x:c r="J658" s="7" t="str">
        <x:v>OPEN</x:v>
      </x:c>
    </x:row>
    <x:row r="659" ht="36" customHeight="1">
      <x:c r="B659" s="7" t="str">
        <x:v>RAE-E-21-HP-13</x:v>
      </x:c>
      <x:c r="C659" s="7" t="str">
        <x:v>RAE-E-21</x:v>
      </x:c>
      <x:c r="D659" s="7" t="str">
        <x:v>RFP-B1</x:v>
      </x:c>
      <x:c r="E659" s="7" t="str">
        <x:v>HP-13</x:v>
      </x:c>
      <x:c r="F659" s="7" t="str">
        <x:v>water</x:v>
      </x:c>
      <x:c r="G659" s="7" t="str">
        <x:v>identity</x:v>
      </x:c>
      <x:c r="H659" s="10" t="str"/>
      <x:c r="I659" s="7" t="str"/>
      <x:c r="J659" s="7" t="str">
        <x:v>OPEN</x:v>
      </x:c>
    </x:row>
    <x:row r="660" ht="36" customHeight="1">
      <x:c r="B660" s="7" t="str">
        <x:v>RAE-E-21-HP-14</x:v>
      </x:c>
      <x:c r="C660" s="7" t="str">
        <x:v>RAE-E-21</x:v>
      </x:c>
      <x:c r="D660" s="7" t="str">
        <x:v>RFP-B1</x:v>
      </x:c>
      <x:c r="E660" s="7" t="str">
        <x:v>HP-14</x:v>
      </x:c>
      <x:c r="F660" s="7" t="str">
        <x:v>water</x:v>
      </x:c>
      <x:c r="G660" s="7" t="str">
        <x:v>capacity</x:v>
      </x:c>
      <x:c r="H660" s="10" t="str"/>
      <x:c r="I660" s="7" t="str"/>
      <x:c r="J660" s="7" t="str">
        <x:v>OPEN</x:v>
      </x:c>
    </x:row>
    <x:row r="661" ht="36" customHeight="1">
      <x:c r="B661" s="7" t="str">
        <x:v>RAE-E-21-HP-15</x:v>
      </x:c>
      <x:c r="C661" s="7" t="str">
        <x:v>RAE-E-21</x:v>
      </x:c>
      <x:c r="D661" s="7" t="str">
        <x:v>RFP-B1</x:v>
      </x:c>
      <x:c r="E661" s="7" t="str">
        <x:v>HP-15</x:v>
      </x:c>
      <x:c r="F661" s="7" t="str">
        <x:v>water</x:v>
      </x:c>
      <x:c r="G661" s="7" t="str">
        <x:v>state</x:v>
      </x:c>
      <x:c r="H661" s="10" t="str"/>
      <x:c r="I661" s="7" t="str"/>
      <x:c r="J661" s="7" t="str">
        <x:v>OPEN</x:v>
      </x:c>
    </x:row>
    <x:row r="662" ht="36" customHeight="1">
      <x:c r="B662" s="7" t="str">
        <x:v>RAE-E-21-HP-16</x:v>
      </x:c>
      <x:c r="C662" s="7" t="str">
        <x:v>RAE-E-21</x:v>
      </x:c>
      <x:c r="D662" s="7" t="str">
        <x:v>RFP-B1</x:v>
      </x:c>
      <x:c r="E662" s="7" t="str">
        <x:v>HP-16</x:v>
      </x:c>
      <x:c r="F662" s="7" t="str">
        <x:v>water</x:v>
      </x:c>
      <x:c r="G662" s="7" t="str">
        <x:v>authority</x:v>
      </x:c>
      <x:c r="H662" s="10" t="str"/>
      <x:c r="I662" s="7" t="str"/>
      <x:c r="J662" s="7" t="str">
        <x:v>OPEN</x:v>
      </x:c>
    </x:row>
    <x:row r="663" ht="36" customHeight="1">
      <x:c r="B663" s="7" t="str">
        <x:v>RAE-E-21-HP-17</x:v>
      </x:c>
      <x:c r="C663" s="7" t="str">
        <x:v>RAE-E-21</x:v>
      </x:c>
      <x:c r="D663" s="7" t="str">
        <x:v>RFP-B1</x:v>
      </x:c>
      <x:c r="E663" s="7" t="str">
        <x:v>HP-17</x:v>
      </x:c>
      <x:c r="F663" s="7" t="str">
        <x:v>safeing</x:v>
      </x:c>
      <x:c r="G663" s="7" t="str">
        <x:v>identity</x:v>
      </x:c>
      <x:c r="H663" s="10" t="str"/>
      <x:c r="I663" s="7" t="str"/>
      <x:c r="J663" s="7" t="str">
        <x:v>OPEN</x:v>
      </x:c>
    </x:row>
    <x:row r="664" ht="36" customHeight="1">
      <x:c r="B664" s="7" t="str">
        <x:v>RAE-E-21-HP-18</x:v>
      </x:c>
      <x:c r="C664" s="7" t="str">
        <x:v>RAE-E-21</x:v>
      </x:c>
      <x:c r="D664" s="7" t="str">
        <x:v>RFP-B1</x:v>
      </x:c>
      <x:c r="E664" s="7" t="str">
        <x:v>HP-18</x:v>
      </x:c>
      <x:c r="F664" s="7" t="str">
        <x:v>safeing</x:v>
      </x:c>
      <x:c r="G664" s="7" t="str">
        <x:v>capacity</x:v>
      </x:c>
      <x:c r="H664" s="10" t="str"/>
      <x:c r="I664" s="7" t="str"/>
      <x:c r="J664" s="7" t="str">
        <x:v>OPEN</x:v>
      </x:c>
    </x:row>
    <x:row r="665" ht="36" customHeight="1">
      <x:c r="B665" s="7" t="str">
        <x:v>RAE-E-21-HP-19</x:v>
      </x:c>
      <x:c r="C665" s="7" t="str">
        <x:v>RAE-E-21</x:v>
      </x:c>
      <x:c r="D665" s="7" t="str">
        <x:v>RFP-B1</x:v>
      </x:c>
      <x:c r="E665" s="7" t="str">
        <x:v>HP-19</x:v>
      </x:c>
      <x:c r="F665" s="7" t="str">
        <x:v>safeing</x:v>
      </x:c>
      <x:c r="G665" s="7" t="str">
        <x:v>state</x:v>
      </x:c>
      <x:c r="H665" s="10" t="str"/>
      <x:c r="I665" s="7" t="str"/>
      <x:c r="J665" s="7" t="str">
        <x:v>OPEN</x:v>
      </x:c>
    </x:row>
    <x:row r="666" ht="36" customHeight="1">
      <x:c r="B666" s="7" t="str">
        <x:v>RAE-E-21-HP-20</x:v>
      </x:c>
      <x:c r="C666" s="7" t="str">
        <x:v>RAE-E-21</x:v>
      </x:c>
      <x:c r="D666" s="7" t="str">
        <x:v>RFP-B1</x:v>
      </x:c>
      <x:c r="E666" s="7" t="str">
        <x:v>HP-20</x:v>
      </x:c>
      <x:c r="F666" s="7" t="str">
        <x:v>safeing</x:v>
      </x:c>
      <x:c r="G666" s="7" t="str">
        <x:v>authority</x:v>
      </x:c>
      <x:c r="H666" s="10" t="str"/>
      <x:c r="I666" s="7" t="str"/>
      <x:c r="J666" s="7" t="str">
        <x:v>OPEN</x:v>
      </x:c>
    </x:row>
    <x:row r="667" ht="36" customHeight="1">
      <x:c r="B667" s="7" t="str">
        <x:v>RAE-E-21-HP-21</x:v>
      </x:c>
      <x:c r="C667" s="7" t="str">
        <x:v>RAE-E-21</x:v>
      </x:c>
      <x:c r="D667" s="7" t="str">
        <x:v>RFP-B1</x:v>
      </x:c>
      <x:c r="E667" s="7" t="str">
        <x:v>HP-21</x:v>
      </x:c>
      <x:c r="F667" s="7" t="str">
        <x:v>evidence</x:v>
      </x:c>
      <x:c r="G667" s="7" t="str">
        <x:v>identity</x:v>
      </x:c>
      <x:c r="H667" s="10" t="str"/>
      <x:c r="I667" s="7" t="str"/>
      <x:c r="J667" s="7" t="str">
        <x:v>OPEN</x:v>
      </x:c>
    </x:row>
    <x:row r="668" ht="36" customHeight="1">
      <x:c r="B668" s="7" t="str">
        <x:v>RAE-E-21-HP-22</x:v>
      </x:c>
      <x:c r="C668" s="7" t="str">
        <x:v>RAE-E-21</x:v>
      </x:c>
      <x:c r="D668" s="7" t="str">
        <x:v>RFP-B1</x:v>
      </x:c>
      <x:c r="E668" s="7" t="str">
        <x:v>HP-22</x:v>
      </x:c>
      <x:c r="F668" s="7" t="str">
        <x:v>evidence</x:v>
      </x:c>
      <x:c r="G668" s="7" t="str">
        <x:v>capacity</x:v>
      </x:c>
      <x:c r="H668" s="10" t="str"/>
      <x:c r="I668" s="7" t="str"/>
      <x:c r="J668" s="7" t="str">
        <x:v>OPEN</x:v>
      </x:c>
    </x:row>
    <x:row r="669" ht="36" customHeight="1">
      <x:c r="B669" s="7" t="str">
        <x:v>RAE-E-21-HP-23</x:v>
      </x:c>
      <x:c r="C669" s="7" t="str">
        <x:v>RAE-E-21</x:v>
      </x:c>
      <x:c r="D669" s="7" t="str">
        <x:v>RFP-B1</x:v>
      </x:c>
      <x:c r="E669" s="7" t="str">
        <x:v>HP-23</x:v>
      </x:c>
      <x:c r="F669" s="7" t="str">
        <x:v>evidence</x:v>
      </x:c>
      <x:c r="G669" s="7" t="str">
        <x:v>state</x:v>
      </x:c>
      <x:c r="H669" s="10" t="str"/>
      <x:c r="I669" s="7" t="str"/>
      <x:c r="J669" s="7" t="str">
        <x:v>OPEN</x:v>
      </x:c>
    </x:row>
    <x:row r="670" ht="36" customHeight="1">
      <x:c r="B670" s="7" t="str">
        <x:v>RAE-E-21-HP-24</x:v>
      </x:c>
      <x:c r="C670" s="7" t="str">
        <x:v>RAE-E-21</x:v>
      </x:c>
      <x:c r="D670" s="7" t="str">
        <x:v>RFP-B1</x:v>
      </x:c>
      <x:c r="E670" s="7" t="str">
        <x:v>HP-24</x:v>
      </x:c>
      <x:c r="F670" s="7" t="str">
        <x:v>evidence</x:v>
      </x:c>
      <x:c r="G670" s="7" t="str">
        <x:v>authority</x:v>
      </x:c>
      <x:c r="H670" s="10" t="str"/>
      <x:c r="I670" s="7" t="str"/>
      <x:c r="J670" s="7" t="str">
        <x:v>OPEN</x:v>
      </x:c>
    </x:row>
    <x:row r="671" ht="36" customHeight="1">
      <x:c r="B671" s="7" t="str">
        <x:v>RAE-E-21-HP-25</x:v>
      </x:c>
      <x:c r="C671" s="7" t="str">
        <x:v>RAE-E-21</x:v>
      </x:c>
      <x:c r="D671" s="7" t="str">
        <x:v>RFP-B1</x:v>
      </x:c>
      <x:c r="E671" s="7" t="str">
        <x:v>HP-25</x:v>
      </x:c>
      <x:c r="F671" s="7" t="str">
        <x:v>environment</x:v>
      </x:c>
      <x:c r="G671" s="7" t="str">
        <x:v>identity</x:v>
      </x:c>
      <x:c r="H671" s="10" t="str"/>
      <x:c r="I671" s="7" t="str"/>
      <x:c r="J671" s="7" t="str">
        <x:v>OPEN</x:v>
      </x:c>
    </x:row>
    <x:row r="672" ht="36" customHeight="1">
      <x:c r="B672" s="7" t="str">
        <x:v>RAE-E-21-HP-26</x:v>
      </x:c>
      <x:c r="C672" s="7" t="str">
        <x:v>RAE-E-21</x:v>
      </x:c>
      <x:c r="D672" s="7" t="str">
        <x:v>RFP-B1</x:v>
      </x:c>
      <x:c r="E672" s="7" t="str">
        <x:v>HP-26</x:v>
      </x:c>
      <x:c r="F672" s="7" t="str">
        <x:v>environment</x:v>
      </x:c>
      <x:c r="G672" s="7" t="str">
        <x:v>capacity</x:v>
      </x:c>
      <x:c r="H672" s="10" t="str"/>
      <x:c r="I672" s="7" t="str"/>
      <x:c r="J672" s="7" t="str">
        <x:v>OPEN</x:v>
      </x:c>
    </x:row>
    <x:row r="673" ht="36" customHeight="1">
      <x:c r="B673" s="7" t="str">
        <x:v>RAE-E-21-HP-27</x:v>
      </x:c>
      <x:c r="C673" s="7" t="str">
        <x:v>RAE-E-21</x:v>
      </x:c>
      <x:c r="D673" s="7" t="str">
        <x:v>RFP-B1</x:v>
      </x:c>
      <x:c r="E673" s="7" t="str">
        <x:v>HP-27</x:v>
      </x:c>
      <x:c r="F673" s="7" t="str">
        <x:v>environment</x:v>
      </x:c>
      <x:c r="G673" s="7" t="str">
        <x:v>state</x:v>
      </x:c>
      <x:c r="H673" s="10" t="str"/>
      <x:c r="I673" s="7" t="str"/>
      <x:c r="J673" s="7" t="str">
        <x:v>OPEN</x:v>
      </x:c>
    </x:row>
    <x:row r="674" ht="36" customHeight="1">
      <x:c r="B674" s="7" t="str">
        <x:v>RAE-E-21-HP-28</x:v>
      </x:c>
      <x:c r="C674" s="7" t="str">
        <x:v>RAE-E-21</x:v>
      </x:c>
      <x:c r="D674" s="7" t="str">
        <x:v>RFP-B1</x:v>
      </x:c>
      <x:c r="E674" s="7" t="str">
        <x:v>HP-28</x:v>
      </x:c>
      <x:c r="F674" s="7" t="str">
        <x:v>environment</x:v>
      </x:c>
      <x:c r="G674" s="7" t="str">
        <x:v>authority</x:v>
      </x:c>
      <x:c r="H674" s="10" t="str"/>
      <x:c r="I674" s="7" t="str"/>
      <x:c r="J674" s="7" t="str">
        <x:v>OPEN</x:v>
      </x:c>
    </x:row>
    <x:row r="675" ht="36" customHeight="1">
      <x:c r="B675" s="7" t="str">
        <x:v>RAE-E-21-HP-29</x:v>
      </x:c>
      <x:c r="C675" s="7" t="str">
        <x:v>RAE-E-21</x:v>
      </x:c>
      <x:c r="D675" s="7" t="str">
        <x:v>RFP-B1</x:v>
      </x:c>
      <x:c r="E675" s="7" t="str">
        <x:v>HP-29</x:v>
      </x:c>
      <x:c r="F675" s="7" t="str">
        <x:v>authority</x:v>
      </x:c>
      <x:c r="G675" s="7" t="str">
        <x:v>identity</x:v>
      </x:c>
      <x:c r="H675" s="10" t="str"/>
      <x:c r="I675" s="7" t="str"/>
      <x:c r="J675" s="7" t="str">
        <x:v>OPEN</x:v>
      </x:c>
    </x:row>
    <x:row r="676" ht="36" customHeight="1">
      <x:c r="B676" s="7" t="str">
        <x:v>RAE-E-21-HP-30</x:v>
      </x:c>
      <x:c r="C676" s="7" t="str">
        <x:v>RAE-E-21</x:v>
      </x:c>
      <x:c r="D676" s="7" t="str">
        <x:v>RFP-B1</x:v>
      </x:c>
      <x:c r="E676" s="7" t="str">
        <x:v>HP-30</x:v>
      </x:c>
      <x:c r="F676" s="7" t="str">
        <x:v>authority</x:v>
      </x:c>
      <x:c r="G676" s="7" t="str">
        <x:v>capacity</x:v>
      </x:c>
      <x:c r="H676" s="10" t="str"/>
      <x:c r="I676" s="7" t="str"/>
      <x:c r="J676" s="7" t="str">
        <x:v>OPEN</x:v>
      </x:c>
    </x:row>
    <x:row r="677" ht="36" customHeight="1">
      <x:c r="B677" s="7" t="str">
        <x:v>RAE-E-21-HP-31</x:v>
      </x:c>
      <x:c r="C677" s="7" t="str">
        <x:v>RAE-E-21</x:v>
      </x:c>
      <x:c r="D677" s="7" t="str">
        <x:v>RFP-B1</x:v>
      </x:c>
      <x:c r="E677" s="7" t="str">
        <x:v>HP-31</x:v>
      </x:c>
      <x:c r="F677" s="7" t="str">
        <x:v>authority</x:v>
      </x:c>
      <x:c r="G677" s="7" t="str">
        <x:v>state</x:v>
      </x:c>
      <x:c r="H677" s="10" t="str"/>
      <x:c r="I677" s="7" t="str"/>
      <x:c r="J677" s="7" t="str">
        <x:v>OPEN</x:v>
      </x:c>
    </x:row>
    <x:row r="678" ht="36" customHeight="1">
      <x:c r="B678" s="7" t="str">
        <x:v>RAE-E-21-HP-32</x:v>
      </x:c>
      <x:c r="C678" s="7" t="str">
        <x:v>RAE-E-21</x:v>
      </x:c>
      <x:c r="D678" s="7" t="str">
        <x:v>RFP-B1</x:v>
      </x:c>
      <x:c r="E678" s="7" t="str">
        <x:v>HP-32</x:v>
      </x:c>
      <x:c r="F678" s="7" t="str">
        <x:v>authority</x:v>
      </x:c>
      <x:c r="G678" s="7" t="str">
        <x:v>authority</x:v>
      </x:c>
      <x:c r="H678" s="10" t="str"/>
      <x:c r="I678" s="7" t="str"/>
      <x:c r="J678" s="7" t="str">
        <x:v>OPEN</x:v>
      </x:c>
    </x:row>
    <x:row r="679" ht="36" customHeight="1">
      <x:c r="B679" s="7" t="str">
        <x:v>RAE-E-22-HP-01</x:v>
      </x:c>
      <x:c r="C679" s="7" t="str">
        <x:v>RAE-E-22</x:v>
      </x:c>
      <x:c r="D679" s="7" t="str">
        <x:v>RFP-B1</x:v>
      </x:c>
      <x:c r="E679" s="7" t="str">
        <x:v>HP-01</x:v>
      </x:c>
      <x:c r="F679" s="7" t="str">
        <x:v>configuration</x:v>
      </x:c>
      <x:c r="G679" s="7" t="str">
        <x:v>identity</x:v>
      </x:c>
      <x:c r="H679" s="10" t="str"/>
      <x:c r="I679" s="7" t="str"/>
      <x:c r="J679" s="7" t="str">
        <x:v>OPEN</x:v>
      </x:c>
    </x:row>
    <x:row r="680" ht="36" customHeight="1">
      <x:c r="B680" s="7" t="str">
        <x:v>RAE-E-22-HP-02</x:v>
      </x:c>
      <x:c r="C680" s="7" t="str">
        <x:v>RAE-E-22</x:v>
      </x:c>
      <x:c r="D680" s="7" t="str">
        <x:v>RFP-B1</x:v>
      </x:c>
      <x:c r="E680" s="7" t="str">
        <x:v>HP-02</x:v>
      </x:c>
      <x:c r="F680" s="7" t="str">
        <x:v>configuration</x:v>
      </x:c>
      <x:c r="G680" s="7" t="str">
        <x:v>capacity</x:v>
      </x:c>
      <x:c r="H680" s="10" t="str"/>
      <x:c r="I680" s="7" t="str"/>
      <x:c r="J680" s="7" t="str">
        <x:v>OPEN</x:v>
      </x:c>
    </x:row>
    <x:row r="681" ht="36" customHeight="1">
      <x:c r="B681" s="7" t="str">
        <x:v>RAE-E-22-HP-03</x:v>
      </x:c>
      <x:c r="C681" s="7" t="str">
        <x:v>RAE-E-22</x:v>
      </x:c>
      <x:c r="D681" s="7" t="str">
        <x:v>RFP-B1</x:v>
      </x:c>
      <x:c r="E681" s="7" t="str">
        <x:v>HP-03</x:v>
      </x:c>
      <x:c r="F681" s="7" t="str">
        <x:v>configuration</x:v>
      </x:c>
      <x:c r="G681" s="7" t="str">
        <x:v>state</x:v>
      </x:c>
      <x:c r="H681" s="10" t="str"/>
      <x:c r="I681" s="7" t="str"/>
      <x:c r="J681" s="7" t="str">
        <x:v>OPEN</x:v>
      </x:c>
    </x:row>
    <x:row r="682" ht="36" customHeight="1">
      <x:c r="B682" s="7" t="str">
        <x:v>RAE-E-22-HP-04</x:v>
      </x:c>
      <x:c r="C682" s="7" t="str">
        <x:v>RAE-E-22</x:v>
      </x:c>
      <x:c r="D682" s="7" t="str">
        <x:v>RFP-B1</x:v>
      </x:c>
      <x:c r="E682" s="7" t="str">
        <x:v>HP-04</x:v>
      </x:c>
      <x:c r="F682" s="7" t="str">
        <x:v>configuration</x:v>
      </x:c>
      <x:c r="G682" s="7" t="str">
        <x:v>authority</x:v>
      </x:c>
      <x:c r="H682" s="10" t="str"/>
      <x:c r="I682" s="7" t="str"/>
      <x:c r="J682" s="7" t="str">
        <x:v>OPEN</x:v>
      </x:c>
    </x:row>
    <x:row r="683" ht="36" customHeight="1">
      <x:c r="B683" s="7" t="str">
        <x:v>RAE-E-22-HP-05</x:v>
      </x:c>
      <x:c r="C683" s="7" t="str">
        <x:v>RAE-E-22</x:v>
      </x:c>
      <x:c r="D683" s="7" t="str">
        <x:v>RFP-B1</x:v>
      </x:c>
      <x:c r="E683" s="7" t="str">
        <x:v>HP-05</x:v>
      </x:c>
      <x:c r="F683" s="7" t="str">
        <x:v>source</x:v>
      </x:c>
      <x:c r="G683" s="7" t="str">
        <x:v>identity</x:v>
      </x:c>
      <x:c r="H683" s="10" t="str"/>
      <x:c r="I683" s="7" t="str"/>
      <x:c r="J683" s="7" t="str">
        <x:v>OPEN</x:v>
      </x:c>
    </x:row>
    <x:row r="684" ht="36" customHeight="1">
      <x:c r="B684" s="7" t="str">
        <x:v>RAE-E-22-HP-06</x:v>
      </x:c>
      <x:c r="C684" s="7" t="str">
        <x:v>RAE-E-22</x:v>
      </x:c>
      <x:c r="D684" s="7" t="str">
        <x:v>RFP-B1</x:v>
      </x:c>
      <x:c r="E684" s="7" t="str">
        <x:v>HP-06</x:v>
      </x:c>
      <x:c r="F684" s="7" t="str">
        <x:v>source</x:v>
      </x:c>
      <x:c r="G684" s="7" t="str">
        <x:v>capacity</x:v>
      </x:c>
      <x:c r="H684" s="10" t="str"/>
      <x:c r="I684" s="7" t="str"/>
      <x:c r="J684" s="7" t="str">
        <x:v>OPEN</x:v>
      </x:c>
    </x:row>
    <x:row r="685" ht="36" customHeight="1">
      <x:c r="B685" s="7" t="str">
        <x:v>RAE-E-22-HP-07</x:v>
      </x:c>
      <x:c r="C685" s="7" t="str">
        <x:v>RAE-E-22</x:v>
      </x:c>
      <x:c r="D685" s="7" t="str">
        <x:v>RFP-B1</x:v>
      </x:c>
      <x:c r="E685" s="7" t="str">
        <x:v>HP-07</x:v>
      </x:c>
      <x:c r="F685" s="7" t="str">
        <x:v>source</x:v>
      </x:c>
      <x:c r="G685" s="7" t="str">
        <x:v>state</x:v>
      </x:c>
      <x:c r="H685" s="10" t="str"/>
      <x:c r="I685" s="7" t="str"/>
      <x:c r="J685" s="7" t="str">
        <x:v>OPEN</x:v>
      </x:c>
    </x:row>
    <x:row r="686" ht="36" customHeight="1">
      <x:c r="B686" s="7" t="str">
        <x:v>RAE-E-22-HP-08</x:v>
      </x:c>
      <x:c r="C686" s="7" t="str">
        <x:v>RAE-E-22</x:v>
      </x:c>
      <x:c r="D686" s="7" t="str">
        <x:v>RFP-B1</x:v>
      </x:c>
      <x:c r="E686" s="7" t="str">
        <x:v>HP-08</x:v>
      </x:c>
      <x:c r="F686" s="7" t="str">
        <x:v>source</x:v>
      </x:c>
      <x:c r="G686" s="7" t="str">
        <x:v>authority</x:v>
      </x:c>
      <x:c r="H686" s="10" t="str"/>
      <x:c r="I686" s="7" t="str"/>
      <x:c r="J686" s="7" t="str">
        <x:v>OPEN</x:v>
      </x:c>
    </x:row>
    <x:row r="687" ht="36" customHeight="1">
      <x:c r="B687" s="7" t="str">
        <x:v>RAE-E-22-HP-09</x:v>
      </x:c>
      <x:c r="C687" s="7" t="str">
        <x:v>RAE-E-22</x:v>
      </x:c>
      <x:c r="D687" s="7" t="str">
        <x:v>RFP-B1</x:v>
      </x:c>
      <x:c r="E687" s="7" t="str">
        <x:v>HP-09</x:v>
      </x:c>
      <x:c r="F687" s="7" t="str">
        <x:v>containment</x:v>
      </x:c>
      <x:c r="G687" s="7" t="str">
        <x:v>identity</x:v>
      </x:c>
      <x:c r="H687" s="10" t="str"/>
      <x:c r="I687" s="7" t="str"/>
      <x:c r="J687" s="7" t="str">
        <x:v>OPEN</x:v>
      </x:c>
    </x:row>
    <x:row r="688" ht="36" customHeight="1">
      <x:c r="B688" s="7" t="str">
        <x:v>RAE-E-22-HP-10</x:v>
      </x:c>
      <x:c r="C688" s="7" t="str">
        <x:v>RAE-E-22</x:v>
      </x:c>
      <x:c r="D688" s="7" t="str">
        <x:v>RFP-B1</x:v>
      </x:c>
      <x:c r="E688" s="7" t="str">
        <x:v>HP-10</x:v>
      </x:c>
      <x:c r="F688" s="7" t="str">
        <x:v>containment</x:v>
      </x:c>
      <x:c r="G688" s="7" t="str">
        <x:v>capacity</x:v>
      </x:c>
      <x:c r="H688" s="10" t="str"/>
      <x:c r="I688" s="7" t="str"/>
      <x:c r="J688" s="7" t="str">
        <x:v>OPEN</x:v>
      </x:c>
    </x:row>
    <x:row r="689" ht="36" customHeight="1">
      <x:c r="B689" s="7" t="str">
        <x:v>RAE-E-22-HP-11</x:v>
      </x:c>
      <x:c r="C689" s="7" t="str">
        <x:v>RAE-E-22</x:v>
      </x:c>
      <x:c r="D689" s="7" t="str">
        <x:v>RFP-B1</x:v>
      </x:c>
      <x:c r="E689" s="7" t="str">
        <x:v>HP-11</x:v>
      </x:c>
      <x:c r="F689" s="7" t="str">
        <x:v>containment</x:v>
      </x:c>
      <x:c r="G689" s="7" t="str">
        <x:v>state</x:v>
      </x:c>
      <x:c r="H689" s="10" t="str"/>
      <x:c r="I689" s="7" t="str"/>
      <x:c r="J689" s="7" t="str">
        <x:v>OPEN</x:v>
      </x:c>
    </x:row>
    <x:row r="690" ht="36" customHeight="1">
      <x:c r="B690" s="7" t="str">
        <x:v>RAE-E-22-HP-12</x:v>
      </x:c>
      <x:c r="C690" s="7" t="str">
        <x:v>RAE-E-22</x:v>
      </x:c>
      <x:c r="D690" s="7" t="str">
        <x:v>RFP-B1</x:v>
      </x:c>
      <x:c r="E690" s="7" t="str">
        <x:v>HP-12</x:v>
      </x:c>
      <x:c r="F690" s="7" t="str">
        <x:v>containment</x:v>
      </x:c>
      <x:c r="G690" s="7" t="str">
        <x:v>authority</x:v>
      </x:c>
      <x:c r="H690" s="10" t="str"/>
      <x:c r="I690" s="7" t="str"/>
      <x:c r="J690" s="7" t="str">
        <x:v>OPEN</x:v>
      </x:c>
    </x:row>
    <x:row r="691" ht="36" customHeight="1">
      <x:c r="B691" s="7" t="str">
        <x:v>RAE-E-22-HP-13</x:v>
      </x:c>
      <x:c r="C691" s="7" t="str">
        <x:v>RAE-E-22</x:v>
      </x:c>
      <x:c r="D691" s="7" t="str">
        <x:v>RFP-B1</x:v>
      </x:c>
      <x:c r="E691" s="7" t="str">
        <x:v>HP-13</x:v>
      </x:c>
      <x:c r="F691" s="7" t="str">
        <x:v>water</x:v>
      </x:c>
      <x:c r="G691" s="7" t="str">
        <x:v>identity</x:v>
      </x:c>
      <x:c r="H691" s="10" t="str"/>
      <x:c r="I691" s="7" t="str"/>
      <x:c r="J691" s="7" t="str">
        <x:v>OPEN</x:v>
      </x:c>
    </x:row>
    <x:row r="692" ht="36" customHeight="1">
      <x:c r="B692" s="7" t="str">
        <x:v>RAE-E-22-HP-14</x:v>
      </x:c>
      <x:c r="C692" s="7" t="str">
        <x:v>RAE-E-22</x:v>
      </x:c>
      <x:c r="D692" s="7" t="str">
        <x:v>RFP-B1</x:v>
      </x:c>
      <x:c r="E692" s="7" t="str">
        <x:v>HP-14</x:v>
      </x:c>
      <x:c r="F692" s="7" t="str">
        <x:v>water</x:v>
      </x:c>
      <x:c r="G692" s="7" t="str">
        <x:v>capacity</x:v>
      </x:c>
      <x:c r="H692" s="10" t="str"/>
      <x:c r="I692" s="7" t="str"/>
      <x:c r="J692" s="7" t="str">
        <x:v>OPEN</x:v>
      </x:c>
    </x:row>
    <x:row r="693" ht="36" customHeight="1">
      <x:c r="B693" s="7" t="str">
        <x:v>RAE-E-22-HP-15</x:v>
      </x:c>
      <x:c r="C693" s="7" t="str">
        <x:v>RAE-E-22</x:v>
      </x:c>
      <x:c r="D693" s="7" t="str">
        <x:v>RFP-B1</x:v>
      </x:c>
      <x:c r="E693" s="7" t="str">
        <x:v>HP-15</x:v>
      </x:c>
      <x:c r="F693" s="7" t="str">
        <x:v>water</x:v>
      </x:c>
      <x:c r="G693" s="7" t="str">
        <x:v>state</x:v>
      </x:c>
      <x:c r="H693" s="10" t="str"/>
      <x:c r="I693" s="7" t="str"/>
      <x:c r="J693" s="7" t="str">
        <x:v>OPEN</x:v>
      </x:c>
    </x:row>
    <x:row r="694" ht="36" customHeight="1">
      <x:c r="B694" s="7" t="str">
        <x:v>RAE-E-22-HP-16</x:v>
      </x:c>
      <x:c r="C694" s="7" t="str">
        <x:v>RAE-E-22</x:v>
      </x:c>
      <x:c r="D694" s="7" t="str">
        <x:v>RFP-B1</x:v>
      </x:c>
      <x:c r="E694" s="7" t="str">
        <x:v>HP-16</x:v>
      </x:c>
      <x:c r="F694" s="7" t="str">
        <x:v>water</x:v>
      </x:c>
      <x:c r="G694" s="7" t="str">
        <x:v>authority</x:v>
      </x:c>
      <x:c r="H694" s="10" t="str"/>
      <x:c r="I694" s="7" t="str"/>
      <x:c r="J694" s="7" t="str">
        <x:v>OPEN</x:v>
      </x:c>
    </x:row>
    <x:row r="695" ht="36" customHeight="1">
      <x:c r="B695" s="7" t="str">
        <x:v>RAE-E-22-HP-17</x:v>
      </x:c>
      <x:c r="C695" s="7" t="str">
        <x:v>RAE-E-22</x:v>
      </x:c>
      <x:c r="D695" s="7" t="str">
        <x:v>RFP-B1</x:v>
      </x:c>
      <x:c r="E695" s="7" t="str">
        <x:v>HP-17</x:v>
      </x:c>
      <x:c r="F695" s="7" t="str">
        <x:v>safeing</x:v>
      </x:c>
      <x:c r="G695" s="7" t="str">
        <x:v>identity</x:v>
      </x:c>
      <x:c r="H695" s="10" t="str"/>
      <x:c r="I695" s="7" t="str"/>
      <x:c r="J695" s="7" t="str">
        <x:v>OPEN</x:v>
      </x:c>
    </x:row>
    <x:row r="696" ht="36" customHeight="1">
      <x:c r="B696" s="7" t="str">
        <x:v>RAE-E-22-HP-18</x:v>
      </x:c>
      <x:c r="C696" s="7" t="str">
        <x:v>RAE-E-22</x:v>
      </x:c>
      <x:c r="D696" s="7" t="str">
        <x:v>RFP-B1</x:v>
      </x:c>
      <x:c r="E696" s="7" t="str">
        <x:v>HP-18</x:v>
      </x:c>
      <x:c r="F696" s="7" t="str">
        <x:v>safeing</x:v>
      </x:c>
      <x:c r="G696" s="7" t="str">
        <x:v>capacity</x:v>
      </x:c>
      <x:c r="H696" s="10" t="str"/>
      <x:c r="I696" s="7" t="str"/>
      <x:c r="J696" s="7" t="str">
        <x:v>OPEN</x:v>
      </x:c>
    </x:row>
    <x:row r="697" ht="36" customHeight="1">
      <x:c r="B697" s="7" t="str">
        <x:v>RAE-E-22-HP-19</x:v>
      </x:c>
      <x:c r="C697" s="7" t="str">
        <x:v>RAE-E-22</x:v>
      </x:c>
      <x:c r="D697" s="7" t="str">
        <x:v>RFP-B1</x:v>
      </x:c>
      <x:c r="E697" s="7" t="str">
        <x:v>HP-19</x:v>
      </x:c>
      <x:c r="F697" s="7" t="str">
        <x:v>safeing</x:v>
      </x:c>
      <x:c r="G697" s="7" t="str">
        <x:v>state</x:v>
      </x:c>
      <x:c r="H697" s="10" t="str"/>
      <x:c r="I697" s="7" t="str"/>
      <x:c r="J697" s="7" t="str">
        <x:v>OPEN</x:v>
      </x:c>
    </x:row>
    <x:row r="698" ht="36" customHeight="1">
      <x:c r="B698" s="7" t="str">
        <x:v>RAE-E-22-HP-20</x:v>
      </x:c>
      <x:c r="C698" s="7" t="str">
        <x:v>RAE-E-22</x:v>
      </x:c>
      <x:c r="D698" s="7" t="str">
        <x:v>RFP-B1</x:v>
      </x:c>
      <x:c r="E698" s="7" t="str">
        <x:v>HP-20</x:v>
      </x:c>
      <x:c r="F698" s="7" t="str">
        <x:v>safeing</x:v>
      </x:c>
      <x:c r="G698" s="7" t="str">
        <x:v>authority</x:v>
      </x:c>
      <x:c r="H698" s="10" t="str"/>
      <x:c r="I698" s="7" t="str"/>
      <x:c r="J698" s="7" t="str">
        <x:v>OPEN</x:v>
      </x:c>
    </x:row>
    <x:row r="699" ht="36" customHeight="1">
      <x:c r="B699" s="7" t="str">
        <x:v>RAE-E-22-HP-21</x:v>
      </x:c>
      <x:c r="C699" s="7" t="str">
        <x:v>RAE-E-22</x:v>
      </x:c>
      <x:c r="D699" s="7" t="str">
        <x:v>RFP-B1</x:v>
      </x:c>
      <x:c r="E699" s="7" t="str">
        <x:v>HP-21</x:v>
      </x:c>
      <x:c r="F699" s="7" t="str">
        <x:v>evidence</x:v>
      </x:c>
      <x:c r="G699" s="7" t="str">
        <x:v>identity</x:v>
      </x:c>
      <x:c r="H699" s="10" t="str"/>
      <x:c r="I699" s="7" t="str"/>
      <x:c r="J699" s="7" t="str">
        <x:v>OPEN</x:v>
      </x:c>
    </x:row>
    <x:row r="700" ht="36" customHeight="1">
      <x:c r="B700" s="7" t="str">
        <x:v>RAE-E-22-HP-22</x:v>
      </x:c>
      <x:c r="C700" s="7" t="str">
        <x:v>RAE-E-22</x:v>
      </x:c>
      <x:c r="D700" s="7" t="str">
        <x:v>RFP-B1</x:v>
      </x:c>
      <x:c r="E700" s="7" t="str">
        <x:v>HP-22</x:v>
      </x:c>
      <x:c r="F700" s="7" t="str">
        <x:v>evidence</x:v>
      </x:c>
      <x:c r="G700" s="7" t="str">
        <x:v>capacity</x:v>
      </x:c>
      <x:c r="H700" s="10" t="str"/>
      <x:c r="I700" s="7" t="str"/>
      <x:c r="J700" s="7" t="str">
        <x:v>OPEN</x:v>
      </x:c>
    </x:row>
    <x:row r="701" ht="36" customHeight="1">
      <x:c r="B701" s="7" t="str">
        <x:v>RAE-E-22-HP-23</x:v>
      </x:c>
      <x:c r="C701" s="7" t="str">
        <x:v>RAE-E-22</x:v>
      </x:c>
      <x:c r="D701" s="7" t="str">
        <x:v>RFP-B1</x:v>
      </x:c>
      <x:c r="E701" s="7" t="str">
        <x:v>HP-23</x:v>
      </x:c>
      <x:c r="F701" s="7" t="str">
        <x:v>evidence</x:v>
      </x:c>
      <x:c r="G701" s="7" t="str">
        <x:v>state</x:v>
      </x:c>
      <x:c r="H701" s="10" t="str"/>
      <x:c r="I701" s="7" t="str"/>
      <x:c r="J701" s="7" t="str">
        <x:v>OPEN</x:v>
      </x:c>
    </x:row>
    <x:row r="702" ht="36" customHeight="1">
      <x:c r="B702" s="7" t="str">
        <x:v>RAE-E-22-HP-24</x:v>
      </x:c>
      <x:c r="C702" s="7" t="str">
        <x:v>RAE-E-22</x:v>
      </x:c>
      <x:c r="D702" s="7" t="str">
        <x:v>RFP-B1</x:v>
      </x:c>
      <x:c r="E702" s="7" t="str">
        <x:v>HP-24</x:v>
      </x:c>
      <x:c r="F702" s="7" t="str">
        <x:v>evidence</x:v>
      </x:c>
      <x:c r="G702" s="7" t="str">
        <x:v>authority</x:v>
      </x:c>
      <x:c r="H702" s="10" t="str"/>
      <x:c r="I702" s="7" t="str"/>
      <x:c r="J702" s="7" t="str">
        <x:v>OPEN</x:v>
      </x:c>
    </x:row>
    <x:row r="703" ht="36" customHeight="1">
      <x:c r="B703" s="7" t="str">
        <x:v>RAE-E-22-HP-25</x:v>
      </x:c>
      <x:c r="C703" s="7" t="str">
        <x:v>RAE-E-22</x:v>
      </x:c>
      <x:c r="D703" s="7" t="str">
        <x:v>RFP-B1</x:v>
      </x:c>
      <x:c r="E703" s="7" t="str">
        <x:v>HP-25</x:v>
      </x:c>
      <x:c r="F703" s="7" t="str">
        <x:v>environment</x:v>
      </x:c>
      <x:c r="G703" s="7" t="str">
        <x:v>identity</x:v>
      </x:c>
      <x:c r="H703" s="10" t="str"/>
      <x:c r="I703" s="7" t="str"/>
      <x:c r="J703" s="7" t="str">
        <x:v>OPEN</x:v>
      </x:c>
    </x:row>
    <x:row r="704" ht="36" customHeight="1">
      <x:c r="B704" s="7" t="str">
        <x:v>RAE-E-22-HP-26</x:v>
      </x:c>
      <x:c r="C704" s="7" t="str">
        <x:v>RAE-E-22</x:v>
      </x:c>
      <x:c r="D704" s="7" t="str">
        <x:v>RFP-B1</x:v>
      </x:c>
      <x:c r="E704" s="7" t="str">
        <x:v>HP-26</x:v>
      </x:c>
      <x:c r="F704" s="7" t="str">
        <x:v>environment</x:v>
      </x:c>
      <x:c r="G704" s="7" t="str">
        <x:v>capacity</x:v>
      </x:c>
      <x:c r="H704" s="10" t="str"/>
      <x:c r="I704" s="7" t="str"/>
      <x:c r="J704" s="7" t="str">
        <x:v>OPEN</x:v>
      </x:c>
    </x:row>
    <x:row r="705" ht="36" customHeight="1">
      <x:c r="B705" s="7" t="str">
        <x:v>RAE-E-22-HP-27</x:v>
      </x:c>
      <x:c r="C705" s="7" t="str">
        <x:v>RAE-E-22</x:v>
      </x:c>
      <x:c r="D705" s="7" t="str">
        <x:v>RFP-B1</x:v>
      </x:c>
      <x:c r="E705" s="7" t="str">
        <x:v>HP-27</x:v>
      </x:c>
      <x:c r="F705" s="7" t="str">
        <x:v>environment</x:v>
      </x:c>
      <x:c r="G705" s="7" t="str">
        <x:v>state</x:v>
      </x:c>
      <x:c r="H705" s="10" t="str"/>
      <x:c r="I705" s="7" t="str"/>
      <x:c r="J705" s="7" t="str">
        <x:v>OPEN</x:v>
      </x:c>
    </x:row>
    <x:row r="706" ht="36" customHeight="1">
      <x:c r="B706" s="7" t="str">
        <x:v>RAE-E-22-HP-28</x:v>
      </x:c>
      <x:c r="C706" s="7" t="str">
        <x:v>RAE-E-22</x:v>
      </x:c>
      <x:c r="D706" s="7" t="str">
        <x:v>RFP-B1</x:v>
      </x:c>
      <x:c r="E706" s="7" t="str">
        <x:v>HP-28</x:v>
      </x:c>
      <x:c r="F706" s="7" t="str">
        <x:v>environment</x:v>
      </x:c>
      <x:c r="G706" s="7" t="str">
        <x:v>authority</x:v>
      </x:c>
      <x:c r="H706" s="10" t="str"/>
      <x:c r="I706" s="7" t="str"/>
      <x:c r="J706" s="7" t="str">
        <x:v>OPEN</x:v>
      </x:c>
    </x:row>
    <x:row r="707" ht="36" customHeight="1">
      <x:c r="B707" s="7" t="str">
        <x:v>RAE-E-22-HP-29</x:v>
      </x:c>
      <x:c r="C707" s="7" t="str">
        <x:v>RAE-E-22</x:v>
      </x:c>
      <x:c r="D707" s="7" t="str">
        <x:v>RFP-B1</x:v>
      </x:c>
      <x:c r="E707" s="7" t="str">
        <x:v>HP-29</x:v>
      </x:c>
      <x:c r="F707" s="7" t="str">
        <x:v>authority</x:v>
      </x:c>
      <x:c r="G707" s="7" t="str">
        <x:v>identity</x:v>
      </x:c>
      <x:c r="H707" s="10" t="str"/>
      <x:c r="I707" s="7" t="str"/>
      <x:c r="J707" s="7" t="str">
        <x:v>OPEN</x:v>
      </x:c>
    </x:row>
    <x:row r="708" ht="36" customHeight="1">
      <x:c r="B708" s="7" t="str">
        <x:v>RAE-E-22-HP-30</x:v>
      </x:c>
      <x:c r="C708" s="7" t="str">
        <x:v>RAE-E-22</x:v>
      </x:c>
      <x:c r="D708" s="7" t="str">
        <x:v>RFP-B1</x:v>
      </x:c>
      <x:c r="E708" s="7" t="str">
        <x:v>HP-30</x:v>
      </x:c>
      <x:c r="F708" s="7" t="str">
        <x:v>authority</x:v>
      </x:c>
      <x:c r="G708" s="7" t="str">
        <x:v>capacity</x:v>
      </x:c>
      <x:c r="H708" s="10" t="str"/>
      <x:c r="I708" s="7" t="str"/>
      <x:c r="J708" s="7" t="str">
        <x:v>OPEN</x:v>
      </x:c>
    </x:row>
    <x:row r="709" ht="36" customHeight="1">
      <x:c r="B709" s="7" t="str">
        <x:v>RAE-E-22-HP-31</x:v>
      </x:c>
      <x:c r="C709" s="7" t="str">
        <x:v>RAE-E-22</x:v>
      </x:c>
      <x:c r="D709" s="7" t="str">
        <x:v>RFP-B1</x:v>
      </x:c>
      <x:c r="E709" s="7" t="str">
        <x:v>HP-31</x:v>
      </x:c>
      <x:c r="F709" s="7" t="str">
        <x:v>authority</x:v>
      </x:c>
      <x:c r="G709" s="7" t="str">
        <x:v>state</x:v>
      </x:c>
      <x:c r="H709" s="10" t="str"/>
      <x:c r="I709" s="7" t="str"/>
      <x:c r="J709" s="7" t="str">
        <x:v>OPEN</x:v>
      </x:c>
    </x:row>
    <x:row r="710" ht="36" customHeight="1">
      <x:c r="B710" s="7" t="str">
        <x:v>RAE-E-22-HP-32</x:v>
      </x:c>
      <x:c r="C710" s="7" t="str">
        <x:v>RAE-E-22</x:v>
      </x:c>
      <x:c r="D710" s="7" t="str">
        <x:v>RFP-B1</x:v>
      </x:c>
      <x:c r="E710" s="7" t="str">
        <x:v>HP-32</x:v>
      </x:c>
      <x:c r="F710" s="7" t="str">
        <x:v>authority</x:v>
      </x:c>
      <x:c r="G710" s="7" t="str">
        <x:v>authority</x:v>
      </x:c>
      <x:c r="H710" s="10" t="str"/>
      <x:c r="I710" s="7" t="str"/>
      <x:c r="J710" s="7" t="str">
        <x:v>OPEN</x:v>
      </x:c>
    </x:row>
    <x:row r="711" ht="36" customHeight="1">
      <x:c r="B711" s="7" t="str">
        <x:v>RAE-E-23-HP-01</x:v>
      </x:c>
      <x:c r="C711" s="7" t="str">
        <x:v>RAE-E-23</x:v>
      </x:c>
      <x:c r="D711" s="7" t="str">
        <x:v>RFP-B1</x:v>
      </x:c>
      <x:c r="E711" s="7" t="str">
        <x:v>HP-01</x:v>
      </x:c>
      <x:c r="F711" s="7" t="str">
        <x:v>configuration</x:v>
      </x:c>
      <x:c r="G711" s="7" t="str">
        <x:v>identity</x:v>
      </x:c>
      <x:c r="H711" s="10" t="str"/>
      <x:c r="I711" s="7" t="str"/>
      <x:c r="J711" s="7" t="str">
        <x:v>OPEN</x:v>
      </x:c>
    </x:row>
    <x:row r="712" ht="36" customHeight="1">
      <x:c r="B712" s="7" t="str">
        <x:v>RAE-E-23-HP-02</x:v>
      </x:c>
      <x:c r="C712" s="7" t="str">
        <x:v>RAE-E-23</x:v>
      </x:c>
      <x:c r="D712" s="7" t="str">
        <x:v>RFP-B1</x:v>
      </x:c>
      <x:c r="E712" s="7" t="str">
        <x:v>HP-02</x:v>
      </x:c>
      <x:c r="F712" s="7" t="str">
        <x:v>configuration</x:v>
      </x:c>
      <x:c r="G712" s="7" t="str">
        <x:v>capacity</x:v>
      </x:c>
      <x:c r="H712" s="10" t="str"/>
      <x:c r="I712" s="7" t="str"/>
      <x:c r="J712" s="7" t="str">
        <x:v>OPEN</x:v>
      </x:c>
    </x:row>
    <x:row r="713" ht="36" customHeight="1">
      <x:c r="B713" s="7" t="str">
        <x:v>RAE-E-23-HP-03</x:v>
      </x:c>
      <x:c r="C713" s="7" t="str">
        <x:v>RAE-E-23</x:v>
      </x:c>
      <x:c r="D713" s="7" t="str">
        <x:v>RFP-B1</x:v>
      </x:c>
      <x:c r="E713" s="7" t="str">
        <x:v>HP-03</x:v>
      </x:c>
      <x:c r="F713" s="7" t="str">
        <x:v>configuration</x:v>
      </x:c>
      <x:c r="G713" s="7" t="str">
        <x:v>state</x:v>
      </x:c>
      <x:c r="H713" s="10" t="str"/>
      <x:c r="I713" s="7" t="str"/>
      <x:c r="J713" s="7" t="str">
        <x:v>OPEN</x:v>
      </x:c>
    </x:row>
    <x:row r="714" ht="36" customHeight="1">
      <x:c r="B714" s="7" t="str">
        <x:v>RAE-E-23-HP-04</x:v>
      </x:c>
      <x:c r="C714" s="7" t="str">
        <x:v>RAE-E-23</x:v>
      </x:c>
      <x:c r="D714" s="7" t="str">
        <x:v>RFP-B1</x:v>
      </x:c>
      <x:c r="E714" s="7" t="str">
        <x:v>HP-04</x:v>
      </x:c>
      <x:c r="F714" s="7" t="str">
        <x:v>configuration</x:v>
      </x:c>
      <x:c r="G714" s="7" t="str">
        <x:v>authority</x:v>
      </x:c>
      <x:c r="H714" s="10" t="str"/>
      <x:c r="I714" s="7" t="str"/>
      <x:c r="J714" s="7" t="str">
        <x:v>OPEN</x:v>
      </x:c>
    </x:row>
    <x:row r="715" ht="36" customHeight="1">
      <x:c r="B715" s="7" t="str">
        <x:v>RAE-E-23-HP-05</x:v>
      </x:c>
      <x:c r="C715" s="7" t="str">
        <x:v>RAE-E-23</x:v>
      </x:c>
      <x:c r="D715" s="7" t="str">
        <x:v>RFP-B1</x:v>
      </x:c>
      <x:c r="E715" s="7" t="str">
        <x:v>HP-05</x:v>
      </x:c>
      <x:c r="F715" s="7" t="str">
        <x:v>source</x:v>
      </x:c>
      <x:c r="G715" s="7" t="str">
        <x:v>identity</x:v>
      </x:c>
      <x:c r="H715" s="10" t="str"/>
      <x:c r="I715" s="7" t="str"/>
      <x:c r="J715" s="7" t="str">
        <x:v>OPEN</x:v>
      </x:c>
    </x:row>
    <x:row r="716" ht="36" customHeight="1">
      <x:c r="B716" s="7" t="str">
        <x:v>RAE-E-23-HP-06</x:v>
      </x:c>
      <x:c r="C716" s="7" t="str">
        <x:v>RAE-E-23</x:v>
      </x:c>
      <x:c r="D716" s="7" t="str">
        <x:v>RFP-B1</x:v>
      </x:c>
      <x:c r="E716" s="7" t="str">
        <x:v>HP-06</x:v>
      </x:c>
      <x:c r="F716" s="7" t="str">
        <x:v>source</x:v>
      </x:c>
      <x:c r="G716" s="7" t="str">
        <x:v>capacity</x:v>
      </x:c>
      <x:c r="H716" s="10" t="str"/>
      <x:c r="I716" s="7" t="str"/>
      <x:c r="J716" s="7" t="str">
        <x:v>OPEN</x:v>
      </x:c>
    </x:row>
    <x:row r="717" ht="36" customHeight="1">
      <x:c r="B717" s="7" t="str">
        <x:v>RAE-E-23-HP-07</x:v>
      </x:c>
      <x:c r="C717" s="7" t="str">
        <x:v>RAE-E-23</x:v>
      </x:c>
      <x:c r="D717" s="7" t="str">
        <x:v>RFP-B1</x:v>
      </x:c>
      <x:c r="E717" s="7" t="str">
        <x:v>HP-07</x:v>
      </x:c>
      <x:c r="F717" s="7" t="str">
        <x:v>source</x:v>
      </x:c>
      <x:c r="G717" s="7" t="str">
        <x:v>state</x:v>
      </x:c>
      <x:c r="H717" s="10" t="str"/>
      <x:c r="I717" s="7" t="str"/>
      <x:c r="J717" s="7" t="str">
        <x:v>OPEN</x:v>
      </x:c>
    </x:row>
    <x:row r="718" ht="36" customHeight="1">
      <x:c r="B718" s="7" t="str">
        <x:v>RAE-E-23-HP-08</x:v>
      </x:c>
      <x:c r="C718" s="7" t="str">
        <x:v>RAE-E-23</x:v>
      </x:c>
      <x:c r="D718" s="7" t="str">
        <x:v>RFP-B1</x:v>
      </x:c>
      <x:c r="E718" s="7" t="str">
        <x:v>HP-08</x:v>
      </x:c>
      <x:c r="F718" s="7" t="str">
        <x:v>source</x:v>
      </x:c>
      <x:c r="G718" s="7" t="str">
        <x:v>authority</x:v>
      </x:c>
      <x:c r="H718" s="10" t="str"/>
      <x:c r="I718" s="7" t="str"/>
      <x:c r="J718" s="7" t="str">
        <x:v>OPEN</x:v>
      </x:c>
    </x:row>
    <x:row r="719" ht="36" customHeight="1">
      <x:c r="B719" s="7" t="str">
        <x:v>RAE-E-23-HP-09</x:v>
      </x:c>
      <x:c r="C719" s="7" t="str">
        <x:v>RAE-E-23</x:v>
      </x:c>
      <x:c r="D719" s="7" t="str">
        <x:v>RFP-B1</x:v>
      </x:c>
      <x:c r="E719" s="7" t="str">
        <x:v>HP-09</x:v>
      </x:c>
      <x:c r="F719" s="7" t="str">
        <x:v>containment</x:v>
      </x:c>
      <x:c r="G719" s="7" t="str">
        <x:v>identity</x:v>
      </x:c>
      <x:c r="H719" s="10" t="str"/>
      <x:c r="I719" s="7" t="str"/>
      <x:c r="J719" s="7" t="str">
        <x:v>OPEN</x:v>
      </x:c>
    </x:row>
    <x:row r="720" ht="36" customHeight="1">
      <x:c r="B720" s="7" t="str">
        <x:v>RAE-E-23-HP-10</x:v>
      </x:c>
      <x:c r="C720" s="7" t="str">
        <x:v>RAE-E-23</x:v>
      </x:c>
      <x:c r="D720" s="7" t="str">
        <x:v>RFP-B1</x:v>
      </x:c>
      <x:c r="E720" s="7" t="str">
        <x:v>HP-10</x:v>
      </x:c>
      <x:c r="F720" s="7" t="str">
        <x:v>containment</x:v>
      </x:c>
      <x:c r="G720" s="7" t="str">
        <x:v>capacity</x:v>
      </x:c>
      <x:c r="H720" s="10" t="str"/>
      <x:c r="I720" s="7" t="str"/>
      <x:c r="J720" s="7" t="str">
        <x:v>OPEN</x:v>
      </x:c>
    </x:row>
    <x:row r="721" ht="36" customHeight="1">
      <x:c r="B721" s="7" t="str">
        <x:v>RAE-E-23-HP-11</x:v>
      </x:c>
      <x:c r="C721" s="7" t="str">
        <x:v>RAE-E-23</x:v>
      </x:c>
      <x:c r="D721" s="7" t="str">
        <x:v>RFP-B1</x:v>
      </x:c>
      <x:c r="E721" s="7" t="str">
        <x:v>HP-11</x:v>
      </x:c>
      <x:c r="F721" s="7" t="str">
        <x:v>containment</x:v>
      </x:c>
      <x:c r="G721" s="7" t="str">
        <x:v>state</x:v>
      </x:c>
      <x:c r="H721" s="10" t="str"/>
      <x:c r="I721" s="7" t="str"/>
      <x:c r="J721" s="7" t="str">
        <x:v>OPEN</x:v>
      </x:c>
    </x:row>
    <x:row r="722" ht="36" customHeight="1">
      <x:c r="B722" s="7" t="str">
        <x:v>RAE-E-23-HP-12</x:v>
      </x:c>
      <x:c r="C722" s="7" t="str">
        <x:v>RAE-E-23</x:v>
      </x:c>
      <x:c r="D722" s="7" t="str">
        <x:v>RFP-B1</x:v>
      </x:c>
      <x:c r="E722" s="7" t="str">
        <x:v>HP-12</x:v>
      </x:c>
      <x:c r="F722" s="7" t="str">
        <x:v>containment</x:v>
      </x:c>
      <x:c r="G722" s="7" t="str">
        <x:v>authority</x:v>
      </x:c>
      <x:c r="H722" s="10" t="str"/>
      <x:c r="I722" s="7" t="str"/>
      <x:c r="J722" s="7" t="str">
        <x:v>OPEN</x:v>
      </x:c>
    </x:row>
    <x:row r="723" ht="36" customHeight="1">
      <x:c r="B723" s="7" t="str">
        <x:v>RAE-E-23-HP-13</x:v>
      </x:c>
      <x:c r="C723" s="7" t="str">
        <x:v>RAE-E-23</x:v>
      </x:c>
      <x:c r="D723" s="7" t="str">
        <x:v>RFP-B1</x:v>
      </x:c>
      <x:c r="E723" s="7" t="str">
        <x:v>HP-13</x:v>
      </x:c>
      <x:c r="F723" s="7" t="str">
        <x:v>water</x:v>
      </x:c>
      <x:c r="G723" s="7" t="str">
        <x:v>identity</x:v>
      </x:c>
      <x:c r="H723" s="10" t="str"/>
      <x:c r="I723" s="7" t="str"/>
      <x:c r="J723" s="7" t="str">
        <x:v>OPEN</x:v>
      </x:c>
    </x:row>
    <x:row r="724" ht="36" customHeight="1">
      <x:c r="B724" s="7" t="str">
        <x:v>RAE-E-23-HP-14</x:v>
      </x:c>
      <x:c r="C724" s="7" t="str">
        <x:v>RAE-E-23</x:v>
      </x:c>
      <x:c r="D724" s="7" t="str">
        <x:v>RFP-B1</x:v>
      </x:c>
      <x:c r="E724" s="7" t="str">
        <x:v>HP-14</x:v>
      </x:c>
      <x:c r="F724" s="7" t="str">
        <x:v>water</x:v>
      </x:c>
      <x:c r="G724" s="7" t="str">
        <x:v>capacity</x:v>
      </x:c>
      <x:c r="H724" s="10" t="str"/>
      <x:c r="I724" s="7" t="str"/>
      <x:c r="J724" s="7" t="str">
        <x:v>OPEN</x:v>
      </x:c>
    </x:row>
    <x:row r="725" ht="36" customHeight="1">
      <x:c r="B725" s="7" t="str">
        <x:v>RAE-E-23-HP-15</x:v>
      </x:c>
      <x:c r="C725" s="7" t="str">
        <x:v>RAE-E-23</x:v>
      </x:c>
      <x:c r="D725" s="7" t="str">
        <x:v>RFP-B1</x:v>
      </x:c>
      <x:c r="E725" s="7" t="str">
        <x:v>HP-15</x:v>
      </x:c>
      <x:c r="F725" s="7" t="str">
        <x:v>water</x:v>
      </x:c>
      <x:c r="G725" s="7" t="str">
        <x:v>state</x:v>
      </x:c>
      <x:c r="H725" s="10" t="str"/>
      <x:c r="I725" s="7" t="str"/>
      <x:c r="J725" s="7" t="str">
        <x:v>OPEN</x:v>
      </x:c>
    </x:row>
    <x:row r="726" ht="36" customHeight="1">
      <x:c r="B726" s="7" t="str">
        <x:v>RAE-E-23-HP-16</x:v>
      </x:c>
      <x:c r="C726" s="7" t="str">
        <x:v>RAE-E-23</x:v>
      </x:c>
      <x:c r="D726" s="7" t="str">
        <x:v>RFP-B1</x:v>
      </x:c>
      <x:c r="E726" s="7" t="str">
        <x:v>HP-16</x:v>
      </x:c>
      <x:c r="F726" s="7" t="str">
        <x:v>water</x:v>
      </x:c>
      <x:c r="G726" s="7" t="str">
        <x:v>authority</x:v>
      </x:c>
      <x:c r="H726" s="10" t="str"/>
      <x:c r="I726" s="7" t="str"/>
      <x:c r="J726" s="7" t="str">
        <x:v>OPEN</x:v>
      </x:c>
    </x:row>
    <x:row r="727" ht="36" customHeight="1">
      <x:c r="B727" s="7" t="str">
        <x:v>RAE-E-23-HP-17</x:v>
      </x:c>
      <x:c r="C727" s="7" t="str">
        <x:v>RAE-E-23</x:v>
      </x:c>
      <x:c r="D727" s="7" t="str">
        <x:v>RFP-B1</x:v>
      </x:c>
      <x:c r="E727" s="7" t="str">
        <x:v>HP-17</x:v>
      </x:c>
      <x:c r="F727" s="7" t="str">
        <x:v>safeing</x:v>
      </x:c>
      <x:c r="G727" s="7" t="str">
        <x:v>identity</x:v>
      </x:c>
      <x:c r="H727" s="10" t="str"/>
      <x:c r="I727" s="7" t="str"/>
      <x:c r="J727" s="7" t="str">
        <x:v>OPEN</x:v>
      </x:c>
    </x:row>
    <x:row r="728" ht="36" customHeight="1">
      <x:c r="B728" s="7" t="str">
        <x:v>RAE-E-23-HP-18</x:v>
      </x:c>
      <x:c r="C728" s="7" t="str">
        <x:v>RAE-E-23</x:v>
      </x:c>
      <x:c r="D728" s="7" t="str">
        <x:v>RFP-B1</x:v>
      </x:c>
      <x:c r="E728" s="7" t="str">
        <x:v>HP-18</x:v>
      </x:c>
      <x:c r="F728" s="7" t="str">
        <x:v>safeing</x:v>
      </x:c>
      <x:c r="G728" s="7" t="str">
        <x:v>capacity</x:v>
      </x:c>
      <x:c r="H728" s="10" t="str"/>
      <x:c r="I728" s="7" t="str"/>
      <x:c r="J728" s="7" t="str">
        <x:v>OPEN</x:v>
      </x:c>
    </x:row>
    <x:row r="729" ht="36" customHeight="1">
      <x:c r="B729" s="7" t="str">
        <x:v>RAE-E-23-HP-19</x:v>
      </x:c>
      <x:c r="C729" s="7" t="str">
        <x:v>RAE-E-23</x:v>
      </x:c>
      <x:c r="D729" s="7" t="str">
        <x:v>RFP-B1</x:v>
      </x:c>
      <x:c r="E729" s="7" t="str">
        <x:v>HP-19</x:v>
      </x:c>
      <x:c r="F729" s="7" t="str">
        <x:v>safeing</x:v>
      </x:c>
      <x:c r="G729" s="7" t="str">
        <x:v>state</x:v>
      </x:c>
      <x:c r="H729" s="10" t="str"/>
      <x:c r="I729" s="7" t="str"/>
      <x:c r="J729" s="7" t="str">
        <x:v>OPEN</x:v>
      </x:c>
    </x:row>
    <x:row r="730" ht="36" customHeight="1">
      <x:c r="B730" s="7" t="str">
        <x:v>RAE-E-23-HP-20</x:v>
      </x:c>
      <x:c r="C730" s="7" t="str">
        <x:v>RAE-E-23</x:v>
      </x:c>
      <x:c r="D730" s="7" t="str">
        <x:v>RFP-B1</x:v>
      </x:c>
      <x:c r="E730" s="7" t="str">
        <x:v>HP-20</x:v>
      </x:c>
      <x:c r="F730" s="7" t="str">
        <x:v>safeing</x:v>
      </x:c>
      <x:c r="G730" s="7" t="str">
        <x:v>authority</x:v>
      </x:c>
      <x:c r="H730" s="10" t="str"/>
      <x:c r="I730" s="7" t="str"/>
      <x:c r="J730" s="7" t="str">
        <x:v>OPEN</x:v>
      </x:c>
    </x:row>
    <x:row r="731" ht="36" customHeight="1">
      <x:c r="B731" s="7" t="str">
        <x:v>RAE-E-23-HP-21</x:v>
      </x:c>
      <x:c r="C731" s="7" t="str">
        <x:v>RAE-E-23</x:v>
      </x:c>
      <x:c r="D731" s="7" t="str">
        <x:v>RFP-B1</x:v>
      </x:c>
      <x:c r="E731" s="7" t="str">
        <x:v>HP-21</x:v>
      </x:c>
      <x:c r="F731" s="7" t="str">
        <x:v>evidence</x:v>
      </x:c>
      <x:c r="G731" s="7" t="str">
        <x:v>identity</x:v>
      </x:c>
      <x:c r="H731" s="10" t="str"/>
      <x:c r="I731" s="7" t="str"/>
      <x:c r="J731" s="7" t="str">
        <x:v>OPEN</x:v>
      </x:c>
    </x:row>
    <x:row r="732" ht="36" customHeight="1">
      <x:c r="B732" s="7" t="str">
        <x:v>RAE-E-23-HP-22</x:v>
      </x:c>
      <x:c r="C732" s="7" t="str">
        <x:v>RAE-E-23</x:v>
      </x:c>
      <x:c r="D732" s="7" t="str">
        <x:v>RFP-B1</x:v>
      </x:c>
      <x:c r="E732" s="7" t="str">
        <x:v>HP-22</x:v>
      </x:c>
      <x:c r="F732" s="7" t="str">
        <x:v>evidence</x:v>
      </x:c>
      <x:c r="G732" s="7" t="str">
        <x:v>capacity</x:v>
      </x:c>
      <x:c r="H732" s="10" t="str"/>
      <x:c r="I732" s="7" t="str"/>
      <x:c r="J732" s="7" t="str">
        <x:v>OPEN</x:v>
      </x:c>
    </x:row>
    <x:row r="733" ht="36" customHeight="1">
      <x:c r="B733" s="7" t="str">
        <x:v>RAE-E-23-HP-23</x:v>
      </x:c>
      <x:c r="C733" s="7" t="str">
        <x:v>RAE-E-23</x:v>
      </x:c>
      <x:c r="D733" s="7" t="str">
        <x:v>RFP-B1</x:v>
      </x:c>
      <x:c r="E733" s="7" t="str">
        <x:v>HP-23</x:v>
      </x:c>
      <x:c r="F733" s="7" t="str">
        <x:v>evidence</x:v>
      </x:c>
      <x:c r="G733" s="7" t="str">
        <x:v>state</x:v>
      </x:c>
      <x:c r="H733" s="10" t="str"/>
      <x:c r="I733" s="7" t="str"/>
      <x:c r="J733" s="7" t="str">
        <x:v>OPEN</x:v>
      </x:c>
    </x:row>
    <x:row r="734" ht="36" customHeight="1">
      <x:c r="B734" s="7" t="str">
        <x:v>RAE-E-23-HP-24</x:v>
      </x:c>
      <x:c r="C734" s="7" t="str">
        <x:v>RAE-E-23</x:v>
      </x:c>
      <x:c r="D734" s="7" t="str">
        <x:v>RFP-B1</x:v>
      </x:c>
      <x:c r="E734" s="7" t="str">
        <x:v>HP-24</x:v>
      </x:c>
      <x:c r="F734" s="7" t="str">
        <x:v>evidence</x:v>
      </x:c>
      <x:c r="G734" s="7" t="str">
        <x:v>authority</x:v>
      </x:c>
      <x:c r="H734" s="10" t="str"/>
      <x:c r="I734" s="7" t="str"/>
      <x:c r="J734" s="7" t="str">
        <x:v>OPEN</x:v>
      </x:c>
    </x:row>
    <x:row r="735" ht="36" customHeight="1">
      <x:c r="B735" s="7" t="str">
        <x:v>RAE-E-23-HP-25</x:v>
      </x:c>
      <x:c r="C735" s="7" t="str">
        <x:v>RAE-E-23</x:v>
      </x:c>
      <x:c r="D735" s="7" t="str">
        <x:v>RFP-B1</x:v>
      </x:c>
      <x:c r="E735" s="7" t="str">
        <x:v>HP-25</x:v>
      </x:c>
      <x:c r="F735" s="7" t="str">
        <x:v>environment</x:v>
      </x:c>
      <x:c r="G735" s="7" t="str">
        <x:v>identity</x:v>
      </x:c>
      <x:c r="H735" s="10" t="str"/>
      <x:c r="I735" s="7" t="str"/>
      <x:c r="J735" s="7" t="str">
        <x:v>OPEN</x:v>
      </x:c>
    </x:row>
    <x:row r="736" ht="36" customHeight="1">
      <x:c r="B736" s="7" t="str">
        <x:v>RAE-E-23-HP-26</x:v>
      </x:c>
      <x:c r="C736" s="7" t="str">
        <x:v>RAE-E-23</x:v>
      </x:c>
      <x:c r="D736" s="7" t="str">
        <x:v>RFP-B1</x:v>
      </x:c>
      <x:c r="E736" s="7" t="str">
        <x:v>HP-26</x:v>
      </x:c>
      <x:c r="F736" s="7" t="str">
        <x:v>environment</x:v>
      </x:c>
      <x:c r="G736" s="7" t="str">
        <x:v>capacity</x:v>
      </x:c>
      <x:c r="H736" s="10" t="str"/>
      <x:c r="I736" s="7" t="str"/>
      <x:c r="J736" s="7" t="str">
        <x:v>OPEN</x:v>
      </x:c>
    </x:row>
    <x:row r="737" ht="36" customHeight="1">
      <x:c r="B737" s="7" t="str">
        <x:v>RAE-E-23-HP-27</x:v>
      </x:c>
      <x:c r="C737" s="7" t="str">
        <x:v>RAE-E-23</x:v>
      </x:c>
      <x:c r="D737" s="7" t="str">
        <x:v>RFP-B1</x:v>
      </x:c>
      <x:c r="E737" s="7" t="str">
        <x:v>HP-27</x:v>
      </x:c>
      <x:c r="F737" s="7" t="str">
        <x:v>environment</x:v>
      </x:c>
      <x:c r="G737" s="7" t="str">
        <x:v>state</x:v>
      </x:c>
      <x:c r="H737" s="10" t="str"/>
      <x:c r="I737" s="7" t="str"/>
      <x:c r="J737" s="7" t="str">
        <x:v>OPEN</x:v>
      </x:c>
    </x:row>
    <x:row r="738" ht="36" customHeight="1">
      <x:c r="B738" s="7" t="str">
        <x:v>RAE-E-23-HP-28</x:v>
      </x:c>
      <x:c r="C738" s="7" t="str">
        <x:v>RAE-E-23</x:v>
      </x:c>
      <x:c r="D738" s="7" t="str">
        <x:v>RFP-B1</x:v>
      </x:c>
      <x:c r="E738" s="7" t="str">
        <x:v>HP-28</x:v>
      </x:c>
      <x:c r="F738" s="7" t="str">
        <x:v>environment</x:v>
      </x:c>
      <x:c r="G738" s="7" t="str">
        <x:v>authority</x:v>
      </x:c>
      <x:c r="H738" s="10" t="str"/>
      <x:c r="I738" s="7" t="str"/>
      <x:c r="J738" s="7" t="str">
        <x:v>OPEN</x:v>
      </x:c>
    </x:row>
    <x:row r="739" ht="36" customHeight="1">
      <x:c r="B739" s="7" t="str">
        <x:v>RAE-E-23-HP-29</x:v>
      </x:c>
      <x:c r="C739" s="7" t="str">
        <x:v>RAE-E-23</x:v>
      </x:c>
      <x:c r="D739" s="7" t="str">
        <x:v>RFP-B1</x:v>
      </x:c>
      <x:c r="E739" s="7" t="str">
        <x:v>HP-29</x:v>
      </x:c>
      <x:c r="F739" s="7" t="str">
        <x:v>authority</x:v>
      </x:c>
      <x:c r="G739" s="7" t="str">
        <x:v>identity</x:v>
      </x:c>
      <x:c r="H739" s="10" t="str"/>
      <x:c r="I739" s="7" t="str"/>
      <x:c r="J739" s="7" t="str">
        <x:v>OPEN</x:v>
      </x:c>
    </x:row>
    <x:row r="740" ht="36" customHeight="1">
      <x:c r="B740" s="7" t="str">
        <x:v>RAE-E-23-HP-30</x:v>
      </x:c>
      <x:c r="C740" s="7" t="str">
        <x:v>RAE-E-23</x:v>
      </x:c>
      <x:c r="D740" s="7" t="str">
        <x:v>RFP-B1</x:v>
      </x:c>
      <x:c r="E740" s="7" t="str">
        <x:v>HP-30</x:v>
      </x:c>
      <x:c r="F740" s="7" t="str">
        <x:v>authority</x:v>
      </x:c>
      <x:c r="G740" s="7" t="str">
        <x:v>capacity</x:v>
      </x:c>
      <x:c r="H740" s="10" t="str"/>
      <x:c r="I740" s="7" t="str"/>
      <x:c r="J740" s="7" t="str">
        <x:v>OPEN</x:v>
      </x:c>
    </x:row>
    <x:row r="741" ht="36" customHeight="1">
      <x:c r="B741" s="7" t="str">
        <x:v>RAE-E-23-HP-31</x:v>
      </x:c>
      <x:c r="C741" s="7" t="str">
        <x:v>RAE-E-23</x:v>
      </x:c>
      <x:c r="D741" s="7" t="str">
        <x:v>RFP-B1</x:v>
      </x:c>
      <x:c r="E741" s="7" t="str">
        <x:v>HP-31</x:v>
      </x:c>
      <x:c r="F741" s="7" t="str">
        <x:v>authority</x:v>
      </x:c>
      <x:c r="G741" s="7" t="str">
        <x:v>state</x:v>
      </x:c>
      <x:c r="H741" s="10" t="str"/>
      <x:c r="I741" s="7" t="str"/>
      <x:c r="J741" s="7" t="str">
        <x:v>OPEN</x:v>
      </x:c>
    </x:row>
    <x:row r="742" ht="36" customHeight="1">
      <x:c r="B742" s="7" t="str">
        <x:v>RAE-E-23-HP-32</x:v>
      </x:c>
      <x:c r="C742" s="7" t="str">
        <x:v>RAE-E-23</x:v>
      </x:c>
      <x:c r="D742" s="7" t="str">
        <x:v>RFP-B1</x:v>
      </x:c>
      <x:c r="E742" s="7" t="str">
        <x:v>HP-32</x:v>
      </x:c>
      <x:c r="F742" s="7" t="str">
        <x:v>authority</x:v>
      </x:c>
      <x:c r="G742" s="7" t="str">
        <x:v>authority</x:v>
      </x:c>
      <x:c r="H742" s="10" t="str"/>
      <x:c r="I742" s="7" t="str"/>
      <x:c r="J742" s="7" t="str">
        <x:v>OPEN</x:v>
      </x:c>
    </x:row>
    <x:row r="743" ht="36" customHeight="1">
      <x:c r="B743" s="7" t="str">
        <x:v>RAE-E-24-HP-01</x:v>
      </x:c>
      <x:c r="C743" s="7" t="str">
        <x:v>RAE-E-24</x:v>
      </x:c>
      <x:c r="D743" s="7" t="str">
        <x:v>RFP-B1</x:v>
      </x:c>
      <x:c r="E743" s="7" t="str">
        <x:v>HP-01</x:v>
      </x:c>
      <x:c r="F743" s="7" t="str">
        <x:v>configuration</x:v>
      </x:c>
      <x:c r="G743" s="7" t="str">
        <x:v>identity</x:v>
      </x:c>
      <x:c r="H743" s="10" t="str"/>
      <x:c r="I743" s="7" t="str"/>
      <x:c r="J743" s="7" t="str">
        <x:v>OPEN</x:v>
      </x:c>
    </x:row>
    <x:row r="744" ht="36" customHeight="1">
      <x:c r="B744" s="7" t="str">
        <x:v>RAE-E-24-HP-02</x:v>
      </x:c>
      <x:c r="C744" s="7" t="str">
        <x:v>RAE-E-24</x:v>
      </x:c>
      <x:c r="D744" s="7" t="str">
        <x:v>RFP-B1</x:v>
      </x:c>
      <x:c r="E744" s="7" t="str">
        <x:v>HP-02</x:v>
      </x:c>
      <x:c r="F744" s="7" t="str">
        <x:v>configuration</x:v>
      </x:c>
      <x:c r="G744" s="7" t="str">
        <x:v>capacity</x:v>
      </x:c>
      <x:c r="H744" s="10" t="str"/>
      <x:c r="I744" s="7" t="str"/>
      <x:c r="J744" s="7" t="str">
        <x:v>OPEN</x:v>
      </x:c>
    </x:row>
    <x:row r="745" ht="36" customHeight="1">
      <x:c r="B745" s="7" t="str">
        <x:v>RAE-E-24-HP-03</x:v>
      </x:c>
      <x:c r="C745" s="7" t="str">
        <x:v>RAE-E-24</x:v>
      </x:c>
      <x:c r="D745" s="7" t="str">
        <x:v>RFP-B1</x:v>
      </x:c>
      <x:c r="E745" s="7" t="str">
        <x:v>HP-03</x:v>
      </x:c>
      <x:c r="F745" s="7" t="str">
        <x:v>configuration</x:v>
      </x:c>
      <x:c r="G745" s="7" t="str">
        <x:v>state</x:v>
      </x:c>
      <x:c r="H745" s="10" t="str"/>
      <x:c r="I745" s="7" t="str"/>
      <x:c r="J745" s="7" t="str">
        <x:v>OPEN</x:v>
      </x:c>
    </x:row>
    <x:row r="746" ht="36" customHeight="1">
      <x:c r="B746" s="7" t="str">
        <x:v>RAE-E-24-HP-04</x:v>
      </x:c>
      <x:c r="C746" s="7" t="str">
        <x:v>RAE-E-24</x:v>
      </x:c>
      <x:c r="D746" s="7" t="str">
        <x:v>RFP-B1</x:v>
      </x:c>
      <x:c r="E746" s="7" t="str">
        <x:v>HP-04</x:v>
      </x:c>
      <x:c r="F746" s="7" t="str">
        <x:v>configuration</x:v>
      </x:c>
      <x:c r="G746" s="7" t="str">
        <x:v>authority</x:v>
      </x:c>
      <x:c r="H746" s="10" t="str"/>
      <x:c r="I746" s="7" t="str"/>
      <x:c r="J746" s="7" t="str">
        <x:v>OPEN</x:v>
      </x:c>
    </x:row>
    <x:row r="747" ht="36" customHeight="1">
      <x:c r="B747" s="7" t="str">
        <x:v>RAE-E-24-HP-05</x:v>
      </x:c>
      <x:c r="C747" s="7" t="str">
        <x:v>RAE-E-24</x:v>
      </x:c>
      <x:c r="D747" s="7" t="str">
        <x:v>RFP-B1</x:v>
      </x:c>
      <x:c r="E747" s="7" t="str">
        <x:v>HP-05</x:v>
      </x:c>
      <x:c r="F747" s="7" t="str">
        <x:v>source</x:v>
      </x:c>
      <x:c r="G747" s="7" t="str">
        <x:v>identity</x:v>
      </x:c>
      <x:c r="H747" s="10" t="str"/>
      <x:c r="I747" s="7" t="str"/>
      <x:c r="J747" s="7" t="str">
        <x:v>OPEN</x:v>
      </x:c>
    </x:row>
    <x:row r="748" ht="36" customHeight="1">
      <x:c r="B748" s="7" t="str">
        <x:v>RAE-E-24-HP-06</x:v>
      </x:c>
      <x:c r="C748" s="7" t="str">
        <x:v>RAE-E-24</x:v>
      </x:c>
      <x:c r="D748" s="7" t="str">
        <x:v>RFP-B1</x:v>
      </x:c>
      <x:c r="E748" s="7" t="str">
        <x:v>HP-06</x:v>
      </x:c>
      <x:c r="F748" s="7" t="str">
        <x:v>source</x:v>
      </x:c>
      <x:c r="G748" s="7" t="str">
        <x:v>capacity</x:v>
      </x:c>
      <x:c r="H748" s="10" t="str"/>
      <x:c r="I748" s="7" t="str"/>
      <x:c r="J748" s="7" t="str">
        <x:v>OPEN</x:v>
      </x:c>
    </x:row>
    <x:row r="749" ht="36" customHeight="1">
      <x:c r="B749" s="7" t="str">
        <x:v>RAE-E-24-HP-07</x:v>
      </x:c>
      <x:c r="C749" s="7" t="str">
        <x:v>RAE-E-24</x:v>
      </x:c>
      <x:c r="D749" s="7" t="str">
        <x:v>RFP-B1</x:v>
      </x:c>
      <x:c r="E749" s="7" t="str">
        <x:v>HP-07</x:v>
      </x:c>
      <x:c r="F749" s="7" t="str">
        <x:v>source</x:v>
      </x:c>
      <x:c r="G749" s="7" t="str">
        <x:v>state</x:v>
      </x:c>
      <x:c r="H749" s="10" t="str"/>
      <x:c r="I749" s="7" t="str"/>
      <x:c r="J749" s="7" t="str">
        <x:v>OPEN</x:v>
      </x:c>
    </x:row>
    <x:row r="750" ht="36" customHeight="1">
      <x:c r="B750" s="7" t="str">
        <x:v>RAE-E-24-HP-08</x:v>
      </x:c>
      <x:c r="C750" s="7" t="str">
        <x:v>RAE-E-24</x:v>
      </x:c>
      <x:c r="D750" s="7" t="str">
        <x:v>RFP-B1</x:v>
      </x:c>
      <x:c r="E750" s="7" t="str">
        <x:v>HP-08</x:v>
      </x:c>
      <x:c r="F750" s="7" t="str">
        <x:v>source</x:v>
      </x:c>
      <x:c r="G750" s="7" t="str">
        <x:v>authority</x:v>
      </x:c>
      <x:c r="H750" s="10" t="str"/>
      <x:c r="I750" s="7" t="str"/>
      <x:c r="J750" s="7" t="str">
        <x:v>OPEN</x:v>
      </x:c>
    </x:row>
    <x:row r="751" ht="36" customHeight="1">
      <x:c r="B751" s="7" t="str">
        <x:v>RAE-E-24-HP-09</x:v>
      </x:c>
      <x:c r="C751" s="7" t="str">
        <x:v>RAE-E-24</x:v>
      </x:c>
      <x:c r="D751" s="7" t="str">
        <x:v>RFP-B1</x:v>
      </x:c>
      <x:c r="E751" s="7" t="str">
        <x:v>HP-09</x:v>
      </x:c>
      <x:c r="F751" s="7" t="str">
        <x:v>containment</x:v>
      </x:c>
      <x:c r="G751" s="7" t="str">
        <x:v>identity</x:v>
      </x:c>
      <x:c r="H751" s="10" t="str"/>
      <x:c r="I751" s="7" t="str"/>
      <x:c r="J751" s="7" t="str">
        <x:v>OPEN</x:v>
      </x:c>
    </x:row>
    <x:row r="752" ht="36" customHeight="1">
      <x:c r="B752" s="7" t="str">
        <x:v>RAE-E-24-HP-10</x:v>
      </x:c>
      <x:c r="C752" s="7" t="str">
        <x:v>RAE-E-24</x:v>
      </x:c>
      <x:c r="D752" s="7" t="str">
        <x:v>RFP-B1</x:v>
      </x:c>
      <x:c r="E752" s="7" t="str">
        <x:v>HP-10</x:v>
      </x:c>
      <x:c r="F752" s="7" t="str">
        <x:v>containment</x:v>
      </x:c>
      <x:c r="G752" s="7" t="str">
        <x:v>capacity</x:v>
      </x:c>
      <x:c r="H752" s="10" t="str"/>
      <x:c r="I752" s="7" t="str"/>
      <x:c r="J752" s="7" t="str">
        <x:v>OPEN</x:v>
      </x:c>
    </x:row>
    <x:row r="753" ht="36" customHeight="1">
      <x:c r="B753" s="7" t="str">
        <x:v>RAE-E-24-HP-11</x:v>
      </x:c>
      <x:c r="C753" s="7" t="str">
        <x:v>RAE-E-24</x:v>
      </x:c>
      <x:c r="D753" s="7" t="str">
        <x:v>RFP-B1</x:v>
      </x:c>
      <x:c r="E753" s="7" t="str">
        <x:v>HP-11</x:v>
      </x:c>
      <x:c r="F753" s="7" t="str">
        <x:v>containment</x:v>
      </x:c>
      <x:c r="G753" s="7" t="str">
        <x:v>state</x:v>
      </x:c>
      <x:c r="H753" s="10" t="str"/>
      <x:c r="I753" s="7" t="str"/>
      <x:c r="J753" s="7" t="str">
        <x:v>OPEN</x:v>
      </x:c>
    </x:row>
    <x:row r="754" ht="36" customHeight="1">
      <x:c r="B754" s="7" t="str">
        <x:v>RAE-E-24-HP-12</x:v>
      </x:c>
      <x:c r="C754" s="7" t="str">
        <x:v>RAE-E-24</x:v>
      </x:c>
      <x:c r="D754" s="7" t="str">
        <x:v>RFP-B1</x:v>
      </x:c>
      <x:c r="E754" s="7" t="str">
        <x:v>HP-12</x:v>
      </x:c>
      <x:c r="F754" s="7" t="str">
        <x:v>containment</x:v>
      </x:c>
      <x:c r="G754" s="7" t="str">
        <x:v>authority</x:v>
      </x:c>
      <x:c r="H754" s="10" t="str"/>
      <x:c r="I754" s="7" t="str"/>
      <x:c r="J754" s="7" t="str">
        <x:v>OPEN</x:v>
      </x:c>
    </x:row>
    <x:row r="755" ht="36" customHeight="1">
      <x:c r="B755" s="7" t="str">
        <x:v>RAE-E-24-HP-13</x:v>
      </x:c>
      <x:c r="C755" s="7" t="str">
        <x:v>RAE-E-24</x:v>
      </x:c>
      <x:c r="D755" s="7" t="str">
        <x:v>RFP-B1</x:v>
      </x:c>
      <x:c r="E755" s="7" t="str">
        <x:v>HP-13</x:v>
      </x:c>
      <x:c r="F755" s="7" t="str">
        <x:v>water</x:v>
      </x:c>
      <x:c r="G755" s="7" t="str">
        <x:v>identity</x:v>
      </x:c>
      <x:c r="H755" s="10" t="str"/>
      <x:c r="I755" s="7" t="str"/>
      <x:c r="J755" s="7" t="str">
        <x:v>OPEN</x:v>
      </x:c>
    </x:row>
    <x:row r="756" ht="36" customHeight="1">
      <x:c r="B756" s="7" t="str">
        <x:v>RAE-E-24-HP-14</x:v>
      </x:c>
      <x:c r="C756" s="7" t="str">
        <x:v>RAE-E-24</x:v>
      </x:c>
      <x:c r="D756" s="7" t="str">
        <x:v>RFP-B1</x:v>
      </x:c>
      <x:c r="E756" s="7" t="str">
        <x:v>HP-14</x:v>
      </x:c>
      <x:c r="F756" s="7" t="str">
        <x:v>water</x:v>
      </x:c>
      <x:c r="G756" s="7" t="str">
        <x:v>capacity</x:v>
      </x:c>
      <x:c r="H756" s="10" t="str"/>
      <x:c r="I756" s="7" t="str"/>
      <x:c r="J756" s="7" t="str">
        <x:v>OPEN</x:v>
      </x:c>
    </x:row>
    <x:row r="757" ht="36" customHeight="1">
      <x:c r="B757" s="7" t="str">
        <x:v>RAE-E-24-HP-15</x:v>
      </x:c>
      <x:c r="C757" s="7" t="str">
        <x:v>RAE-E-24</x:v>
      </x:c>
      <x:c r="D757" s="7" t="str">
        <x:v>RFP-B1</x:v>
      </x:c>
      <x:c r="E757" s="7" t="str">
        <x:v>HP-15</x:v>
      </x:c>
      <x:c r="F757" s="7" t="str">
        <x:v>water</x:v>
      </x:c>
      <x:c r="G757" s="7" t="str">
        <x:v>state</x:v>
      </x:c>
      <x:c r="H757" s="10" t="str"/>
      <x:c r="I757" s="7" t="str"/>
      <x:c r="J757" s="7" t="str">
        <x:v>OPEN</x:v>
      </x:c>
    </x:row>
    <x:row r="758" ht="36" customHeight="1">
      <x:c r="B758" s="7" t="str">
        <x:v>RAE-E-24-HP-16</x:v>
      </x:c>
      <x:c r="C758" s="7" t="str">
        <x:v>RAE-E-24</x:v>
      </x:c>
      <x:c r="D758" s="7" t="str">
        <x:v>RFP-B1</x:v>
      </x:c>
      <x:c r="E758" s="7" t="str">
        <x:v>HP-16</x:v>
      </x:c>
      <x:c r="F758" s="7" t="str">
        <x:v>water</x:v>
      </x:c>
      <x:c r="G758" s="7" t="str">
        <x:v>authority</x:v>
      </x:c>
      <x:c r="H758" s="10" t="str"/>
      <x:c r="I758" s="7" t="str"/>
      <x:c r="J758" s="7" t="str">
        <x:v>OPEN</x:v>
      </x:c>
    </x:row>
    <x:row r="759" ht="36" customHeight="1">
      <x:c r="B759" s="7" t="str">
        <x:v>RAE-E-24-HP-17</x:v>
      </x:c>
      <x:c r="C759" s="7" t="str">
        <x:v>RAE-E-24</x:v>
      </x:c>
      <x:c r="D759" s="7" t="str">
        <x:v>RFP-B1</x:v>
      </x:c>
      <x:c r="E759" s="7" t="str">
        <x:v>HP-17</x:v>
      </x:c>
      <x:c r="F759" s="7" t="str">
        <x:v>safeing</x:v>
      </x:c>
      <x:c r="G759" s="7" t="str">
        <x:v>identity</x:v>
      </x:c>
      <x:c r="H759" s="10" t="str"/>
      <x:c r="I759" s="7" t="str"/>
      <x:c r="J759" s="7" t="str">
        <x:v>OPEN</x:v>
      </x:c>
    </x:row>
    <x:row r="760" ht="36" customHeight="1">
      <x:c r="B760" s="7" t="str">
        <x:v>RAE-E-24-HP-18</x:v>
      </x:c>
      <x:c r="C760" s="7" t="str">
        <x:v>RAE-E-24</x:v>
      </x:c>
      <x:c r="D760" s="7" t="str">
        <x:v>RFP-B1</x:v>
      </x:c>
      <x:c r="E760" s="7" t="str">
        <x:v>HP-18</x:v>
      </x:c>
      <x:c r="F760" s="7" t="str">
        <x:v>safeing</x:v>
      </x:c>
      <x:c r="G760" s="7" t="str">
        <x:v>capacity</x:v>
      </x:c>
      <x:c r="H760" s="10" t="str"/>
      <x:c r="I760" s="7" t="str"/>
      <x:c r="J760" s="7" t="str">
        <x:v>OPEN</x:v>
      </x:c>
    </x:row>
    <x:row r="761" ht="36" customHeight="1">
      <x:c r="B761" s="7" t="str">
        <x:v>RAE-E-24-HP-19</x:v>
      </x:c>
      <x:c r="C761" s="7" t="str">
        <x:v>RAE-E-24</x:v>
      </x:c>
      <x:c r="D761" s="7" t="str">
        <x:v>RFP-B1</x:v>
      </x:c>
      <x:c r="E761" s="7" t="str">
        <x:v>HP-19</x:v>
      </x:c>
      <x:c r="F761" s="7" t="str">
        <x:v>safeing</x:v>
      </x:c>
      <x:c r="G761" s="7" t="str">
        <x:v>state</x:v>
      </x:c>
      <x:c r="H761" s="10" t="str"/>
      <x:c r="I761" s="7" t="str"/>
      <x:c r="J761" s="7" t="str">
        <x:v>OPEN</x:v>
      </x:c>
    </x:row>
    <x:row r="762" ht="36" customHeight="1">
      <x:c r="B762" s="7" t="str">
        <x:v>RAE-E-24-HP-20</x:v>
      </x:c>
      <x:c r="C762" s="7" t="str">
        <x:v>RAE-E-24</x:v>
      </x:c>
      <x:c r="D762" s="7" t="str">
        <x:v>RFP-B1</x:v>
      </x:c>
      <x:c r="E762" s="7" t="str">
        <x:v>HP-20</x:v>
      </x:c>
      <x:c r="F762" s="7" t="str">
        <x:v>safeing</x:v>
      </x:c>
      <x:c r="G762" s="7" t="str">
        <x:v>authority</x:v>
      </x:c>
      <x:c r="H762" s="10" t="str"/>
      <x:c r="I762" s="7" t="str"/>
      <x:c r="J762" s="7" t="str">
        <x:v>OPEN</x:v>
      </x:c>
    </x:row>
    <x:row r="763" ht="36" customHeight="1">
      <x:c r="B763" s="7" t="str">
        <x:v>RAE-E-24-HP-21</x:v>
      </x:c>
      <x:c r="C763" s="7" t="str">
        <x:v>RAE-E-24</x:v>
      </x:c>
      <x:c r="D763" s="7" t="str">
        <x:v>RFP-B1</x:v>
      </x:c>
      <x:c r="E763" s="7" t="str">
        <x:v>HP-21</x:v>
      </x:c>
      <x:c r="F763" s="7" t="str">
        <x:v>evidence</x:v>
      </x:c>
      <x:c r="G763" s="7" t="str">
        <x:v>identity</x:v>
      </x:c>
      <x:c r="H763" s="10" t="str"/>
      <x:c r="I763" s="7" t="str"/>
      <x:c r="J763" s="7" t="str">
        <x:v>OPEN</x:v>
      </x:c>
    </x:row>
    <x:row r="764" ht="36" customHeight="1">
      <x:c r="B764" s="7" t="str">
        <x:v>RAE-E-24-HP-22</x:v>
      </x:c>
      <x:c r="C764" s="7" t="str">
        <x:v>RAE-E-24</x:v>
      </x:c>
      <x:c r="D764" s="7" t="str">
        <x:v>RFP-B1</x:v>
      </x:c>
      <x:c r="E764" s="7" t="str">
        <x:v>HP-22</x:v>
      </x:c>
      <x:c r="F764" s="7" t="str">
        <x:v>evidence</x:v>
      </x:c>
      <x:c r="G764" s="7" t="str">
        <x:v>capacity</x:v>
      </x:c>
      <x:c r="H764" s="10" t="str"/>
      <x:c r="I764" s="7" t="str"/>
      <x:c r="J764" s="7" t="str">
        <x:v>OPEN</x:v>
      </x:c>
    </x:row>
    <x:row r="765" ht="36" customHeight="1">
      <x:c r="B765" s="7" t="str">
        <x:v>RAE-E-24-HP-23</x:v>
      </x:c>
      <x:c r="C765" s="7" t="str">
        <x:v>RAE-E-24</x:v>
      </x:c>
      <x:c r="D765" s="7" t="str">
        <x:v>RFP-B1</x:v>
      </x:c>
      <x:c r="E765" s="7" t="str">
        <x:v>HP-23</x:v>
      </x:c>
      <x:c r="F765" s="7" t="str">
        <x:v>evidence</x:v>
      </x:c>
      <x:c r="G765" s="7" t="str">
        <x:v>state</x:v>
      </x:c>
      <x:c r="H765" s="10" t="str"/>
      <x:c r="I765" s="7" t="str"/>
      <x:c r="J765" s="7" t="str">
        <x:v>OPEN</x:v>
      </x:c>
    </x:row>
    <x:row r="766" ht="36" customHeight="1">
      <x:c r="B766" s="7" t="str">
        <x:v>RAE-E-24-HP-24</x:v>
      </x:c>
      <x:c r="C766" s="7" t="str">
        <x:v>RAE-E-24</x:v>
      </x:c>
      <x:c r="D766" s="7" t="str">
        <x:v>RFP-B1</x:v>
      </x:c>
      <x:c r="E766" s="7" t="str">
        <x:v>HP-24</x:v>
      </x:c>
      <x:c r="F766" s="7" t="str">
        <x:v>evidence</x:v>
      </x:c>
      <x:c r="G766" s="7" t="str">
        <x:v>authority</x:v>
      </x:c>
      <x:c r="H766" s="10" t="str"/>
      <x:c r="I766" s="7" t="str"/>
      <x:c r="J766" s="7" t="str">
        <x:v>OPEN</x:v>
      </x:c>
    </x:row>
    <x:row r="767" ht="36" customHeight="1">
      <x:c r="B767" s="7" t="str">
        <x:v>RAE-E-24-HP-25</x:v>
      </x:c>
      <x:c r="C767" s="7" t="str">
        <x:v>RAE-E-24</x:v>
      </x:c>
      <x:c r="D767" s="7" t="str">
        <x:v>RFP-B1</x:v>
      </x:c>
      <x:c r="E767" s="7" t="str">
        <x:v>HP-25</x:v>
      </x:c>
      <x:c r="F767" s="7" t="str">
        <x:v>environment</x:v>
      </x:c>
      <x:c r="G767" s="7" t="str">
        <x:v>identity</x:v>
      </x:c>
      <x:c r="H767" s="10" t="str"/>
      <x:c r="I767" s="7" t="str"/>
      <x:c r="J767" s="7" t="str">
        <x:v>OPEN</x:v>
      </x:c>
    </x:row>
    <x:row r="768" ht="36" customHeight="1">
      <x:c r="B768" s="7" t="str">
        <x:v>RAE-E-24-HP-26</x:v>
      </x:c>
      <x:c r="C768" s="7" t="str">
        <x:v>RAE-E-24</x:v>
      </x:c>
      <x:c r="D768" s="7" t="str">
        <x:v>RFP-B1</x:v>
      </x:c>
      <x:c r="E768" s="7" t="str">
        <x:v>HP-26</x:v>
      </x:c>
      <x:c r="F768" s="7" t="str">
        <x:v>environment</x:v>
      </x:c>
      <x:c r="G768" s="7" t="str">
        <x:v>capacity</x:v>
      </x:c>
      <x:c r="H768" s="10" t="str"/>
      <x:c r="I768" s="7" t="str"/>
      <x:c r="J768" s="7" t="str">
        <x:v>OPEN</x:v>
      </x:c>
    </x:row>
    <x:row r="769" ht="36" customHeight="1">
      <x:c r="B769" s="7" t="str">
        <x:v>RAE-E-24-HP-27</x:v>
      </x:c>
      <x:c r="C769" s="7" t="str">
        <x:v>RAE-E-24</x:v>
      </x:c>
      <x:c r="D769" s="7" t="str">
        <x:v>RFP-B1</x:v>
      </x:c>
      <x:c r="E769" s="7" t="str">
        <x:v>HP-27</x:v>
      </x:c>
      <x:c r="F769" s="7" t="str">
        <x:v>environment</x:v>
      </x:c>
      <x:c r="G769" s="7" t="str">
        <x:v>state</x:v>
      </x:c>
      <x:c r="H769" s="10" t="str"/>
      <x:c r="I769" s="7" t="str"/>
      <x:c r="J769" s="7" t="str">
        <x:v>OPEN</x:v>
      </x:c>
    </x:row>
    <x:row r="770" ht="36" customHeight="1">
      <x:c r="B770" s="7" t="str">
        <x:v>RAE-E-24-HP-28</x:v>
      </x:c>
      <x:c r="C770" s="7" t="str">
        <x:v>RAE-E-24</x:v>
      </x:c>
      <x:c r="D770" s="7" t="str">
        <x:v>RFP-B1</x:v>
      </x:c>
      <x:c r="E770" s="7" t="str">
        <x:v>HP-28</x:v>
      </x:c>
      <x:c r="F770" s="7" t="str">
        <x:v>environment</x:v>
      </x:c>
      <x:c r="G770" s="7" t="str">
        <x:v>authority</x:v>
      </x:c>
      <x:c r="H770" s="10" t="str"/>
      <x:c r="I770" s="7" t="str"/>
      <x:c r="J770" s="7" t="str">
        <x:v>OPEN</x:v>
      </x:c>
    </x:row>
    <x:row r="771" ht="36" customHeight="1">
      <x:c r="B771" s="7" t="str">
        <x:v>RAE-E-24-HP-29</x:v>
      </x:c>
      <x:c r="C771" s="7" t="str">
        <x:v>RAE-E-24</x:v>
      </x:c>
      <x:c r="D771" s="7" t="str">
        <x:v>RFP-B1</x:v>
      </x:c>
      <x:c r="E771" s="7" t="str">
        <x:v>HP-29</x:v>
      </x:c>
      <x:c r="F771" s="7" t="str">
        <x:v>authority</x:v>
      </x:c>
      <x:c r="G771" s="7" t="str">
        <x:v>identity</x:v>
      </x:c>
      <x:c r="H771" s="10" t="str"/>
      <x:c r="I771" s="7" t="str"/>
      <x:c r="J771" s="7" t="str">
        <x:v>OPEN</x:v>
      </x:c>
    </x:row>
    <x:row r="772" ht="36" customHeight="1">
      <x:c r="B772" s="7" t="str">
        <x:v>RAE-E-24-HP-30</x:v>
      </x:c>
      <x:c r="C772" s="7" t="str">
        <x:v>RAE-E-24</x:v>
      </x:c>
      <x:c r="D772" s="7" t="str">
        <x:v>RFP-B1</x:v>
      </x:c>
      <x:c r="E772" s="7" t="str">
        <x:v>HP-30</x:v>
      </x:c>
      <x:c r="F772" s="7" t="str">
        <x:v>authority</x:v>
      </x:c>
      <x:c r="G772" s="7" t="str">
        <x:v>capacity</x:v>
      </x:c>
      <x:c r="H772" s="10" t="str"/>
      <x:c r="I772" s="7" t="str"/>
      <x:c r="J772" s="7" t="str">
        <x:v>OPEN</x:v>
      </x:c>
    </x:row>
    <x:row r="773" ht="36" customHeight="1">
      <x:c r="B773" s="7" t="str">
        <x:v>RAE-E-24-HP-31</x:v>
      </x:c>
      <x:c r="C773" s="7" t="str">
        <x:v>RAE-E-24</x:v>
      </x:c>
      <x:c r="D773" s="7" t="str">
        <x:v>RFP-B1</x:v>
      </x:c>
      <x:c r="E773" s="7" t="str">
        <x:v>HP-31</x:v>
      </x:c>
      <x:c r="F773" s="7" t="str">
        <x:v>authority</x:v>
      </x:c>
      <x:c r="G773" s="7" t="str">
        <x:v>state</x:v>
      </x:c>
      <x:c r="H773" s="10" t="str"/>
      <x:c r="I773" s="7" t="str"/>
      <x:c r="J773" s="7" t="str">
        <x:v>OPEN</x:v>
      </x:c>
    </x:row>
    <x:row r="774" ht="36" customHeight="1">
      <x:c r="B774" s="7" t="str">
        <x:v>RAE-E-24-HP-32</x:v>
      </x:c>
      <x:c r="C774" s="7" t="str">
        <x:v>RAE-E-24</x:v>
      </x:c>
      <x:c r="D774" s="7" t="str">
        <x:v>RFP-B1</x:v>
      </x:c>
      <x:c r="E774" s="7" t="str">
        <x:v>HP-32</x:v>
      </x:c>
      <x:c r="F774" s="7" t="str">
        <x:v>authority</x:v>
      </x:c>
      <x:c r="G774" s="7" t="str">
        <x:v>authority</x:v>
      </x:c>
      <x:c r="H774" s="10" t="str"/>
      <x:c r="I774" s="7" t="str"/>
      <x:c r="J774" s="7" t="str">
        <x:v>OPEN</x:v>
      </x:c>
    </x:row>
    <x:row r="775" ht="36" customHeight="1">
      <x:c r="B775" s="7" t="str">
        <x:v>RAE-E-25-HP-01</x:v>
      </x:c>
      <x:c r="C775" s="7" t="str">
        <x:v>RAE-E-25</x:v>
      </x:c>
      <x:c r="D775" s="7" t="str">
        <x:v>RFP-B2</x:v>
      </x:c>
      <x:c r="E775" s="7" t="str">
        <x:v>HP-01</x:v>
      </x:c>
      <x:c r="F775" s="7" t="str">
        <x:v>configuration</x:v>
      </x:c>
      <x:c r="G775" s="7" t="str">
        <x:v>identity</x:v>
      </x:c>
      <x:c r="H775" s="10" t="str"/>
      <x:c r="I775" s="7" t="str"/>
      <x:c r="J775" s="7" t="str">
        <x:v>OPEN</x:v>
      </x:c>
    </x:row>
    <x:row r="776" ht="36" customHeight="1">
      <x:c r="B776" s="7" t="str">
        <x:v>RAE-E-25-HP-02</x:v>
      </x:c>
      <x:c r="C776" s="7" t="str">
        <x:v>RAE-E-25</x:v>
      </x:c>
      <x:c r="D776" s="7" t="str">
        <x:v>RFP-B2</x:v>
      </x:c>
      <x:c r="E776" s="7" t="str">
        <x:v>HP-02</x:v>
      </x:c>
      <x:c r="F776" s="7" t="str">
        <x:v>configuration</x:v>
      </x:c>
      <x:c r="G776" s="7" t="str">
        <x:v>capacity</x:v>
      </x:c>
      <x:c r="H776" s="10" t="str"/>
      <x:c r="I776" s="7" t="str"/>
      <x:c r="J776" s="7" t="str">
        <x:v>OPEN</x:v>
      </x:c>
    </x:row>
    <x:row r="777" ht="36" customHeight="1">
      <x:c r="B777" s="7" t="str">
        <x:v>RAE-E-25-HP-03</x:v>
      </x:c>
      <x:c r="C777" s="7" t="str">
        <x:v>RAE-E-25</x:v>
      </x:c>
      <x:c r="D777" s="7" t="str">
        <x:v>RFP-B2</x:v>
      </x:c>
      <x:c r="E777" s="7" t="str">
        <x:v>HP-03</x:v>
      </x:c>
      <x:c r="F777" s="7" t="str">
        <x:v>configuration</x:v>
      </x:c>
      <x:c r="G777" s="7" t="str">
        <x:v>state</x:v>
      </x:c>
      <x:c r="H777" s="10" t="str"/>
      <x:c r="I777" s="7" t="str"/>
      <x:c r="J777" s="7" t="str">
        <x:v>OPEN</x:v>
      </x:c>
    </x:row>
    <x:row r="778" ht="36" customHeight="1">
      <x:c r="B778" s="7" t="str">
        <x:v>RAE-E-25-HP-04</x:v>
      </x:c>
      <x:c r="C778" s="7" t="str">
        <x:v>RAE-E-25</x:v>
      </x:c>
      <x:c r="D778" s="7" t="str">
        <x:v>RFP-B2</x:v>
      </x:c>
      <x:c r="E778" s="7" t="str">
        <x:v>HP-04</x:v>
      </x:c>
      <x:c r="F778" s="7" t="str">
        <x:v>configuration</x:v>
      </x:c>
      <x:c r="G778" s="7" t="str">
        <x:v>authority</x:v>
      </x:c>
      <x:c r="H778" s="10" t="str"/>
      <x:c r="I778" s="7" t="str"/>
      <x:c r="J778" s="7" t="str">
        <x:v>OPEN</x:v>
      </x:c>
    </x:row>
    <x:row r="779" ht="36" customHeight="1">
      <x:c r="B779" s="7" t="str">
        <x:v>RAE-E-25-HP-05</x:v>
      </x:c>
      <x:c r="C779" s="7" t="str">
        <x:v>RAE-E-25</x:v>
      </x:c>
      <x:c r="D779" s="7" t="str">
        <x:v>RFP-B2</x:v>
      </x:c>
      <x:c r="E779" s="7" t="str">
        <x:v>HP-05</x:v>
      </x:c>
      <x:c r="F779" s="7" t="str">
        <x:v>source</x:v>
      </x:c>
      <x:c r="G779" s="7" t="str">
        <x:v>identity</x:v>
      </x:c>
      <x:c r="H779" s="10" t="str"/>
      <x:c r="I779" s="7" t="str"/>
      <x:c r="J779" s="7" t="str">
        <x:v>OPEN</x:v>
      </x:c>
    </x:row>
    <x:row r="780" ht="36" customHeight="1">
      <x:c r="B780" s="7" t="str">
        <x:v>RAE-E-25-HP-06</x:v>
      </x:c>
      <x:c r="C780" s="7" t="str">
        <x:v>RAE-E-25</x:v>
      </x:c>
      <x:c r="D780" s="7" t="str">
        <x:v>RFP-B2</x:v>
      </x:c>
      <x:c r="E780" s="7" t="str">
        <x:v>HP-06</x:v>
      </x:c>
      <x:c r="F780" s="7" t="str">
        <x:v>source</x:v>
      </x:c>
      <x:c r="G780" s="7" t="str">
        <x:v>capacity</x:v>
      </x:c>
      <x:c r="H780" s="10" t="str"/>
      <x:c r="I780" s="7" t="str"/>
      <x:c r="J780" s="7" t="str">
        <x:v>OPEN</x:v>
      </x:c>
    </x:row>
    <x:row r="781" ht="36" customHeight="1">
      <x:c r="B781" s="7" t="str">
        <x:v>RAE-E-25-HP-07</x:v>
      </x:c>
      <x:c r="C781" s="7" t="str">
        <x:v>RAE-E-25</x:v>
      </x:c>
      <x:c r="D781" s="7" t="str">
        <x:v>RFP-B2</x:v>
      </x:c>
      <x:c r="E781" s="7" t="str">
        <x:v>HP-07</x:v>
      </x:c>
      <x:c r="F781" s="7" t="str">
        <x:v>source</x:v>
      </x:c>
      <x:c r="G781" s="7" t="str">
        <x:v>state</x:v>
      </x:c>
      <x:c r="H781" s="10" t="str"/>
      <x:c r="I781" s="7" t="str"/>
      <x:c r="J781" s="7" t="str">
        <x:v>OPEN</x:v>
      </x:c>
    </x:row>
    <x:row r="782" ht="36" customHeight="1">
      <x:c r="B782" s="7" t="str">
        <x:v>RAE-E-25-HP-08</x:v>
      </x:c>
      <x:c r="C782" s="7" t="str">
        <x:v>RAE-E-25</x:v>
      </x:c>
      <x:c r="D782" s="7" t="str">
        <x:v>RFP-B2</x:v>
      </x:c>
      <x:c r="E782" s="7" t="str">
        <x:v>HP-08</x:v>
      </x:c>
      <x:c r="F782" s="7" t="str">
        <x:v>source</x:v>
      </x:c>
      <x:c r="G782" s="7" t="str">
        <x:v>authority</x:v>
      </x:c>
      <x:c r="H782" s="10" t="str"/>
      <x:c r="I782" s="7" t="str"/>
      <x:c r="J782" s="7" t="str">
        <x:v>OPEN</x:v>
      </x:c>
    </x:row>
    <x:row r="783" ht="36" customHeight="1">
      <x:c r="B783" s="7" t="str">
        <x:v>RAE-E-25-HP-09</x:v>
      </x:c>
      <x:c r="C783" s="7" t="str">
        <x:v>RAE-E-25</x:v>
      </x:c>
      <x:c r="D783" s="7" t="str">
        <x:v>RFP-B2</x:v>
      </x:c>
      <x:c r="E783" s="7" t="str">
        <x:v>HP-09</x:v>
      </x:c>
      <x:c r="F783" s="7" t="str">
        <x:v>containment</x:v>
      </x:c>
      <x:c r="G783" s="7" t="str">
        <x:v>identity</x:v>
      </x:c>
      <x:c r="H783" s="10" t="str"/>
      <x:c r="I783" s="7" t="str"/>
      <x:c r="J783" s="7" t="str">
        <x:v>OPEN</x:v>
      </x:c>
    </x:row>
    <x:row r="784" ht="36" customHeight="1">
      <x:c r="B784" s="7" t="str">
        <x:v>RAE-E-25-HP-10</x:v>
      </x:c>
      <x:c r="C784" s="7" t="str">
        <x:v>RAE-E-25</x:v>
      </x:c>
      <x:c r="D784" s="7" t="str">
        <x:v>RFP-B2</x:v>
      </x:c>
      <x:c r="E784" s="7" t="str">
        <x:v>HP-10</x:v>
      </x:c>
      <x:c r="F784" s="7" t="str">
        <x:v>containment</x:v>
      </x:c>
      <x:c r="G784" s="7" t="str">
        <x:v>capacity</x:v>
      </x:c>
      <x:c r="H784" s="10" t="str"/>
      <x:c r="I784" s="7" t="str"/>
      <x:c r="J784" s="7" t="str">
        <x:v>OPEN</x:v>
      </x:c>
    </x:row>
    <x:row r="785" ht="36" customHeight="1">
      <x:c r="B785" s="7" t="str">
        <x:v>RAE-E-25-HP-11</x:v>
      </x:c>
      <x:c r="C785" s="7" t="str">
        <x:v>RAE-E-25</x:v>
      </x:c>
      <x:c r="D785" s="7" t="str">
        <x:v>RFP-B2</x:v>
      </x:c>
      <x:c r="E785" s="7" t="str">
        <x:v>HP-11</x:v>
      </x:c>
      <x:c r="F785" s="7" t="str">
        <x:v>containment</x:v>
      </x:c>
      <x:c r="G785" s="7" t="str">
        <x:v>state</x:v>
      </x:c>
      <x:c r="H785" s="10" t="str"/>
      <x:c r="I785" s="7" t="str"/>
      <x:c r="J785" s="7" t="str">
        <x:v>OPEN</x:v>
      </x:c>
    </x:row>
    <x:row r="786" ht="36" customHeight="1">
      <x:c r="B786" s="7" t="str">
        <x:v>RAE-E-25-HP-12</x:v>
      </x:c>
      <x:c r="C786" s="7" t="str">
        <x:v>RAE-E-25</x:v>
      </x:c>
      <x:c r="D786" s="7" t="str">
        <x:v>RFP-B2</x:v>
      </x:c>
      <x:c r="E786" s="7" t="str">
        <x:v>HP-12</x:v>
      </x:c>
      <x:c r="F786" s="7" t="str">
        <x:v>containment</x:v>
      </x:c>
      <x:c r="G786" s="7" t="str">
        <x:v>authority</x:v>
      </x:c>
      <x:c r="H786" s="10" t="str"/>
      <x:c r="I786" s="7" t="str"/>
      <x:c r="J786" s="7" t="str">
        <x:v>OPEN</x:v>
      </x:c>
    </x:row>
    <x:row r="787" ht="36" customHeight="1">
      <x:c r="B787" s="7" t="str">
        <x:v>RAE-E-25-HP-13</x:v>
      </x:c>
      <x:c r="C787" s="7" t="str">
        <x:v>RAE-E-25</x:v>
      </x:c>
      <x:c r="D787" s="7" t="str">
        <x:v>RFP-B2</x:v>
      </x:c>
      <x:c r="E787" s="7" t="str">
        <x:v>HP-13</x:v>
      </x:c>
      <x:c r="F787" s="7" t="str">
        <x:v>water</x:v>
      </x:c>
      <x:c r="G787" s="7" t="str">
        <x:v>identity</x:v>
      </x:c>
      <x:c r="H787" s="10" t="str"/>
      <x:c r="I787" s="7" t="str"/>
      <x:c r="J787" s="7" t="str">
        <x:v>OPEN</x:v>
      </x:c>
    </x:row>
    <x:row r="788" ht="36" customHeight="1">
      <x:c r="B788" s="7" t="str">
        <x:v>RAE-E-25-HP-14</x:v>
      </x:c>
      <x:c r="C788" s="7" t="str">
        <x:v>RAE-E-25</x:v>
      </x:c>
      <x:c r="D788" s="7" t="str">
        <x:v>RFP-B2</x:v>
      </x:c>
      <x:c r="E788" s="7" t="str">
        <x:v>HP-14</x:v>
      </x:c>
      <x:c r="F788" s="7" t="str">
        <x:v>water</x:v>
      </x:c>
      <x:c r="G788" s="7" t="str">
        <x:v>capacity</x:v>
      </x:c>
      <x:c r="H788" s="10" t="str"/>
      <x:c r="I788" s="7" t="str"/>
      <x:c r="J788" s="7" t="str">
        <x:v>OPEN</x:v>
      </x:c>
    </x:row>
    <x:row r="789" ht="36" customHeight="1">
      <x:c r="B789" s="7" t="str">
        <x:v>RAE-E-25-HP-15</x:v>
      </x:c>
      <x:c r="C789" s="7" t="str">
        <x:v>RAE-E-25</x:v>
      </x:c>
      <x:c r="D789" s="7" t="str">
        <x:v>RFP-B2</x:v>
      </x:c>
      <x:c r="E789" s="7" t="str">
        <x:v>HP-15</x:v>
      </x:c>
      <x:c r="F789" s="7" t="str">
        <x:v>water</x:v>
      </x:c>
      <x:c r="G789" s="7" t="str">
        <x:v>state</x:v>
      </x:c>
      <x:c r="H789" s="10" t="str"/>
      <x:c r="I789" s="7" t="str"/>
      <x:c r="J789" s="7" t="str">
        <x:v>OPEN</x:v>
      </x:c>
    </x:row>
    <x:row r="790" ht="36" customHeight="1">
      <x:c r="B790" s="7" t="str">
        <x:v>RAE-E-25-HP-16</x:v>
      </x:c>
      <x:c r="C790" s="7" t="str">
        <x:v>RAE-E-25</x:v>
      </x:c>
      <x:c r="D790" s="7" t="str">
        <x:v>RFP-B2</x:v>
      </x:c>
      <x:c r="E790" s="7" t="str">
        <x:v>HP-16</x:v>
      </x:c>
      <x:c r="F790" s="7" t="str">
        <x:v>water</x:v>
      </x:c>
      <x:c r="G790" s="7" t="str">
        <x:v>authority</x:v>
      </x:c>
      <x:c r="H790" s="10" t="str"/>
      <x:c r="I790" s="7" t="str"/>
      <x:c r="J790" s="7" t="str">
        <x:v>OPEN</x:v>
      </x:c>
    </x:row>
    <x:row r="791" ht="36" customHeight="1">
      <x:c r="B791" s="7" t="str">
        <x:v>RAE-E-25-HP-17</x:v>
      </x:c>
      <x:c r="C791" s="7" t="str">
        <x:v>RAE-E-25</x:v>
      </x:c>
      <x:c r="D791" s="7" t="str">
        <x:v>RFP-B2</x:v>
      </x:c>
      <x:c r="E791" s="7" t="str">
        <x:v>HP-17</x:v>
      </x:c>
      <x:c r="F791" s="7" t="str">
        <x:v>safeing</x:v>
      </x:c>
      <x:c r="G791" s="7" t="str">
        <x:v>identity</x:v>
      </x:c>
      <x:c r="H791" s="10" t="str"/>
      <x:c r="I791" s="7" t="str"/>
      <x:c r="J791" s="7" t="str">
        <x:v>OPEN</x:v>
      </x:c>
    </x:row>
    <x:row r="792" ht="36" customHeight="1">
      <x:c r="B792" s="7" t="str">
        <x:v>RAE-E-25-HP-18</x:v>
      </x:c>
      <x:c r="C792" s="7" t="str">
        <x:v>RAE-E-25</x:v>
      </x:c>
      <x:c r="D792" s="7" t="str">
        <x:v>RFP-B2</x:v>
      </x:c>
      <x:c r="E792" s="7" t="str">
        <x:v>HP-18</x:v>
      </x:c>
      <x:c r="F792" s="7" t="str">
        <x:v>safeing</x:v>
      </x:c>
      <x:c r="G792" s="7" t="str">
        <x:v>capacity</x:v>
      </x:c>
      <x:c r="H792" s="10" t="str"/>
      <x:c r="I792" s="7" t="str"/>
      <x:c r="J792" s="7" t="str">
        <x:v>OPEN</x:v>
      </x:c>
    </x:row>
    <x:row r="793" ht="36" customHeight="1">
      <x:c r="B793" s="7" t="str">
        <x:v>RAE-E-25-HP-19</x:v>
      </x:c>
      <x:c r="C793" s="7" t="str">
        <x:v>RAE-E-25</x:v>
      </x:c>
      <x:c r="D793" s="7" t="str">
        <x:v>RFP-B2</x:v>
      </x:c>
      <x:c r="E793" s="7" t="str">
        <x:v>HP-19</x:v>
      </x:c>
      <x:c r="F793" s="7" t="str">
        <x:v>safeing</x:v>
      </x:c>
      <x:c r="G793" s="7" t="str">
        <x:v>state</x:v>
      </x:c>
      <x:c r="H793" s="10" t="str"/>
      <x:c r="I793" s="7" t="str"/>
      <x:c r="J793" s="7" t="str">
        <x:v>OPEN</x:v>
      </x:c>
    </x:row>
    <x:row r="794" ht="36" customHeight="1">
      <x:c r="B794" s="7" t="str">
        <x:v>RAE-E-25-HP-20</x:v>
      </x:c>
      <x:c r="C794" s="7" t="str">
        <x:v>RAE-E-25</x:v>
      </x:c>
      <x:c r="D794" s="7" t="str">
        <x:v>RFP-B2</x:v>
      </x:c>
      <x:c r="E794" s="7" t="str">
        <x:v>HP-20</x:v>
      </x:c>
      <x:c r="F794" s="7" t="str">
        <x:v>safeing</x:v>
      </x:c>
      <x:c r="G794" s="7" t="str">
        <x:v>authority</x:v>
      </x:c>
      <x:c r="H794" s="10" t="str"/>
      <x:c r="I794" s="7" t="str"/>
      <x:c r="J794" s="7" t="str">
        <x:v>OPEN</x:v>
      </x:c>
    </x:row>
    <x:row r="795" ht="36" customHeight="1">
      <x:c r="B795" s="7" t="str">
        <x:v>RAE-E-25-HP-21</x:v>
      </x:c>
      <x:c r="C795" s="7" t="str">
        <x:v>RAE-E-25</x:v>
      </x:c>
      <x:c r="D795" s="7" t="str">
        <x:v>RFP-B2</x:v>
      </x:c>
      <x:c r="E795" s="7" t="str">
        <x:v>HP-21</x:v>
      </x:c>
      <x:c r="F795" s="7" t="str">
        <x:v>evidence</x:v>
      </x:c>
      <x:c r="G795" s="7" t="str">
        <x:v>identity</x:v>
      </x:c>
      <x:c r="H795" s="10" t="str"/>
      <x:c r="I795" s="7" t="str"/>
      <x:c r="J795" s="7" t="str">
        <x:v>OPEN</x:v>
      </x:c>
    </x:row>
    <x:row r="796" ht="36" customHeight="1">
      <x:c r="B796" s="7" t="str">
        <x:v>RAE-E-25-HP-22</x:v>
      </x:c>
      <x:c r="C796" s="7" t="str">
        <x:v>RAE-E-25</x:v>
      </x:c>
      <x:c r="D796" s="7" t="str">
        <x:v>RFP-B2</x:v>
      </x:c>
      <x:c r="E796" s="7" t="str">
        <x:v>HP-22</x:v>
      </x:c>
      <x:c r="F796" s="7" t="str">
        <x:v>evidence</x:v>
      </x:c>
      <x:c r="G796" s="7" t="str">
        <x:v>capacity</x:v>
      </x:c>
      <x:c r="H796" s="10" t="str"/>
      <x:c r="I796" s="7" t="str"/>
      <x:c r="J796" s="7" t="str">
        <x:v>OPEN</x:v>
      </x:c>
    </x:row>
    <x:row r="797" ht="36" customHeight="1">
      <x:c r="B797" s="7" t="str">
        <x:v>RAE-E-25-HP-23</x:v>
      </x:c>
      <x:c r="C797" s="7" t="str">
        <x:v>RAE-E-25</x:v>
      </x:c>
      <x:c r="D797" s="7" t="str">
        <x:v>RFP-B2</x:v>
      </x:c>
      <x:c r="E797" s="7" t="str">
        <x:v>HP-23</x:v>
      </x:c>
      <x:c r="F797" s="7" t="str">
        <x:v>evidence</x:v>
      </x:c>
      <x:c r="G797" s="7" t="str">
        <x:v>state</x:v>
      </x:c>
      <x:c r="H797" s="10" t="str"/>
      <x:c r="I797" s="7" t="str"/>
      <x:c r="J797" s="7" t="str">
        <x:v>OPEN</x:v>
      </x:c>
    </x:row>
    <x:row r="798" ht="36" customHeight="1">
      <x:c r="B798" s="7" t="str">
        <x:v>RAE-E-25-HP-24</x:v>
      </x:c>
      <x:c r="C798" s="7" t="str">
        <x:v>RAE-E-25</x:v>
      </x:c>
      <x:c r="D798" s="7" t="str">
        <x:v>RFP-B2</x:v>
      </x:c>
      <x:c r="E798" s="7" t="str">
        <x:v>HP-24</x:v>
      </x:c>
      <x:c r="F798" s="7" t="str">
        <x:v>evidence</x:v>
      </x:c>
      <x:c r="G798" s="7" t="str">
        <x:v>authority</x:v>
      </x:c>
      <x:c r="H798" s="10" t="str"/>
      <x:c r="I798" s="7" t="str"/>
      <x:c r="J798" s="7" t="str">
        <x:v>OPEN</x:v>
      </x:c>
    </x:row>
    <x:row r="799" ht="36" customHeight="1">
      <x:c r="B799" s="7" t="str">
        <x:v>RAE-E-25-HP-25</x:v>
      </x:c>
      <x:c r="C799" s="7" t="str">
        <x:v>RAE-E-25</x:v>
      </x:c>
      <x:c r="D799" s="7" t="str">
        <x:v>RFP-B2</x:v>
      </x:c>
      <x:c r="E799" s="7" t="str">
        <x:v>HP-25</x:v>
      </x:c>
      <x:c r="F799" s="7" t="str">
        <x:v>environment</x:v>
      </x:c>
      <x:c r="G799" s="7" t="str">
        <x:v>identity</x:v>
      </x:c>
      <x:c r="H799" s="10" t="str"/>
      <x:c r="I799" s="7" t="str"/>
      <x:c r="J799" s="7" t="str">
        <x:v>OPEN</x:v>
      </x:c>
    </x:row>
    <x:row r="800" ht="36" customHeight="1">
      <x:c r="B800" s="7" t="str">
        <x:v>RAE-E-25-HP-26</x:v>
      </x:c>
      <x:c r="C800" s="7" t="str">
        <x:v>RAE-E-25</x:v>
      </x:c>
      <x:c r="D800" s="7" t="str">
        <x:v>RFP-B2</x:v>
      </x:c>
      <x:c r="E800" s="7" t="str">
        <x:v>HP-26</x:v>
      </x:c>
      <x:c r="F800" s="7" t="str">
        <x:v>environment</x:v>
      </x:c>
      <x:c r="G800" s="7" t="str">
        <x:v>capacity</x:v>
      </x:c>
      <x:c r="H800" s="10" t="str"/>
      <x:c r="I800" s="7" t="str"/>
      <x:c r="J800" s="7" t="str">
        <x:v>OPEN</x:v>
      </x:c>
    </x:row>
    <x:row r="801" ht="36" customHeight="1">
      <x:c r="B801" s="7" t="str">
        <x:v>RAE-E-25-HP-27</x:v>
      </x:c>
      <x:c r="C801" s="7" t="str">
        <x:v>RAE-E-25</x:v>
      </x:c>
      <x:c r="D801" s="7" t="str">
        <x:v>RFP-B2</x:v>
      </x:c>
      <x:c r="E801" s="7" t="str">
        <x:v>HP-27</x:v>
      </x:c>
      <x:c r="F801" s="7" t="str">
        <x:v>environment</x:v>
      </x:c>
      <x:c r="G801" s="7" t="str">
        <x:v>state</x:v>
      </x:c>
      <x:c r="H801" s="10" t="str"/>
      <x:c r="I801" s="7" t="str"/>
      <x:c r="J801" s="7" t="str">
        <x:v>OPEN</x:v>
      </x:c>
    </x:row>
    <x:row r="802" ht="36" customHeight="1">
      <x:c r="B802" s="7" t="str">
        <x:v>RAE-E-25-HP-28</x:v>
      </x:c>
      <x:c r="C802" s="7" t="str">
        <x:v>RAE-E-25</x:v>
      </x:c>
      <x:c r="D802" s="7" t="str">
        <x:v>RFP-B2</x:v>
      </x:c>
      <x:c r="E802" s="7" t="str">
        <x:v>HP-28</x:v>
      </x:c>
      <x:c r="F802" s="7" t="str">
        <x:v>environment</x:v>
      </x:c>
      <x:c r="G802" s="7" t="str">
        <x:v>authority</x:v>
      </x:c>
      <x:c r="H802" s="10" t="str"/>
      <x:c r="I802" s="7" t="str"/>
      <x:c r="J802" s="7" t="str">
        <x:v>OPEN</x:v>
      </x:c>
    </x:row>
    <x:row r="803" ht="36" customHeight="1">
      <x:c r="B803" s="7" t="str">
        <x:v>RAE-E-25-HP-29</x:v>
      </x:c>
      <x:c r="C803" s="7" t="str">
        <x:v>RAE-E-25</x:v>
      </x:c>
      <x:c r="D803" s="7" t="str">
        <x:v>RFP-B2</x:v>
      </x:c>
      <x:c r="E803" s="7" t="str">
        <x:v>HP-29</x:v>
      </x:c>
      <x:c r="F803" s="7" t="str">
        <x:v>authority</x:v>
      </x:c>
      <x:c r="G803" s="7" t="str">
        <x:v>identity</x:v>
      </x:c>
      <x:c r="H803" s="10" t="str"/>
      <x:c r="I803" s="7" t="str"/>
      <x:c r="J803" s="7" t="str">
        <x:v>OPEN</x:v>
      </x:c>
    </x:row>
    <x:row r="804" ht="36" customHeight="1">
      <x:c r="B804" s="7" t="str">
        <x:v>RAE-E-25-HP-30</x:v>
      </x:c>
      <x:c r="C804" s="7" t="str">
        <x:v>RAE-E-25</x:v>
      </x:c>
      <x:c r="D804" s="7" t="str">
        <x:v>RFP-B2</x:v>
      </x:c>
      <x:c r="E804" s="7" t="str">
        <x:v>HP-30</x:v>
      </x:c>
      <x:c r="F804" s="7" t="str">
        <x:v>authority</x:v>
      </x:c>
      <x:c r="G804" s="7" t="str">
        <x:v>capacity</x:v>
      </x:c>
      <x:c r="H804" s="10" t="str"/>
      <x:c r="I804" s="7" t="str"/>
      <x:c r="J804" s="7" t="str">
        <x:v>OPEN</x:v>
      </x:c>
    </x:row>
    <x:row r="805" ht="36" customHeight="1">
      <x:c r="B805" s="7" t="str">
        <x:v>RAE-E-25-HP-31</x:v>
      </x:c>
      <x:c r="C805" s="7" t="str">
        <x:v>RAE-E-25</x:v>
      </x:c>
      <x:c r="D805" s="7" t="str">
        <x:v>RFP-B2</x:v>
      </x:c>
      <x:c r="E805" s="7" t="str">
        <x:v>HP-31</x:v>
      </x:c>
      <x:c r="F805" s="7" t="str">
        <x:v>authority</x:v>
      </x:c>
      <x:c r="G805" s="7" t="str">
        <x:v>state</x:v>
      </x:c>
      <x:c r="H805" s="10" t="str"/>
      <x:c r="I805" s="7" t="str"/>
      <x:c r="J805" s="7" t="str">
        <x:v>OPEN</x:v>
      </x:c>
    </x:row>
    <x:row r="806" ht="36" customHeight="1">
      <x:c r="B806" s="7" t="str">
        <x:v>RAE-E-25-HP-32</x:v>
      </x:c>
      <x:c r="C806" s="7" t="str">
        <x:v>RAE-E-25</x:v>
      </x:c>
      <x:c r="D806" s="7" t="str">
        <x:v>RFP-B2</x:v>
      </x:c>
      <x:c r="E806" s="7" t="str">
        <x:v>HP-32</x:v>
      </x:c>
      <x:c r="F806" s="7" t="str">
        <x:v>authority</x:v>
      </x:c>
      <x:c r="G806" s="7" t="str">
        <x:v>authority</x:v>
      </x:c>
      <x:c r="H806" s="10" t="str"/>
      <x:c r="I806" s="7" t="str"/>
      <x:c r="J806" s="7" t="str">
        <x:v>OPEN</x:v>
      </x:c>
    </x:row>
    <x:row r="807" ht="36" customHeight="1">
      <x:c r="B807" s="7" t="str">
        <x:v>RAE-E-26-HP-01</x:v>
      </x:c>
      <x:c r="C807" s="7" t="str">
        <x:v>RAE-E-26</x:v>
      </x:c>
      <x:c r="D807" s="7" t="str">
        <x:v>RFP-B2</x:v>
      </x:c>
      <x:c r="E807" s="7" t="str">
        <x:v>HP-01</x:v>
      </x:c>
      <x:c r="F807" s="7" t="str">
        <x:v>configuration</x:v>
      </x:c>
      <x:c r="G807" s="7" t="str">
        <x:v>identity</x:v>
      </x:c>
      <x:c r="H807" s="10" t="str"/>
      <x:c r="I807" s="7" t="str"/>
      <x:c r="J807" s="7" t="str">
        <x:v>OPEN</x:v>
      </x:c>
    </x:row>
    <x:row r="808" ht="36" customHeight="1">
      <x:c r="B808" s="7" t="str">
        <x:v>RAE-E-26-HP-02</x:v>
      </x:c>
      <x:c r="C808" s="7" t="str">
        <x:v>RAE-E-26</x:v>
      </x:c>
      <x:c r="D808" s="7" t="str">
        <x:v>RFP-B2</x:v>
      </x:c>
      <x:c r="E808" s="7" t="str">
        <x:v>HP-02</x:v>
      </x:c>
      <x:c r="F808" s="7" t="str">
        <x:v>configuration</x:v>
      </x:c>
      <x:c r="G808" s="7" t="str">
        <x:v>capacity</x:v>
      </x:c>
      <x:c r="H808" s="10" t="str"/>
      <x:c r="I808" s="7" t="str"/>
      <x:c r="J808" s="7" t="str">
        <x:v>OPEN</x:v>
      </x:c>
    </x:row>
    <x:row r="809" ht="36" customHeight="1">
      <x:c r="B809" s="7" t="str">
        <x:v>RAE-E-26-HP-03</x:v>
      </x:c>
      <x:c r="C809" s="7" t="str">
        <x:v>RAE-E-26</x:v>
      </x:c>
      <x:c r="D809" s="7" t="str">
        <x:v>RFP-B2</x:v>
      </x:c>
      <x:c r="E809" s="7" t="str">
        <x:v>HP-03</x:v>
      </x:c>
      <x:c r="F809" s="7" t="str">
        <x:v>configuration</x:v>
      </x:c>
      <x:c r="G809" s="7" t="str">
        <x:v>state</x:v>
      </x:c>
      <x:c r="H809" s="10" t="str"/>
      <x:c r="I809" s="7" t="str"/>
      <x:c r="J809" s="7" t="str">
        <x:v>OPEN</x:v>
      </x:c>
    </x:row>
    <x:row r="810" ht="36" customHeight="1">
      <x:c r="B810" s="7" t="str">
        <x:v>RAE-E-26-HP-04</x:v>
      </x:c>
      <x:c r="C810" s="7" t="str">
        <x:v>RAE-E-26</x:v>
      </x:c>
      <x:c r="D810" s="7" t="str">
        <x:v>RFP-B2</x:v>
      </x:c>
      <x:c r="E810" s="7" t="str">
        <x:v>HP-04</x:v>
      </x:c>
      <x:c r="F810" s="7" t="str">
        <x:v>configuration</x:v>
      </x:c>
      <x:c r="G810" s="7" t="str">
        <x:v>authority</x:v>
      </x:c>
      <x:c r="H810" s="10" t="str"/>
      <x:c r="I810" s="7" t="str"/>
      <x:c r="J810" s="7" t="str">
        <x:v>OPEN</x:v>
      </x:c>
    </x:row>
    <x:row r="811" ht="36" customHeight="1">
      <x:c r="B811" s="7" t="str">
        <x:v>RAE-E-26-HP-05</x:v>
      </x:c>
      <x:c r="C811" s="7" t="str">
        <x:v>RAE-E-26</x:v>
      </x:c>
      <x:c r="D811" s="7" t="str">
        <x:v>RFP-B2</x:v>
      </x:c>
      <x:c r="E811" s="7" t="str">
        <x:v>HP-05</x:v>
      </x:c>
      <x:c r="F811" s="7" t="str">
        <x:v>source</x:v>
      </x:c>
      <x:c r="G811" s="7" t="str">
        <x:v>identity</x:v>
      </x:c>
      <x:c r="H811" s="10" t="str"/>
      <x:c r="I811" s="7" t="str"/>
      <x:c r="J811" s="7" t="str">
        <x:v>OPEN</x:v>
      </x:c>
    </x:row>
    <x:row r="812" ht="36" customHeight="1">
      <x:c r="B812" s="7" t="str">
        <x:v>RAE-E-26-HP-06</x:v>
      </x:c>
      <x:c r="C812" s="7" t="str">
        <x:v>RAE-E-26</x:v>
      </x:c>
      <x:c r="D812" s="7" t="str">
        <x:v>RFP-B2</x:v>
      </x:c>
      <x:c r="E812" s="7" t="str">
        <x:v>HP-06</x:v>
      </x:c>
      <x:c r="F812" s="7" t="str">
        <x:v>source</x:v>
      </x:c>
      <x:c r="G812" s="7" t="str">
        <x:v>capacity</x:v>
      </x:c>
      <x:c r="H812" s="10" t="str"/>
      <x:c r="I812" s="7" t="str"/>
      <x:c r="J812" s="7" t="str">
        <x:v>OPEN</x:v>
      </x:c>
    </x:row>
    <x:row r="813" ht="36" customHeight="1">
      <x:c r="B813" s="7" t="str">
        <x:v>RAE-E-26-HP-07</x:v>
      </x:c>
      <x:c r="C813" s="7" t="str">
        <x:v>RAE-E-26</x:v>
      </x:c>
      <x:c r="D813" s="7" t="str">
        <x:v>RFP-B2</x:v>
      </x:c>
      <x:c r="E813" s="7" t="str">
        <x:v>HP-07</x:v>
      </x:c>
      <x:c r="F813" s="7" t="str">
        <x:v>source</x:v>
      </x:c>
      <x:c r="G813" s="7" t="str">
        <x:v>state</x:v>
      </x:c>
      <x:c r="H813" s="10" t="str"/>
      <x:c r="I813" s="7" t="str"/>
      <x:c r="J813" s="7" t="str">
        <x:v>OPEN</x:v>
      </x:c>
    </x:row>
    <x:row r="814" ht="36" customHeight="1">
      <x:c r="B814" s="7" t="str">
        <x:v>RAE-E-26-HP-08</x:v>
      </x:c>
      <x:c r="C814" s="7" t="str">
        <x:v>RAE-E-26</x:v>
      </x:c>
      <x:c r="D814" s="7" t="str">
        <x:v>RFP-B2</x:v>
      </x:c>
      <x:c r="E814" s="7" t="str">
        <x:v>HP-08</x:v>
      </x:c>
      <x:c r="F814" s="7" t="str">
        <x:v>source</x:v>
      </x:c>
      <x:c r="G814" s="7" t="str">
        <x:v>authority</x:v>
      </x:c>
      <x:c r="H814" s="10" t="str"/>
      <x:c r="I814" s="7" t="str"/>
      <x:c r="J814" s="7" t="str">
        <x:v>OPEN</x:v>
      </x:c>
    </x:row>
    <x:row r="815" ht="36" customHeight="1">
      <x:c r="B815" s="7" t="str">
        <x:v>RAE-E-26-HP-09</x:v>
      </x:c>
      <x:c r="C815" s="7" t="str">
        <x:v>RAE-E-26</x:v>
      </x:c>
      <x:c r="D815" s="7" t="str">
        <x:v>RFP-B2</x:v>
      </x:c>
      <x:c r="E815" s="7" t="str">
        <x:v>HP-09</x:v>
      </x:c>
      <x:c r="F815" s="7" t="str">
        <x:v>containment</x:v>
      </x:c>
      <x:c r="G815" s="7" t="str">
        <x:v>identity</x:v>
      </x:c>
      <x:c r="H815" s="10" t="str"/>
      <x:c r="I815" s="7" t="str"/>
      <x:c r="J815" s="7" t="str">
        <x:v>OPEN</x:v>
      </x:c>
    </x:row>
    <x:row r="816" ht="36" customHeight="1">
      <x:c r="B816" s="7" t="str">
        <x:v>RAE-E-26-HP-10</x:v>
      </x:c>
      <x:c r="C816" s="7" t="str">
        <x:v>RAE-E-26</x:v>
      </x:c>
      <x:c r="D816" s="7" t="str">
        <x:v>RFP-B2</x:v>
      </x:c>
      <x:c r="E816" s="7" t="str">
        <x:v>HP-10</x:v>
      </x:c>
      <x:c r="F816" s="7" t="str">
        <x:v>containment</x:v>
      </x:c>
      <x:c r="G816" s="7" t="str">
        <x:v>capacity</x:v>
      </x:c>
      <x:c r="H816" s="10" t="str"/>
      <x:c r="I816" s="7" t="str"/>
      <x:c r="J816" s="7" t="str">
        <x:v>OPEN</x:v>
      </x:c>
    </x:row>
    <x:row r="817" ht="36" customHeight="1">
      <x:c r="B817" s="7" t="str">
        <x:v>RAE-E-26-HP-11</x:v>
      </x:c>
      <x:c r="C817" s="7" t="str">
        <x:v>RAE-E-26</x:v>
      </x:c>
      <x:c r="D817" s="7" t="str">
        <x:v>RFP-B2</x:v>
      </x:c>
      <x:c r="E817" s="7" t="str">
        <x:v>HP-11</x:v>
      </x:c>
      <x:c r="F817" s="7" t="str">
        <x:v>containment</x:v>
      </x:c>
      <x:c r="G817" s="7" t="str">
        <x:v>state</x:v>
      </x:c>
      <x:c r="H817" s="10" t="str"/>
      <x:c r="I817" s="7" t="str"/>
      <x:c r="J817" s="7" t="str">
        <x:v>OPEN</x:v>
      </x:c>
    </x:row>
    <x:row r="818" ht="36" customHeight="1">
      <x:c r="B818" s="7" t="str">
        <x:v>RAE-E-26-HP-12</x:v>
      </x:c>
      <x:c r="C818" s="7" t="str">
        <x:v>RAE-E-26</x:v>
      </x:c>
      <x:c r="D818" s="7" t="str">
        <x:v>RFP-B2</x:v>
      </x:c>
      <x:c r="E818" s="7" t="str">
        <x:v>HP-12</x:v>
      </x:c>
      <x:c r="F818" s="7" t="str">
        <x:v>containment</x:v>
      </x:c>
      <x:c r="G818" s="7" t="str">
        <x:v>authority</x:v>
      </x:c>
      <x:c r="H818" s="10" t="str"/>
      <x:c r="I818" s="7" t="str"/>
      <x:c r="J818" s="7" t="str">
        <x:v>OPEN</x:v>
      </x:c>
    </x:row>
    <x:row r="819" ht="36" customHeight="1">
      <x:c r="B819" s="7" t="str">
        <x:v>RAE-E-26-HP-13</x:v>
      </x:c>
      <x:c r="C819" s="7" t="str">
        <x:v>RAE-E-26</x:v>
      </x:c>
      <x:c r="D819" s="7" t="str">
        <x:v>RFP-B2</x:v>
      </x:c>
      <x:c r="E819" s="7" t="str">
        <x:v>HP-13</x:v>
      </x:c>
      <x:c r="F819" s="7" t="str">
        <x:v>water</x:v>
      </x:c>
      <x:c r="G819" s="7" t="str">
        <x:v>identity</x:v>
      </x:c>
      <x:c r="H819" s="10" t="str"/>
      <x:c r="I819" s="7" t="str"/>
      <x:c r="J819" s="7" t="str">
        <x:v>OPEN</x:v>
      </x:c>
    </x:row>
    <x:row r="820" ht="36" customHeight="1">
      <x:c r="B820" s="7" t="str">
        <x:v>RAE-E-26-HP-14</x:v>
      </x:c>
      <x:c r="C820" s="7" t="str">
        <x:v>RAE-E-26</x:v>
      </x:c>
      <x:c r="D820" s="7" t="str">
        <x:v>RFP-B2</x:v>
      </x:c>
      <x:c r="E820" s="7" t="str">
        <x:v>HP-14</x:v>
      </x:c>
      <x:c r="F820" s="7" t="str">
        <x:v>water</x:v>
      </x:c>
      <x:c r="G820" s="7" t="str">
        <x:v>capacity</x:v>
      </x:c>
      <x:c r="H820" s="10" t="str"/>
      <x:c r="I820" s="7" t="str"/>
      <x:c r="J820" s="7" t="str">
        <x:v>OPEN</x:v>
      </x:c>
    </x:row>
    <x:row r="821" ht="36" customHeight="1">
      <x:c r="B821" s="7" t="str">
        <x:v>RAE-E-26-HP-15</x:v>
      </x:c>
      <x:c r="C821" s="7" t="str">
        <x:v>RAE-E-26</x:v>
      </x:c>
      <x:c r="D821" s="7" t="str">
        <x:v>RFP-B2</x:v>
      </x:c>
      <x:c r="E821" s="7" t="str">
        <x:v>HP-15</x:v>
      </x:c>
      <x:c r="F821" s="7" t="str">
        <x:v>water</x:v>
      </x:c>
      <x:c r="G821" s="7" t="str">
        <x:v>state</x:v>
      </x:c>
      <x:c r="H821" s="10" t="str"/>
      <x:c r="I821" s="7" t="str"/>
      <x:c r="J821" s="7" t="str">
        <x:v>OPEN</x:v>
      </x:c>
    </x:row>
    <x:row r="822" ht="36" customHeight="1">
      <x:c r="B822" s="7" t="str">
        <x:v>RAE-E-26-HP-16</x:v>
      </x:c>
      <x:c r="C822" s="7" t="str">
        <x:v>RAE-E-26</x:v>
      </x:c>
      <x:c r="D822" s="7" t="str">
        <x:v>RFP-B2</x:v>
      </x:c>
      <x:c r="E822" s="7" t="str">
        <x:v>HP-16</x:v>
      </x:c>
      <x:c r="F822" s="7" t="str">
        <x:v>water</x:v>
      </x:c>
      <x:c r="G822" s="7" t="str">
        <x:v>authority</x:v>
      </x:c>
      <x:c r="H822" s="10" t="str"/>
      <x:c r="I822" s="7" t="str"/>
      <x:c r="J822" s="7" t="str">
        <x:v>OPEN</x:v>
      </x:c>
    </x:row>
    <x:row r="823" ht="36" customHeight="1">
      <x:c r="B823" s="7" t="str">
        <x:v>RAE-E-26-HP-17</x:v>
      </x:c>
      <x:c r="C823" s="7" t="str">
        <x:v>RAE-E-26</x:v>
      </x:c>
      <x:c r="D823" s="7" t="str">
        <x:v>RFP-B2</x:v>
      </x:c>
      <x:c r="E823" s="7" t="str">
        <x:v>HP-17</x:v>
      </x:c>
      <x:c r="F823" s="7" t="str">
        <x:v>safeing</x:v>
      </x:c>
      <x:c r="G823" s="7" t="str">
        <x:v>identity</x:v>
      </x:c>
      <x:c r="H823" s="10" t="str"/>
      <x:c r="I823" s="7" t="str"/>
      <x:c r="J823" s="7" t="str">
        <x:v>OPEN</x:v>
      </x:c>
    </x:row>
    <x:row r="824" ht="36" customHeight="1">
      <x:c r="B824" s="7" t="str">
        <x:v>RAE-E-26-HP-18</x:v>
      </x:c>
      <x:c r="C824" s="7" t="str">
        <x:v>RAE-E-26</x:v>
      </x:c>
      <x:c r="D824" s="7" t="str">
        <x:v>RFP-B2</x:v>
      </x:c>
      <x:c r="E824" s="7" t="str">
        <x:v>HP-18</x:v>
      </x:c>
      <x:c r="F824" s="7" t="str">
        <x:v>safeing</x:v>
      </x:c>
      <x:c r="G824" s="7" t="str">
        <x:v>capacity</x:v>
      </x:c>
      <x:c r="H824" s="10" t="str"/>
      <x:c r="I824" s="7" t="str"/>
      <x:c r="J824" s="7" t="str">
        <x:v>OPEN</x:v>
      </x:c>
    </x:row>
    <x:row r="825" ht="36" customHeight="1">
      <x:c r="B825" s="7" t="str">
        <x:v>RAE-E-26-HP-19</x:v>
      </x:c>
      <x:c r="C825" s="7" t="str">
        <x:v>RAE-E-26</x:v>
      </x:c>
      <x:c r="D825" s="7" t="str">
        <x:v>RFP-B2</x:v>
      </x:c>
      <x:c r="E825" s="7" t="str">
        <x:v>HP-19</x:v>
      </x:c>
      <x:c r="F825" s="7" t="str">
        <x:v>safeing</x:v>
      </x:c>
      <x:c r="G825" s="7" t="str">
        <x:v>state</x:v>
      </x:c>
      <x:c r="H825" s="10" t="str"/>
      <x:c r="I825" s="7" t="str"/>
      <x:c r="J825" s="7" t="str">
        <x:v>OPEN</x:v>
      </x:c>
    </x:row>
    <x:row r="826" ht="36" customHeight="1">
      <x:c r="B826" s="7" t="str">
        <x:v>RAE-E-26-HP-20</x:v>
      </x:c>
      <x:c r="C826" s="7" t="str">
        <x:v>RAE-E-26</x:v>
      </x:c>
      <x:c r="D826" s="7" t="str">
        <x:v>RFP-B2</x:v>
      </x:c>
      <x:c r="E826" s="7" t="str">
        <x:v>HP-20</x:v>
      </x:c>
      <x:c r="F826" s="7" t="str">
        <x:v>safeing</x:v>
      </x:c>
      <x:c r="G826" s="7" t="str">
        <x:v>authority</x:v>
      </x:c>
      <x:c r="H826" s="10" t="str"/>
      <x:c r="I826" s="7" t="str"/>
      <x:c r="J826" s="7" t="str">
        <x:v>OPEN</x:v>
      </x:c>
    </x:row>
    <x:row r="827" ht="36" customHeight="1">
      <x:c r="B827" s="7" t="str">
        <x:v>RAE-E-26-HP-21</x:v>
      </x:c>
      <x:c r="C827" s="7" t="str">
        <x:v>RAE-E-26</x:v>
      </x:c>
      <x:c r="D827" s="7" t="str">
        <x:v>RFP-B2</x:v>
      </x:c>
      <x:c r="E827" s="7" t="str">
        <x:v>HP-21</x:v>
      </x:c>
      <x:c r="F827" s="7" t="str">
        <x:v>evidence</x:v>
      </x:c>
      <x:c r="G827" s="7" t="str">
        <x:v>identity</x:v>
      </x:c>
      <x:c r="H827" s="10" t="str"/>
      <x:c r="I827" s="7" t="str"/>
      <x:c r="J827" s="7" t="str">
        <x:v>OPEN</x:v>
      </x:c>
    </x:row>
    <x:row r="828" ht="36" customHeight="1">
      <x:c r="B828" s="7" t="str">
        <x:v>RAE-E-26-HP-22</x:v>
      </x:c>
      <x:c r="C828" s="7" t="str">
        <x:v>RAE-E-26</x:v>
      </x:c>
      <x:c r="D828" s="7" t="str">
        <x:v>RFP-B2</x:v>
      </x:c>
      <x:c r="E828" s="7" t="str">
        <x:v>HP-22</x:v>
      </x:c>
      <x:c r="F828" s="7" t="str">
        <x:v>evidence</x:v>
      </x:c>
      <x:c r="G828" s="7" t="str">
        <x:v>capacity</x:v>
      </x:c>
      <x:c r="H828" s="10" t="str"/>
      <x:c r="I828" s="7" t="str"/>
      <x:c r="J828" s="7" t="str">
        <x:v>OPEN</x:v>
      </x:c>
    </x:row>
    <x:row r="829" ht="36" customHeight="1">
      <x:c r="B829" s="7" t="str">
        <x:v>RAE-E-26-HP-23</x:v>
      </x:c>
      <x:c r="C829" s="7" t="str">
        <x:v>RAE-E-26</x:v>
      </x:c>
      <x:c r="D829" s="7" t="str">
        <x:v>RFP-B2</x:v>
      </x:c>
      <x:c r="E829" s="7" t="str">
        <x:v>HP-23</x:v>
      </x:c>
      <x:c r="F829" s="7" t="str">
        <x:v>evidence</x:v>
      </x:c>
      <x:c r="G829" s="7" t="str">
        <x:v>state</x:v>
      </x:c>
      <x:c r="H829" s="10" t="str"/>
      <x:c r="I829" s="7" t="str"/>
      <x:c r="J829" s="7" t="str">
        <x:v>OPEN</x:v>
      </x:c>
    </x:row>
    <x:row r="830" ht="36" customHeight="1">
      <x:c r="B830" s="7" t="str">
        <x:v>RAE-E-26-HP-24</x:v>
      </x:c>
      <x:c r="C830" s="7" t="str">
        <x:v>RAE-E-26</x:v>
      </x:c>
      <x:c r="D830" s="7" t="str">
        <x:v>RFP-B2</x:v>
      </x:c>
      <x:c r="E830" s="7" t="str">
        <x:v>HP-24</x:v>
      </x:c>
      <x:c r="F830" s="7" t="str">
        <x:v>evidence</x:v>
      </x:c>
      <x:c r="G830" s="7" t="str">
        <x:v>authority</x:v>
      </x:c>
      <x:c r="H830" s="10" t="str"/>
      <x:c r="I830" s="7" t="str"/>
      <x:c r="J830" s="7" t="str">
        <x:v>OPEN</x:v>
      </x:c>
    </x:row>
    <x:row r="831" ht="36" customHeight="1">
      <x:c r="B831" s="7" t="str">
        <x:v>RAE-E-26-HP-25</x:v>
      </x:c>
      <x:c r="C831" s="7" t="str">
        <x:v>RAE-E-26</x:v>
      </x:c>
      <x:c r="D831" s="7" t="str">
        <x:v>RFP-B2</x:v>
      </x:c>
      <x:c r="E831" s="7" t="str">
        <x:v>HP-25</x:v>
      </x:c>
      <x:c r="F831" s="7" t="str">
        <x:v>environment</x:v>
      </x:c>
      <x:c r="G831" s="7" t="str">
        <x:v>identity</x:v>
      </x:c>
      <x:c r="H831" s="10" t="str"/>
      <x:c r="I831" s="7" t="str"/>
      <x:c r="J831" s="7" t="str">
        <x:v>OPEN</x:v>
      </x:c>
    </x:row>
    <x:row r="832" ht="36" customHeight="1">
      <x:c r="B832" s="7" t="str">
        <x:v>RAE-E-26-HP-26</x:v>
      </x:c>
      <x:c r="C832" s="7" t="str">
        <x:v>RAE-E-26</x:v>
      </x:c>
      <x:c r="D832" s="7" t="str">
        <x:v>RFP-B2</x:v>
      </x:c>
      <x:c r="E832" s="7" t="str">
        <x:v>HP-26</x:v>
      </x:c>
      <x:c r="F832" s="7" t="str">
        <x:v>environment</x:v>
      </x:c>
      <x:c r="G832" s="7" t="str">
        <x:v>capacity</x:v>
      </x:c>
      <x:c r="H832" s="10" t="str"/>
      <x:c r="I832" s="7" t="str"/>
      <x:c r="J832" s="7" t="str">
        <x:v>OPEN</x:v>
      </x:c>
    </x:row>
    <x:row r="833" ht="36" customHeight="1">
      <x:c r="B833" s="7" t="str">
        <x:v>RAE-E-26-HP-27</x:v>
      </x:c>
      <x:c r="C833" s="7" t="str">
        <x:v>RAE-E-26</x:v>
      </x:c>
      <x:c r="D833" s="7" t="str">
        <x:v>RFP-B2</x:v>
      </x:c>
      <x:c r="E833" s="7" t="str">
        <x:v>HP-27</x:v>
      </x:c>
      <x:c r="F833" s="7" t="str">
        <x:v>environment</x:v>
      </x:c>
      <x:c r="G833" s="7" t="str">
        <x:v>state</x:v>
      </x:c>
      <x:c r="H833" s="10" t="str"/>
      <x:c r="I833" s="7" t="str"/>
      <x:c r="J833" s="7" t="str">
        <x:v>OPEN</x:v>
      </x:c>
    </x:row>
    <x:row r="834" ht="36" customHeight="1">
      <x:c r="B834" s="7" t="str">
        <x:v>RAE-E-26-HP-28</x:v>
      </x:c>
      <x:c r="C834" s="7" t="str">
        <x:v>RAE-E-26</x:v>
      </x:c>
      <x:c r="D834" s="7" t="str">
        <x:v>RFP-B2</x:v>
      </x:c>
      <x:c r="E834" s="7" t="str">
        <x:v>HP-28</x:v>
      </x:c>
      <x:c r="F834" s="7" t="str">
        <x:v>environment</x:v>
      </x:c>
      <x:c r="G834" s="7" t="str">
        <x:v>authority</x:v>
      </x:c>
      <x:c r="H834" s="10" t="str"/>
      <x:c r="I834" s="7" t="str"/>
      <x:c r="J834" s="7" t="str">
        <x:v>OPEN</x:v>
      </x:c>
    </x:row>
    <x:row r="835" ht="36" customHeight="1">
      <x:c r="B835" s="7" t="str">
        <x:v>RAE-E-26-HP-29</x:v>
      </x:c>
      <x:c r="C835" s="7" t="str">
        <x:v>RAE-E-26</x:v>
      </x:c>
      <x:c r="D835" s="7" t="str">
        <x:v>RFP-B2</x:v>
      </x:c>
      <x:c r="E835" s="7" t="str">
        <x:v>HP-29</x:v>
      </x:c>
      <x:c r="F835" s="7" t="str">
        <x:v>authority</x:v>
      </x:c>
      <x:c r="G835" s="7" t="str">
        <x:v>identity</x:v>
      </x:c>
      <x:c r="H835" s="10" t="str"/>
      <x:c r="I835" s="7" t="str"/>
      <x:c r="J835" s="7" t="str">
        <x:v>OPEN</x:v>
      </x:c>
    </x:row>
    <x:row r="836" ht="36" customHeight="1">
      <x:c r="B836" s="7" t="str">
        <x:v>RAE-E-26-HP-30</x:v>
      </x:c>
      <x:c r="C836" s="7" t="str">
        <x:v>RAE-E-26</x:v>
      </x:c>
      <x:c r="D836" s="7" t="str">
        <x:v>RFP-B2</x:v>
      </x:c>
      <x:c r="E836" s="7" t="str">
        <x:v>HP-30</x:v>
      </x:c>
      <x:c r="F836" s="7" t="str">
        <x:v>authority</x:v>
      </x:c>
      <x:c r="G836" s="7" t="str">
        <x:v>capacity</x:v>
      </x:c>
      <x:c r="H836" s="10" t="str"/>
      <x:c r="I836" s="7" t="str"/>
      <x:c r="J836" s="7" t="str">
        <x:v>OPEN</x:v>
      </x:c>
    </x:row>
    <x:row r="837" ht="36" customHeight="1">
      <x:c r="B837" s="7" t="str">
        <x:v>RAE-E-26-HP-31</x:v>
      </x:c>
      <x:c r="C837" s="7" t="str">
        <x:v>RAE-E-26</x:v>
      </x:c>
      <x:c r="D837" s="7" t="str">
        <x:v>RFP-B2</x:v>
      </x:c>
      <x:c r="E837" s="7" t="str">
        <x:v>HP-31</x:v>
      </x:c>
      <x:c r="F837" s="7" t="str">
        <x:v>authority</x:v>
      </x:c>
      <x:c r="G837" s="7" t="str">
        <x:v>state</x:v>
      </x:c>
      <x:c r="H837" s="10" t="str"/>
      <x:c r="I837" s="7" t="str"/>
      <x:c r="J837" s="7" t="str">
        <x:v>OPEN</x:v>
      </x:c>
    </x:row>
    <x:row r="838" ht="36" customHeight="1">
      <x:c r="B838" s="7" t="str">
        <x:v>RAE-E-26-HP-32</x:v>
      </x:c>
      <x:c r="C838" s="7" t="str">
        <x:v>RAE-E-26</x:v>
      </x:c>
      <x:c r="D838" s="7" t="str">
        <x:v>RFP-B2</x:v>
      </x:c>
      <x:c r="E838" s="7" t="str">
        <x:v>HP-32</x:v>
      </x:c>
      <x:c r="F838" s="7" t="str">
        <x:v>authority</x:v>
      </x:c>
      <x:c r="G838" s="7" t="str">
        <x:v>authority</x:v>
      </x:c>
      <x:c r="H838" s="10" t="str"/>
      <x:c r="I838" s="7" t="str"/>
      <x:c r="J838" s="7" t="str">
        <x:v>OPEN</x:v>
      </x:c>
    </x:row>
    <x:row r="839" ht="36" customHeight="1">
      <x:c r="B839" s="7" t="str">
        <x:v>RAE-E-27-HP-01</x:v>
      </x:c>
      <x:c r="C839" s="7" t="str">
        <x:v>RAE-E-27</x:v>
      </x:c>
      <x:c r="D839" s="7" t="str">
        <x:v>RFP-B2</x:v>
      </x:c>
      <x:c r="E839" s="7" t="str">
        <x:v>HP-01</x:v>
      </x:c>
      <x:c r="F839" s="7" t="str">
        <x:v>configuration</x:v>
      </x:c>
      <x:c r="G839" s="7" t="str">
        <x:v>identity</x:v>
      </x:c>
      <x:c r="H839" s="10" t="str"/>
      <x:c r="I839" s="7" t="str"/>
      <x:c r="J839" s="7" t="str">
        <x:v>OPEN</x:v>
      </x:c>
    </x:row>
    <x:row r="840" ht="36" customHeight="1">
      <x:c r="B840" s="7" t="str">
        <x:v>RAE-E-27-HP-02</x:v>
      </x:c>
      <x:c r="C840" s="7" t="str">
        <x:v>RAE-E-27</x:v>
      </x:c>
      <x:c r="D840" s="7" t="str">
        <x:v>RFP-B2</x:v>
      </x:c>
      <x:c r="E840" s="7" t="str">
        <x:v>HP-02</x:v>
      </x:c>
      <x:c r="F840" s="7" t="str">
        <x:v>configuration</x:v>
      </x:c>
      <x:c r="G840" s="7" t="str">
        <x:v>capacity</x:v>
      </x:c>
      <x:c r="H840" s="10" t="str"/>
      <x:c r="I840" s="7" t="str"/>
      <x:c r="J840" s="7" t="str">
        <x:v>OPEN</x:v>
      </x:c>
    </x:row>
    <x:row r="841" ht="36" customHeight="1">
      <x:c r="B841" s="7" t="str">
        <x:v>RAE-E-27-HP-03</x:v>
      </x:c>
      <x:c r="C841" s="7" t="str">
        <x:v>RAE-E-27</x:v>
      </x:c>
      <x:c r="D841" s="7" t="str">
        <x:v>RFP-B2</x:v>
      </x:c>
      <x:c r="E841" s="7" t="str">
        <x:v>HP-03</x:v>
      </x:c>
      <x:c r="F841" s="7" t="str">
        <x:v>configuration</x:v>
      </x:c>
      <x:c r="G841" s="7" t="str">
        <x:v>state</x:v>
      </x:c>
      <x:c r="H841" s="10" t="str"/>
      <x:c r="I841" s="7" t="str"/>
      <x:c r="J841" s="7" t="str">
        <x:v>OPEN</x:v>
      </x:c>
    </x:row>
    <x:row r="842" ht="36" customHeight="1">
      <x:c r="B842" s="7" t="str">
        <x:v>RAE-E-27-HP-04</x:v>
      </x:c>
      <x:c r="C842" s="7" t="str">
        <x:v>RAE-E-27</x:v>
      </x:c>
      <x:c r="D842" s="7" t="str">
        <x:v>RFP-B2</x:v>
      </x:c>
      <x:c r="E842" s="7" t="str">
        <x:v>HP-04</x:v>
      </x:c>
      <x:c r="F842" s="7" t="str">
        <x:v>configuration</x:v>
      </x:c>
      <x:c r="G842" s="7" t="str">
        <x:v>authority</x:v>
      </x:c>
      <x:c r="H842" s="10" t="str"/>
      <x:c r="I842" s="7" t="str"/>
      <x:c r="J842" s="7" t="str">
        <x:v>OPEN</x:v>
      </x:c>
    </x:row>
    <x:row r="843" ht="36" customHeight="1">
      <x:c r="B843" s="7" t="str">
        <x:v>RAE-E-27-HP-05</x:v>
      </x:c>
      <x:c r="C843" s="7" t="str">
        <x:v>RAE-E-27</x:v>
      </x:c>
      <x:c r="D843" s="7" t="str">
        <x:v>RFP-B2</x:v>
      </x:c>
      <x:c r="E843" s="7" t="str">
        <x:v>HP-05</x:v>
      </x:c>
      <x:c r="F843" s="7" t="str">
        <x:v>source</x:v>
      </x:c>
      <x:c r="G843" s="7" t="str">
        <x:v>identity</x:v>
      </x:c>
      <x:c r="H843" s="10" t="str"/>
      <x:c r="I843" s="7" t="str"/>
      <x:c r="J843" s="7" t="str">
        <x:v>OPEN</x:v>
      </x:c>
    </x:row>
    <x:row r="844" ht="36" customHeight="1">
      <x:c r="B844" s="7" t="str">
        <x:v>RAE-E-27-HP-06</x:v>
      </x:c>
      <x:c r="C844" s="7" t="str">
        <x:v>RAE-E-27</x:v>
      </x:c>
      <x:c r="D844" s="7" t="str">
        <x:v>RFP-B2</x:v>
      </x:c>
      <x:c r="E844" s="7" t="str">
        <x:v>HP-06</x:v>
      </x:c>
      <x:c r="F844" s="7" t="str">
        <x:v>source</x:v>
      </x:c>
      <x:c r="G844" s="7" t="str">
        <x:v>capacity</x:v>
      </x:c>
      <x:c r="H844" s="10" t="str"/>
      <x:c r="I844" s="7" t="str"/>
      <x:c r="J844" s="7" t="str">
        <x:v>OPEN</x:v>
      </x:c>
    </x:row>
    <x:row r="845" ht="36" customHeight="1">
      <x:c r="B845" s="7" t="str">
        <x:v>RAE-E-27-HP-07</x:v>
      </x:c>
      <x:c r="C845" s="7" t="str">
        <x:v>RAE-E-27</x:v>
      </x:c>
      <x:c r="D845" s="7" t="str">
        <x:v>RFP-B2</x:v>
      </x:c>
      <x:c r="E845" s="7" t="str">
        <x:v>HP-07</x:v>
      </x:c>
      <x:c r="F845" s="7" t="str">
        <x:v>source</x:v>
      </x:c>
      <x:c r="G845" s="7" t="str">
        <x:v>state</x:v>
      </x:c>
      <x:c r="H845" s="10" t="str"/>
      <x:c r="I845" s="7" t="str"/>
      <x:c r="J845" s="7" t="str">
        <x:v>OPEN</x:v>
      </x:c>
    </x:row>
    <x:row r="846" ht="36" customHeight="1">
      <x:c r="B846" s="7" t="str">
        <x:v>RAE-E-27-HP-08</x:v>
      </x:c>
      <x:c r="C846" s="7" t="str">
        <x:v>RAE-E-27</x:v>
      </x:c>
      <x:c r="D846" s="7" t="str">
        <x:v>RFP-B2</x:v>
      </x:c>
      <x:c r="E846" s="7" t="str">
        <x:v>HP-08</x:v>
      </x:c>
      <x:c r="F846" s="7" t="str">
        <x:v>source</x:v>
      </x:c>
      <x:c r="G846" s="7" t="str">
        <x:v>authority</x:v>
      </x:c>
      <x:c r="H846" s="10" t="str"/>
      <x:c r="I846" s="7" t="str"/>
      <x:c r="J846" s="7" t="str">
        <x:v>OPEN</x:v>
      </x:c>
    </x:row>
    <x:row r="847" ht="36" customHeight="1">
      <x:c r="B847" s="7" t="str">
        <x:v>RAE-E-27-HP-09</x:v>
      </x:c>
      <x:c r="C847" s="7" t="str">
        <x:v>RAE-E-27</x:v>
      </x:c>
      <x:c r="D847" s="7" t="str">
        <x:v>RFP-B2</x:v>
      </x:c>
      <x:c r="E847" s="7" t="str">
        <x:v>HP-09</x:v>
      </x:c>
      <x:c r="F847" s="7" t="str">
        <x:v>containment</x:v>
      </x:c>
      <x:c r="G847" s="7" t="str">
        <x:v>identity</x:v>
      </x:c>
      <x:c r="H847" s="10" t="str"/>
      <x:c r="I847" s="7" t="str"/>
      <x:c r="J847" s="7" t="str">
        <x:v>OPEN</x:v>
      </x:c>
    </x:row>
    <x:row r="848" ht="36" customHeight="1">
      <x:c r="B848" s="7" t="str">
        <x:v>RAE-E-27-HP-10</x:v>
      </x:c>
      <x:c r="C848" s="7" t="str">
        <x:v>RAE-E-27</x:v>
      </x:c>
      <x:c r="D848" s="7" t="str">
        <x:v>RFP-B2</x:v>
      </x:c>
      <x:c r="E848" s="7" t="str">
        <x:v>HP-10</x:v>
      </x:c>
      <x:c r="F848" s="7" t="str">
        <x:v>containment</x:v>
      </x:c>
      <x:c r="G848" s="7" t="str">
        <x:v>capacity</x:v>
      </x:c>
      <x:c r="H848" s="10" t="str"/>
      <x:c r="I848" s="7" t="str"/>
      <x:c r="J848" s="7" t="str">
        <x:v>OPEN</x:v>
      </x:c>
    </x:row>
    <x:row r="849" ht="36" customHeight="1">
      <x:c r="B849" s="7" t="str">
        <x:v>RAE-E-27-HP-11</x:v>
      </x:c>
      <x:c r="C849" s="7" t="str">
        <x:v>RAE-E-27</x:v>
      </x:c>
      <x:c r="D849" s="7" t="str">
        <x:v>RFP-B2</x:v>
      </x:c>
      <x:c r="E849" s="7" t="str">
        <x:v>HP-11</x:v>
      </x:c>
      <x:c r="F849" s="7" t="str">
        <x:v>containment</x:v>
      </x:c>
      <x:c r="G849" s="7" t="str">
        <x:v>state</x:v>
      </x:c>
      <x:c r="H849" s="10" t="str"/>
      <x:c r="I849" s="7" t="str"/>
      <x:c r="J849" s="7" t="str">
        <x:v>OPEN</x:v>
      </x:c>
    </x:row>
    <x:row r="850" ht="36" customHeight="1">
      <x:c r="B850" s="7" t="str">
        <x:v>RAE-E-27-HP-12</x:v>
      </x:c>
      <x:c r="C850" s="7" t="str">
        <x:v>RAE-E-27</x:v>
      </x:c>
      <x:c r="D850" s="7" t="str">
        <x:v>RFP-B2</x:v>
      </x:c>
      <x:c r="E850" s="7" t="str">
        <x:v>HP-12</x:v>
      </x:c>
      <x:c r="F850" s="7" t="str">
        <x:v>containment</x:v>
      </x:c>
      <x:c r="G850" s="7" t="str">
        <x:v>authority</x:v>
      </x:c>
      <x:c r="H850" s="10" t="str"/>
      <x:c r="I850" s="7" t="str"/>
      <x:c r="J850" s="7" t="str">
        <x:v>OPEN</x:v>
      </x:c>
    </x:row>
    <x:row r="851" ht="36" customHeight="1">
      <x:c r="B851" s="7" t="str">
        <x:v>RAE-E-27-HP-13</x:v>
      </x:c>
      <x:c r="C851" s="7" t="str">
        <x:v>RAE-E-27</x:v>
      </x:c>
      <x:c r="D851" s="7" t="str">
        <x:v>RFP-B2</x:v>
      </x:c>
      <x:c r="E851" s="7" t="str">
        <x:v>HP-13</x:v>
      </x:c>
      <x:c r="F851" s="7" t="str">
        <x:v>water</x:v>
      </x:c>
      <x:c r="G851" s="7" t="str">
        <x:v>identity</x:v>
      </x:c>
      <x:c r="H851" s="10" t="str"/>
      <x:c r="I851" s="7" t="str"/>
      <x:c r="J851" s="7" t="str">
        <x:v>OPEN</x:v>
      </x:c>
    </x:row>
    <x:row r="852" ht="36" customHeight="1">
      <x:c r="B852" s="7" t="str">
        <x:v>RAE-E-27-HP-14</x:v>
      </x:c>
      <x:c r="C852" s="7" t="str">
        <x:v>RAE-E-27</x:v>
      </x:c>
      <x:c r="D852" s="7" t="str">
        <x:v>RFP-B2</x:v>
      </x:c>
      <x:c r="E852" s="7" t="str">
        <x:v>HP-14</x:v>
      </x:c>
      <x:c r="F852" s="7" t="str">
        <x:v>water</x:v>
      </x:c>
      <x:c r="G852" s="7" t="str">
        <x:v>capacity</x:v>
      </x:c>
      <x:c r="H852" s="10" t="str"/>
      <x:c r="I852" s="7" t="str"/>
      <x:c r="J852" s="7" t="str">
        <x:v>OPEN</x:v>
      </x:c>
    </x:row>
    <x:row r="853" ht="36" customHeight="1">
      <x:c r="B853" s="7" t="str">
        <x:v>RAE-E-27-HP-15</x:v>
      </x:c>
      <x:c r="C853" s="7" t="str">
        <x:v>RAE-E-27</x:v>
      </x:c>
      <x:c r="D853" s="7" t="str">
        <x:v>RFP-B2</x:v>
      </x:c>
      <x:c r="E853" s="7" t="str">
        <x:v>HP-15</x:v>
      </x:c>
      <x:c r="F853" s="7" t="str">
        <x:v>water</x:v>
      </x:c>
      <x:c r="G853" s="7" t="str">
        <x:v>state</x:v>
      </x:c>
      <x:c r="H853" s="10" t="str"/>
      <x:c r="I853" s="7" t="str"/>
      <x:c r="J853" s="7" t="str">
        <x:v>OPEN</x:v>
      </x:c>
    </x:row>
    <x:row r="854" ht="36" customHeight="1">
      <x:c r="B854" s="7" t="str">
        <x:v>RAE-E-27-HP-16</x:v>
      </x:c>
      <x:c r="C854" s="7" t="str">
        <x:v>RAE-E-27</x:v>
      </x:c>
      <x:c r="D854" s="7" t="str">
        <x:v>RFP-B2</x:v>
      </x:c>
      <x:c r="E854" s="7" t="str">
        <x:v>HP-16</x:v>
      </x:c>
      <x:c r="F854" s="7" t="str">
        <x:v>water</x:v>
      </x:c>
      <x:c r="G854" s="7" t="str">
        <x:v>authority</x:v>
      </x:c>
      <x:c r="H854" s="10" t="str"/>
      <x:c r="I854" s="7" t="str"/>
      <x:c r="J854" s="7" t="str">
        <x:v>OPEN</x:v>
      </x:c>
    </x:row>
    <x:row r="855" ht="36" customHeight="1">
      <x:c r="B855" s="7" t="str">
        <x:v>RAE-E-27-HP-17</x:v>
      </x:c>
      <x:c r="C855" s="7" t="str">
        <x:v>RAE-E-27</x:v>
      </x:c>
      <x:c r="D855" s="7" t="str">
        <x:v>RFP-B2</x:v>
      </x:c>
      <x:c r="E855" s="7" t="str">
        <x:v>HP-17</x:v>
      </x:c>
      <x:c r="F855" s="7" t="str">
        <x:v>safeing</x:v>
      </x:c>
      <x:c r="G855" s="7" t="str">
        <x:v>identity</x:v>
      </x:c>
      <x:c r="H855" s="10" t="str"/>
      <x:c r="I855" s="7" t="str"/>
      <x:c r="J855" s="7" t="str">
        <x:v>OPEN</x:v>
      </x:c>
    </x:row>
    <x:row r="856" ht="36" customHeight="1">
      <x:c r="B856" s="7" t="str">
        <x:v>RAE-E-27-HP-18</x:v>
      </x:c>
      <x:c r="C856" s="7" t="str">
        <x:v>RAE-E-27</x:v>
      </x:c>
      <x:c r="D856" s="7" t="str">
        <x:v>RFP-B2</x:v>
      </x:c>
      <x:c r="E856" s="7" t="str">
        <x:v>HP-18</x:v>
      </x:c>
      <x:c r="F856" s="7" t="str">
        <x:v>safeing</x:v>
      </x:c>
      <x:c r="G856" s="7" t="str">
        <x:v>capacity</x:v>
      </x:c>
      <x:c r="H856" s="10" t="str"/>
      <x:c r="I856" s="7" t="str"/>
      <x:c r="J856" s="7" t="str">
        <x:v>OPEN</x:v>
      </x:c>
    </x:row>
    <x:row r="857" ht="36" customHeight="1">
      <x:c r="B857" s="7" t="str">
        <x:v>RAE-E-27-HP-19</x:v>
      </x:c>
      <x:c r="C857" s="7" t="str">
        <x:v>RAE-E-27</x:v>
      </x:c>
      <x:c r="D857" s="7" t="str">
        <x:v>RFP-B2</x:v>
      </x:c>
      <x:c r="E857" s="7" t="str">
        <x:v>HP-19</x:v>
      </x:c>
      <x:c r="F857" s="7" t="str">
        <x:v>safeing</x:v>
      </x:c>
      <x:c r="G857" s="7" t="str">
        <x:v>state</x:v>
      </x:c>
      <x:c r="H857" s="10" t="str"/>
      <x:c r="I857" s="7" t="str"/>
      <x:c r="J857" s="7" t="str">
        <x:v>OPEN</x:v>
      </x:c>
    </x:row>
    <x:row r="858" ht="36" customHeight="1">
      <x:c r="B858" s="7" t="str">
        <x:v>RAE-E-27-HP-20</x:v>
      </x:c>
      <x:c r="C858" s="7" t="str">
        <x:v>RAE-E-27</x:v>
      </x:c>
      <x:c r="D858" s="7" t="str">
        <x:v>RFP-B2</x:v>
      </x:c>
      <x:c r="E858" s="7" t="str">
        <x:v>HP-20</x:v>
      </x:c>
      <x:c r="F858" s="7" t="str">
        <x:v>safeing</x:v>
      </x:c>
      <x:c r="G858" s="7" t="str">
        <x:v>authority</x:v>
      </x:c>
      <x:c r="H858" s="10" t="str"/>
      <x:c r="I858" s="7" t="str"/>
      <x:c r="J858" s="7" t="str">
        <x:v>OPEN</x:v>
      </x:c>
    </x:row>
    <x:row r="859" ht="36" customHeight="1">
      <x:c r="B859" s="7" t="str">
        <x:v>RAE-E-27-HP-21</x:v>
      </x:c>
      <x:c r="C859" s="7" t="str">
        <x:v>RAE-E-27</x:v>
      </x:c>
      <x:c r="D859" s="7" t="str">
        <x:v>RFP-B2</x:v>
      </x:c>
      <x:c r="E859" s="7" t="str">
        <x:v>HP-21</x:v>
      </x:c>
      <x:c r="F859" s="7" t="str">
        <x:v>evidence</x:v>
      </x:c>
      <x:c r="G859" s="7" t="str">
        <x:v>identity</x:v>
      </x:c>
      <x:c r="H859" s="10" t="str"/>
      <x:c r="I859" s="7" t="str"/>
      <x:c r="J859" s="7" t="str">
        <x:v>OPEN</x:v>
      </x:c>
    </x:row>
    <x:row r="860" ht="36" customHeight="1">
      <x:c r="B860" s="7" t="str">
        <x:v>RAE-E-27-HP-22</x:v>
      </x:c>
      <x:c r="C860" s="7" t="str">
        <x:v>RAE-E-27</x:v>
      </x:c>
      <x:c r="D860" s="7" t="str">
        <x:v>RFP-B2</x:v>
      </x:c>
      <x:c r="E860" s="7" t="str">
        <x:v>HP-22</x:v>
      </x:c>
      <x:c r="F860" s="7" t="str">
        <x:v>evidence</x:v>
      </x:c>
      <x:c r="G860" s="7" t="str">
        <x:v>capacity</x:v>
      </x:c>
      <x:c r="H860" s="10" t="str"/>
      <x:c r="I860" s="7" t="str"/>
      <x:c r="J860" s="7" t="str">
        <x:v>OPEN</x:v>
      </x:c>
    </x:row>
    <x:row r="861" ht="36" customHeight="1">
      <x:c r="B861" s="7" t="str">
        <x:v>RAE-E-27-HP-23</x:v>
      </x:c>
      <x:c r="C861" s="7" t="str">
        <x:v>RAE-E-27</x:v>
      </x:c>
      <x:c r="D861" s="7" t="str">
        <x:v>RFP-B2</x:v>
      </x:c>
      <x:c r="E861" s="7" t="str">
        <x:v>HP-23</x:v>
      </x:c>
      <x:c r="F861" s="7" t="str">
        <x:v>evidence</x:v>
      </x:c>
      <x:c r="G861" s="7" t="str">
        <x:v>state</x:v>
      </x:c>
      <x:c r="H861" s="10" t="str"/>
      <x:c r="I861" s="7" t="str"/>
      <x:c r="J861" s="7" t="str">
        <x:v>OPEN</x:v>
      </x:c>
    </x:row>
    <x:row r="862" ht="36" customHeight="1">
      <x:c r="B862" s="7" t="str">
        <x:v>RAE-E-27-HP-24</x:v>
      </x:c>
      <x:c r="C862" s="7" t="str">
        <x:v>RAE-E-27</x:v>
      </x:c>
      <x:c r="D862" s="7" t="str">
        <x:v>RFP-B2</x:v>
      </x:c>
      <x:c r="E862" s="7" t="str">
        <x:v>HP-24</x:v>
      </x:c>
      <x:c r="F862" s="7" t="str">
        <x:v>evidence</x:v>
      </x:c>
      <x:c r="G862" s="7" t="str">
        <x:v>authority</x:v>
      </x:c>
      <x:c r="H862" s="10" t="str"/>
      <x:c r="I862" s="7" t="str"/>
      <x:c r="J862" s="7" t="str">
        <x:v>OPEN</x:v>
      </x:c>
    </x:row>
    <x:row r="863" ht="36" customHeight="1">
      <x:c r="B863" s="7" t="str">
        <x:v>RAE-E-27-HP-25</x:v>
      </x:c>
      <x:c r="C863" s="7" t="str">
        <x:v>RAE-E-27</x:v>
      </x:c>
      <x:c r="D863" s="7" t="str">
        <x:v>RFP-B2</x:v>
      </x:c>
      <x:c r="E863" s="7" t="str">
        <x:v>HP-25</x:v>
      </x:c>
      <x:c r="F863" s="7" t="str">
        <x:v>environment</x:v>
      </x:c>
      <x:c r="G863" s="7" t="str">
        <x:v>identity</x:v>
      </x:c>
      <x:c r="H863" s="10" t="str"/>
      <x:c r="I863" s="7" t="str"/>
      <x:c r="J863" s="7" t="str">
        <x:v>OPEN</x:v>
      </x:c>
    </x:row>
    <x:row r="864" ht="36" customHeight="1">
      <x:c r="B864" s="7" t="str">
        <x:v>RAE-E-27-HP-26</x:v>
      </x:c>
      <x:c r="C864" s="7" t="str">
        <x:v>RAE-E-27</x:v>
      </x:c>
      <x:c r="D864" s="7" t="str">
        <x:v>RFP-B2</x:v>
      </x:c>
      <x:c r="E864" s="7" t="str">
        <x:v>HP-26</x:v>
      </x:c>
      <x:c r="F864" s="7" t="str">
        <x:v>environment</x:v>
      </x:c>
      <x:c r="G864" s="7" t="str">
        <x:v>capacity</x:v>
      </x:c>
      <x:c r="H864" s="10" t="str"/>
      <x:c r="I864" s="7" t="str"/>
      <x:c r="J864" s="7" t="str">
        <x:v>OPEN</x:v>
      </x:c>
    </x:row>
    <x:row r="865" ht="36" customHeight="1">
      <x:c r="B865" s="7" t="str">
        <x:v>RAE-E-27-HP-27</x:v>
      </x:c>
      <x:c r="C865" s="7" t="str">
        <x:v>RAE-E-27</x:v>
      </x:c>
      <x:c r="D865" s="7" t="str">
        <x:v>RFP-B2</x:v>
      </x:c>
      <x:c r="E865" s="7" t="str">
        <x:v>HP-27</x:v>
      </x:c>
      <x:c r="F865" s="7" t="str">
        <x:v>environment</x:v>
      </x:c>
      <x:c r="G865" s="7" t="str">
        <x:v>state</x:v>
      </x:c>
      <x:c r="H865" s="10" t="str"/>
      <x:c r="I865" s="7" t="str"/>
      <x:c r="J865" s="7" t="str">
        <x:v>OPEN</x:v>
      </x:c>
    </x:row>
    <x:row r="866" ht="36" customHeight="1">
      <x:c r="B866" s="7" t="str">
        <x:v>RAE-E-27-HP-28</x:v>
      </x:c>
      <x:c r="C866" s="7" t="str">
        <x:v>RAE-E-27</x:v>
      </x:c>
      <x:c r="D866" s="7" t="str">
        <x:v>RFP-B2</x:v>
      </x:c>
      <x:c r="E866" s="7" t="str">
        <x:v>HP-28</x:v>
      </x:c>
      <x:c r="F866" s="7" t="str">
        <x:v>environment</x:v>
      </x:c>
      <x:c r="G866" s="7" t="str">
        <x:v>authority</x:v>
      </x:c>
      <x:c r="H866" s="10" t="str"/>
      <x:c r="I866" s="7" t="str"/>
      <x:c r="J866" s="7" t="str">
        <x:v>OPEN</x:v>
      </x:c>
    </x:row>
    <x:row r="867" ht="36" customHeight="1">
      <x:c r="B867" s="7" t="str">
        <x:v>RAE-E-27-HP-29</x:v>
      </x:c>
      <x:c r="C867" s="7" t="str">
        <x:v>RAE-E-27</x:v>
      </x:c>
      <x:c r="D867" s="7" t="str">
        <x:v>RFP-B2</x:v>
      </x:c>
      <x:c r="E867" s="7" t="str">
        <x:v>HP-29</x:v>
      </x:c>
      <x:c r="F867" s="7" t="str">
        <x:v>authority</x:v>
      </x:c>
      <x:c r="G867" s="7" t="str">
        <x:v>identity</x:v>
      </x:c>
      <x:c r="H867" s="10" t="str"/>
      <x:c r="I867" s="7" t="str"/>
      <x:c r="J867" s="7" t="str">
        <x:v>OPEN</x:v>
      </x:c>
    </x:row>
    <x:row r="868" ht="36" customHeight="1">
      <x:c r="B868" s="7" t="str">
        <x:v>RAE-E-27-HP-30</x:v>
      </x:c>
      <x:c r="C868" s="7" t="str">
        <x:v>RAE-E-27</x:v>
      </x:c>
      <x:c r="D868" s="7" t="str">
        <x:v>RFP-B2</x:v>
      </x:c>
      <x:c r="E868" s="7" t="str">
        <x:v>HP-30</x:v>
      </x:c>
      <x:c r="F868" s="7" t="str">
        <x:v>authority</x:v>
      </x:c>
      <x:c r="G868" s="7" t="str">
        <x:v>capacity</x:v>
      </x:c>
      <x:c r="H868" s="10" t="str"/>
      <x:c r="I868" s="7" t="str"/>
      <x:c r="J868" s="7" t="str">
        <x:v>OPEN</x:v>
      </x:c>
    </x:row>
    <x:row r="869" ht="36" customHeight="1">
      <x:c r="B869" s="7" t="str">
        <x:v>RAE-E-27-HP-31</x:v>
      </x:c>
      <x:c r="C869" s="7" t="str">
        <x:v>RAE-E-27</x:v>
      </x:c>
      <x:c r="D869" s="7" t="str">
        <x:v>RFP-B2</x:v>
      </x:c>
      <x:c r="E869" s="7" t="str">
        <x:v>HP-31</x:v>
      </x:c>
      <x:c r="F869" s="7" t="str">
        <x:v>authority</x:v>
      </x:c>
      <x:c r="G869" s="7" t="str">
        <x:v>state</x:v>
      </x:c>
      <x:c r="H869" s="10" t="str"/>
      <x:c r="I869" s="7" t="str"/>
      <x:c r="J869" s="7" t="str">
        <x:v>OPEN</x:v>
      </x:c>
    </x:row>
    <x:row r="870" ht="36" customHeight="1">
      <x:c r="B870" s="7" t="str">
        <x:v>RAE-E-27-HP-32</x:v>
      </x:c>
      <x:c r="C870" s="7" t="str">
        <x:v>RAE-E-27</x:v>
      </x:c>
      <x:c r="D870" s="7" t="str">
        <x:v>RFP-B2</x:v>
      </x:c>
      <x:c r="E870" s="7" t="str">
        <x:v>HP-32</x:v>
      </x:c>
      <x:c r="F870" s="7" t="str">
        <x:v>authority</x:v>
      </x:c>
      <x:c r="G870" s="7" t="str">
        <x:v>authority</x:v>
      </x:c>
      <x:c r="H870" s="10" t="str"/>
      <x:c r="I870" s="7" t="str"/>
      <x:c r="J870" s="7" t="str">
        <x:v>OPEN</x:v>
      </x:c>
    </x:row>
    <x:row r="871" ht="36" customHeight="1">
      <x:c r="B871" s="7" t="str">
        <x:v>RAE-E-28-HP-01</x:v>
      </x:c>
      <x:c r="C871" s="7" t="str">
        <x:v>RAE-E-28</x:v>
      </x:c>
      <x:c r="D871" s="7" t="str">
        <x:v>RFP-B2</x:v>
      </x:c>
      <x:c r="E871" s="7" t="str">
        <x:v>HP-01</x:v>
      </x:c>
      <x:c r="F871" s="7" t="str">
        <x:v>configuration</x:v>
      </x:c>
      <x:c r="G871" s="7" t="str">
        <x:v>identity</x:v>
      </x:c>
      <x:c r="H871" s="10" t="str"/>
      <x:c r="I871" s="7" t="str"/>
      <x:c r="J871" s="7" t="str">
        <x:v>OPEN</x:v>
      </x:c>
    </x:row>
    <x:row r="872" ht="36" customHeight="1">
      <x:c r="B872" s="7" t="str">
        <x:v>RAE-E-28-HP-02</x:v>
      </x:c>
      <x:c r="C872" s="7" t="str">
        <x:v>RAE-E-28</x:v>
      </x:c>
      <x:c r="D872" s="7" t="str">
        <x:v>RFP-B2</x:v>
      </x:c>
      <x:c r="E872" s="7" t="str">
        <x:v>HP-02</x:v>
      </x:c>
      <x:c r="F872" s="7" t="str">
        <x:v>configuration</x:v>
      </x:c>
      <x:c r="G872" s="7" t="str">
        <x:v>capacity</x:v>
      </x:c>
      <x:c r="H872" s="10" t="str"/>
      <x:c r="I872" s="7" t="str"/>
      <x:c r="J872" s="7" t="str">
        <x:v>OPEN</x:v>
      </x:c>
    </x:row>
    <x:row r="873" ht="36" customHeight="1">
      <x:c r="B873" s="7" t="str">
        <x:v>RAE-E-28-HP-03</x:v>
      </x:c>
      <x:c r="C873" s="7" t="str">
        <x:v>RAE-E-28</x:v>
      </x:c>
      <x:c r="D873" s="7" t="str">
        <x:v>RFP-B2</x:v>
      </x:c>
      <x:c r="E873" s="7" t="str">
        <x:v>HP-03</x:v>
      </x:c>
      <x:c r="F873" s="7" t="str">
        <x:v>configuration</x:v>
      </x:c>
      <x:c r="G873" s="7" t="str">
        <x:v>state</x:v>
      </x:c>
      <x:c r="H873" s="10" t="str"/>
      <x:c r="I873" s="7" t="str"/>
      <x:c r="J873" s="7" t="str">
        <x:v>OPEN</x:v>
      </x:c>
    </x:row>
    <x:row r="874" ht="36" customHeight="1">
      <x:c r="B874" s="7" t="str">
        <x:v>RAE-E-28-HP-04</x:v>
      </x:c>
      <x:c r="C874" s="7" t="str">
        <x:v>RAE-E-28</x:v>
      </x:c>
      <x:c r="D874" s="7" t="str">
        <x:v>RFP-B2</x:v>
      </x:c>
      <x:c r="E874" s="7" t="str">
        <x:v>HP-04</x:v>
      </x:c>
      <x:c r="F874" s="7" t="str">
        <x:v>configuration</x:v>
      </x:c>
      <x:c r="G874" s="7" t="str">
        <x:v>authority</x:v>
      </x:c>
      <x:c r="H874" s="10" t="str"/>
      <x:c r="I874" s="7" t="str"/>
      <x:c r="J874" s="7" t="str">
        <x:v>OPEN</x:v>
      </x:c>
    </x:row>
    <x:row r="875" ht="36" customHeight="1">
      <x:c r="B875" s="7" t="str">
        <x:v>RAE-E-28-HP-05</x:v>
      </x:c>
      <x:c r="C875" s="7" t="str">
        <x:v>RAE-E-28</x:v>
      </x:c>
      <x:c r="D875" s="7" t="str">
        <x:v>RFP-B2</x:v>
      </x:c>
      <x:c r="E875" s="7" t="str">
        <x:v>HP-05</x:v>
      </x:c>
      <x:c r="F875" s="7" t="str">
        <x:v>source</x:v>
      </x:c>
      <x:c r="G875" s="7" t="str">
        <x:v>identity</x:v>
      </x:c>
      <x:c r="H875" s="10" t="str"/>
      <x:c r="I875" s="7" t="str"/>
      <x:c r="J875" s="7" t="str">
        <x:v>OPEN</x:v>
      </x:c>
    </x:row>
    <x:row r="876" ht="36" customHeight="1">
      <x:c r="B876" s="7" t="str">
        <x:v>RAE-E-28-HP-06</x:v>
      </x:c>
      <x:c r="C876" s="7" t="str">
        <x:v>RAE-E-28</x:v>
      </x:c>
      <x:c r="D876" s="7" t="str">
        <x:v>RFP-B2</x:v>
      </x:c>
      <x:c r="E876" s="7" t="str">
        <x:v>HP-06</x:v>
      </x:c>
      <x:c r="F876" s="7" t="str">
        <x:v>source</x:v>
      </x:c>
      <x:c r="G876" s="7" t="str">
        <x:v>capacity</x:v>
      </x:c>
      <x:c r="H876" s="10" t="str"/>
      <x:c r="I876" s="7" t="str"/>
      <x:c r="J876" s="7" t="str">
        <x:v>OPEN</x:v>
      </x:c>
    </x:row>
    <x:row r="877" ht="36" customHeight="1">
      <x:c r="B877" s="7" t="str">
        <x:v>RAE-E-28-HP-07</x:v>
      </x:c>
      <x:c r="C877" s="7" t="str">
        <x:v>RAE-E-28</x:v>
      </x:c>
      <x:c r="D877" s="7" t="str">
        <x:v>RFP-B2</x:v>
      </x:c>
      <x:c r="E877" s="7" t="str">
        <x:v>HP-07</x:v>
      </x:c>
      <x:c r="F877" s="7" t="str">
        <x:v>source</x:v>
      </x:c>
      <x:c r="G877" s="7" t="str">
        <x:v>state</x:v>
      </x:c>
      <x:c r="H877" s="10" t="str"/>
      <x:c r="I877" s="7" t="str"/>
      <x:c r="J877" s="7" t="str">
        <x:v>OPEN</x:v>
      </x:c>
    </x:row>
    <x:row r="878" ht="36" customHeight="1">
      <x:c r="B878" s="7" t="str">
        <x:v>RAE-E-28-HP-08</x:v>
      </x:c>
      <x:c r="C878" s="7" t="str">
        <x:v>RAE-E-28</x:v>
      </x:c>
      <x:c r="D878" s="7" t="str">
        <x:v>RFP-B2</x:v>
      </x:c>
      <x:c r="E878" s="7" t="str">
        <x:v>HP-08</x:v>
      </x:c>
      <x:c r="F878" s="7" t="str">
        <x:v>source</x:v>
      </x:c>
      <x:c r="G878" s="7" t="str">
        <x:v>authority</x:v>
      </x:c>
      <x:c r="H878" s="10" t="str"/>
      <x:c r="I878" s="7" t="str"/>
      <x:c r="J878" s="7" t="str">
        <x:v>OPEN</x:v>
      </x:c>
    </x:row>
    <x:row r="879" ht="36" customHeight="1">
      <x:c r="B879" s="7" t="str">
        <x:v>RAE-E-28-HP-09</x:v>
      </x:c>
      <x:c r="C879" s="7" t="str">
        <x:v>RAE-E-28</x:v>
      </x:c>
      <x:c r="D879" s="7" t="str">
        <x:v>RFP-B2</x:v>
      </x:c>
      <x:c r="E879" s="7" t="str">
        <x:v>HP-09</x:v>
      </x:c>
      <x:c r="F879" s="7" t="str">
        <x:v>containment</x:v>
      </x:c>
      <x:c r="G879" s="7" t="str">
        <x:v>identity</x:v>
      </x:c>
      <x:c r="H879" s="10" t="str"/>
      <x:c r="I879" s="7" t="str"/>
      <x:c r="J879" s="7" t="str">
        <x:v>OPEN</x:v>
      </x:c>
    </x:row>
    <x:row r="880" ht="36" customHeight="1">
      <x:c r="B880" s="7" t="str">
        <x:v>RAE-E-28-HP-10</x:v>
      </x:c>
      <x:c r="C880" s="7" t="str">
        <x:v>RAE-E-28</x:v>
      </x:c>
      <x:c r="D880" s="7" t="str">
        <x:v>RFP-B2</x:v>
      </x:c>
      <x:c r="E880" s="7" t="str">
        <x:v>HP-10</x:v>
      </x:c>
      <x:c r="F880" s="7" t="str">
        <x:v>containment</x:v>
      </x:c>
      <x:c r="G880" s="7" t="str">
        <x:v>capacity</x:v>
      </x:c>
      <x:c r="H880" s="10" t="str"/>
      <x:c r="I880" s="7" t="str"/>
      <x:c r="J880" s="7" t="str">
        <x:v>OPEN</x:v>
      </x:c>
    </x:row>
    <x:row r="881" ht="36" customHeight="1">
      <x:c r="B881" s="7" t="str">
        <x:v>RAE-E-28-HP-11</x:v>
      </x:c>
      <x:c r="C881" s="7" t="str">
        <x:v>RAE-E-28</x:v>
      </x:c>
      <x:c r="D881" s="7" t="str">
        <x:v>RFP-B2</x:v>
      </x:c>
      <x:c r="E881" s="7" t="str">
        <x:v>HP-11</x:v>
      </x:c>
      <x:c r="F881" s="7" t="str">
        <x:v>containment</x:v>
      </x:c>
      <x:c r="G881" s="7" t="str">
        <x:v>state</x:v>
      </x:c>
      <x:c r="H881" s="10" t="str"/>
      <x:c r="I881" s="7" t="str"/>
      <x:c r="J881" s="7" t="str">
        <x:v>OPEN</x:v>
      </x:c>
    </x:row>
    <x:row r="882" ht="36" customHeight="1">
      <x:c r="B882" s="7" t="str">
        <x:v>RAE-E-28-HP-12</x:v>
      </x:c>
      <x:c r="C882" s="7" t="str">
        <x:v>RAE-E-28</x:v>
      </x:c>
      <x:c r="D882" s="7" t="str">
        <x:v>RFP-B2</x:v>
      </x:c>
      <x:c r="E882" s="7" t="str">
        <x:v>HP-12</x:v>
      </x:c>
      <x:c r="F882" s="7" t="str">
        <x:v>containment</x:v>
      </x:c>
      <x:c r="G882" s="7" t="str">
        <x:v>authority</x:v>
      </x:c>
      <x:c r="H882" s="10" t="str"/>
      <x:c r="I882" s="7" t="str"/>
      <x:c r="J882" s="7" t="str">
        <x:v>OPEN</x:v>
      </x:c>
    </x:row>
    <x:row r="883" ht="36" customHeight="1">
      <x:c r="B883" s="7" t="str">
        <x:v>RAE-E-28-HP-13</x:v>
      </x:c>
      <x:c r="C883" s="7" t="str">
        <x:v>RAE-E-28</x:v>
      </x:c>
      <x:c r="D883" s="7" t="str">
        <x:v>RFP-B2</x:v>
      </x:c>
      <x:c r="E883" s="7" t="str">
        <x:v>HP-13</x:v>
      </x:c>
      <x:c r="F883" s="7" t="str">
        <x:v>water</x:v>
      </x:c>
      <x:c r="G883" s="7" t="str">
        <x:v>identity</x:v>
      </x:c>
      <x:c r="H883" s="10" t="str"/>
      <x:c r="I883" s="7" t="str"/>
      <x:c r="J883" s="7" t="str">
        <x:v>OPEN</x:v>
      </x:c>
    </x:row>
    <x:row r="884" ht="36" customHeight="1">
      <x:c r="B884" s="7" t="str">
        <x:v>RAE-E-28-HP-14</x:v>
      </x:c>
      <x:c r="C884" s="7" t="str">
        <x:v>RAE-E-28</x:v>
      </x:c>
      <x:c r="D884" s="7" t="str">
        <x:v>RFP-B2</x:v>
      </x:c>
      <x:c r="E884" s="7" t="str">
        <x:v>HP-14</x:v>
      </x:c>
      <x:c r="F884" s="7" t="str">
        <x:v>water</x:v>
      </x:c>
      <x:c r="G884" s="7" t="str">
        <x:v>capacity</x:v>
      </x:c>
      <x:c r="H884" s="10" t="str"/>
      <x:c r="I884" s="7" t="str"/>
      <x:c r="J884" s="7" t="str">
        <x:v>OPEN</x:v>
      </x:c>
    </x:row>
    <x:row r="885" ht="36" customHeight="1">
      <x:c r="B885" s="7" t="str">
        <x:v>RAE-E-28-HP-15</x:v>
      </x:c>
      <x:c r="C885" s="7" t="str">
        <x:v>RAE-E-28</x:v>
      </x:c>
      <x:c r="D885" s="7" t="str">
        <x:v>RFP-B2</x:v>
      </x:c>
      <x:c r="E885" s="7" t="str">
        <x:v>HP-15</x:v>
      </x:c>
      <x:c r="F885" s="7" t="str">
        <x:v>water</x:v>
      </x:c>
      <x:c r="G885" s="7" t="str">
        <x:v>state</x:v>
      </x:c>
      <x:c r="H885" s="10" t="str"/>
      <x:c r="I885" s="7" t="str"/>
      <x:c r="J885" s="7" t="str">
        <x:v>OPEN</x:v>
      </x:c>
    </x:row>
    <x:row r="886" ht="36" customHeight="1">
      <x:c r="B886" s="7" t="str">
        <x:v>RAE-E-28-HP-16</x:v>
      </x:c>
      <x:c r="C886" s="7" t="str">
        <x:v>RAE-E-28</x:v>
      </x:c>
      <x:c r="D886" s="7" t="str">
        <x:v>RFP-B2</x:v>
      </x:c>
      <x:c r="E886" s="7" t="str">
        <x:v>HP-16</x:v>
      </x:c>
      <x:c r="F886" s="7" t="str">
        <x:v>water</x:v>
      </x:c>
      <x:c r="G886" s="7" t="str">
        <x:v>authority</x:v>
      </x:c>
      <x:c r="H886" s="10" t="str"/>
      <x:c r="I886" s="7" t="str"/>
      <x:c r="J886" s="7" t="str">
        <x:v>OPEN</x:v>
      </x:c>
    </x:row>
    <x:row r="887" ht="36" customHeight="1">
      <x:c r="B887" s="7" t="str">
        <x:v>RAE-E-28-HP-17</x:v>
      </x:c>
      <x:c r="C887" s="7" t="str">
        <x:v>RAE-E-28</x:v>
      </x:c>
      <x:c r="D887" s="7" t="str">
        <x:v>RFP-B2</x:v>
      </x:c>
      <x:c r="E887" s="7" t="str">
        <x:v>HP-17</x:v>
      </x:c>
      <x:c r="F887" s="7" t="str">
        <x:v>safeing</x:v>
      </x:c>
      <x:c r="G887" s="7" t="str">
        <x:v>identity</x:v>
      </x:c>
      <x:c r="H887" s="10" t="str"/>
      <x:c r="I887" s="7" t="str"/>
      <x:c r="J887" s="7" t="str">
        <x:v>OPEN</x:v>
      </x:c>
    </x:row>
    <x:row r="888" ht="36" customHeight="1">
      <x:c r="B888" s="7" t="str">
        <x:v>RAE-E-28-HP-18</x:v>
      </x:c>
      <x:c r="C888" s="7" t="str">
        <x:v>RAE-E-28</x:v>
      </x:c>
      <x:c r="D888" s="7" t="str">
        <x:v>RFP-B2</x:v>
      </x:c>
      <x:c r="E888" s="7" t="str">
        <x:v>HP-18</x:v>
      </x:c>
      <x:c r="F888" s="7" t="str">
        <x:v>safeing</x:v>
      </x:c>
      <x:c r="G888" s="7" t="str">
        <x:v>capacity</x:v>
      </x:c>
      <x:c r="H888" s="10" t="str"/>
      <x:c r="I888" s="7" t="str"/>
      <x:c r="J888" s="7" t="str">
        <x:v>OPEN</x:v>
      </x:c>
    </x:row>
    <x:row r="889" ht="36" customHeight="1">
      <x:c r="B889" s="7" t="str">
        <x:v>RAE-E-28-HP-19</x:v>
      </x:c>
      <x:c r="C889" s="7" t="str">
        <x:v>RAE-E-28</x:v>
      </x:c>
      <x:c r="D889" s="7" t="str">
        <x:v>RFP-B2</x:v>
      </x:c>
      <x:c r="E889" s="7" t="str">
        <x:v>HP-19</x:v>
      </x:c>
      <x:c r="F889" s="7" t="str">
        <x:v>safeing</x:v>
      </x:c>
      <x:c r="G889" s="7" t="str">
        <x:v>state</x:v>
      </x:c>
      <x:c r="H889" s="10" t="str"/>
      <x:c r="I889" s="7" t="str"/>
      <x:c r="J889" s="7" t="str">
        <x:v>OPEN</x:v>
      </x:c>
    </x:row>
    <x:row r="890" ht="36" customHeight="1">
      <x:c r="B890" s="7" t="str">
        <x:v>RAE-E-28-HP-20</x:v>
      </x:c>
      <x:c r="C890" s="7" t="str">
        <x:v>RAE-E-28</x:v>
      </x:c>
      <x:c r="D890" s="7" t="str">
        <x:v>RFP-B2</x:v>
      </x:c>
      <x:c r="E890" s="7" t="str">
        <x:v>HP-20</x:v>
      </x:c>
      <x:c r="F890" s="7" t="str">
        <x:v>safeing</x:v>
      </x:c>
      <x:c r="G890" s="7" t="str">
        <x:v>authority</x:v>
      </x:c>
      <x:c r="H890" s="10" t="str"/>
      <x:c r="I890" s="7" t="str"/>
      <x:c r="J890" s="7" t="str">
        <x:v>OPEN</x:v>
      </x:c>
    </x:row>
    <x:row r="891" ht="36" customHeight="1">
      <x:c r="B891" s="7" t="str">
        <x:v>RAE-E-28-HP-21</x:v>
      </x:c>
      <x:c r="C891" s="7" t="str">
        <x:v>RAE-E-28</x:v>
      </x:c>
      <x:c r="D891" s="7" t="str">
        <x:v>RFP-B2</x:v>
      </x:c>
      <x:c r="E891" s="7" t="str">
        <x:v>HP-21</x:v>
      </x:c>
      <x:c r="F891" s="7" t="str">
        <x:v>evidence</x:v>
      </x:c>
      <x:c r="G891" s="7" t="str">
        <x:v>identity</x:v>
      </x:c>
      <x:c r="H891" s="10" t="str"/>
      <x:c r="I891" s="7" t="str"/>
      <x:c r="J891" s="7" t="str">
        <x:v>OPEN</x:v>
      </x:c>
    </x:row>
    <x:row r="892" ht="36" customHeight="1">
      <x:c r="B892" s="7" t="str">
        <x:v>RAE-E-28-HP-22</x:v>
      </x:c>
      <x:c r="C892" s="7" t="str">
        <x:v>RAE-E-28</x:v>
      </x:c>
      <x:c r="D892" s="7" t="str">
        <x:v>RFP-B2</x:v>
      </x:c>
      <x:c r="E892" s="7" t="str">
        <x:v>HP-22</x:v>
      </x:c>
      <x:c r="F892" s="7" t="str">
        <x:v>evidence</x:v>
      </x:c>
      <x:c r="G892" s="7" t="str">
        <x:v>capacity</x:v>
      </x:c>
      <x:c r="H892" s="10" t="str"/>
      <x:c r="I892" s="7" t="str"/>
      <x:c r="J892" s="7" t="str">
        <x:v>OPEN</x:v>
      </x:c>
    </x:row>
    <x:row r="893" ht="36" customHeight="1">
      <x:c r="B893" s="7" t="str">
        <x:v>RAE-E-28-HP-23</x:v>
      </x:c>
      <x:c r="C893" s="7" t="str">
        <x:v>RAE-E-28</x:v>
      </x:c>
      <x:c r="D893" s="7" t="str">
        <x:v>RFP-B2</x:v>
      </x:c>
      <x:c r="E893" s="7" t="str">
        <x:v>HP-23</x:v>
      </x:c>
      <x:c r="F893" s="7" t="str">
        <x:v>evidence</x:v>
      </x:c>
      <x:c r="G893" s="7" t="str">
        <x:v>state</x:v>
      </x:c>
      <x:c r="H893" s="10" t="str"/>
      <x:c r="I893" s="7" t="str"/>
      <x:c r="J893" s="7" t="str">
        <x:v>OPEN</x:v>
      </x:c>
    </x:row>
    <x:row r="894" ht="36" customHeight="1">
      <x:c r="B894" s="7" t="str">
        <x:v>RAE-E-28-HP-24</x:v>
      </x:c>
      <x:c r="C894" s="7" t="str">
        <x:v>RAE-E-28</x:v>
      </x:c>
      <x:c r="D894" s="7" t="str">
        <x:v>RFP-B2</x:v>
      </x:c>
      <x:c r="E894" s="7" t="str">
        <x:v>HP-24</x:v>
      </x:c>
      <x:c r="F894" s="7" t="str">
        <x:v>evidence</x:v>
      </x:c>
      <x:c r="G894" s="7" t="str">
        <x:v>authority</x:v>
      </x:c>
      <x:c r="H894" s="10" t="str"/>
      <x:c r="I894" s="7" t="str"/>
      <x:c r="J894" s="7" t="str">
        <x:v>OPEN</x:v>
      </x:c>
    </x:row>
    <x:row r="895" ht="36" customHeight="1">
      <x:c r="B895" s="7" t="str">
        <x:v>RAE-E-28-HP-25</x:v>
      </x:c>
      <x:c r="C895" s="7" t="str">
        <x:v>RAE-E-28</x:v>
      </x:c>
      <x:c r="D895" s="7" t="str">
        <x:v>RFP-B2</x:v>
      </x:c>
      <x:c r="E895" s="7" t="str">
        <x:v>HP-25</x:v>
      </x:c>
      <x:c r="F895" s="7" t="str">
        <x:v>environment</x:v>
      </x:c>
      <x:c r="G895" s="7" t="str">
        <x:v>identity</x:v>
      </x:c>
      <x:c r="H895" s="10" t="str"/>
      <x:c r="I895" s="7" t="str"/>
      <x:c r="J895" s="7" t="str">
        <x:v>OPEN</x:v>
      </x:c>
    </x:row>
    <x:row r="896" ht="36" customHeight="1">
      <x:c r="B896" s="7" t="str">
        <x:v>RAE-E-28-HP-26</x:v>
      </x:c>
      <x:c r="C896" s="7" t="str">
        <x:v>RAE-E-28</x:v>
      </x:c>
      <x:c r="D896" s="7" t="str">
        <x:v>RFP-B2</x:v>
      </x:c>
      <x:c r="E896" s="7" t="str">
        <x:v>HP-26</x:v>
      </x:c>
      <x:c r="F896" s="7" t="str">
        <x:v>environment</x:v>
      </x:c>
      <x:c r="G896" s="7" t="str">
        <x:v>capacity</x:v>
      </x:c>
      <x:c r="H896" s="10" t="str"/>
      <x:c r="I896" s="7" t="str"/>
      <x:c r="J896" s="7" t="str">
        <x:v>OPEN</x:v>
      </x:c>
    </x:row>
    <x:row r="897" ht="36" customHeight="1">
      <x:c r="B897" s="7" t="str">
        <x:v>RAE-E-28-HP-27</x:v>
      </x:c>
      <x:c r="C897" s="7" t="str">
        <x:v>RAE-E-28</x:v>
      </x:c>
      <x:c r="D897" s="7" t="str">
        <x:v>RFP-B2</x:v>
      </x:c>
      <x:c r="E897" s="7" t="str">
        <x:v>HP-27</x:v>
      </x:c>
      <x:c r="F897" s="7" t="str">
        <x:v>environment</x:v>
      </x:c>
      <x:c r="G897" s="7" t="str">
        <x:v>state</x:v>
      </x:c>
      <x:c r="H897" s="10" t="str"/>
      <x:c r="I897" s="7" t="str"/>
      <x:c r="J897" s="7" t="str">
        <x:v>OPEN</x:v>
      </x:c>
    </x:row>
    <x:row r="898" ht="36" customHeight="1">
      <x:c r="B898" s="7" t="str">
        <x:v>RAE-E-28-HP-28</x:v>
      </x:c>
      <x:c r="C898" s="7" t="str">
        <x:v>RAE-E-28</x:v>
      </x:c>
      <x:c r="D898" s="7" t="str">
        <x:v>RFP-B2</x:v>
      </x:c>
      <x:c r="E898" s="7" t="str">
        <x:v>HP-28</x:v>
      </x:c>
      <x:c r="F898" s="7" t="str">
        <x:v>environment</x:v>
      </x:c>
      <x:c r="G898" s="7" t="str">
        <x:v>authority</x:v>
      </x:c>
      <x:c r="H898" s="10" t="str"/>
      <x:c r="I898" s="7" t="str"/>
      <x:c r="J898" s="7" t="str">
        <x:v>OPEN</x:v>
      </x:c>
    </x:row>
    <x:row r="899" ht="36" customHeight="1">
      <x:c r="B899" s="7" t="str">
        <x:v>RAE-E-28-HP-29</x:v>
      </x:c>
      <x:c r="C899" s="7" t="str">
        <x:v>RAE-E-28</x:v>
      </x:c>
      <x:c r="D899" s="7" t="str">
        <x:v>RFP-B2</x:v>
      </x:c>
      <x:c r="E899" s="7" t="str">
        <x:v>HP-29</x:v>
      </x:c>
      <x:c r="F899" s="7" t="str">
        <x:v>authority</x:v>
      </x:c>
      <x:c r="G899" s="7" t="str">
        <x:v>identity</x:v>
      </x:c>
      <x:c r="H899" s="10" t="str"/>
      <x:c r="I899" s="7" t="str"/>
      <x:c r="J899" s="7" t="str">
        <x:v>OPEN</x:v>
      </x:c>
    </x:row>
    <x:row r="900" ht="36" customHeight="1">
      <x:c r="B900" s="7" t="str">
        <x:v>RAE-E-28-HP-30</x:v>
      </x:c>
      <x:c r="C900" s="7" t="str">
        <x:v>RAE-E-28</x:v>
      </x:c>
      <x:c r="D900" s="7" t="str">
        <x:v>RFP-B2</x:v>
      </x:c>
      <x:c r="E900" s="7" t="str">
        <x:v>HP-30</x:v>
      </x:c>
      <x:c r="F900" s="7" t="str">
        <x:v>authority</x:v>
      </x:c>
      <x:c r="G900" s="7" t="str">
        <x:v>capacity</x:v>
      </x:c>
      <x:c r="H900" s="10" t="str"/>
      <x:c r="I900" s="7" t="str"/>
      <x:c r="J900" s="7" t="str">
        <x:v>OPEN</x:v>
      </x:c>
    </x:row>
    <x:row r="901" ht="36" customHeight="1">
      <x:c r="B901" s="7" t="str">
        <x:v>RAE-E-28-HP-31</x:v>
      </x:c>
      <x:c r="C901" s="7" t="str">
        <x:v>RAE-E-28</x:v>
      </x:c>
      <x:c r="D901" s="7" t="str">
        <x:v>RFP-B2</x:v>
      </x:c>
      <x:c r="E901" s="7" t="str">
        <x:v>HP-31</x:v>
      </x:c>
      <x:c r="F901" s="7" t="str">
        <x:v>authority</x:v>
      </x:c>
      <x:c r="G901" s="7" t="str">
        <x:v>state</x:v>
      </x:c>
      <x:c r="H901" s="10" t="str"/>
      <x:c r="I901" s="7" t="str"/>
      <x:c r="J901" s="7" t="str">
        <x:v>OPEN</x:v>
      </x:c>
    </x:row>
    <x:row r="902" ht="36" customHeight="1">
      <x:c r="B902" s="7" t="str">
        <x:v>RAE-E-28-HP-32</x:v>
      </x:c>
      <x:c r="C902" s="7" t="str">
        <x:v>RAE-E-28</x:v>
      </x:c>
      <x:c r="D902" s="7" t="str">
        <x:v>RFP-B2</x:v>
      </x:c>
      <x:c r="E902" s="7" t="str">
        <x:v>HP-32</x:v>
      </x:c>
      <x:c r="F902" s="7" t="str">
        <x:v>authority</x:v>
      </x:c>
      <x:c r="G902" s="7" t="str">
        <x:v>authority</x:v>
      </x:c>
      <x:c r="H902" s="10" t="str"/>
      <x:c r="I902" s="7" t="str"/>
      <x:c r="J902" s="7" t="str">
        <x:v>OPEN</x:v>
      </x:c>
    </x:row>
    <x:row r="903" ht="36" customHeight="1">
      <x:c r="B903" s="7" t="str">
        <x:v>RAE-E-29-HP-01</x:v>
      </x:c>
      <x:c r="C903" s="7" t="str">
        <x:v>RAE-E-29</x:v>
      </x:c>
      <x:c r="D903" s="7" t="str">
        <x:v>RFP-B2</x:v>
      </x:c>
      <x:c r="E903" s="7" t="str">
        <x:v>HP-01</x:v>
      </x:c>
      <x:c r="F903" s="7" t="str">
        <x:v>configuration</x:v>
      </x:c>
      <x:c r="G903" s="7" t="str">
        <x:v>identity</x:v>
      </x:c>
      <x:c r="H903" s="10" t="str"/>
      <x:c r="I903" s="7" t="str"/>
      <x:c r="J903" s="7" t="str">
        <x:v>OPEN</x:v>
      </x:c>
    </x:row>
    <x:row r="904" ht="36" customHeight="1">
      <x:c r="B904" s="7" t="str">
        <x:v>RAE-E-29-HP-02</x:v>
      </x:c>
      <x:c r="C904" s="7" t="str">
        <x:v>RAE-E-29</x:v>
      </x:c>
      <x:c r="D904" s="7" t="str">
        <x:v>RFP-B2</x:v>
      </x:c>
      <x:c r="E904" s="7" t="str">
        <x:v>HP-02</x:v>
      </x:c>
      <x:c r="F904" s="7" t="str">
        <x:v>configuration</x:v>
      </x:c>
      <x:c r="G904" s="7" t="str">
        <x:v>capacity</x:v>
      </x:c>
      <x:c r="H904" s="10" t="str"/>
      <x:c r="I904" s="7" t="str"/>
      <x:c r="J904" s="7" t="str">
        <x:v>OPEN</x:v>
      </x:c>
    </x:row>
    <x:row r="905" ht="36" customHeight="1">
      <x:c r="B905" s="7" t="str">
        <x:v>RAE-E-29-HP-03</x:v>
      </x:c>
      <x:c r="C905" s="7" t="str">
        <x:v>RAE-E-29</x:v>
      </x:c>
      <x:c r="D905" s="7" t="str">
        <x:v>RFP-B2</x:v>
      </x:c>
      <x:c r="E905" s="7" t="str">
        <x:v>HP-03</x:v>
      </x:c>
      <x:c r="F905" s="7" t="str">
        <x:v>configuration</x:v>
      </x:c>
      <x:c r="G905" s="7" t="str">
        <x:v>state</x:v>
      </x:c>
      <x:c r="H905" s="10" t="str"/>
      <x:c r="I905" s="7" t="str"/>
      <x:c r="J905" s="7" t="str">
        <x:v>OPEN</x:v>
      </x:c>
    </x:row>
    <x:row r="906" ht="36" customHeight="1">
      <x:c r="B906" s="7" t="str">
        <x:v>RAE-E-29-HP-04</x:v>
      </x:c>
      <x:c r="C906" s="7" t="str">
        <x:v>RAE-E-29</x:v>
      </x:c>
      <x:c r="D906" s="7" t="str">
        <x:v>RFP-B2</x:v>
      </x:c>
      <x:c r="E906" s="7" t="str">
        <x:v>HP-04</x:v>
      </x:c>
      <x:c r="F906" s="7" t="str">
        <x:v>configuration</x:v>
      </x:c>
      <x:c r="G906" s="7" t="str">
        <x:v>authority</x:v>
      </x:c>
      <x:c r="H906" s="10" t="str"/>
      <x:c r="I906" s="7" t="str"/>
      <x:c r="J906" s="7" t="str">
        <x:v>OPEN</x:v>
      </x:c>
    </x:row>
    <x:row r="907" ht="36" customHeight="1">
      <x:c r="B907" s="7" t="str">
        <x:v>RAE-E-29-HP-05</x:v>
      </x:c>
      <x:c r="C907" s="7" t="str">
        <x:v>RAE-E-29</x:v>
      </x:c>
      <x:c r="D907" s="7" t="str">
        <x:v>RFP-B2</x:v>
      </x:c>
      <x:c r="E907" s="7" t="str">
        <x:v>HP-05</x:v>
      </x:c>
      <x:c r="F907" s="7" t="str">
        <x:v>source</x:v>
      </x:c>
      <x:c r="G907" s="7" t="str">
        <x:v>identity</x:v>
      </x:c>
      <x:c r="H907" s="10" t="str"/>
      <x:c r="I907" s="7" t="str"/>
      <x:c r="J907" s="7" t="str">
        <x:v>OPEN</x:v>
      </x:c>
    </x:row>
    <x:row r="908" ht="36" customHeight="1">
      <x:c r="B908" s="7" t="str">
        <x:v>RAE-E-29-HP-06</x:v>
      </x:c>
      <x:c r="C908" s="7" t="str">
        <x:v>RAE-E-29</x:v>
      </x:c>
      <x:c r="D908" s="7" t="str">
        <x:v>RFP-B2</x:v>
      </x:c>
      <x:c r="E908" s="7" t="str">
        <x:v>HP-06</x:v>
      </x:c>
      <x:c r="F908" s="7" t="str">
        <x:v>source</x:v>
      </x:c>
      <x:c r="G908" s="7" t="str">
        <x:v>capacity</x:v>
      </x:c>
      <x:c r="H908" s="10" t="str"/>
      <x:c r="I908" s="7" t="str"/>
      <x:c r="J908" s="7" t="str">
        <x:v>OPEN</x:v>
      </x:c>
    </x:row>
    <x:row r="909" ht="36" customHeight="1">
      <x:c r="B909" s="7" t="str">
        <x:v>RAE-E-29-HP-07</x:v>
      </x:c>
      <x:c r="C909" s="7" t="str">
        <x:v>RAE-E-29</x:v>
      </x:c>
      <x:c r="D909" s="7" t="str">
        <x:v>RFP-B2</x:v>
      </x:c>
      <x:c r="E909" s="7" t="str">
        <x:v>HP-07</x:v>
      </x:c>
      <x:c r="F909" s="7" t="str">
        <x:v>source</x:v>
      </x:c>
      <x:c r="G909" s="7" t="str">
        <x:v>state</x:v>
      </x:c>
      <x:c r="H909" s="10" t="str"/>
      <x:c r="I909" s="7" t="str"/>
      <x:c r="J909" s="7" t="str">
        <x:v>OPEN</x:v>
      </x:c>
    </x:row>
    <x:row r="910" ht="36" customHeight="1">
      <x:c r="B910" s="7" t="str">
        <x:v>RAE-E-29-HP-08</x:v>
      </x:c>
      <x:c r="C910" s="7" t="str">
        <x:v>RAE-E-29</x:v>
      </x:c>
      <x:c r="D910" s="7" t="str">
        <x:v>RFP-B2</x:v>
      </x:c>
      <x:c r="E910" s="7" t="str">
        <x:v>HP-08</x:v>
      </x:c>
      <x:c r="F910" s="7" t="str">
        <x:v>source</x:v>
      </x:c>
      <x:c r="G910" s="7" t="str">
        <x:v>authority</x:v>
      </x:c>
      <x:c r="H910" s="10" t="str"/>
      <x:c r="I910" s="7" t="str"/>
      <x:c r="J910" s="7" t="str">
        <x:v>OPEN</x:v>
      </x:c>
    </x:row>
    <x:row r="911" ht="36" customHeight="1">
      <x:c r="B911" s="7" t="str">
        <x:v>RAE-E-29-HP-09</x:v>
      </x:c>
      <x:c r="C911" s="7" t="str">
        <x:v>RAE-E-29</x:v>
      </x:c>
      <x:c r="D911" s="7" t="str">
        <x:v>RFP-B2</x:v>
      </x:c>
      <x:c r="E911" s="7" t="str">
        <x:v>HP-09</x:v>
      </x:c>
      <x:c r="F911" s="7" t="str">
        <x:v>containment</x:v>
      </x:c>
      <x:c r="G911" s="7" t="str">
        <x:v>identity</x:v>
      </x:c>
      <x:c r="H911" s="10" t="str"/>
      <x:c r="I911" s="7" t="str"/>
      <x:c r="J911" s="7" t="str">
        <x:v>OPEN</x:v>
      </x:c>
    </x:row>
    <x:row r="912" ht="36" customHeight="1">
      <x:c r="B912" s="7" t="str">
        <x:v>RAE-E-29-HP-10</x:v>
      </x:c>
      <x:c r="C912" s="7" t="str">
        <x:v>RAE-E-29</x:v>
      </x:c>
      <x:c r="D912" s="7" t="str">
        <x:v>RFP-B2</x:v>
      </x:c>
      <x:c r="E912" s="7" t="str">
        <x:v>HP-10</x:v>
      </x:c>
      <x:c r="F912" s="7" t="str">
        <x:v>containment</x:v>
      </x:c>
      <x:c r="G912" s="7" t="str">
        <x:v>capacity</x:v>
      </x:c>
      <x:c r="H912" s="10" t="str"/>
      <x:c r="I912" s="7" t="str"/>
      <x:c r="J912" s="7" t="str">
        <x:v>OPEN</x:v>
      </x:c>
    </x:row>
    <x:row r="913" ht="36" customHeight="1">
      <x:c r="B913" s="7" t="str">
        <x:v>RAE-E-29-HP-11</x:v>
      </x:c>
      <x:c r="C913" s="7" t="str">
        <x:v>RAE-E-29</x:v>
      </x:c>
      <x:c r="D913" s="7" t="str">
        <x:v>RFP-B2</x:v>
      </x:c>
      <x:c r="E913" s="7" t="str">
        <x:v>HP-11</x:v>
      </x:c>
      <x:c r="F913" s="7" t="str">
        <x:v>containment</x:v>
      </x:c>
      <x:c r="G913" s="7" t="str">
        <x:v>state</x:v>
      </x:c>
      <x:c r="H913" s="10" t="str"/>
      <x:c r="I913" s="7" t="str"/>
      <x:c r="J913" s="7" t="str">
        <x:v>OPEN</x:v>
      </x:c>
    </x:row>
    <x:row r="914" ht="36" customHeight="1">
      <x:c r="B914" s="7" t="str">
        <x:v>RAE-E-29-HP-12</x:v>
      </x:c>
      <x:c r="C914" s="7" t="str">
        <x:v>RAE-E-29</x:v>
      </x:c>
      <x:c r="D914" s="7" t="str">
        <x:v>RFP-B2</x:v>
      </x:c>
      <x:c r="E914" s="7" t="str">
        <x:v>HP-12</x:v>
      </x:c>
      <x:c r="F914" s="7" t="str">
        <x:v>containment</x:v>
      </x:c>
      <x:c r="G914" s="7" t="str">
        <x:v>authority</x:v>
      </x:c>
      <x:c r="H914" s="10" t="str"/>
      <x:c r="I914" s="7" t="str"/>
      <x:c r="J914" s="7" t="str">
        <x:v>OPEN</x:v>
      </x:c>
    </x:row>
    <x:row r="915" ht="36" customHeight="1">
      <x:c r="B915" s="7" t="str">
        <x:v>RAE-E-29-HP-13</x:v>
      </x:c>
      <x:c r="C915" s="7" t="str">
        <x:v>RAE-E-29</x:v>
      </x:c>
      <x:c r="D915" s="7" t="str">
        <x:v>RFP-B2</x:v>
      </x:c>
      <x:c r="E915" s="7" t="str">
        <x:v>HP-13</x:v>
      </x:c>
      <x:c r="F915" s="7" t="str">
        <x:v>water</x:v>
      </x:c>
      <x:c r="G915" s="7" t="str">
        <x:v>identity</x:v>
      </x:c>
      <x:c r="H915" s="10" t="str"/>
      <x:c r="I915" s="7" t="str"/>
      <x:c r="J915" s="7" t="str">
        <x:v>OPEN</x:v>
      </x:c>
    </x:row>
    <x:row r="916" ht="36" customHeight="1">
      <x:c r="B916" s="7" t="str">
        <x:v>RAE-E-29-HP-14</x:v>
      </x:c>
      <x:c r="C916" s="7" t="str">
        <x:v>RAE-E-29</x:v>
      </x:c>
      <x:c r="D916" s="7" t="str">
        <x:v>RFP-B2</x:v>
      </x:c>
      <x:c r="E916" s="7" t="str">
        <x:v>HP-14</x:v>
      </x:c>
      <x:c r="F916" s="7" t="str">
        <x:v>water</x:v>
      </x:c>
      <x:c r="G916" s="7" t="str">
        <x:v>capacity</x:v>
      </x:c>
      <x:c r="H916" s="10" t="str"/>
      <x:c r="I916" s="7" t="str"/>
      <x:c r="J916" s="7" t="str">
        <x:v>OPEN</x:v>
      </x:c>
    </x:row>
    <x:row r="917" ht="36" customHeight="1">
      <x:c r="B917" s="7" t="str">
        <x:v>RAE-E-29-HP-15</x:v>
      </x:c>
      <x:c r="C917" s="7" t="str">
        <x:v>RAE-E-29</x:v>
      </x:c>
      <x:c r="D917" s="7" t="str">
        <x:v>RFP-B2</x:v>
      </x:c>
      <x:c r="E917" s="7" t="str">
        <x:v>HP-15</x:v>
      </x:c>
      <x:c r="F917" s="7" t="str">
        <x:v>water</x:v>
      </x:c>
      <x:c r="G917" s="7" t="str">
        <x:v>state</x:v>
      </x:c>
      <x:c r="H917" s="10" t="str"/>
      <x:c r="I917" s="7" t="str"/>
      <x:c r="J917" s="7" t="str">
        <x:v>OPEN</x:v>
      </x:c>
    </x:row>
    <x:row r="918" ht="36" customHeight="1">
      <x:c r="B918" s="7" t="str">
        <x:v>RAE-E-29-HP-16</x:v>
      </x:c>
      <x:c r="C918" s="7" t="str">
        <x:v>RAE-E-29</x:v>
      </x:c>
      <x:c r="D918" s="7" t="str">
        <x:v>RFP-B2</x:v>
      </x:c>
      <x:c r="E918" s="7" t="str">
        <x:v>HP-16</x:v>
      </x:c>
      <x:c r="F918" s="7" t="str">
        <x:v>water</x:v>
      </x:c>
      <x:c r="G918" s="7" t="str">
        <x:v>authority</x:v>
      </x:c>
      <x:c r="H918" s="10" t="str"/>
      <x:c r="I918" s="7" t="str"/>
      <x:c r="J918" s="7" t="str">
        <x:v>OPEN</x:v>
      </x:c>
    </x:row>
    <x:row r="919" ht="36" customHeight="1">
      <x:c r="B919" s="7" t="str">
        <x:v>RAE-E-29-HP-17</x:v>
      </x:c>
      <x:c r="C919" s="7" t="str">
        <x:v>RAE-E-29</x:v>
      </x:c>
      <x:c r="D919" s="7" t="str">
        <x:v>RFP-B2</x:v>
      </x:c>
      <x:c r="E919" s="7" t="str">
        <x:v>HP-17</x:v>
      </x:c>
      <x:c r="F919" s="7" t="str">
        <x:v>safeing</x:v>
      </x:c>
      <x:c r="G919" s="7" t="str">
        <x:v>identity</x:v>
      </x:c>
      <x:c r="H919" s="10" t="str"/>
      <x:c r="I919" s="7" t="str"/>
      <x:c r="J919" s="7" t="str">
        <x:v>OPEN</x:v>
      </x:c>
    </x:row>
    <x:row r="920" ht="36" customHeight="1">
      <x:c r="B920" s="7" t="str">
        <x:v>RAE-E-29-HP-18</x:v>
      </x:c>
      <x:c r="C920" s="7" t="str">
        <x:v>RAE-E-29</x:v>
      </x:c>
      <x:c r="D920" s="7" t="str">
        <x:v>RFP-B2</x:v>
      </x:c>
      <x:c r="E920" s="7" t="str">
        <x:v>HP-18</x:v>
      </x:c>
      <x:c r="F920" s="7" t="str">
        <x:v>safeing</x:v>
      </x:c>
      <x:c r="G920" s="7" t="str">
        <x:v>capacity</x:v>
      </x:c>
      <x:c r="H920" s="10" t="str"/>
      <x:c r="I920" s="7" t="str"/>
      <x:c r="J920" s="7" t="str">
        <x:v>OPEN</x:v>
      </x:c>
    </x:row>
    <x:row r="921" ht="36" customHeight="1">
      <x:c r="B921" s="7" t="str">
        <x:v>RAE-E-29-HP-19</x:v>
      </x:c>
      <x:c r="C921" s="7" t="str">
        <x:v>RAE-E-29</x:v>
      </x:c>
      <x:c r="D921" s="7" t="str">
        <x:v>RFP-B2</x:v>
      </x:c>
      <x:c r="E921" s="7" t="str">
        <x:v>HP-19</x:v>
      </x:c>
      <x:c r="F921" s="7" t="str">
        <x:v>safeing</x:v>
      </x:c>
      <x:c r="G921" s="7" t="str">
        <x:v>state</x:v>
      </x:c>
      <x:c r="H921" s="10" t="str"/>
      <x:c r="I921" s="7" t="str"/>
      <x:c r="J921" s="7" t="str">
        <x:v>OPEN</x:v>
      </x:c>
    </x:row>
    <x:row r="922" ht="36" customHeight="1">
      <x:c r="B922" s="7" t="str">
        <x:v>RAE-E-29-HP-20</x:v>
      </x:c>
      <x:c r="C922" s="7" t="str">
        <x:v>RAE-E-29</x:v>
      </x:c>
      <x:c r="D922" s="7" t="str">
        <x:v>RFP-B2</x:v>
      </x:c>
      <x:c r="E922" s="7" t="str">
        <x:v>HP-20</x:v>
      </x:c>
      <x:c r="F922" s="7" t="str">
        <x:v>safeing</x:v>
      </x:c>
      <x:c r="G922" s="7" t="str">
        <x:v>authority</x:v>
      </x:c>
      <x:c r="H922" s="10" t="str"/>
      <x:c r="I922" s="7" t="str"/>
      <x:c r="J922" s="7" t="str">
        <x:v>OPEN</x:v>
      </x:c>
    </x:row>
    <x:row r="923" ht="36" customHeight="1">
      <x:c r="B923" s="7" t="str">
        <x:v>RAE-E-29-HP-21</x:v>
      </x:c>
      <x:c r="C923" s="7" t="str">
        <x:v>RAE-E-29</x:v>
      </x:c>
      <x:c r="D923" s="7" t="str">
        <x:v>RFP-B2</x:v>
      </x:c>
      <x:c r="E923" s="7" t="str">
        <x:v>HP-21</x:v>
      </x:c>
      <x:c r="F923" s="7" t="str">
        <x:v>evidence</x:v>
      </x:c>
      <x:c r="G923" s="7" t="str">
        <x:v>identity</x:v>
      </x:c>
      <x:c r="H923" s="10" t="str"/>
      <x:c r="I923" s="7" t="str"/>
      <x:c r="J923" s="7" t="str">
        <x:v>OPEN</x:v>
      </x:c>
    </x:row>
    <x:row r="924" ht="36" customHeight="1">
      <x:c r="B924" s="7" t="str">
        <x:v>RAE-E-29-HP-22</x:v>
      </x:c>
      <x:c r="C924" s="7" t="str">
        <x:v>RAE-E-29</x:v>
      </x:c>
      <x:c r="D924" s="7" t="str">
        <x:v>RFP-B2</x:v>
      </x:c>
      <x:c r="E924" s="7" t="str">
        <x:v>HP-22</x:v>
      </x:c>
      <x:c r="F924" s="7" t="str">
        <x:v>evidence</x:v>
      </x:c>
      <x:c r="G924" s="7" t="str">
        <x:v>capacity</x:v>
      </x:c>
      <x:c r="H924" s="10" t="str"/>
      <x:c r="I924" s="7" t="str"/>
      <x:c r="J924" s="7" t="str">
        <x:v>OPEN</x:v>
      </x:c>
    </x:row>
    <x:row r="925" ht="36" customHeight="1">
      <x:c r="B925" s="7" t="str">
        <x:v>RAE-E-29-HP-23</x:v>
      </x:c>
      <x:c r="C925" s="7" t="str">
        <x:v>RAE-E-29</x:v>
      </x:c>
      <x:c r="D925" s="7" t="str">
        <x:v>RFP-B2</x:v>
      </x:c>
      <x:c r="E925" s="7" t="str">
        <x:v>HP-23</x:v>
      </x:c>
      <x:c r="F925" s="7" t="str">
        <x:v>evidence</x:v>
      </x:c>
      <x:c r="G925" s="7" t="str">
        <x:v>state</x:v>
      </x:c>
      <x:c r="H925" s="10" t="str"/>
      <x:c r="I925" s="7" t="str"/>
      <x:c r="J925" s="7" t="str">
        <x:v>OPEN</x:v>
      </x:c>
    </x:row>
    <x:row r="926" ht="36" customHeight="1">
      <x:c r="B926" s="7" t="str">
        <x:v>RAE-E-29-HP-24</x:v>
      </x:c>
      <x:c r="C926" s="7" t="str">
        <x:v>RAE-E-29</x:v>
      </x:c>
      <x:c r="D926" s="7" t="str">
        <x:v>RFP-B2</x:v>
      </x:c>
      <x:c r="E926" s="7" t="str">
        <x:v>HP-24</x:v>
      </x:c>
      <x:c r="F926" s="7" t="str">
        <x:v>evidence</x:v>
      </x:c>
      <x:c r="G926" s="7" t="str">
        <x:v>authority</x:v>
      </x:c>
      <x:c r="H926" s="10" t="str"/>
      <x:c r="I926" s="7" t="str"/>
      <x:c r="J926" s="7" t="str">
        <x:v>OPEN</x:v>
      </x:c>
    </x:row>
    <x:row r="927" ht="36" customHeight="1">
      <x:c r="B927" s="7" t="str">
        <x:v>RAE-E-29-HP-25</x:v>
      </x:c>
      <x:c r="C927" s="7" t="str">
        <x:v>RAE-E-29</x:v>
      </x:c>
      <x:c r="D927" s="7" t="str">
        <x:v>RFP-B2</x:v>
      </x:c>
      <x:c r="E927" s="7" t="str">
        <x:v>HP-25</x:v>
      </x:c>
      <x:c r="F927" s="7" t="str">
        <x:v>environment</x:v>
      </x:c>
      <x:c r="G927" s="7" t="str">
        <x:v>identity</x:v>
      </x:c>
      <x:c r="H927" s="10" t="str"/>
      <x:c r="I927" s="7" t="str"/>
      <x:c r="J927" s="7" t="str">
        <x:v>OPEN</x:v>
      </x:c>
    </x:row>
    <x:row r="928" ht="36" customHeight="1">
      <x:c r="B928" s="7" t="str">
        <x:v>RAE-E-29-HP-26</x:v>
      </x:c>
      <x:c r="C928" s="7" t="str">
        <x:v>RAE-E-29</x:v>
      </x:c>
      <x:c r="D928" s="7" t="str">
        <x:v>RFP-B2</x:v>
      </x:c>
      <x:c r="E928" s="7" t="str">
        <x:v>HP-26</x:v>
      </x:c>
      <x:c r="F928" s="7" t="str">
        <x:v>environment</x:v>
      </x:c>
      <x:c r="G928" s="7" t="str">
        <x:v>capacity</x:v>
      </x:c>
      <x:c r="H928" s="10" t="str"/>
      <x:c r="I928" s="7" t="str"/>
      <x:c r="J928" s="7" t="str">
        <x:v>OPEN</x:v>
      </x:c>
    </x:row>
    <x:row r="929" ht="36" customHeight="1">
      <x:c r="B929" s="7" t="str">
        <x:v>RAE-E-29-HP-27</x:v>
      </x:c>
      <x:c r="C929" s="7" t="str">
        <x:v>RAE-E-29</x:v>
      </x:c>
      <x:c r="D929" s="7" t="str">
        <x:v>RFP-B2</x:v>
      </x:c>
      <x:c r="E929" s="7" t="str">
        <x:v>HP-27</x:v>
      </x:c>
      <x:c r="F929" s="7" t="str">
        <x:v>environment</x:v>
      </x:c>
      <x:c r="G929" s="7" t="str">
        <x:v>state</x:v>
      </x:c>
      <x:c r="H929" s="10" t="str"/>
      <x:c r="I929" s="7" t="str"/>
      <x:c r="J929" s="7" t="str">
        <x:v>OPEN</x:v>
      </x:c>
    </x:row>
    <x:row r="930" ht="36" customHeight="1">
      <x:c r="B930" s="7" t="str">
        <x:v>RAE-E-29-HP-28</x:v>
      </x:c>
      <x:c r="C930" s="7" t="str">
        <x:v>RAE-E-29</x:v>
      </x:c>
      <x:c r="D930" s="7" t="str">
        <x:v>RFP-B2</x:v>
      </x:c>
      <x:c r="E930" s="7" t="str">
        <x:v>HP-28</x:v>
      </x:c>
      <x:c r="F930" s="7" t="str">
        <x:v>environment</x:v>
      </x:c>
      <x:c r="G930" s="7" t="str">
        <x:v>authority</x:v>
      </x:c>
      <x:c r="H930" s="10" t="str"/>
      <x:c r="I930" s="7" t="str"/>
      <x:c r="J930" s="7" t="str">
        <x:v>OPEN</x:v>
      </x:c>
    </x:row>
    <x:row r="931" ht="36" customHeight="1">
      <x:c r="B931" s="7" t="str">
        <x:v>RAE-E-29-HP-29</x:v>
      </x:c>
      <x:c r="C931" s="7" t="str">
        <x:v>RAE-E-29</x:v>
      </x:c>
      <x:c r="D931" s="7" t="str">
        <x:v>RFP-B2</x:v>
      </x:c>
      <x:c r="E931" s="7" t="str">
        <x:v>HP-29</x:v>
      </x:c>
      <x:c r="F931" s="7" t="str">
        <x:v>authority</x:v>
      </x:c>
      <x:c r="G931" s="7" t="str">
        <x:v>identity</x:v>
      </x:c>
      <x:c r="H931" s="10" t="str"/>
      <x:c r="I931" s="7" t="str"/>
      <x:c r="J931" s="7" t="str">
        <x:v>OPEN</x:v>
      </x:c>
    </x:row>
    <x:row r="932" ht="36" customHeight="1">
      <x:c r="B932" s="7" t="str">
        <x:v>RAE-E-29-HP-30</x:v>
      </x:c>
      <x:c r="C932" s="7" t="str">
        <x:v>RAE-E-29</x:v>
      </x:c>
      <x:c r="D932" s="7" t="str">
        <x:v>RFP-B2</x:v>
      </x:c>
      <x:c r="E932" s="7" t="str">
        <x:v>HP-30</x:v>
      </x:c>
      <x:c r="F932" s="7" t="str">
        <x:v>authority</x:v>
      </x:c>
      <x:c r="G932" s="7" t="str">
        <x:v>capacity</x:v>
      </x:c>
      <x:c r="H932" s="10" t="str"/>
      <x:c r="I932" s="7" t="str"/>
      <x:c r="J932" s="7" t="str">
        <x:v>OPEN</x:v>
      </x:c>
    </x:row>
    <x:row r="933" ht="36" customHeight="1">
      <x:c r="B933" s="7" t="str">
        <x:v>RAE-E-29-HP-31</x:v>
      </x:c>
      <x:c r="C933" s="7" t="str">
        <x:v>RAE-E-29</x:v>
      </x:c>
      <x:c r="D933" s="7" t="str">
        <x:v>RFP-B2</x:v>
      </x:c>
      <x:c r="E933" s="7" t="str">
        <x:v>HP-31</x:v>
      </x:c>
      <x:c r="F933" s="7" t="str">
        <x:v>authority</x:v>
      </x:c>
      <x:c r="G933" s="7" t="str">
        <x:v>state</x:v>
      </x:c>
      <x:c r="H933" s="10" t="str"/>
      <x:c r="I933" s="7" t="str"/>
      <x:c r="J933" s="7" t="str">
        <x:v>OPEN</x:v>
      </x:c>
    </x:row>
    <x:row r="934" ht="36" customHeight="1">
      <x:c r="B934" s="7" t="str">
        <x:v>RAE-E-29-HP-32</x:v>
      </x:c>
      <x:c r="C934" s="7" t="str">
        <x:v>RAE-E-29</x:v>
      </x:c>
      <x:c r="D934" s="7" t="str">
        <x:v>RFP-B2</x:v>
      </x:c>
      <x:c r="E934" s="7" t="str">
        <x:v>HP-32</x:v>
      </x:c>
      <x:c r="F934" s="7" t="str">
        <x:v>authority</x:v>
      </x:c>
      <x:c r="G934" s="7" t="str">
        <x:v>authority</x:v>
      </x:c>
      <x:c r="H934" s="10" t="str"/>
      <x:c r="I934" s="7" t="str"/>
      <x:c r="J934" s="7" t="str">
        <x:v>OPEN</x:v>
      </x:c>
    </x:row>
    <x:row r="935" ht="36" customHeight="1">
      <x:c r="B935" s="7" t="str">
        <x:v>RAE-E-30-HP-01</x:v>
      </x:c>
      <x:c r="C935" s="7" t="str">
        <x:v>RAE-E-30</x:v>
      </x:c>
      <x:c r="D935" s="7" t="str">
        <x:v>RFP-B2</x:v>
      </x:c>
      <x:c r="E935" s="7" t="str">
        <x:v>HP-01</x:v>
      </x:c>
      <x:c r="F935" s="7" t="str">
        <x:v>configuration</x:v>
      </x:c>
      <x:c r="G935" s="7" t="str">
        <x:v>identity</x:v>
      </x:c>
      <x:c r="H935" s="10" t="str"/>
      <x:c r="I935" s="7" t="str"/>
      <x:c r="J935" s="7" t="str">
        <x:v>OPEN</x:v>
      </x:c>
    </x:row>
    <x:row r="936" ht="36" customHeight="1">
      <x:c r="B936" s="7" t="str">
        <x:v>RAE-E-30-HP-02</x:v>
      </x:c>
      <x:c r="C936" s="7" t="str">
        <x:v>RAE-E-30</x:v>
      </x:c>
      <x:c r="D936" s="7" t="str">
        <x:v>RFP-B2</x:v>
      </x:c>
      <x:c r="E936" s="7" t="str">
        <x:v>HP-02</x:v>
      </x:c>
      <x:c r="F936" s="7" t="str">
        <x:v>configuration</x:v>
      </x:c>
      <x:c r="G936" s="7" t="str">
        <x:v>capacity</x:v>
      </x:c>
      <x:c r="H936" s="10" t="str"/>
      <x:c r="I936" s="7" t="str"/>
      <x:c r="J936" s="7" t="str">
        <x:v>OPEN</x:v>
      </x:c>
    </x:row>
    <x:row r="937" ht="36" customHeight="1">
      <x:c r="B937" s="7" t="str">
        <x:v>RAE-E-30-HP-03</x:v>
      </x:c>
      <x:c r="C937" s="7" t="str">
        <x:v>RAE-E-30</x:v>
      </x:c>
      <x:c r="D937" s="7" t="str">
        <x:v>RFP-B2</x:v>
      </x:c>
      <x:c r="E937" s="7" t="str">
        <x:v>HP-03</x:v>
      </x:c>
      <x:c r="F937" s="7" t="str">
        <x:v>configuration</x:v>
      </x:c>
      <x:c r="G937" s="7" t="str">
        <x:v>state</x:v>
      </x:c>
      <x:c r="H937" s="10" t="str"/>
      <x:c r="I937" s="7" t="str"/>
      <x:c r="J937" s="7" t="str">
        <x:v>OPEN</x:v>
      </x:c>
    </x:row>
    <x:row r="938" ht="36" customHeight="1">
      <x:c r="B938" s="7" t="str">
        <x:v>RAE-E-30-HP-04</x:v>
      </x:c>
      <x:c r="C938" s="7" t="str">
        <x:v>RAE-E-30</x:v>
      </x:c>
      <x:c r="D938" s="7" t="str">
        <x:v>RFP-B2</x:v>
      </x:c>
      <x:c r="E938" s="7" t="str">
        <x:v>HP-04</x:v>
      </x:c>
      <x:c r="F938" s="7" t="str">
        <x:v>configuration</x:v>
      </x:c>
      <x:c r="G938" s="7" t="str">
        <x:v>authority</x:v>
      </x:c>
      <x:c r="H938" s="10" t="str"/>
      <x:c r="I938" s="7" t="str"/>
      <x:c r="J938" s="7" t="str">
        <x:v>OPEN</x:v>
      </x:c>
    </x:row>
    <x:row r="939" ht="36" customHeight="1">
      <x:c r="B939" s="7" t="str">
        <x:v>RAE-E-30-HP-05</x:v>
      </x:c>
      <x:c r="C939" s="7" t="str">
        <x:v>RAE-E-30</x:v>
      </x:c>
      <x:c r="D939" s="7" t="str">
        <x:v>RFP-B2</x:v>
      </x:c>
      <x:c r="E939" s="7" t="str">
        <x:v>HP-05</x:v>
      </x:c>
      <x:c r="F939" s="7" t="str">
        <x:v>source</x:v>
      </x:c>
      <x:c r="G939" s="7" t="str">
        <x:v>identity</x:v>
      </x:c>
      <x:c r="H939" s="10" t="str"/>
      <x:c r="I939" s="7" t="str"/>
      <x:c r="J939" s="7" t="str">
        <x:v>OPEN</x:v>
      </x:c>
    </x:row>
    <x:row r="940" ht="36" customHeight="1">
      <x:c r="B940" s="7" t="str">
        <x:v>RAE-E-30-HP-06</x:v>
      </x:c>
      <x:c r="C940" s="7" t="str">
        <x:v>RAE-E-30</x:v>
      </x:c>
      <x:c r="D940" s="7" t="str">
        <x:v>RFP-B2</x:v>
      </x:c>
      <x:c r="E940" s="7" t="str">
        <x:v>HP-06</x:v>
      </x:c>
      <x:c r="F940" s="7" t="str">
        <x:v>source</x:v>
      </x:c>
      <x:c r="G940" s="7" t="str">
        <x:v>capacity</x:v>
      </x:c>
      <x:c r="H940" s="10" t="str"/>
      <x:c r="I940" s="7" t="str"/>
      <x:c r="J940" s="7" t="str">
        <x:v>OPEN</x:v>
      </x:c>
    </x:row>
    <x:row r="941" ht="36" customHeight="1">
      <x:c r="B941" s="7" t="str">
        <x:v>RAE-E-30-HP-07</x:v>
      </x:c>
      <x:c r="C941" s="7" t="str">
        <x:v>RAE-E-30</x:v>
      </x:c>
      <x:c r="D941" s="7" t="str">
        <x:v>RFP-B2</x:v>
      </x:c>
      <x:c r="E941" s="7" t="str">
        <x:v>HP-07</x:v>
      </x:c>
      <x:c r="F941" s="7" t="str">
        <x:v>source</x:v>
      </x:c>
      <x:c r="G941" s="7" t="str">
        <x:v>state</x:v>
      </x:c>
      <x:c r="H941" s="10" t="str"/>
      <x:c r="I941" s="7" t="str"/>
      <x:c r="J941" s="7" t="str">
        <x:v>OPEN</x:v>
      </x:c>
    </x:row>
    <x:row r="942" ht="36" customHeight="1">
      <x:c r="B942" s="7" t="str">
        <x:v>RAE-E-30-HP-08</x:v>
      </x:c>
      <x:c r="C942" s="7" t="str">
        <x:v>RAE-E-30</x:v>
      </x:c>
      <x:c r="D942" s="7" t="str">
        <x:v>RFP-B2</x:v>
      </x:c>
      <x:c r="E942" s="7" t="str">
        <x:v>HP-08</x:v>
      </x:c>
      <x:c r="F942" s="7" t="str">
        <x:v>source</x:v>
      </x:c>
      <x:c r="G942" s="7" t="str">
        <x:v>authority</x:v>
      </x:c>
      <x:c r="H942" s="10" t="str"/>
      <x:c r="I942" s="7" t="str"/>
      <x:c r="J942" s="7" t="str">
        <x:v>OPEN</x:v>
      </x:c>
    </x:row>
    <x:row r="943" ht="36" customHeight="1">
      <x:c r="B943" s="7" t="str">
        <x:v>RAE-E-30-HP-09</x:v>
      </x:c>
      <x:c r="C943" s="7" t="str">
        <x:v>RAE-E-30</x:v>
      </x:c>
      <x:c r="D943" s="7" t="str">
        <x:v>RFP-B2</x:v>
      </x:c>
      <x:c r="E943" s="7" t="str">
        <x:v>HP-09</x:v>
      </x:c>
      <x:c r="F943" s="7" t="str">
        <x:v>containment</x:v>
      </x:c>
      <x:c r="G943" s="7" t="str">
        <x:v>identity</x:v>
      </x:c>
      <x:c r="H943" s="10" t="str"/>
      <x:c r="I943" s="7" t="str"/>
      <x:c r="J943" s="7" t="str">
        <x:v>OPEN</x:v>
      </x:c>
    </x:row>
    <x:row r="944" ht="36" customHeight="1">
      <x:c r="B944" s="7" t="str">
        <x:v>RAE-E-30-HP-10</x:v>
      </x:c>
      <x:c r="C944" s="7" t="str">
        <x:v>RAE-E-30</x:v>
      </x:c>
      <x:c r="D944" s="7" t="str">
        <x:v>RFP-B2</x:v>
      </x:c>
      <x:c r="E944" s="7" t="str">
        <x:v>HP-10</x:v>
      </x:c>
      <x:c r="F944" s="7" t="str">
        <x:v>containment</x:v>
      </x:c>
      <x:c r="G944" s="7" t="str">
        <x:v>capacity</x:v>
      </x:c>
      <x:c r="H944" s="10" t="str"/>
      <x:c r="I944" s="7" t="str"/>
      <x:c r="J944" s="7" t="str">
        <x:v>OPEN</x:v>
      </x:c>
    </x:row>
    <x:row r="945" ht="36" customHeight="1">
      <x:c r="B945" s="7" t="str">
        <x:v>RAE-E-30-HP-11</x:v>
      </x:c>
      <x:c r="C945" s="7" t="str">
        <x:v>RAE-E-30</x:v>
      </x:c>
      <x:c r="D945" s="7" t="str">
        <x:v>RFP-B2</x:v>
      </x:c>
      <x:c r="E945" s="7" t="str">
        <x:v>HP-11</x:v>
      </x:c>
      <x:c r="F945" s="7" t="str">
        <x:v>containment</x:v>
      </x:c>
      <x:c r="G945" s="7" t="str">
        <x:v>state</x:v>
      </x:c>
      <x:c r="H945" s="10" t="str"/>
      <x:c r="I945" s="7" t="str"/>
      <x:c r="J945" s="7" t="str">
        <x:v>OPEN</x:v>
      </x:c>
    </x:row>
    <x:row r="946" ht="36" customHeight="1">
      <x:c r="B946" s="7" t="str">
        <x:v>RAE-E-30-HP-12</x:v>
      </x:c>
      <x:c r="C946" s="7" t="str">
        <x:v>RAE-E-30</x:v>
      </x:c>
      <x:c r="D946" s="7" t="str">
        <x:v>RFP-B2</x:v>
      </x:c>
      <x:c r="E946" s="7" t="str">
        <x:v>HP-12</x:v>
      </x:c>
      <x:c r="F946" s="7" t="str">
        <x:v>containment</x:v>
      </x:c>
      <x:c r="G946" s="7" t="str">
        <x:v>authority</x:v>
      </x:c>
      <x:c r="H946" s="10" t="str"/>
      <x:c r="I946" s="7" t="str"/>
      <x:c r="J946" s="7" t="str">
        <x:v>OPEN</x:v>
      </x:c>
    </x:row>
    <x:row r="947" ht="36" customHeight="1">
      <x:c r="B947" s="7" t="str">
        <x:v>RAE-E-30-HP-13</x:v>
      </x:c>
      <x:c r="C947" s="7" t="str">
        <x:v>RAE-E-30</x:v>
      </x:c>
      <x:c r="D947" s="7" t="str">
        <x:v>RFP-B2</x:v>
      </x:c>
      <x:c r="E947" s="7" t="str">
        <x:v>HP-13</x:v>
      </x:c>
      <x:c r="F947" s="7" t="str">
        <x:v>water</x:v>
      </x:c>
      <x:c r="G947" s="7" t="str">
        <x:v>identity</x:v>
      </x:c>
      <x:c r="H947" s="10" t="str"/>
      <x:c r="I947" s="7" t="str"/>
      <x:c r="J947" s="7" t="str">
        <x:v>OPEN</x:v>
      </x:c>
    </x:row>
    <x:row r="948" ht="36" customHeight="1">
      <x:c r="B948" s="7" t="str">
        <x:v>RAE-E-30-HP-14</x:v>
      </x:c>
      <x:c r="C948" s="7" t="str">
        <x:v>RAE-E-30</x:v>
      </x:c>
      <x:c r="D948" s="7" t="str">
        <x:v>RFP-B2</x:v>
      </x:c>
      <x:c r="E948" s="7" t="str">
        <x:v>HP-14</x:v>
      </x:c>
      <x:c r="F948" s="7" t="str">
        <x:v>water</x:v>
      </x:c>
      <x:c r="G948" s="7" t="str">
        <x:v>capacity</x:v>
      </x:c>
      <x:c r="H948" s="10" t="str"/>
      <x:c r="I948" s="7" t="str"/>
      <x:c r="J948" s="7" t="str">
        <x:v>OPEN</x:v>
      </x:c>
    </x:row>
    <x:row r="949" ht="36" customHeight="1">
      <x:c r="B949" s="7" t="str">
        <x:v>RAE-E-30-HP-15</x:v>
      </x:c>
      <x:c r="C949" s="7" t="str">
        <x:v>RAE-E-30</x:v>
      </x:c>
      <x:c r="D949" s="7" t="str">
        <x:v>RFP-B2</x:v>
      </x:c>
      <x:c r="E949" s="7" t="str">
        <x:v>HP-15</x:v>
      </x:c>
      <x:c r="F949" s="7" t="str">
        <x:v>water</x:v>
      </x:c>
      <x:c r="G949" s="7" t="str">
        <x:v>state</x:v>
      </x:c>
      <x:c r="H949" s="10" t="str"/>
      <x:c r="I949" s="7" t="str"/>
      <x:c r="J949" s="7" t="str">
        <x:v>OPEN</x:v>
      </x:c>
    </x:row>
    <x:row r="950" ht="36" customHeight="1">
      <x:c r="B950" s="7" t="str">
        <x:v>RAE-E-30-HP-16</x:v>
      </x:c>
      <x:c r="C950" s="7" t="str">
        <x:v>RAE-E-30</x:v>
      </x:c>
      <x:c r="D950" s="7" t="str">
        <x:v>RFP-B2</x:v>
      </x:c>
      <x:c r="E950" s="7" t="str">
        <x:v>HP-16</x:v>
      </x:c>
      <x:c r="F950" s="7" t="str">
        <x:v>water</x:v>
      </x:c>
      <x:c r="G950" s="7" t="str">
        <x:v>authority</x:v>
      </x:c>
      <x:c r="H950" s="10" t="str"/>
      <x:c r="I950" s="7" t="str"/>
      <x:c r="J950" s="7" t="str">
        <x:v>OPEN</x:v>
      </x:c>
    </x:row>
    <x:row r="951" ht="36" customHeight="1">
      <x:c r="B951" s="7" t="str">
        <x:v>RAE-E-30-HP-17</x:v>
      </x:c>
      <x:c r="C951" s="7" t="str">
        <x:v>RAE-E-30</x:v>
      </x:c>
      <x:c r="D951" s="7" t="str">
        <x:v>RFP-B2</x:v>
      </x:c>
      <x:c r="E951" s="7" t="str">
        <x:v>HP-17</x:v>
      </x:c>
      <x:c r="F951" s="7" t="str">
        <x:v>safeing</x:v>
      </x:c>
      <x:c r="G951" s="7" t="str">
        <x:v>identity</x:v>
      </x:c>
      <x:c r="H951" s="10" t="str"/>
      <x:c r="I951" s="7" t="str"/>
      <x:c r="J951" s="7" t="str">
        <x:v>OPEN</x:v>
      </x:c>
    </x:row>
    <x:row r="952" ht="36" customHeight="1">
      <x:c r="B952" s="7" t="str">
        <x:v>RAE-E-30-HP-18</x:v>
      </x:c>
      <x:c r="C952" s="7" t="str">
        <x:v>RAE-E-30</x:v>
      </x:c>
      <x:c r="D952" s="7" t="str">
        <x:v>RFP-B2</x:v>
      </x:c>
      <x:c r="E952" s="7" t="str">
        <x:v>HP-18</x:v>
      </x:c>
      <x:c r="F952" s="7" t="str">
        <x:v>safeing</x:v>
      </x:c>
      <x:c r="G952" s="7" t="str">
        <x:v>capacity</x:v>
      </x:c>
      <x:c r="H952" s="10" t="str"/>
      <x:c r="I952" s="7" t="str"/>
      <x:c r="J952" s="7" t="str">
        <x:v>OPEN</x:v>
      </x:c>
    </x:row>
    <x:row r="953" ht="36" customHeight="1">
      <x:c r="B953" s="7" t="str">
        <x:v>RAE-E-30-HP-19</x:v>
      </x:c>
      <x:c r="C953" s="7" t="str">
        <x:v>RAE-E-30</x:v>
      </x:c>
      <x:c r="D953" s="7" t="str">
        <x:v>RFP-B2</x:v>
      </x:c>
      <x:c r="E953" s="7" t="str">
        <x:v>HP-19</x:v>
      </x:c>
      <x:c r="F953" s="7" t="str">
        <x:v>safeing</x:v>
      </x:c>
      <x:c r="G953" s="7" t="str">
        <x:v>state</x:v>
      </x:c>
      <x:c r="H953" s="10" t="str"/>
      <x:c r="I953" s="7" t="str"/>
      <x:c r="J953" s="7" t="str">
        <x:v>OPEN</x:v>
      </x:c>
    </x:row>
    <x:row r="954" ht="36" customHeight="1">
      <x:c r="B954" s="7" t="str">
        <x:v>RAE-E-30-HP-20</x:v>
      </x:c>
      <x:c r="C954" s="7" t="str">
        <x:v>RAE-E-30</x:v>
      </x:c>
      <x:c r="D954" s="7" t="str">
        <x:v>RFP-B2</x:v>
      </x:c>
      <x:c r="E954" s="7" t="str">
        <x:v>HP-20</x:v>
      </x:c>
      <x:c r="F954" s="7" t="str">
        <x:v>safeing</x:v>
      </x:c>
      <x:c r="G954" s="7" t="str">
        <x:v>authority</x:v>
      </x:c>
      <x:c r="H954" s="10" t="str"/>
      <x:c r="I954" s="7" t="str"/>
      <x:c r="J954" s="7" t="str">
        <x:v>OPEN</x:v>
      </x:c>
    </x:row>
    <x:row r="955" ht="36" customHeight="1">
      <x:c r="B955" s="7" t="str">
        <x:v>RAE-E-30-HP-21</x:v>
      </x:c>
      <x:c r="C955" s="7" t="str">
        <x:v>RAE-E-30</x:v>
      </x:c>
      <x:c r="D955" s="7" t="str">
        <x:v>RFP-B2</x:v>
      </x:c>
      <x:c r="E955" s="7" t="str">
        <x:v>HP-21</x:v>
      </x:c>
      <x:c r="F955" s="7" t="str">
        <x:v>evidence</x:v>
      </x:c>
      <x:c r="G955" s="7" t="str">
        <x:v>identity</x:v>
      </x:c>
      <x:c r="H955" s="10" t="str"/>
      <x:c r="I955" s="7" t="str"/>
      <x:c r="J955" s="7" t="str">
        <x:v>OPEN</x:v>
      </x:c>
    </x:row>
    <x:row r="956" ht="36" customHeight="1">
      <x:c r="B956" s="7" t="str">
        <x:v>RAE-E-30-HP-22</x:v>
      </x:c>
      <x:c r="C956" s="7" t="str">
        <x:v>RAE-E-30</x:v>
      </x:c>
      <x:c r="D956" s="7" t="str">
        <x:v>RFP-B2</x:v>
      </x:c>
      <x:c r="E956" s="7" t="str">
        <x:v>HP-22</x:v>
      </x:c>
      <x:c r="F956" s="7" t="str">
        <x:v>evidence</x:v>
      </x:c>
      <x:c r="G956" s="7" t="str">
        <x:v>capacity</x:v>
      </x:c>
      <x:c r="H956" s="10" t="str"/>
      <x:c r="I956" s="7" t="str"/>
      <x:c r="J956" s="7" t="str">
        <x:v>OPEN</x:v>
      </x:c>
    </x:row>
    <x:row r="957" ht="36" customHeight="1">
      <x:c r="B957" s="7" t="str">
        <x:v>RAE-E-30-HP-23</x:v>
      </x:c>
      <x:c r="C957" s="7" t="str">
        <x:v>RAE-E-30</x:v>
      </x:c>
      <x:c r="D957" s="7" t="str">
        <x:v>RFP-B2</x:v>
      </x:c>
      <x:c r="E957" s="7" t="str">
        <x:v>HP-23</x:v>
      </x:c>
      <x:c r="F957" s="7" t="str">
        <x:v>evidence</x:v>
      </x:c>
      <x:c r="G957" s="7" t="str">
        <x:v>state</x:v>
      </x:c>
      <x:c r="H957" s="10" t="str"/>
      <x:c r="I957" s="7" t="str"/>
      <x:c r="J957" s="7" t="str">
        <x:v>OPEN</x:v>
      </x:c>
    </x:row>
    <x:row r="958" ht="36" customHeight="1">
      <x:c r="B958" s="7" t="str">
        <x:v>RAE-E-30-HP-24</x:v>
      </x:c>
      <x:c r="C958" s="7" t="str">
        <x:v>RAE-E-30</x:v>
      </x:c>
      <x:c r="D958" s="7" t="str">
        <x:v>RFP-B2</x:v>
      </x:c>
      <x:c r="E958" s="7" t="str">
        <x:v>HP-24</x:v>
      </x:c>
      <x:c r="F958" s="7" t="str">
        <x:v>evidence</x:v>
      </x:c>
      <x:c r="G958" s="7" t="str">
        <x:v>authority</x:v>
      </x:c>
      <x:c r="H958" s="10" t="str"/>
      <x:c r="I958" s="7" t="str"/>
      <x:c r="J958" s="7" t="str">
        <x:v>OPEN</x:v>
      </x:c>
    </x:row>
    <x:row r="959" ht="36" customHeight="1">
      <x:c r="B959" s="7" t="str">
        <x:v>RAE-E-30-HP-25</x:v>
      </x:c>
      <x:c r="C959" s="7" t="str">
        <x:v>RAE-E-30</x:v>
      </x:c>
      <x:c r="D959" s="7" t="str">
        <x:v>RFP-B2</x:v>
      </x:c>
      <x:c r="E959" s="7" t="str">
        <x:v>HP-25</x:v>
      </x:c>
      <x:c r="F959" s="7" t="str">
        <x:v>environment</x:v>
      </x:c>
      <x:c r="G959" s="7" t="str">
        <x:v>identity</x:v>
      </x:c>
      <x:c r="H959" s="10" t="str"/>
      <x:c r="I959" s="7" t="str"/>
      <x:c r="J959" s="7" t="str">
        <x:v>OPEN</x:v>
      </x:c>
    </x:row>
    <x:row r="960" ht="36" customHeight="1">
      <x:c r="B960" s="7" t="str">
        <x:v>RAE-E-30-HP-26</x:v>
      </x:c>
      <x:c r="C960" s="7" t="str">
        <x:v>RAE-E-30</x:v>
      </x:c>
      <x:c r="D960" s="7" t="str">
        <x:v>RFP-B2</x:v>
      </x:c>
      <x:c r="E960" s="7" t="str">
        <x:v>HP-26</x:v>
      </x:c>
      <x:c r="F960" s="7" t="str">
        <x:v>environment</x:v>
      </x:c>
      <x:c r="G960" s="7" t="str">
        <x:v>capacity</x:v>
      </x:c>
      <x:c r="H960" s="10" t="str"/>
      <x:c r="I960" s="7" t="str"/>
      <x:c r="J960" s="7" t="str">
        <x:v>OPEN</x:v>
      </x:c>
    </x:row>
    <x:row r="961" ht="36" customHeight="1">
      <x:c r="B961" s="7" t="str">
        <x:v>RAE-E-30-HP-27</x:v>
      </x:c>
      <x:c r="C961" s="7" t="str">
        <x:v>RAE-E-30</x:v>
      </x:c>
      <x:c r="D961" s="7" t="str">
        <x:v>RFP-B2</x:v>
      </x:c>
      <x:c r="E961" s="7" t="str">
        <x:v>HP-27</x:v>
      </x:c>
      <x:c r="F961" s="7" t="str">
        <x:v>environment</x:v>
      </x:c>
      <x:c r="G961" s="7" t="str">
        <x:v>state</x:v>
      </x:c>
      <x:c r="H961" s="10" t="str"/>
      <x:c r="I961" s="7" t="str"/>
      <x:c r="J961" s="7" t="str">
        <x:v>OPEN</x:v>
      </x:c>
    </x:row>
    <x:row r="962" ht="36" customHeight="1">
      <x:c r="B962" s="7" t="str">
        <x:v>RAE-E-30-HP-28</x:v>
      </x:c>
      <x:c r="C962" s="7" t="str">
        <x:v>RAE-E-30</x:v>
      </x:c>
      <x:c r="D962" s="7" t="str">
        <x:v>RFP-B2</x:v>
      </x:c>
      <x:c r="E962" s="7" t="str">
        <x:v>HP-28</x:v>
      </x:c>
      <x:c r="F962" s="7" t="str">
        <x:v>environment</x:v>
      </x:c>
      <x:c r="G962" s="7" t="str">
        <x:v>authority</x:v>
      </x:c>
      <x:c r="H962" s="10" t="str"/>
      <x:c r="I962" s="7" t="str"/>
      <x:c r="J962" s="7" t="str">
        <x:v>OPEN</x:v>
      </x:c>
    </x:row>
    <x:row r="963" ht="36" customHeight="1">
      <x:c r="B963" s="7" t="str">
        <x:v>RAE-E-30-HP-29</x:v>
      </x:c>
      <x:c r="C963" s="7" t="str">
        <x:v>RAE-E-30</x:v>
      </x:c>
      <x:c r="D963" s="7" t="str">
        <x:v>RFP-B2</x:v>
      </x:c>
      <x:c r="E963" s="7" t="str">
        <x:v>HP-29</x:v>
      </x:c>
      <x:c r="F963" s="7" t="str">
        <x:v>authority</x:v>
      </x:c>
      <x:c r="G963" s="7" t="str">
        <x:v>identity</x:v>
      </x:c>
      <x:c r="H963" s="10" t="str"/>
      <x:c r="I963" s="7" t="str"/>
      <x:c r="J963" s="7" t="str">
        <x:v>OPEN</x:v>
      </x:c>
    </x:row>
    <x:row r="964" ht="36" customHeight="1">
      <x:c r="B964" s="7" t="str">
        <x:v>RAE-E-30-HP-30</x:v>
      </x:c>
      <x:c r="C964" s="7" t="str">
        <x:v>RAE-E-30</x:v>
      </x:c>
      <x:c r="D964" s="7" t="str">
        <x:v>RFP-B2</x:v>
      </x:c>
      <x:c r="E964" s="7" t="str">
        <x:v>HP-30</x:v>
      </x:c>
      <x:c r="F964" s="7" t="str">
        <x:v>authority</x:v>
      </x:c>
      <x:c r="G964" s="7" t="str">
        <x:v>capacity</x:v>
      </x:c>
      <x:c r="H964" s="10" t="str"/>
      <x:c r="I964" s="7" t="str"/>
      <x:c r="J964" s="7" t="str">
        <x:v>OPEN</x:v>
      </x:c>
    </x:row>
    <x:row r="965" ht="36" customHeight="1">
      <x:c r="B965" s="7" t="str">
        <x:v>RAE-E-30-HP-31</x:v>
      </x:c>
      <x:c r="C965" s="7" t="str">
        <x:v>RAE-E-30</x:v>
      </x:c>
      <x:c r="D965" s="7" t="str">
        <x:v>RFP-B2</x:v>
      </x:c>
      <x:c r="E965" s="7" t="str">
        <x:v>HP-31</x:v>
      </x:c>
      <x:c r="F965" s="7" t="str">
        <x:v>authority</x:v>
      </x:c>
      <x:c r="G965" s="7" t="str">
        <x:v>state</x:v>
      </x:c>
      <x:c r="H965" s="10" t="str"/>
      <x:c r="I965" s="7" t="str"/>
      <x:c r="J965" s="7" t="str">
        <x:v>OPEN</x:v>
      </x:c>
    </x:row>
    <x:row r="966" ht="36" customHeight="1">
      <x:c r="B966" s="7" t="str">
        <x:v>RAE-E-30-HP-32</x:v>
      </x:c>
      <x:c r="C966" s="7" t="str">
        <x:v>RAE-E-30</x:v>
      </x:c>
      <x:c r="D966" s="7" t="str">
        <x:v>RFP-B2</x:v>
      </x:c>
      <x:c r="E966" s="7" t="str">
        <x:v>HP-32</x:v>
      </x:c>
      <x:c r="F966" s="7" t="str">
        <x:v>authority</x:v>
      </x:c>
      <x:c r="G966" s="7" t="str">
        <x:v>authority</x:v>
      </x:c>
      <x:c r="H966" s="10" t="str"/>
      <x:c r="I966" s="7" t="str"/>
      <x:c r="J966" s="7" t="str">
        <x:v>OPEN</x:v>
      </x:c>
    </x:row>
    <x:row r="967" ht="36" customHeight="1">
      <x:c r="B967" s="7" t="str">
        <x:v>RAE-E-31-HP-01</x:v>
      </x:c>
      <x:c r="C967" s="7" t="str">
        <x:v>RAE-E-31</x:v>
      </x:c>
      <x:c r="D967" s="7" t="str">
        <x:v>RFP-B2</x:v>
      </x:c>
      <x:c r="E967" s="7" t="str">
        <x:v>HP-01</x:v>
      </x:c>
      <x:c r="F967" s="7" t="str">
        <x:v>configuration</x:v>
      </x:c>
      <x:c r="G967" s="7" t="str">
        <x:v>identity</x:v>
      </x:c>
      <x:c r="H967" s="10" t="str"/>
      <x:c r="I967" s="7" t="str"/>
      <x:c r="J967" s="7" t="str">
        <x:v>OPEN</x:v>
      </x:c>
    </x:row>
    <x:row r="968" ht="36" customHeight="1">
      <x:c r="B968" s="7" t="str">
        <x:v>RAE-E-31-HP-02</x:v>
      </x:c>
      <x:c r="C968" s="7" t="str">
        <x:v>RAE-E-31</x:v>
      </x:c>
      <x:c r="D968" s="7" t="str">
        <x:v>RFP-B2</x:v>
      </x:c>
      <x:c r="E968" s="7" t="str">
        <x:v>HP-02</x:v>
      </x:c>
      <x:c r="F968" s="7" t="str">
        <x:v>configuration</x:v>
      </x:c>
      <x:c r="G968" s="7" t="str">
        <x:v>capacity</x:v>
      </x:c>
      <x:c r="H968" s="10" t="str"/>
      <x:c r="I968" s="7" t="str"/>
      <x:c r="J968" s="7" t="str">
        <x:v>OPEN</x:v>
      </x:c>
    </x:row>
    <x:row r="969" ht="36" customHeight="1">
      <x:c r="B969" s="7" t="str">
        <x:v>RAE-E-31-HP-03</x:v>
      </x:c>
      <x:c r="C969" s="7" t="str">
        <x:v>RAE-E-31</x:v>
      </x:c>
      <x:c r="D969" s="7" t="str">
        <x:v>RFP-B2</x:v>
      </x:c>
      <x:c r="E969" s="7" t="str">
        <x:v>HP-03</x:v>
      </x:c>
      <x:c r="F969" s="7" t="str">
        <x:v>configuration</x:v>
      </x:c>
      <x:c r="G969" s="7" t="str">
        <x:v>state</x:v>
      </x:c>
      <x:c r="H969" s="10" t="str"/>
      <x:c r="I969" s="7" t="str"/>
      <x:c r="J969" s="7" t="str">
        <x:v>OPEN</x:v>
      </x:c>
    </x:row>
    <x:row r="970" ht="36" customHeight="1">
      <x:c r="B970" s="7" t="str">
        <x:v>RAE-E-31-HP-04</x:v>
      </x:c>
      <x:c r="C970" s="7" t="str">
        <x:v>RAE-E-31</x:v>
      </x:c>
      <x:c r="D970" s="7" t="str">
        <x:v>RFP-B2</x:v>
      </x:c>
      <x:c r="E970" s="7" t="str">
        <x:v>HP-04</x:v>
      </x:c>
      <x:c r="F970" s="7" t="str">
        <x:v>configuration</x:v>
      </x:c>
      <x:c r="G970" s="7" t="str">
        <x:v>authority</x:v>
      </x:c>
      <x:c r="H970" s="10" t="str"/>
      <x:c r="I970" s="7" t="str"/>
      <x:c r="J970" s="7" t="str">
        <x:v>OPEN</x:v>
      </x:c>
    </x:row>
    <x:row r="971" ht="36" customHeight="1">
      <x:c r="B971" s="7" t="str">
        <x:v>RAE-E-31-HP-05</x:v>
      </x:c>
      <x:c r="C971" s="7" t="str">
        <x:v>RAE-E-31</x:v>
      </x:c>
      <x:c r="D971" s="7" t="str">
        <x:v>RFP-B2</x:v>
      </x:c>
      <x:c r="E971" s="7" t="str">
        <x:v>HP-05</x:v>
      </x:c>
      <x:c r="F971" s="7" t="str">
        <x:v>source</x:v>
      </x:c>
      <x:c r="G971" s="7" t="str">
        <x:v>identity</x:v>
      </x:c>
      <x:c r="H971" s="10" t="str"/>
      <x:c r="I971" s="7" t="str"/>
      <x:c r="J971" s="7" t="str">
        <x:v>OPEN</x:v>
      </x:c>
    </x:row>
    <x:row r="972" ht="36" customHeight="1">
      <x:c r="B972" s="7" t="str">
        <x:v>RAE-E-31-HP-06</x:v>
      </x:c>
      <x:c r="C972" s="7" t="str">
        <x:v>RAE-E-31</x:v>
      </x:c>
      <x:c r="D972" s="7" t="str">
        <x:v>RFP-B2</x:v>
      </x:c>
      <x:c r="E972" s="7" t="str">
        <x:v>HP-06</x:v>
      </x:c>
      <x:c r="F972" s="7" t="str">
        <x:v>source</x:v>
      </x:c>
      <x:c r="G972" s="7" t="str">
        <x:v>capacity</x:v>
      </x:c>
      <x:c r="H972" s="10" t="str"/>
      <x:c r="I972" s="7" t="str"/>
      <x:c r="J972" s="7" t="str">
        <x:v>OPEN</x:v>
      </x:c>
    </x:row>
    <x:row r="973" ht="36" customHeight="1">
      <x:c r="B973" s="7" t="str">
        <x:v>RAE-E-31-HP-07</x:v>
      </x:c>
      <x:c r="C973" s="7" t="str">
        <x:v>RAE-E-31</x:v>
      </x:c>
      <x:c r="D973" s="7" t="str">
        <x:v>RFP-B2</x:v>
      </x:c>
      <x:c r="E973" s="7" t="str">
        <x:v>HP-07</x:v>
      </x:c>
      <x:c r="F973" s="7" t="str">
        <x:v>source</x:v>
      </x:c>
      <x:c r="G973" s="7" t="str">
        <x:v>state</x:v>
      </x:c>
      <x:c r="H973" s="10" t="str"/>
      <x:c r="I973" s="7" t="str"/>
      <x:c r="J973" s="7" t="str">
        <x:v>OPEN</x:v>
      </x:c>
    </x:row>
    <x:row r="974" ht="36" customHeight="1">
      <x:c r="B974" s="7" t="str">
        <x:v>RAE-E-31-HP-08</x:v>
      </x:c>
      <x:c r="C974" s="7" t="str">
        <x:v>RAE-E-31</x:v>
      </x:c>
      <x:c r="D974" s="7" t="str">
        <x:v>RFP-B2</x:v>
      </x:c>
      <x:c r="E974" s="7" t="str">
        <x:v>HP-08</x:v>
      </x:c>
      <x:c r="F974" s="7" t="str">
        <x:v>source</x:v>
      </x:c>
      <x:c r="G974" s="7" t="str">
        <x:v>authority</x:v>
      </x:c>
      <x:c r="H974" s="10" t="str"/>
      <x:c r="I974" s="7" t="str"/>
      <x:c r="J974" s="7" t="str">
        <x:v>OPEN</x:v>
      </x:c>
    </x:row>
    <x:row r="975" ht="36" customHeight="1">
      <x:c r="B975" s="7" t="str">
        <x:v>RAE-E-31-HP-09</x:v>
      </x:c>
      <x:c r="C975" s="7" t="str">
        <x:v>RAE-E-31</x:v>
      </x:c>
      <x:c r="D975" s="7" t="str">
        <x:v>RFP-B2</x:v>
      </x:c>
      <x:c r="E975" s="7" t="str">
        <x:v>HP-09</x:v>
      </x:c>
      <x:c r="F975" s="7" t="str">
        <x:v>containment</x:v>
      </x:c>
      <x:c r="G975" s="7" t="str">
        <x:v>identity</x:v>
      </x:c>
      <x:c r="H975" s="10" t="str"/>
      <x:c r="I975" s="7" t="str"/>
      <x:c r="J975" s="7" t="str">
        <x:v>OPEN</x:v>
      </x:c>
    </x:row>
    <x:row r="976" ht="36" customHeight="1">
      <x:c r="B976" s="7" t="str">
        <x:v>RAE-E-31-HP-10</x:v>
      </x:c>
      <x:c r="C976" s="7" t="str">
        <x:v>RAE-E-31</x:v>
      </x:c>
      <x:c r="D976" s="7" t="str">
        <x:v>RFP-B2</x:v>
      </x:c>
      <x:c r="E976" s="7" t="str">
        <x:v>HP-10</x:v>
      </x:c>
      <x:c r="F976" s="7" t="str">
        <x:v>containment</x:v>
      </x:c>
      <x:c r="G976" s="7" t="str">
        <x:v>capacity</x:v>
      </x:c>
      <x:c r="H976" s="10" t="str"/>
      <x:c r="I976" s="7" t="str"/>
      <x:c r="J976" s="7" t="str">
        <x:v>OPEN</x:v>
      </x:c>
    </x:row>
    <x:row r="977" ht="36" customHeight="1">
      <x:c r="B977" s="7" t="str">
        <x:v>RAE-E-31-HP-11</x:v>
      </x:c>
      <x:c r="C977" s="7" t="str">
        <x:v>RAE-E-31</x:v>
      </x:c>
      <x:c r="D977" s="7" t="str">
        <x:v>RFP-B2</x:v>
      </x:c>
      <x:c r="E977" s="7" t="str">
        <x:v>HP-11</x:v>
      </x:c>
      <x:c r="F977" s="7" t="str">
        <x:v>containment</x:v>
      </x:c>
      <x:c r="G977" s="7" t="str">
        <x:v>state</x:v>
      </x:c>
      <x:c r="H977" s="10" t="str"/>
      <x:c r="I977" s="7" t="str"/>
      <x:c r="J977" s="7" t="str">
        <x:v>OPEN</x:v>
      </x:c>
    </x:row>
    <x:row r="978" ht="36" customHeight="1">
      <x:c r="B978" s="7" t="str">
        <x:v>RAE-E-31-HP-12</x:v>
      </x:c>
      <x:c r="C978" s="7" t="str">
        <x:v>RAE-E-31</x:v>
      </x:c>
      <x:c r="D978" s="7" t="str">
        <x:v>RFP-B2</x:v>
      </x:c>
      <x:c r="E978" s="7" t="str">
        <x:v>HP-12</x:v>
      </x:c>
      <x:c r="F978" s="7" t="str">
        <x:v>containment</x:v>
      </x:c>
      <x:c r="G978" s="7" t="str">
        <x:v>authority</x:v>
      </x:c>
      <x:c r="H978" s="10" t="str"/>
      <x:c r="I978" s="7" t="str"/>
      <x:c r="J978" s="7" t="str">
        <x:v>OPEN</x:v>
      </x:c>
    </x:row>
    <x:row r="979" ht="36" customHeight="1">
      <x:c r="B979" s="7" t="str">
        <x:v>RAE-E-31-HP-13</x:v>
      </x:c>
      <x:c r="C979" s="7" t="str">
        <x:v>RAE-E-31</x:v>
      </x:c>
      <x:c r="D979" s="7" t="str">
        <x:v>RFP-B2</x:v>
      </x:c>
      <x:c r="E979" s="7" t="str">
        <x:v>HP-13</x:v>
      </x:c>
      <x:c r="F979" s="7" t="str">
        <x:v>water</x:v>
      </x:c>
      <x:c r="G979" s="7" t="str">
        <x:v>identity</x:v>
      </x:c>
      <x:c r="H979" s="10" t="str"/>
      <x:c r="I979" s="7" t="str"/>
      <x:c r="J979" s="7" t="str">
        <x:v>OPEN</x:v>
      </x:c>
    </x:row>
    <x:row r="980" ht="36" customHeight="1">
      <x:c r="B980" s="7" t="str">
        <x:v>RAE-E-31-HP-14</x:v>
      </x:c>
      <x:c r="C980" s="7" t="str">
        <x:v>RAE-E-31</x:v>
      </x:c>
      <x:c r="D980" s="7" t="str">
        <x:v>RFP-B2</x:v>
      </x:c>
      <x:c r="E980" s="7" t="str">
        <x:v>HP-14</x:v>
      </x:c>
      <x:c r="F980" s="7" t="str">
        <x:v>water</x:v>
      </x:c>
      <x:c r="G980" s="7" t="str">
        <x:v>capacity</x:v>
      </x:c>
      <x:c r="H980" s="10" t="str"/>
      <x:c r="I980" s="7" t="str"/>
      <x:c r="J980" s="7" t="str">
        <x:v>OPEN</x:v>
      </x:c>
    </x:row>
    <x:row r="981" ht="36" customHeight="1">
      <x:c r="B981" s="7" t="str">
        <x:v>RAE-E-31-HP-15</x:v>
      </x:c>
      <x:c r="C981" s="7" t="str">
        <x:v>RAE-E-31</x:v>
      </x:c>
      <x:c r="D981" s="7" t="str">
        <x:v>RFP-B2</x:v>
      </x:c>
      <x:c r="E981" s="7" t="str">
        <x:v>HP-15</x:v>
      </x:c>
      <x:c r="F981" s="7" t="str">
        <x:v>water</x:v>
      </x:c>
      <x:c r="G981" s="7" t="str">
        <x:v>state</x:v>
      </x:c>
      <x:c r="H981" s="10" t="str"/>
      <x:c r="I981" s="7" t="str"/>
      <x:c r="J981" s="7" t="str">
        <x:v>OPEN</x:v>
      </x:c>
    </x:row>
    <x:row r="982" ht="36" customHeight="1">
      <x:c r="B982" s="7" t="str">
        <x:v>RAE-E-31-HP-16</x:v>
      </x:c>
      <x:c r="C982" s="7" t="str">
        <x:v>RAE-E-31</x:v>
      </x:c>
      <x:c r="D982" s="7" t="str">
        <x:v>RFP-B2</x:v>
      </x:c>
      <x:c r="E982" s="7" t="str">
        <x:v>HP-16</x:v>
      </x:c>
      <x:c r="F982" s="7" t="str">
        <x:v>water</x:v>
      </x:c>
      <x:c r="G982" s="7" t="str">
        <x:v>authority</x:v>
      </x:c>
      <x:c r="H982" s="10" t="str"/>
      <x:c r="I982" s="7" t="str"/>
      <x:c r="J982" s="7" t="str">
        <x:v>OPEN</x:v>
      </x:c>
    </x:row>
    <x:row r="983" ht="36" customHeight="1">
      <x:c r="B983" s="7" t="str">
        <x:v>RAE-E-31-HP-17</x:v>
      </x:c>
      <x:c r="C983" s="7" t="str">
        <x:v>RAE-E-31</x:v>
      </x:c>
      <x:c r="D983" s="7" t="str">
        <x:v>RFP-B2</x:v>
      </x:c>
      <x:c r="E983" s="7" t="str">
        <x:v>HP-17</x:v>
      </x:c>
      <x:c r="F983" s="7" t="str">
        <x:v>safeing</x:v>
      </x:c>
      <x:c r="G983" s="7" t="str">
        <x:v>identity</x:v>
      </x:c>
      <x:c r="H983" s="10" t="str"/>
      <x:c r="I983" s="7" t="str"/>
      <x:c r="J983" s="7" t="str">
        <x:v>OPEN</x:v>
      </x:c>
    </x:row>
    <x:row r="984" ht="36" customHeight="1">
      <x:c r="B984" s="7" t="str">
        <x:v>RAE-E-31-HP-18</x:v>
      </x:c>
      <x:c r="C984" s="7" t="str">
        <x:v>RAE-E-31</x:v>
      </x:c>
      <x:c r="D984" s="7" t="str">
        <x:v>RFP-B2</x:v>
      </x:c>
      <x:c r="E984" s="7" t="str">
        <x:v>HP-18</x:v>
      </x:c>
      <x:c r="F984" s="7" t="str">
        <x:v>safeing</x:v>
      </x:c>
      <x:c r="G984" s="7" t="str">
        <x:v>capacity</x:v>
      </x:c>
      <x:c r="H984" s="10" t="str"/>
      <x:c r="I984" s="7" t="str"/>
      <x:c r="J984" s="7" t="str">
        <x:v>OPEN</x:v>
      </x:c>
    </x:row>
    <x:row r="985" ht="36" customHeight="1">
      <x:c r="B985" s="7" t="str">
        <x:v>RAE-E-31-HP-19</x:v>
      </x:c>
      <x:c r="C985" s="7" t="str">
        <x:v>RAE-E-31</x:v>
      </x:c>
      <x:c r="D985" s="7" t="str">
        <x:v>RFP-B2</x:v>
      </x:c>
      <x:c r="E985" s="7" t="str">
        <x:v>HP-19</x:v>
      </x:c>
      <x:c r="F985" s="7" t="str">
        <x:v>safeing</x:v>
      </x:c>
      <x:c r="G985" s="7" t="str">
        <x:v>state</x:v>
      </x:c>
      <x:c r="H985" s="10" t="str"/>
      <x:c r="I985" s="7" t="str"/>
      <x:c r="J985" s="7" t="str">
        <x:v>OPEN</x:v>
      </x:c>
    </x:row>
    <x:row r="986" ht="36" customHeight="1">
      <x:c r="B986" s="7" t="str">
        <x:v>RAE-E-31-HP-20</x:v>
      </x:c>
      <x:c r="C986" s="7" t="str">
        <x:v>RAE-E-31</x:v>
      </x:c>
      <x:c r="D986" s="7" t="str">
        <x:v>RFP-B2</x:v>
      </x:c>
      <x:c r="E986" s="7" t="str">
        <x:v>HP-20</x:v>
      </x:c>
      <x:c r="F986" s="7" t="str">
        <x:v>safeing</x:v>
      </x:c>
      <x:c r="G986" s="7" t="str">
        <x:v>authority</x:v>
      </x:c>
      <x:c r="H986" s="10" t="str"/>
      <x:c r="I986" s="7" t="str"/>
      <x:c r="J986" s="7" t="str">
        <x:v>OPEN</x:v>
      </x:c>
    </x:row>
    <x:row r="987" ht="36" customHeight="1">
      <x:c r="B987" s="7" t="str">
        <x:v>RAE-E-31-HP-21</x:v>
      </x:c>
      <x:c r="C987" s="7" t="str">
        <x:v>RAE-E-31</x:v>
      </x:c>
      <x:c r="D987" s="7" t="str">
        <x:v>RFP-B2</x:v>
      </x:c>
      <x:c r="E987" s="7" t="str">
        <x:v>HP-21</x:v>
      </x:c>
      <x:c r="F987" s="7" t="str">
        <x:v>evidence</x:v>
      </x:c>
      <x:c r="G987" s="7" t="str">
        <x:v>identity</x:v>
      </x:c>
      <x:c r="H987" s="10" t="str"/>
      <x:c r="I987" s="7" t="str"/>
      <x:c r="J987" s="7" t="str">
        <x:v>OPEN</x:v>
      </x:c>
    </x:row>
    <x:row r="988" ht="36" customHeight="1">
      <x:c r="B988" s="7" t="str">
        <x:v>RAE-E-31-HP-22</x:v>
      </x:c>
      <x:c r="C988" s="7" t="str">
        <x:v>RAE-E-31</x:v>
      </x:c>
      <x:c r="D988" s="7" t="str">
        <x:v>RFP-B2</x:v>
      </x:c>
      <x:c r="E988" s="7" t="str">
        <x:v>HP-22</x:v>
      </x:c>
      <x:c r="F988" s="7" t="str">
        <x:v>evidence</x:v>
      </x:c>
      <x:c r="G988" s="7" t="str">
        <x:v>capacity</x:v>
      </x:c>
      <x:c r="H988" s="10" t="str"/>
      <x:c r="I988" s="7" t="str"/>
      <x:c r="J988" s="7" t="str">
        <x:v>OPEN</x:v>
      </x:c>
    </x:row>
    <x:row r="989" ht="36" customHeight="1">
      <x:c r="B989" s="7" t="str">
        <x:v>RAE-E-31-HP-23</x:v>
      </x:c>
      <x:c r="C989" s="7" t="str">
        <x:v>RAE-E-31</x:v>
      </x:c>
      <x:c r="D989" s="7" t="str">
        <x:v>RFP-B2</x:v>
      </x:c>
      <x:c r="E989" s="7" t="str">
        <x:v>HP-23</x:v>
      </x:c>
      <x:c r="F989" s="7" t="str">
        <x:v>evidence</x:v>
      </x:c>
      <x:c r="G989" s="7" t="str">
        <x:v>state</x:v>
      </x:c>
      <x:c r="H989" s="10" t="str"/>
      <x:c r="I989" s="7" t="str"/>
      <x:c r="J989" s="7" t="str">
        <x:v>OPEN</x:v>
      </x:c>
    </x:row>
    <x:row r="990" ht="36" customHeight="1">
      <x:c r="B990" s="7" t="str">
        <x:v>RAE-E-31-HP-24</x:v>
      </x:c>
      <x:c r="C990" s="7" t="str">
        <x:v>RAE-E-31</x:v>
      </x:c>
      <x:c r="D990" s="7" t="str">
        <x:v>RFP-B2</x:v>
      </x:c>
      <x:c r="E990" s="7" t="str">
        <x:v>HP-24</x:v>
      </x:c>
      <x:c r="F990" s="7" t="str">
        <x:v>evidence</x:v>
      </x:c>
      <x:c r="G990" s="7" t="str">
        <x:v>authority</x:v>
      </x:c>
      <x:c r="H990" s="10" t="str"/>
      <x:c r="I990" s="7" t="str"/>
      <x:c r="J990" s="7" t="str">
        <x:v>OPEN</x:v>
      </x:c>
    </x:row>
    <x:row r="991" ht="36" customHeight="1">
      <x:c r="B991" s="7" t="str">
        <x:v>RAE-E-31-HP-25</x:v>
      </x:c>
      <x:c r="C991" s="7" t="str">
        <x:v>RAE-E-31</x:v>
      </x:c>
      <x:c r="D991" s="7" t="str">
        <x:v>RFP-B2</x:v>
      </x:c>
      <x:c r="E991" s="7" t="str">
        <x:v>HP-25</x:v>
      </x:c>
      <x:c r="F991" s="7" t="str">
        <x:v>environment</x:v>
      </x:c>
      <x:c r="G991" s="7" t="str">
        <x:v>identity</x:v>
      </x:c>
      <x:c r="H991" s="10" t="str"/>
      <x:c r="I991" s="7" t="str"/>
      <x:c r="J991" s="7" t="str">
        <x:v>OPEN</x:v>
      </x:c>
    </x:row>
    <x:row r="992" ht="36" customHeight="1">
      <x:c r="B992" s="7" t="str">
        <x:v>RAE-E-31-HP-26</x:v>
      </x:c>
      <x:c r="C992" s="7" t="str">
        <x:v>RAE-E-31</x:v>
      </x:c>
      <x:c r="D992" s="7" t="str">
        <x:v>RFP-B2</x:v>
      </x:c>
      <x:c r="E992" s="7" t="str">
        <x:v>HP-26</x:v>
      </x:c>
      <x:c r="F992" s="7" t="str">
        <x:v>environment</x:v>
      </x:c>
      <x:c r="G992" s="7" t="str">
        <x:v>capacity</x:v>
      </x:c>
      <x:c r="H992" s="10" t="str"/>
      <x:c r="I992" s="7" t="str"/>
      <x:c r="J992" s="7" t="str">
        <x:v>OPEN</x:v>
      </x:c>
    </x:row>
    <x:row r="993" ht="36" customHeight="1">
      <x:c r="B993" s="7" t="str">
        <x:v>RAE-E-31-HP-27</x:v>
      </x:c>
      <x:c r="C993" s="7" t="str">
        <x:v>RAE-E-31</x:v>
      </x:c>
      <x:c r="D993" s="7" t="str">
        <x:v>RFP-B2</x:v>
      </x:c>
      <x:c r="E993" s="7" t="str">
        <x:v>HP-27</x:v>
      </x:c>
      <x:c r="F993" s="7" t="str">
        <x:v>environment</x:v>
      </x:c>
      <x:c r="G993" s="7" t="str">
        <x:v>state</x:v>
      </x:c>
      <x:c r="H993" s="10" t="str"/>
      <x:c r="I993" s="7" t="str"/>
      <x:c r="J993" s="7" t="str">
        <x:v>OPEN</x:v>
      </x:c>
    </x:row>
    <x:row r="994" ht="36" customHeight="1">
      <x:c r="B994" s="7" t="str">
        <x:v>RAE-E-31-HP-28</x:v>
      </x:c>
      <x:c r="C994" s="7" t="str">
        <x:v>RAE-E-31</x:v>
      </x:c>
      <x:c r="D994" s="7" t="str">
        <x:v>RFP-B2</x:v>
      </x:c>
      <x:c r="E994" s="7" t="str">
        <x:v>HP-28</x:v>
      </x:c>
      <x:c r="F994" s="7" t="str">
        <x:v>environment</x:v>
      </x:c>
      <x:c r="G994" s="7" t="str">
        <x:v>authority</x:v>
      </x:c>
      <x:c r="H994" s="10" t="str"/>
      <x:c r="I994" s="7" t="str"/>
      <x:c r="J994" s="7" t="str">
        <x:v>OPEN</x:v>
      </x:c>
    </x:row>
    <x:row r="995" ht="36" customHeight="1">
      <x:c r="B995" s="7" t="str">
        <x:v>RAE-E-31-HP-29</x:v>
      </x:c>
      <x:c r="C995" s="7" t="str">
        <x:v>RAE-E-31</x:v>
      </x:c>
      <x:c r="D995" s="7" t="str">
        <x:v>RFP-B2</x:v>
      </x:c>
      <x:c r="E995" s="7" t="str">
        <x:v>HP-29</x:v>
      </x:c>
      <x:c r="F995" s="7" t="str">
        <x:v>authority</x:v>
      </x:c>
      <x:c r="G995" s="7" t="str">
        <x:v>identity</x:v>
      </x:c>
      <x:c r="H995" s="10" t="str"/>
      <x:c r="I995" s="7" t="str"/>
      <x:c r="J995" s="7" t="str">
        <x:v>OPEN</x:v>
      </x:c>
    </x:row>
    <x:row r="996" ht="36" customHeight="1">
      <x:c r="B996" s="7" t="str">
        <x:v>RAE-E-31-HP-30</x:v>
      </x:c>
      <x:c r="C996" s="7" t="str">
        <x:v>RAE-E-31</x:v>
      </x:c>
      <x:c r="D996" s="7" t="str">
        <x:v>RFP-B2</x:v>
      </x:c>
      <x:c r="E996" s="7" t="str">
        <x:v>HP-30</x:v>
      </x:c>
      <x:c r="F996" s="7" t="str">
        <x:v>authority</x:v>
      </x:c>
      <x:c r="G996" s="7" t="str">
        <x:v>capacity</x:v>
      </x:c>
      <x:c r="H996" s="10" t="str"/>
      <x:c r="I996" s="7" t="str"/>
      <x:c r="J996" s="7" t="str">
        <x:v>OPEN</x:v>
      </x:c>
    </x:row>
    <x:row r="997" ht="36" customHeight="1">
      <x:c r="B997" s="7" t="str">
        <x:v>RAE-E-31-HP-31</x:v>
      </x:c>
      <x:c r="C997" s="7" t="str">
        <x:v>RAE-E-31</x:v>
      </x:c>
      <x:c r="D997" s="7" t="str">
        <x:v>RFP-B2</x:v>
      </x:c>
      <x:c r="E997" s="7" t="str">
        <x:v>HP-31</x:v>
      </x:c>
      <x:c r="F997" s="7" t="str">
        <x:v>authority</x:v>
      </x:c>
      <x:c r="G997" s="7" t="str">
        <x:v>state</x:v>
      </x:c>
      <x:c r="H997" s="10" t="str"/>
      <x:c r="I997" s="7" t="str"/>
      <x:c r="J997" s="7" t="str">
        <x:v>OPEN</x:v>
      </x:c>
    </x:row>
    <x:row r="998" ht="36" customHeight="1">
      <x:c r="B998" s="7" t="str">
        <x:v>RAE-E-31-HP-32</x:v>
      </x:c>
      <x:c r="C998" s="7" t="str">
        <x:v>RAE-E-31</x:v>
      </x:c>
      <x:c r="D998" s="7" t="str">
        <x:v>RFP-B2</x:v>
      </x:c>
      <x:c r="E998" s="7" t="str">
        <x:v>HP-32</x:v>
      </x:c>
      <x:c r="F998" s="7" t="str">
        <x:v>authority</x:v>
      </x:c>
      <x:c r="G998" s="7" t="str">
        <x:v>authority</x:v>
      </x:c>
      <x:c r="H998" s="10" t="str"/>
      <x:c r="I998" s="7" t="str"/>
      <x:c r="J998" s="7" t="str">
        <x:v>OPEN</x:v>
      </x:c>
    </x:row>
    <x:row r="999" ht="36" customHeight="1">
      <x:c r="B999" s="7" t="str">
        <x:v>RAE-E-32-HP-01</x:v>
      </x:c>
      <x:c r="C999" s="7" t="str">
        <x:v>RAE-E-32</x:v>
      </x:c>
      <x:c r="D999" s="7" t="str">
        <x:v>RFP-B2</x:v>
      </x:c>
      <x:c r="E999" s="7" t="str">
        <x:v>HP-01</x:v>
      </x:c>
      <x:c r="F999" s="7" t="str">
        <x:v>configuration</x:v>
      </x:c>
      <x:c r="G999" s="7" t="str">
        <x:v>identity</x:v>
      </x:c>
      <x:c r="H999" s="10" t="str"/>
      <x:c r="I999" s="7" t="str"/>
      <x:c r="J999" s="7" t="str">
        <x:v>OPEN</x:v>
      </x:c>
    </x:row>
    <x:row r="1000" ht="36" customHeight="1">
      <x:c r="B1000" s="7" t="str">
        <x:v>RAE-E-32-HP-02</x:v>
      </x:c>
      <x:c r="C1000" s="7" t="str">
        <x:v>RAE-E-32</x:v>
      </x:c>
      <x:c r="D1000" s="7" t="str">
        <x:v>RFP-B2</x:v>
      </x:c>
      <x:c r="E1000" s="7" t="str">
        <x:v>HP-02</x:v>
      </x:c>
      <x:c r="F1000" s="7" t="str">
        <x:v>configuration</x:v>
      </x:c>
      <x:c r="G1000" s="7" t="str">
        <x:v>capacity</x:v>
      </x:c>
      <x:c r="H1000" s="10" t="str"/>
      <x:c r="I1000" s="7" t="str"/>
      <x:c r="J1000" s="7" t="str">
        <x:v>OPEN</x:v>
      </x:c>
    </x:row>
    <x:row r="1001" ht="36" customHeight="1">
      <x:c r="B1001" s="7" t="str">
        <x:v>RAE-E-32-HP-03</x:v>
      </x:c>
      <x:c r="C1001" s="7" t="str">
        <x:v>RAE-E-32</x:v>
      </x:c>
      <x:c r="D1001" s="7" t="str">
        <x:v>RFP-B2</x:v>
      </x:c>
      <x:c r="E1001" s="7" t="str">
        <x:v>HP-03</x:v>
      </x:c>
      <x:c r="F1001" s="7" t="str">
        <x:v>configuration</x:v>
      </x:c>
      <x:c r="G1001" s="7" t="str">
        <x:v>state</x:v>
      </x:c>
      <x:c r="H1001" s="10" t="str"/>
      <x:c r="I1001" s="7" t="str"/>
      <x:c r="J1001" s="7" t="str">
        <x:v>OPEN</x:v>
      </x:c>
    </x:row>
    <x:row r="1002" ht="36" customHeight="1">
      <x:c r="B1002" s="7" t="str">
        <x:v>RAE-E-32-HP-04</x:v>
      </x:c>
      <x:c r="C1002" s="7" t="str">
        <x:v>RAE-E-32</x:v>
      </x:c>
      <x:c r="D1002" s="7" t="str">
        <x:v>RFP-B2</x:v>
      </x:c>
      <x:c r="E1002" s="7" t="str">
        <x:v>HP-04</x:v>
      </x:c>
      <x:c r="F1002" s="7" t="str">
        <x:v>configuration</x:v>
      </x:c>
      <x:c r="G1002" s="7" t="str">
        <x:v>authority</x:v>
      </x:c>
      <x:c r="H1002" s="10" t="str"/>
      <x:c r="I1002" s="7" t="str"/>
      <x:c r="J1002" s="7" t="str">
        <x:v>OPEN</x:v>
      </x:c>
    </x:row>
    <x:row r="1003" ht="36" customHeight="1">
      <x:c r="B1003" s="7" t="str">
        <x:v>RAE-E-32-HP-05</x:v>
      </x:c>
      <x:c r="C1003" s="7" t="str">
        <x:v>RAE-E-32</x:v>
      </x:c>
      <x:c r="D1003" s="7" t="str">
        <x:v>RFP-B2</x:v>
      </x:c>
      <x:c r="E1003" s="7" t="str">
        <x:v>HP-05</x:v>
      </x:c>
      <x:c r="F1003" s="7" t="str">
        <x:v>source</x:v>
      </x:c>
      <x:c r="G1003" s="7" t="str">
        <x:v>identity</x:v>
      </x:c>
      <x:c r="H1003" s="10" t="str"/>
      <x:c r="I1003" s="7" t="str"/>
      <x:c r="J1003" s="7" t="str">
        <x:v>OPEN</x:v>
      </x:c>
    </x:row>
    <x:row r="1004" ht="36" customHeight="1">
      <x:c r="B1004" s="7" t="str">
        <x:v>RAE-E-32-HP-06</x:v>
      </x:c>
      <x:c r="C1004" s="7" t="str">
        <x:v>RAE-E-32</x:v>
      </x:c>
      <x:c r="D1004" s="7" t="str">
        <x:v>RFP-B2</x:v>
      </x:c>
      <x:c r="E1004" s="7" t="str">
        <x:v>HP-06</x:v>
      </x:c>
      <x:c r="F1004" s="7" t="str">
        <x:v>source</x:v>
      </x:c>
      <x:c r="G1004" s="7" t="str">
        <x:v>capacity</x:v>
      </x:c>
      <x:c r="H1004" s="10" t="str"/>
      <x:c r="I1004" s="7" t="str"/>
      <x:c r="J1004" s="7" t="str">
        <x:v>OPEN</x:v>
      </x:c>
    </x:row>
    <x:row r="1005" ht="36" customHeight="1">
      <x:c r="B1005" s="7" t="str">
        <x:v>RAE-E-32-HP-07</x:v>
      </x:c>
      <x:c r="C1005" s="7" t="str">
        <x:v>RAE-E-32</x:v>
      </x:c>
      <x:c r="D1005" s="7" t="str">
        <x:v>RFP-B2</x:v>
      </x:c>
      <x:c r="E1005" s="7" t="str">
        <x:v>HP-07</x:v>
      </x:c>
      <x:c r="F1005" s="7" t="str">
        <x:v>source</x:v>
      </x:c>
      <x:c r="G1005" s="7" t="str">
        <x:v>state</x:v>
      </x:c>
      <x:c r="H1005" s="10" t="str"/>
      <x:c r="I1005" s="7" t="str"/>
      <x:c r="J1005" s="7" t="str">
        <x:v>OPEN</x:v>
      </x:c>
    </x:row>
    <x:row r="1006" ht="36" customHeight="1">
      <x:c r="B1006" s="7" t="str">
        <x:v>RAE-E-32-HP-08</x:v>
      </x:c>
      <x:c r="C1006" s="7" t="str">
        <x:v>RAE-E-32</x:v>
      </x:c>
      <x:c r="D1006" s="7" t="str">
        <x:v>RFP-B2</x:v>
      </x:c>
      <x:c r="E1006" s="7" t="str">
        <x:v>HP-08</x:v>
      </x:c>
      <x:c r="F1006" s="7" t="str">
        <x:v>source</x:v>
      </x:c>
      <x:c r="G1006" s="7" t="str">
        <x:v>authority</x:v>
      </x:c>
      <x:c r="H1006" s="10" t="str"/>
      <x:c r="I1006" s="7" t="str"/>
      <x:c r="J1006" s="7" t="str">
        <x:v>OPEN</x:v>
      </x:c>
    </x:row>
    <x:row r="1007" ht="36" customHeight="1">
      <x:c r="B1007" s="7" t="str">
        <x:v>RAE-E-32-HP-09</x:v>
      </x:c>
      <x:c r="C1007" s="7" t="str">
        <x:v>RAE-E-32</x:v>
      </x:c>
      <x:c r="D1007" s="7" t="str">
        <x:v>RFP-B2</x:v>
      </x:c>
      <x:c r="E1007" s="7" t="str">
        <x:v>HP-09</x:v>
      </x:c>
      <x:c r="F1007" s="7" t="str">
        <x:v>containment</x:v>
      </x:c>
      <x:c r="G1007" s="7" t="str">
        <x:v>identity</x:v>
      </x:c>
      <x:c r="H1007" s="10" t="str"/>
      <x:c r="I1007" s="7" t="str"/>
      <x:c r="J1007" s="7" t="str">
        <x:v>OPEN</x:v>
      </x:c>
    </x:row>
    <x:row r="1008" ht="36" customHeight="1">
      <x:c r="B1008" s="7" t="str">
        <x:v>RAE-E-32-HP-10</x:v>
      </x:c>
      <x:c r="C1008" s="7" t="str">
        <x:v>RAE-E-32</x:v>
      </x:c>
      <x:c r="D1008" s="7" t="str">
        <x:v>RFP-B2</x:v>
      </x:c>
      <x:c r="E1008" s="7" t="str">
        <x:v>HP-10</x:v>
      </x:c>
      <x:c r="F1008" s="7" t="str">
        <x:v>containment</x:v>
      </x:c>
      <x:c r="G1008" s="7" t="str">
        <x:v>capacity</x:v>
      </x:c>
      <x:c r="H1008" s="10" t="str"/>
      <x:c r="I1008" s="7" t="str"/>
      <x:c r="J1008" s="7" t="str">
        <x:v>OPEN</x:v>
      </x:c>
    </x:row>
    <x:row r="1009" ht="36" customHeight="1">
      <x:c r="B1009" s="7" t="str">
        <x:v>RAE-E-32-HP-11</x:v>
      </x:c>
      <x:c r="C1009" s="7" t="str">
        <x:v>RAE-E-32</x:v>
      </x:c>
      <x:c r="D1009" s="7" t="str">
        <x:v>RFP-B2</x:v>
      </x:c>
      <x:c r="E1009" s="7" t="str">
        <x:v>HP-11</x:v>
      </x:c>
      <x:c r="F1009" s="7" t="str">
        <x:v>containment</x:v>
      </x:c>
      <x:c r="G1009" s="7" t="str">
        <x:v>state</x:v>
      </x:c>
      <x:c r="H1009" s="10" t="str"/>
      <x:c r="I1009" s="7" t="str"/>
      <x:c r="J1009" s="7" t="str">
        <x:v>OPEN</x:v>
      </x:c>
    </x:row>
    <x:row r="1010" ht="36" customHeight="1">
      <x:c r="B1010" s="7" t="str">
        <x:v>RAE-E-32-HP-12</x:v>
      </x:c>
      <x:c r="C1010" s="7" t="str">
        <x:v>RAE-E-32</x:v>
      </x:c>
      <x:c r="D1010" s="7" t="str">
        <x:v>RFP-B2</x:v>
      </x:c>
      <x:c r="E1010" s="7" t="str">
        <x:v>HP-12</x:v>
      </x:c>
      <x:c r="F1010" s="7" t="str">
        <x:v>containment</x:v>
      </x:c>
      <x:c r="G1010" s="7" t="str">
        <x:v>authority</x:v>
      </x:c>
      <x:c r="H1010" s="10" t="str"/>
      <x:c r="I1010" s="7" t="str"/>
      <x:c r="J1010" s="7" t="str">
        <x:v>OPEN</x:v>
      </x:c>
    </x:row>
    <x:row r="1011" ht="36" customHeight="1">
      <x:c r="B1011" s="7" t="str">
        <x:v>RAE-E-32-HP-13</x:v>
      </x:c>
      <x:c r="C1011" s="7" t="str">
        <x:v>RAE-E-32</x:v>
      </x:c>
      <x:c r="D1011" s="7" t="str">
        <x:v>RFP-B2</x:v>
      </x:c>
      <x:c r="E1011" s="7" t="str">
        <x:v>HP-13</x:v>
      </x:c>
      <x:c r="F1011" s="7" t="str">
        <x:v>water</x:v>
      </x:c>
      <x:c r="G1011" s="7" t="str">
        <x:v>identity</x:v>
      </x:c>
      <x:c r="H1011" s="10" t="str"/>
      <x:c r="I1011" s="7" t="str"/>
      <x:c r="J1011" s="7" t="str">
        <x:v>OPEN</x:v>
      </x:c>
    </x:row>
    <x:row r="1012" ht="36" customHeight="1">
      <x:c r="B1012" s="7" t="str">
        <x:v>RAE-E-32-HP-14</x:v>
      </x:c>
      <x:c r="C1012" s="7" t="str">
        <x:v>RAE-E-32</x:v>
      </x:c>
      <x:c r="D1012" s="7" t="str">
        <x:v>RFP-B2</x:v>
      </x:c>
      <x:c r="E1012" s="7" t="str">
        <x:v>HP-14</x:v>
      </x:c>
      <x:c r="F1012" s="7" t="str">
        <x:v>water</x:v>
      </x:c>
      <x:c r="G1012" s="7" t="str">
        <x:v>capacity</x:v>
      </x:c>
      <x:c r="H1012" s="10" t="str"/>
      <x:c r="I1012" s="7" t="str"/>
      <x:c r="J1012" s="7" t="str">
        <x:v>OPEN</x:v>
      </x:c>
    </x:row>
    <x:row r="1013" ht="36" customHeight="1">
      <x:c r="B1013" s="7" t="str">
        <x:v>RAE-E-32-HP-15</x:v>
      </x:c>
      <x:c r="C1013" s="7" t="str">
        <x:v>RAE-E-32</x:v>
      </x:c>
      <x:c r="D1013" s="7" t="str">
        <x:v>RFP-B2</x:v>
      </x:c>
      <x:c r="E1013" s="7" t="str">
        <x:v>HP-15</x:v>
      </x:c>
      <x:c r="F1013" s="7" t="str">
        <x:v>water</x:v>
      </x:c>
      <x:c r="G1013" s="7" t="str">
        <x:v>state</x:v>
      </x:c>
      <x:c r="H1013" s="10" t="str"/>
      <x:c r="I1013" s="7" t="str"/>
      <x:c r="J1013" s="7" t="str">
        <x:v>OPEN</x:v>
      </x:c>
    </x:row>
    <x:row r="1014" ht="36" customHeight="1">
      <x:c r="B1014" s="7" t="str">
        <x:v>RAE-E-32-HP-16</x:v>
      </x:c>
      <x:c r="C1014" s="7" t="str">
        <x:v>RAE-E-32</x:v>
      </x:c>
      <x:c r="D1014" s="7" t="str">
        <x:v>RFP-B2</x:v>
      </x:c>
      <x:c r="E1014" s="7" t="str">
        <x:v>HP-16</x:v>
      </x:c>
      <x:c r="F1014" s="7" t="str">
        <x:v>water</x:v>
      </x:c>
      <x:c r="G1014" s="7" t="str">
        <x:v>authority</x:v>
      </x:c>
      <x:c r="H1014" s="10" t="str"/>
      <x:c r="I1014" s="7" t="str"/>
      <x:c r="J1014" s="7" t="str">
        <x:v>OPEN</x:v>
      </x:c>
    </x:row>
    <x:row r="1015" ht="36" customHeight="1">
      <x:c r="B1015" s="7" t="str">
        <x:v>RAE-E-32-HP-17</x:v>
      </x:c>
      <x:c r="C1015" s="7" t="str">
        <x:v>RAE-E-32</x:v>
      </x:c>
      <x:c r="D1015" s="7" t="str">
        <x:v>RFP-B2</x:v>
      </x:c>
      <x:c r="E1015" s="7" t="str">
        <x:v>HP-17</x:v>
      </x:c>
      <x:c r="F1015" s="7" t="str">
        <x:v>safeing</x:v>
      </x:c>
      <x:c r="G1015" s="7" t="str">
        <x:v>identity</x:v>
      </x:c>
      <x:c r="H1015" s="10" t="str"/>
      <x:c r="I1015" s="7" t="str"/>
      <x:c r="J1015" s="7" t="str">
        <x:v>OPEN</x:v>
      </x:c>
    </x:row>
    <x:row r="1016" ht="36" customHeight="1">
      <x:c r="B1016" s="7" t="str">
        <x:v>RAE-E-32-HP-18</x:v>
      </x:c>
      <x:c r="C1016" s="7" t="str">
        <x:v>RAE-E-32</x:v>
      </x:c>
      <x:c r="D1016" s="7" t="str">
        <x:v>RFP-B2</x:v>
      </x:c>
      <x:c r="E1016" s="7" t="str">
        <x:v>HP-18</x:v>
      </x:c>
      <x:c r="F1016" s="7" t="str">
        <x:v>safeing</x:v>
      </x:c>
      <x:c r="G1016" s="7" t="str">
        <x:v>capacity</x:v>
      </x:c>
      <x:c r="H1016" s="10" t="str"/>
      <x:c r="I1016" s="7" t="str"/>
      <x:c r="J1016" s="7" t="str">
        <x:v>OPEN</x:v>
      </x:c>
    </x:row>
    <x:row r="1017" ht="36" customHeight="1">
      <x:c r="B1017" s="7" t="str">
        <x:v>RAE-E-32-HP-19</x:v>
      </x:c>
      <x:c r="C1017" s="7" t="str">
        <x:v>RAE-E-32</x:v>
      </x:c>
      <x:c r="D1017" s="7" t="str">
        <x:v>RFP-B2</x:v>
      </x:c>
      <x:c r="E1017" s="7" t="str">
        <x:v>HP-19</x:v>
      </x:c>
      <x:c r="F1017" s="7" t="str">
        <x:v>safeing</x:v>
      </x:c>
      <x:c r="G1017" s="7" t="str">
        <x:v>state</x:v>
      </x:c>
      <x:c r="H1017" s="10" t="str"/>
      <x:c r="I1017" s="7" t="str"/>
      <x:c r="J1017" s="7" t="str">
        <x:v>OPEN</x:v>
      </x:c>
    </x:row>
    <x:row r="1018" ht="36" customHeight="1">
      <x:c r="B1018" s="7" t="str">
        <x:v>RAE-E-32-HP-20</x:v>
      </x:c>
      <x:c r="C1018" s="7" t="str">
        <x:v>RAE-E-32</x:v>
      </x:c>
      <x:c r="D1018" s="7" t="str">
        <x:v>RFP-B2</x:v>
      </x:c>
      <x:c r="E1018" s="7" t="str">
        <x:v>HP-20</x:v>
      </x:c>
      <x:c r="F1018" s="7" t="str">
        <x:v>safeing</x:v>
      </x:c>
      <x:c r="G1018" s="7" t="str">
        <x:v>authority</x:v>
      </x:c>
      <x:c r="H1018" s="10" t="str"/>
      <x:c r="I1018" s="7" t="str"/>
      <x:c r="J1018" s="7" t="str">
        <x:v>OPEN</x:v>
      </x:c>
    </x:row>
    <x:row r="1019" ht="36" customHeight="1">
      <x:c r="B1019" s="7" t="str">
        <x:v>RAE-E-32-HP-21</x:v>
      </x:c>
      <x:c r="C1019" s="7" t="str">
        <x:v>RAE-E-32</x:v>
      </x:c>
      <x:c r="D1019" s="7" t="str">
        <x:v>RFP-B2</x:v>
      </x:c>
      <x:c r="E1019" s="7" t="str">
        <x:v>HP-21</x:v>
      </x:c>
      <x:c r="F1019" s="7" t="str">
        <x:v>evidence</x:v>
      </x:c>
      <x:c r="G1019" s="7" t="str">
        <x:v>identity</x:v>
      </x:c>
      <x:c r="H1019" s="10" t="str"/>
      <x:c r="I1019" s="7" t="str"/>
      <x:c r="J1019" s="7" t="str">
        <x:v>OPEN</x:v>
      </x:c>
    </x:row>
    <x:row r="1020" ht="36" customHeight="1">
      <x:c r="B1020" s="7" t="str">
        <x:v>RAE-E-32-HP-22</x:v>
      </x:c>
      <x:c r="C1020" s="7" t="str">
        <x:v>RAE-E-32</x:v>
      </x:c>
      <x:c r="D1020" s="7" t="str">
        <x:v>RFP-B2</x:v>
      </x:c>
      <x:c r="E1020" s="7" t="str">
        <x:v>HP-22</x:v>
      </x:c>
      <x:c r="F1020" s="7" t="str">
        <x:v>evidence</x:v>
      </x:c>
      <x:c r="G1020" s="7" t="str">
        <x:v>capacity</x:v>
      </x:c>
      <x:c r="H1020" s="10" t="str"/>
      <x:c r="I1020" s="7" t="str"/>
      <x:c r="J1020" s="7" t="str">
        <x:v>OPEN</x:v>
      </x:c>
    </x:row>
    <x:row r="1021" ht="36" customHeight="1">
      <x:c r="B1021" s="7" t="str">
        <x:v>RAE-E-32-HP-23</x:v>
      </x:c>
      <x:c r="C1021" s="7" t="str">
        <x:v>RAE-E-32</x:v>
      </x:c>
      <x:c r="D1021" s="7" t="str">
        <x:v>RFP-B2</x:v>
      </x:c>
      <x:c r="E1021" s="7" t="str">
        <x:v>HP-23</x:v>
      </x:c>
      <x:c r="F1021" s="7" t="str">
        <x:v>evidence</x:v>
      </x:c>
      <x:c r="G1021" s="7" t="str">
        <x:v>state</x:v>
      </x:c>
      <x:c r="H1021" s="10" t="str"/>
      <x:c r="I1021" s="7" t="str"/>
      <x:c r="J1021" s="7" t="str">
        <x:v>OPEN</x:v>
      </x:c>
    </x:row>
    <x:row r="1022" ht="36" customHeight="1">
      <x:c r="B1022" s="7" t="str">
        <x:v>RAE-E-32-HP-24</x:v>
      </x:c>
      <x:c r="C1022" s="7" t="str">
        <x:v>RAE-E-32</x:v>
      </x:c>
      <x:c r="D1022" s="7" t="str">
        <x:v>RFP-B2</x:v>
      </x:c>
      <x:c r="E1022" s="7" t="str">
        <x:v>HP-24</x:v>
      </x:c>
      <x:c r="F1022" s="7" t="str">
        <x:v>evidence</x:v>
      </x:c>
      <x:c r="G1022" s="7" t="str">
        <x:v>authority</x:v>
      </x:c>
      <x:c r="H1022" s="10" t="str"/>
      <x:c r="I1022" s="7" t="str"/>
      <x:c r="J1022" s="7" t="str">
        <x:v>OPEN</x:v>
      </x:c>
    </x:row>
    <x:row r="1023" ht="36" customHeight="1">
      <x:c r="B1023" s="7" t="str">
        <x:v>RAE-E-32-HP-25</x:v>
      </x:c>
      <x:c r="C1023" s="7" t="str">
        <x:v>RAE-E-32</x:v>
      </x:c>
      <x:c r="D1023" s="7" t="str">
        <x:v>RFP-B2</x:v>
      </x:c>
      <x:c r="E1023" s="7" t="str">
        <x:v>HP-25</x:v>
      </x:c>
      <x:c r="F1023" s="7" t="str">
        <x:v>environment</x:v>
      </x:c>
      <x:c r="G1023" s="7" t="str">
        <x:v>identity</x:v>
      </x:c>
      <x:c r="H1023" s="10" t="str"/>
      <x:c r="I1023" s="7" t="str"/>
      <x:c r="J1023" s="7" t="str">
        <x:v>OPEN</x:v>
      </x:c>
    </x:row>
    <x:row r="1024" ht="36" customHeight="1">
      <x:c r="B1024" s="7" t="str">
        <x:v>RAE-E-32-HP-26</x:v>
      </x:c>
      <x:c r="C1024" s="7" t="str">
        <x:v>RAE-E-32</x:v>
      </x:c>
      <x:c r="D1024" s="7" t="str">
        <x:v>RFP-B2</x:v>
      </x:c>
      <x:c r="E1024" s="7" t="str">
        <x:v>HP-26</x:v>
      </x:c>
      <x:c r="F1024" s="7" t="str">
        <x:v>environment</x:v>
      </x:c>
      <x:c r="G1024" s="7" t="str">
        <x:v>capacity</x:v>
      </x:c>
      <x:c r="H1024" s="10" t="str"/>
      <x:c r="I1024" s="7" t="str"/>
      <x:c r="J1024" s="7" t="str">
        <x:v>OPEN</x:v>
      </x:c>
    </x:row>
    <x:row r="1025" ht="36" customHeight="1">
      <x:c r="B1025" s="7" t="str">
        <x:v>RAE-E-32-HP-27</x:v>
      </x:c>
      <x:c r="C1025" s="7" t="str">
        <x:v>RAE-E-32</x:v>
      </x:c>
      <x:c r="D1025" s="7" t="str">
        <x:v>RFP-B2</x:v>
      </x:c>
      <x:c r="E1025" s="7" t="str">
        <x:v>HP-27</x:v>
      </x:c>
      <x:c r="F1025" s="7" t="str">
        <x:v>environment</x:v>
      </x:c>
      <x:c r="G1025" s="7" t="str">
        <x:v>state</x:v>
      </x:c>
      <x:c r="H1025" s="10" t="str"/>
      <x:c r="I1025" s="7" t="str"/>
      <x:c r="J1025" s="7" t="str">
        <x:v>OPEN</x:v>
      </x:c>
    </x:row>
    <x:row r="1026" ht="36" customHeight="1">
      <x:c r="B1026" s="7" t="str">
        <x:v>RAE-E-32-HP-28</x:v>
      </x:c>
      <x:c r="C1026" s="7" t="str">
        <x:v>RAE-E-32</x:v>
      </x:c>
      <x:c r="D1026" s="7" t="str">
        <x:v>RFP-B2</x:v>
      </x:c>
      <x:c r="E1026" s="7" t="str">
        <x:v>HP-28</x:v>
      </x:c>
      <x:c r="F1026" s="7" t="str">
        <x:v>environment</x:v>
      </x:c>
      <x:c r="G1026" s="7" t="str">
        <x:v>authority</x:v>
      </x:c>
      <x:c r="H1026" s="10" t="str"/>
      <x:c r="I1026" s="7" t="str"/>
      <x:c r="J1026" s="7" t="str">
        <x:v>OPEN</x:v>
      </x:c>
    </x:row>
    <x:row r="1027" ht="36" customHeight="1">
      <x:c r="B1027" s="7" t="str">
        <x:v>RAE-E-32-HP-29</x:v>
      </x:c>
      <x:c r="C1027" s="7" t="str">
        <x:v>RAE-E-32</x:v>
      </x:c>
      <x:c r="D1027" s="7" t="str">
        <x:v>RFP-B2</x:v>
      </x:c>
      <x:c r="E1027" s="7" t="str">
        <x:v>HP-29</x:v>
      </x:c>
      <x:c r="F1027" s="7" t="str">
        <x:v>authority</x:v>
      </x:c>
      <x:c r="G1027" s="7" t="str">
        <x:v>identity</x:v>
      </x:c>
      <x:c r="H1027" s="10" t="str"/>
      <x:c r="I1027" s="7" t="str"/>
      <x:c r="J1027" s="7" t="str">
        <x:v>OPEN</x:v>
      </x:c>
    </x:row>
    <x:row r="1028" ht="36" customHeight="1">
      <x:c r="B1028" s="7" t="str">
        <x:v>RAE-E-32-HP-30</x:v>
      </x:c>
      <x:c r="C1028" s="7" t="str">
        <x:v>RAE-E-32</x:v>
      </x:c>
      <x:c r="D1028" s="7" t="str">
        <x:v>RFP-B2</x:v>
      </x:c>
      <x:c r="E1028" s="7" t="str">
        <x:v>HP-30</x:v>
      </x:c>
      <x:c r="F1028" s="7" t="str">
        <x:v>authority</x:v>
      </x:c>
      <x:c r="G1028" s="7" t="str">
        <x:v>capacity</x:v>
      </x:c>
      <x:c r="H1028" s="10" t="str"/>
      <x:c r="I1028" s="7" t="str"/>
      <x:c r="J1028" s="7" t="str">
        <x:v>OPEN</x:v>
      </x:c>
    </x:row>
    <x:row r="1029" ht="36" customHeight="1">
      <x:c r="B1029" s="7" t="str">
        <x:v>RAE-E-32-HP-31</x:v>
      </x:c>
      <x:c r="C1029" s="7" t="str">
        <x:v>RAE-E-32</x:v>
      </x:c>
      <x:c r="D1029" s="7" t="str">
        <x:v>RFP-B2</x:v>
      </x:c>
      <x:c r="E1029" s="7" t="str">
        <x:v>HP-31</x:v>
      </x:c>
      <x:c r="F1029" s="7" t="str">
        <x:v>authority</x:v>
      </x:c>
      <x:c r="G1029" s="7" t="str">
        <x:v>state</x:v>
      </x:c>
      <x:c r="H1029" s="10" t="str"/>
      <x:c r="I1029" s="7" t="str"/>
      <x:c r="J1029" s="7" t="str">
        <x:v>OPEN</x:v>
      </x:c>
    </x:row>
    <x:row r="1030" ht="36" customHeight="1">
      <x:c r="B1030" s="7" t="str">
        <x:v>RAE-E-32-HP-32</x:v>
      </x:c>
      <x:c r="C1030" s="7" t="str">
        <x:v>RAE-E-32</x:v>
      </x:c>
      <x:c r="D1030" s="7" t="str">
        <x:v>RFP-B2</x:v>
      </x:c>
      <x:c r="E1030" s="7" t="str">
        <x:v>HP-32</x:v>
      </x:c>
      <x:c r="F1030" s="7" t="str">
        <x:v>authority</x:v>
      </x:c>
      <x:c r="G1030" s="7" t="str">
        <x:v>authority</x:v>
      </x:c>
      <x:c r="H1030" s="10" t="str"/>
      <x:c r="I1030" s="7" t="str"/>
      <x:c r="J1030" s="7" t="str">
        <x:v>OPEN</x:v>
      </x:c>
    </x:row>
    <x:row r="1031" ht="36" customHeight="1">
      <x:c r="B1031" s="7" t="str">
        <x:v>RAE-E-33-HP-01</x:v>
      </x:c>
      <x:c r="C1031" s="7" t="str">
        <x:v>RAE-E-33</x:v>
      </x:c>
      <x:c r="D1031" s="7" t="str">
        <x:v>RFP-C1</x:v>
      </x:c>
      <x:c r="E1031" s="7" t="str">
        <x:v>HP-01</x:v>
      </x:c>
      <x:c r="F1031" s="7" t="str">
        <x:v>configuration</x:v>
      </x:c>
      <x:c r="G1031" s="7" t="str">
        <x:v>identity</x:v>
      </x:c>
      <x:c r="H1031" s="10" t="str"/>
      <x:c r="I1031" s="7" t="str"/>
      <x:c r="J1031" s="7" t="str">
        <x:v>OPEN</x:v>
      </x:c>
    </x:row>
    <x:row r="1032" ht="36" customHeight="1">
      <x:c r="B1032" s="7" t="str">
        <x:v>RAE-E-33-HP-02</x:v>
      </x:c>
      <x:c r="C1032" s="7" t="str">
        <x:v>RAE-E-33</x:v>
      </x:c>
      <x:c r="D1032" s="7" t="str">
        <x:v>RFP-C1</x:v>
      </x:c>
      <x:c r="E1032" s="7" t="str">
        <x:v>HP-02</x:v>
      </x:c>
      <x:c r="F1032" s="7" t="str">
        <x:v>configuration</x:v>
      </x:c>
      <x:c r="G1032" s="7" t="str">
        <x:v>capacity</x:v>
      </x:c>
      <x:c r="H1032" s="10" t="str"/>
      <x:c r="I1032" s="7" t="str"/>
      <x:c r="J1032" s="7" t="str">
        <x:v>OPEN</x:v>
      </x:c>
    </x:row>
    <x:row r="1033" ht="36" customHeight="1">
      <x:c r="B1033" s="7" t="str">
        <x:v>RAE-E-33-HP-03</x:v>
      </x:c>
      <x:c r="C1033" s="7" t="str">
        <x:v>RAE-E-33</x:v>
      </x:c>
      <x:c r="D1033" s="7" t="str">
        <x:v>RFP-C1</x:v>
      </x:c>
      <x:c r="E1033" s="7" t="str">
        <x:v>HP-03</x:v>
      </x:c>
      <x:c r="F1033" s="7" t="str">
        <x:v>configuration</x:v>
      </x:c>
      <x:c r="G1033" s="7" t="str">
        <x:v>state</x:v>
      </x:c>
      <x:c r="H1033" s="10" t="str"/>
      <x:c r="I1033" s="7" t="str"/>
      <x:c r="J1033" s="7" t="str">
        <x:v>OPEN</x:v>
      </x:c>
    </x:row>
    <x:row r="1034" ht="36" customHeight="1">
      <x:c r="B1034" s="7" t="str">
        <x:v>RAE-E-33-HP-04</x:v>
      </x:c>
      <x:c r="C1034" s="7" t="str">
        <x:v>RAE-E-33</x:v>
      </x:c>
      <x:c r="D1034" s="7" t="str">
        <x:v>RFP-C1</x:v>
      </x:c>
      <x:c r="E1034" s="7" t="str">
        <x:v>HP-04</x:v>
      </x:c>
      <x:c r="F1034" s="7" t="str">
        <x:v>configuration</x:v>
      </x:c>
      <x:c r="G1034" s="7" t="str">
        <x:v>authority</x:v>
      </x:c>
      <x:c r="H1034" s="10" t="str"/>
      <x:c r="I1034" s="7" t="str"/>
      <x:c r="J1034" s="7" t="str">
        <x:v>OPEN</x:v>
      </x:c>
    </x:row>
    <x:row r="1035" ht="36" customHeight="1">
      <x:c r="B1035" s="7" t="str">
        <x:v>RAE-E-33-HP-05</x:v>
      </x:c>
      <x:c r="C1035" s="7" t="str">
        <x:v>RAE-E-33</x:v>
      </x:c>
      <x:c r="D1035" s="7" t="str">
        <x:v>RFP-C1</x:v>
      </x:c>
      <x:c r="E1035" s="7" t="str">
        <x:v>HP-05</x:v>
      </x:c>
      <x:c r="F1035" s="7" t="str">
        <x:v>source</x:v>
      </x:c>
      <x:c r="G1035" s="7" t="str">
        <x:v>identity</x:v>
      </x:c>
      <x:c r="H1035" s="10" t="str"/>
      <x:c r="I1035" s="7" t="str"/>
      <x:c r="J1035" s="7" t="str">
        <x:v>OPEN</x:v>
      </x:c>
    </x:row>
    <x:row r="1036" ht="36" customHeight="1">
      <x:c r="B1036" s="7" t="str">
        <x:v>RAE-E-33-HP-06</x:v>
      </x:c>
      <x:c r="C1036" s="7" t="str">
        <x:v>RAE-E-33</x:v>
      </x:c>
      <x:c r="D1036" s="7" t="str">
        <x:v>RFP-C1</x:v>
      </x:c>
      <x:c r="E1036" s="7" t="str">
        <x:v>HP-06</x:v>
      </x:c>
      <x:c r="F1036" s="7" t="str">
        <x:v>source</x:v>
      </x:c>
      <x:c r="G1036" s="7" t="str">
        <x:v>capacity</x:v>
      </x:c>
      <x:c r="H1036" s="10" t="str"/>
      <x:c r="I1036" s="7" t="str"/>
      <x:c r="J1036" s="7" t="str">
        <x:v>OPEN</x:v>
      </x:c>
    </x:row>
    <x:row r="1037" ht="36" customHeight="1">
      <x:c r="B1037" s="7" t="str">
        <x:v>RAE-E-33-HP-07</x:v>
      </x:c>
      <x:c r="C1037" s="7" t="str">
        <x:v>RAE-E-33</x:v>
      </x:c>
      <x:c r="D1037" s="7" t="str">
        <x:v>RFP-C1</x:v>
      </x:c>
      <x:c r="E1037" s="7" t="str">
        <x:v>HP-07</x:v>
      </x:c>
      <x:c r="F1037" s="7" t="str">
        <x:v>source</x:v>
      </x:c>
      <x:c r="G1037" s="7" t="str">
        <x:v>state</x:v>
      </x:c>
      <x:c r="H1037" s="10" t="str"/>
      <x:c r="I1037" s="7" t="str"/>
      <x:c r="J1037" s="7" t="str">
        <x:v>OPEN</x:v>
      </x:c>
    </x:row>
    <x:row r="1038" ht="36" customHeight="1">
      <x:c r="B1038" s="7" t="str">
        <x:v>RAE-E-33-HP-08</x:v>
      </x:c>
      <x:c r="C1038" s="7" t="str">
        <x:v>RAE-E-33</x:v>
      </x:c>
      <x:c r="D1038" s="7" t="str">
        <x:v>RFP-C1</x:v>
      </x:c>
      <x:c r="E1038" s="7" t="str">
        <x:v>HP-08</x:v>
      </x:c>
      <x:c r="F1038" s="7" t="str">
        <x:v>source</x:v>
      </x:c>
      <x:c r="G1038" s="7" t="str">
        <x:v>authority</x:v>
      </x:c>
      <x:c r="H1038" s="10" t="str"/>
      <x:c r="I1038" s="7" t="str"/>
      <x:c r="J1038" s="7" t="str">
        <x:v>OPEN</x:v>
      </x:c>
    </x:row>
    <x:row r="1039" ht="36" customHeight="1">
      <x:c r="B1039" s="7" t="str">
        <x:v>RAE-E-33-HP-09</x:v>
      </x:c>
      <x:c r="C1039" s="7" t="str">
        <x:v>RAE-E-33</x:v>
      </x:c>
      <x:c r="D1039" s="7" t="str">
        <x:v>RFP-C1</x:v>
      </x:c>
      <x:c r="E1039" s="7" t="str">
        <x:v>HP-09</x:v>
      </x:c>
      <x:c r="F1039" s="7" t="str">
        <x:v>containment</x:v>
      </x:c>
      <x:c r="G1039" s="7" t="str">
        <x:v>identity</x:v>
      </x:c>
      <x:c r="H1039" s="10" t="str"/>
      <x:c r="I1039" s="7" t="str"/>
      <x:c r="J1039" s="7" t="str">
        <x:v>OPEN</x:v>
      </x:c>
    </x:row>
    <x:row r="1040" ht="36" customHeight="1">
      <x:c r="B1040" s="7" t="str">
        <x:v>RAE-E-33-HP-10</x:v>
      </x:c>
      <x:c r="C1040" s="7" t="str">
        <x:v>RAE-E-33</x:v>
      </x:c>
      <x:c r="D1040" s="7" t="str">
        <x:v>RFP-C1</x:v>
      </x:c>
      <x:c r="E1040" s="7" t="str">
        <x:v>HP-10</x:v>
      </x:c>
      <x:c r="F1040" s="7" t="str">
        <x:v>containment</x:v>
      </x:c>
      <x:c r="G1040" s="7" t="str">
        <x:v>capacity</x:v>
      </x:c>
      <x:c r="H1040" s="10" t="str"/>
      <x:c r="I1040" s="7" t="str"/>
      <x:c r="J1040" s="7" t="str">
        <x:v>OPEN</x:v>
      </x:c>
    </x:row>
    <x:row r="1041" ht="36" customHeight="1">
      <x:c r="B1041" s="7" t="str">
        <x:v>RAE-E-33-HP-11</x:v>
      </x:c>
      <x:c r="C1041" s="7" t="str">
        <x:v>RAE-E-33</x:v>
      </x:c>
      <x:c r="D1041" s="7" t="str">
        <x:v>RFP-C1</x:v>
      </x:c>
      <x:c r="E1041" s="7" t="str">
        <x:v>HP-11</x:v>
      </x:c>
      <x:c r="F1041" s="7" t="str">
        <x:v>containment</x:v>
      </x:c>
      <x:c r="G1041" s="7" t="str">
        <x:v>state</x:v>
      </x:c>
      <x:c r="H1041" s="10" t="str"/>
      <x:c r="I1041" s="7" t="str"/>
      <x:c r="J1041" s="7" t="str">
        <x:v>OPEN</x:v>
      </x:c>
    </x:row>
    <x:row r="1042" ht="36" customHeight="1">
      <x:c r="B1042" s="7" t="str">
        <x:v>RAE-E-33-HP-12</x:v>
      </x:c>
      <x:c r="C1042" s="7" t="str">
        <x:v>RAE-E-33</x:v>
      </x:c>
      <x:c r="D1042" s="7" t="str">
        <x:v>RFP-C1</x:v>
      </x:c>
      <x:c r="E1042" s="7" t="str">
        <x:v>HP-12</x:v>
      </x:c>
      <x:c r="F1042" s="7" t="str">
        <x:v>containment</x:v>
      </x:c>
      <x:c r="G1042" s="7" t="str">
        <x:v>authority</x:v>
      </x:c>
      <x:c r="H1042" s="10" t="str"/>
      <x:c r="I1042" s="7" t="str"/>
      <x:c r="J1042" s="7" t="str">
        <x:v>OPEN</x:v>
      </x:c>
    </x:row>
    <x:row r="1043" ht="36" customHeight="1">
      <x:c r="B1043" s="7" t="str">
        <x:v>RAE-E-33-HP-13</x:v>
      </x:c>
      <x:c r="C1043" s="7" t="str">
        <x:v>RAE-E-33</x:v>
      </x:c>
      <x:c r="D1043" s="7" t="str">
        <x:v>RFP-C1</x:v>
      </x:c>
      <x:c r="E1043" s="7" t="str">
        <x:v>HP-13</x:v>
      </x:c>
      <x:c r="F1043" s="7" t="str">
        <x:v>water</x:v>
      </x:c>
      <x:c r="G1043" s="7" t="str">
        <x:v>identity</x:v>
      </x:c>
      <x:c r="H1043" s="10" t="str"/>
      <x:c r="I1043" s="7" t="str"/>
      <x:c r="J1043" s="7" t="str">
        <x:v>OPEN</x:v>
      </x:c>
    </x:row>
    <x:row r="1044" ht="36" customHeight="1">
      <x:c r="B1044" s="7" t="str">
        <x:v>RAE-E-33-HP-14</x:v>
      </x:c>
      <x:c r="C1044" s="7" t="str">
        <x:v>RAE-E-33</x:v>
      </x:c>
      <x:c r="D1044" s="7" t="str">
        <x:v>RFP-C1</x:v>
      </x:c>
      <x:c r="E1044" s="7" t="str">
        <x:v>HP-14</x:v>
      </x:c>
      <x:c r="F1044" s="7" t="str">
        <x:v>water</x:v>
      </x:c>
      <x:c r="G1044" s="7" t="str">
        <x:v>capacity</x:v>
      </x:c>
      <x:c r="H1044" s="10" t="str"/>
      <x:c r="I1044" s="7" t="str"/>
      <x:c r="J1044" s="7" t="str">
        <x:v>OPEN</x:v>
      </x:c>
    </x:row>
    <x:row r="1045" ht="36" customHeight="1">
      <x:c r="B1045" s="7" t="str">
        <x:v>RAE-E-33-HP-15</x:v>
      </x:c>
      <x:c r="C1045" s="7" t="str">
        <x:v>RAE-E-33</x:v>
      </x:c>
      <x:c r="D1045" s="7" t="str">
        <x:v>RFP-C1</x:v>
      </x:c>
      <x:c r="E1045" s="7" t="str">
        <x:v>HP-15</x:v>
      </x:c>
      <x:c r="F1045" s="7" t="str">
        <x:v>water</x:v>
      </x:c>
      <x:c r="G1045" s="7" t="str">
        <x:v>state</x:v>
      </x:c>
      <x:c r="H1045" s="10" t="str"/>
      <x:c r="I1045" s="7" t="str"/>
      <x:c r="J1045" s="7" t="str">
        <x:v>OPEN</x:v>
      </x:c>
    </x:row>
    <x:row r="1046" ht="36" customHeight="1">
      <x:c r="B1046" s="7" t="str">
        <x:v>RAE-E-33-HP-16</x:v>
      </x:c>
      <x:c r="C1046" s="7" t="str">
        <x:v>RAE-E-33</x:v>
      </x:c>
      <x:c r="D1046" s="7" t="str">
        <x:v>RFP-C1</x:v>
      </x:c>
      <x:c r="E1046" s="7" t="str">
        <x:v>HP-16</x:v>
      </x:c>
      <x:c r="F1046" s="7" t="str">
        <x:v>water</x:v>
      </x:c>
      <x:c r="G1046" s="7" t="str">
        <x:v>authority</x:v>
      </x:c>
      <x:c r="H1046" s="10" t="str"/>
      <x:c r="I1046" s="7" t="str"/>
      <x:c r="J1046" s="7" t="str">
        <x:v>OPEN</x:v>
      </x:c>
    </x:row>
    <x:row r="1047" ht="36" customHeight="1">
      <x:c r="B1047" s="7" t="str">
        <x:v>RAE-E-33-HP-17</x:v>
      </x:c>
      <x:c r="C1047" s="7" t="str">
        <x:v>RAE-E-33</x:v>
      </x:c>
      <x:c r="D1047" s="7" t="str">
        <x:v>RFP-C1</x:v>
      </x:c>
      <x:c r="E1047" s="7" t="str">
        <x:v>HP-17</x:v>
      </x:c>
      <x:c r="F1047" s="7" t="str">
        <x:v>safeing</x:v>
      </x:c>
      <x:c r="G1047" s="7" t="str">
        <x:v>identity</x:v>
      </x:c>
      <x:c r="H1047" s="10" t="str"/>
      <x:c r="I1047" s="7" t="str"/>
      <x:c r="J1047" s="7" t="str">
        <x:v>OPEN</x:v>
      </x:c>
    </x:row>
    <x:row r="1048" ht="36" customHeight="1">
      <x:c r="B1048" s="7" t="str">
        <x:v>RAE-E-33-HP-18</x:v>
      </x:c>
      <x:c r="C1048" s="7" t="str">
        <x:v>RAE-E-33</x:v>
      </x:c>
      <x:c r="D1048" s="7" t="str">
        <x:v>RFP-C1</x:v>
      </x:c>
      <x:c r="E1048" s="7" t="str">
        <x:v>HP-18</x:v>
      </x:c>
      <x:c r="F1048" s="7" t="str">
        <x:v>safeing</x:v>
      </x:c>
      <x:c r="G1048" s="7" t="str">
        <x:v>capacity</x:v>
      </x:c>
      <x:c r="H1048" s="10" t="str"/>
      <x:c r="I1048" s="7" t="str"/>
      <x:c r="J1048" s="7" t="str">
        <x:v>OPEN</x:v>
      </x:c>
    </x:row>
    <x:row r="1049" ht="36" customHeight="1">
      <x:c r="B1049" s="7" t="str">
        <x:v>RAE-E-33-HP-19</x:v>
      </x:c>
      <x:c r="C1049" s="7" t="str">
        <x:v>RAE-E-33</x:v>
      </x:c>
      <x:c r="D1049" s="7" t="str">
        <x:v>RFP-C1</x:v>
      </x:c>
      <x:c r="E1049" s="7" t="str">
        <x:v>HP-19</x:v>
      </x:c>
      <x:c r="F1049" s="7" t="str">
        <x:v>safeing</x:v>
      </x:c>
      <x:c r="G1049" s="7" t="str">
        <x:v>state</x:v>
      </x:c>
      <x:c r="H1049" s="10" t="str"/>
      <x:c r="I1049" s="7" t="str"/>
      <x:c r="J1049" s="7" t="str">
        <x:v>OPEN</x:v>
      </x:c>
    </x:row>
    <x:row r="1050" ht="36" customHeight="1">
      <x:c r="B1050" s="7" t="str">
        <x:v>RAE-E-33-HP-20</x:v>
      </x:c>
      <x:c r="C1050" s="7" t="str">
        <x:v>RAE-E-33</x:v>
      </x:c>
      <x:c r="D1050" s="7" t="str">
        <x:v>RFP-C1</x:v>
      </x:c>
      <x:c r="E1050" s="7" t="str">
        <x:v>HP-20</x:v>
      </x:c>
      <x:c r="F1050" s="7" t="str">
        <x:v>safeing</x:v>
      </x:c>
      <x:c r="G1050" s="7" t="str">
        <x:v>authority</x:v>
      </x:c>
      <x:c r="H1050" s="10" t="str"/>
      <x:c r="I1050" s="7" t="str"/>
      <x:c r="J1050" s="7" t="str">
        <x:v>OPEN</x:v>
      </x:c>
    </x:row>
    <x:row r="1051" ht="36" customHeight="1">
      <x:c r="B1051" s="7" t="str">
        <x:v>RAE-E-33-HP-21</x:v>
      </x:c>
      <x:c r="C1051" s="7" t="str">
        <x:v>RAE-E-33</x:v>
      </x:c>
      <x:c r="D1051" s="7" t="str">
        <x:v>RFP-C1</x:v>
      </x:c>
      <x:c r="E1051" s="7" t="str">
        <x:v>HP-21</x:v>
      </x:c>
      <x:c r="F1051" s="7" t="str">
        <x:v>evidence</x:v>
      </x:c>
      <x:c r="G1051" s="7" t="str">
        <x:v>identity</x:v>
      </x:c>
      <x:c r="H1051" s="10" t="str"/>
      <x:c r="I1051" s="7" t="str"/>
      <x:c r="J1051" s="7" t="str">
        <x:v>OPEN</x:v>
      </x:c>
    </x:row>
    <x:row r="1052" ht="36" customHeight="1">
      <x:c r="B1052" s="7" t="str">
        <x:v>RAE-E-33-HP-22</x:v>
      </x:c>
      <x:c r="C1052" s="7" t="str">
        <x:v>RAE-E-33</x:v>
      </x:c>
      <x:c r="D1052" s="7" t="str">
        <x:v>RFP-C1</x:v>
      </x:c>
      <x:c r="E1052" s="7" t="str">
        <x:v>HP-22</x:v>
      </x:c>
      <x:c r="F1052" s="7" t="str">
        <x:v>evidence</x:v>
      </x:c>
      <x:c r="G1052" s="7" t="str">
        <x:v>capacity</x:v>
      </x:c>
      <x:c r="H1052" s="10" t="str"/>
      <x:c r="I1052" s="7" t="str"/>
      <x:c r="J1052" s="7" t="str">
        <x:v>OPEN</x:v>
      </x:c>
    </x:row>
    <x:row r="1053" ht="36" customHeight="1">
      <x:c r="B1053" s="7" t="str">
        <x:v>RAE-E-33-HP-23</x:v>
      </x:c>
      <x:c r="C1053" s="7" t="str">
        <x:v>RAE-E-33</x:v>
      </x:c>
      <x:c r="D1053" s="7" t="str">
        <x:v>RFP-C1</x:v>
      </x:c>
      <x:c r="E1053" s="7" t="str">
        <x:v>HP-23</x:v>
      </x:c>
      <x:c r="F1053" s="7" t="str">
        <x:v>evidence</x:v>
      </x:c>
      <x:c r="G1053" s="7" t="str">
        <x:v>state</x:v>
      </x:c>
      <x:c r="H1053" s="10" t="str"/>
      <x:c r="I1053" s="7" t="str"/>
      <x:c r="J1053" s="7" t="str">
        <x:v>OPEN</x:v>
      </x:c>
    </x:row>
    <x:row r="1054" ht="36" customHeight="1">
      <x:c r="B1054" s="7" t="str">
        <x:v>RAE-E-33-HP-24</x:v>
      </x:c>
      <x:c r="C1054" s="7" t="str">
        <x:v>RAE-E-33</x:v>
      </x:c>
      <x:c r="D1054" s="7" t="str">
        <x:v>RFP-C1</x:v>
      </x:c>
      <x:c r="E1054" s="7" t="str">
        <x:v>HP-24</x:v>
      </x:c>
      <x:c r="F1054" s="7" t="str">
        <x:v>evidence</x:v>
      </x:c>
      <x:c r="G1054" s="7" t="str">
        <x:v>authority</x:v>
      </x:c>
      <x:c r="H1054" s="10" t="str"/>
      <x:c r="I1054" s="7" t="str"/>
      <x:c r="J1054" s="7" t="str">
        <x:v>OPEN</x:v>
      </x:c>
    </x:row>
    <x:row r="1055" ht="36" customHeight="1">
      <x:c r="B1055" s="7" t="str">
        <x:v>RAE-E-33-HP-25</x:v>
      </x:c>
      <x:c r="C1055" s="7" t="str">
        <x:v>RAE-E-33</x:v>
      </x:c>
      <x:c r="D1055" s="7" t="str">
        <x:v>RFP-C1</x:v>
      </x:c>
      <x:c r="E1055" s="7" t="str">
        <x:v>HP-25</x:v>
      </x:c>
      <x:c r="F1055" s="7" t="str">
        <x:v>environment</x:v>
      </x:c>
      <x:c r="G1055" s="7" t="str">
        <x:v>identity</x:v>
      </x:c>
      <x:c r="H1055" s="10" t="str"/>
      <x:c r="I1055" s="7" t="str"/>
      <x:c r="J1055" s="7" t="str">
        <x:v>OPEN</x:v>
      </x:c>
    </x:row>
    <x:row r="1056" ht="36" customHeight="1">
      <x:c r="B1056" s="7" t="str">
        <x:v>RAE-E-33-HP-26</x:v>
      </x:c>
      <x:c r="C1056" s="7" t="str">
        <x:v>RAE-E-33</x:v>
      </x:c>
      <x:c r="D1056" s="7" t="str">
        <x:v>RFP-C1</x:v>
      </x:c>
      <x:c r="E1056" s="7" t="str">
        <x:v>HP-26</x:v>
      </x:c>
      <x:c r="F1056" s="7" t="str">
        <x:v>environment</x:v>
      </x:c>
      <x:c r="G1056" s="7" t="str">
        <x:v>capacity</x:v>
      </x:c>
      <x:c r="H1056" s="10" t="str"/>
      <x:c r="I1056" s="7" t="str"/>
      <x:c r="J1056" s="7" t="str">
        <x:v>OPEN</x:v>
      </x:c>
    </x:row>
    <x:row r="1057" ht="36" customHeight="1">
      <x:c r="B1057" s="7" t="str">
        <x:v>RAE-E-33-HP-27</x:v>
      </x:c>
      <x:c r="C1057" s="7" t="str">
        <x:v>RAE-E-33</x:v>
      </x:c>
      <x:c r="D1057" s="7" t="str">
        <x:v>RFP-C1</x:v>
      </x:c>
      <x:c r="E1057" s="7" t="str">
        <x:v>HP-27</x:v>
      </x:c>
      <x:c r="F1057" s="7" t="str">
        <x:v>environment</x:v>
      </x:c>
      <x:c r="G1057" s="7" t="str">
        <x:v>state</x:v>
      </x:c>
      <x:c r="H1057" s="10" t="str"/>
      <x:c r="I1057" s="7" t="str"/>
      <x:c r="J1057" s="7" t="str">
        <x:v>OPEN</x:v>
      </x:c>
    </x:row>
    <x:row r="1058" ht="36" customHeight="1">
      <x:c r="B1058" s="7" t="str">
        <x:v>RAE-E-33-HP-28</x:v>
      </x:c>
      <x:c r="C1058" s="7" t="str">
        <x:v>RAE-E-33</x:v>
      </x:c>
      <x:c r="D1058" s="7" t="str">
        <x:v>RFP-C1</x:v>
      </x:c>
      <x:c r="E1058" s="7" t="str">
        <x:v>HP-28</x:v>
      </x:c>
      <x:c r="F1058" s="7" t="str">
        <x:v>environment</x:v>
      </x:c>
      <x:c r="G1058" s="7" t="str">
        <x:v>authority</x:v>
      </x:c>
      <x:c r="H1058" s="10" t="str"/>
      <x:c r="I1058" s="7" t="str"/>
      <x:c r="J1058" s="7" t="str">
        <x:v>OPEN</x:v>
      </x:c>
    </x:row>
    <x:row r="1059" ht="36" customHeight="1">
      <x:c r="B1059" s="7" t="str">
        <x:v>RAE-E-33-HP-29</x:v>
      </x:c>
      <x:c r="C1059" s="7" t="str">
        <x:v>RAE-E-33</x:v>
      </x:c>
      <x:c r="D1059" s="7" t="str">
        <x:v>RFP-C1</x:v>
      </x:c>
      <x:c r="E1059" s="7" t="str">
        <x:v>HP-29</x:v>
      </x:c>
      <x:c r="F1059" s="7" t="str">
        <x:v>authority</x:v>
      </x:c>
      <x:c r="G1059" s="7" t="str">
        <x:v>identity</x:v>
      </x:c>
      <x:c r="H1059" s="10" t="str"/>
      <x:c r="I1059" s="7" t="str"/>
      <x:c r="J1059" s="7" t="str">
        <x:v>OPEN</x:v>
      </x:c>
    </x:row>
    <x:row r="1060" ht="36" customHeight="1">
      <x:c r="B1060" s="7" t="str">
        <x:v>RAE-E-33-HP-30</x:v>
      </x:c>
      <x:c r="C1060" s="7" t="str">
        <x:v>RAE-E-33</x:v>
      </x:c>
      <x:c r="D1060" s="7" t="str">
        <x:v>RFP-C1</x:v>
      </x:c>
      <x:c r="E1060" s="7" t="str">
        <x:v>HP-30</x:v>
      </x:c>
      <x:c r="F1060" s="7" t="str">
        <x:v>authority</x:v>
      </x:c>
      <x:c r="G1060" s="7" t="str">
        <x:v>capacity</x:v>
      </x:c>
      <x:c r="H1060" s="10" t="str"/>
      <x:c r="I1060" s="7" t="str"/>
      <x:c r="J1060" s="7" t="str">
        <x:v>OPEN</x:v>
      </x:c>
    </x:row>
    <x:row r="1061" ht="36" customHeight="1">
      <x:c r="B1061" s="7" t="str">
        <x:v>RAE-E-33-HP-31</x:v>
      </x:c>
      <x:c r="C1061" s="7" t="str">
        <x:v>RAE-E-33</x:v>
      </x:c>
      <x:c r="D1061" s="7" t="str">
        <x:v>RFP-C1</x:v>
      </x:c>
      <x:c r="E1061" s="7" t="str">
        <x:v>HP-31</x:v>
      </x:c>
      <x:c r="F1061" s="7" t="str">
        <x:v>authority</x:v>
      </x:c>
      <x:c r="G1061" s="7" t="str">
        <x:v>state</x:v>
      </x:c>
      <x:c r="H1061" s="10" t="str"/>
      <x:c r="I1061" s="7" t="str"/>
      <x:c r="J1061" s="7" t="str">
        <x:v>OPEN</x:v>
      </x:c>
    </x:row>
    <x:row r="1062" ht="36" customHeight="1">
      <x:c r="B1062" s="7" t="str">
        <x:v>RAE-E-33-HP-32</x:v>
      </x:c>
      <x:c r="C1062" s="7" t="str">
        <x:v>RAE-E-33</x:v>
      </x:c>
      <x:c r="D1062" s="7" t="str">
        <x:v>RFP-C1</x:v>
      </x:c>
      <x:c r="E1062" s="7" t="str">
        <x:v>HP-32</x:v>
      </x:c>
      <x:c r="F1062" s="7" t="str">
        <x:v>authority</x:v>
      </x:c>
      <x:c r="G1062" s="7" t="str">
        <x:v>authority</x:v>
      </x:c>
      <x:c r="H1062" s="10" t="str"/>
      <x:c r="I1062" s="7" t="str"/>
      <x:c r="J1062" s="7" t="str">
        <x:v>OPEN</x:v>
      </x:c>
    </x:row>
    <x:row r="1063" ht="36" customHeight="1">
      <x:c r="B1063" s="7" t="str">
        <x:v>RAE-E-34-HP-01</x:v>
      </x:c>
      <x:c r="C1063" s="7" t="str">
        <x:v>RAE-E-34</x:v>
      </x:c>
      <x:c r="D1063" s="7" t="str">
        <x:v>RFP-C1</x:v>
      </x:c>
      <x:c r="E1063" s="7" t="str">
        <x:v>HP-01</x:v>
      </x:c>
      <x:c r="F1063" s="7" t="str">
        <x:v>configuration</x:v>
      </x:c>
      <x:c r="G1063" s="7" t="str">
        <x:v>identity</x:v>
      </x:c>
      <x:c r="H1063" s="10" t="str"/>
      <x:c r="I1063" s="7" t="str"/>
      <x:c r="J1063" s="7" t="str">
        <x:v>OPEN</x:v>
      </x:c>
    </x:row>
    <x:row r="1064" ht="36" customHeight="1">
      <x:c r="B1064" s="7" t="str">
        <x:v>RAE-E-34-HP-02</x:v>
      </x:c>
      <x:c r="C1064" s="7" t="str">
        <x:v>RAE-E-34</x:v>
      </x:c>
      <x:c r="D1064" s="7" t="str">
        <x:v>RFP-C1</x:v>
      </x:c>
      <x:c r="E1064" s="7" t="str">
        <x:v>HP-02</x:v>
      </x:c>
      <x:c r="F1064" s="7" t="str">
        <x:v>configuration</x:v>
      </x:c>
      <x:c r="G1064" s="7" t="str">
        <x:v>capacity</x:v>
      </x:c>
      <x:c r="H1064" s="10" t="str"/>
      <x:c r="I1064" s="7" t="str"/>
      <x:c r="J1064" s="7" t="str">
        <x:v>OPEN</x:v>
      </x:c>
    </x:row>
    <x:row r="1065" ht="36" customHeight="1">
      <x:c r="B1065" s="7" t="str">
        <x:v>RAE-E-34-HP-03</x:v>
      </x:c>
      <x:c r="C1065" s="7" t="str">
        <x:v>RAE-E-34</x:v>
      </x:c>
      <x:c r="D1065" s="7" t="str">
        <x:v>RFP-C1</x:v>
      </x:c>
      <x:c r="E1065" s="7" t="str">
        <x:v>HP-03</x:v>
      </x:c>
      <x:c r="F1065" s="7" t="str">
        <x:v>configuration</x:v>
      </x:c>
      <x:c r="G1065" s="7" t="str">
        <x:v>state</x:v>
      </x:c>
      <x:c r="H1065" s="10" t="str"/>
      <x:c r="I1065" s="7" t="str"/>
      <x:c r="J1065" s="7" t="str">
        <x:v>OPEN</x:v>
      </x:c>
    </x:row>
    <x:row r="1066" ht="36" customHeight="1">
      <x:c r="B1066" s="7" t="str">
        <x:v>RAE-E-34-HP-04</x:v>
      </x:c>
      <x:c r="C1066" s="7" t="str">
        <x:v>RAE-E-34</x:v>
      </x:c>
      <x:c r="D1066" s="7" t="str">
        <x:v>RFP-C1</x:v>
      </x:c>
      <x:c r="E1066" s="7" t="str">
        <x:v>HP-04</x:v>
      </x:c>
      <x:c r="F1066" s="7" t="str">
        <x:v>configuration</x:v>
      </x:c>
      <x:c r="G1066" s="7" t="str">
        <x:v>authority</x:v>
      </x:c>
      <x:c r="H1066" s="10" t="str"/>
      <x:c r="I1066" s="7" t="str"/>
      <x:c r="J1066" s="7" t="str">
        <x:v>OPEN</x:v>
      </x:c>
    </x:row>
    <x:row r="1067" ht="36" customHeight="1">
      <x:c r="B1067" s="7" t="str">
        <x:v>RAE-E-34-HP-05</x:v>
      </x:c>
      <x:c r="C1067" s="7" t="str">
        <x:v>RAE-E-34</x:v>
      </x:c>
      <x:c r="D1067" s="7" t="str">
        <x:v>RFP-C1</x:v>
      </x:c>
      <x:c r="E1067" s="7" t="str">
        <x:v>HP-05</x:v>
      </x:c>
      <x:c r="F1067" s="7" t="str">
        <x:v>source</x:v>
      </x:c>
      <x:c r="G1067" s="7" t="str">
        <x:v>identity</x:v>
      </x:c>
      <x:c r="H1067" s="10" t="str"/>
      <x:c r="I1067" s="7" t="str"/>
      <x:c r="J1067" s="7" t="str">
        <x:v>OPEN</x:v>
      </x:c>
    </x:row>
    <x:row r="1068" ht="36" customHeight="1">
      <x:c r="B1068" s="7" t="str">
        <x:v>RAE-E-34-HP-06</x:v>
      </x:c>
      <x:c r="C1068" s="7" t="str">
        <x:v>RAE-E-34</x:v>
      </x:c>
      <x:c r="D1068" s="7" t="str">
        <x:v>RFP-C1</x:v>
      </x:c>
      <x:c r="E1068" s="7" t="str">
        <x:v>HP-06</x:v>
      </x:c>
      <x:c r="F1068" s="7" t="str">
        <x:v>source</x:v>
      </x:c>
      <x:c r="G1068" s="7" t="str">
        <x:v>capacity</x:v>
      </x:c>
      <x:c r="H1068" s="10" t="str"/>
      <x:c r="I1068" s="7" t="str"/>
      <x:c r="J1068" s="7" t="str">
        <x:v>OPEN</x:v>
      </x:c>
    </x:row>
    <x:row r="1069" ht="36" customHeight="1">
      <x:c r="B1069" s="7" t="str">
        <x:v>RAE-E-34-HP-07</x:v>
      </x:c>
      <x:c r="C1069" s="7" t="str">
        <x:v>RAE-E-34</x:v>
      </x:c>
      <x:c r="D1069" s="7" t="str">
        <x:v>RFP-C1</x:v>
      </x:c>
      <x:c r="E1069" s="7" t="str">
        <x:v>HP-07</x:v>
      </x:c>
      <x:c r="F1069" s="7" t="str">
        <x:v>source</x:v>
      </x:c>
      <x:c r="G1069" s="7" t="str">
        <x:v>state</x:v>
      </x:c>
      <x:c r="H1069" s="10" t="str"/>
      <x:c r="I1069" s="7" t="str"/>
      <x:c r="J1069" s="7" t="str">
        <x:v>OPEN</x:v>
      </x:c>
    </x:row>
    <x:row r="1070" ht="36" customHeight="1">
      <x:c r="B1070" s="7" t="str">
        <x:v>RAE-E-34-HP-08</x:v>
      </x:c>
      <x:c r="C1070" s="7" t="str">
        <x:v>RAE-E-34</x:v>
      </x:c>
      <x:c r="D1070" s="7" t="str">
        <x:v>RFP-C1</x:v>
      </x:c>
      <x:c r="E1070" s="7" t="str">
        <x:v>HP-08</x:v>
      </x:c>
      <x:c r="F1070" s="7" t="str">
        <x:v>source</x:v>
      </x:c>
      <x:c r="G1070" s="7" t="str">
        <x:v>authority</x:v>
      </x:c>
      <x:c r="H1070" s="10" t="str"/>
      <x:c r="I1070" s="7" t="str"/>
      <x:c r="J1070" s="7" t="str">
        <x:v>OPEN</x:v>
      </x:c>
    </x:row>
    <x:row r="1071" ht="36" customHeight="1">
      <x:c r="B1071" s="7" t="str">
        <x:v>RAE-E-34-HP-09</x:v>
      </x:c>
      <x:c r="C1071" s="7" t="str">
        <x:v>RAE-E-34</x:v>
      </x:c>
      <x:c r="D1071" s="7" t="str">
        <x:v>RFP-C1</x:v>
      </x:c>
      <x:c r="E1071" s="7" t="str">
        <x:v>HP-09</x:v>
      </x:c>
      <x:c r="F1071" s="7" t="str">
        <x:v>containment</x:v>
      </x:c>
      <x:c r="G1071" s="7" t="str">
        <x:v>identity</x:v>
      </x:c>
      <x:c r="H1071" s="10" t="str"/>
      <x:c r="I1071" s="7" t="str"/>
      <x:c r="J1071" s="7" t="str">
        <x:v>OPEN</x:v>
      </x:c>
    </x:row>
    <x:row r="1072" ht="36" customHeight="1">
      <x:c r="B1072" s="7" t="str">
        <x:v>RAE-E-34-HP-10</x:v>
      </x:c>
      <x:c r="C1072" s="7" t="str">
        <x:v>RAE-E-34</x:v>
      </x:c>
      <x:c r="D1072" s="7" t="str">
        <x:v>RFP-C1</x:v>
      </x:c>
      <x:c r="E1072" s="7" t="str">
        <x:v>HP-10</x:v>
      </x:c>
      <x:c r="F1072" s="7" t="str">
        <x:v>containment</x:v>
      </x:c>
      <x:c r="G1072" s="7" t="str">
        <x:v>capacity</x:v>
      </x:c>
      <x:c r="H1072" s="10" t="str"/>
      <x:c r="I1072" s="7" t="str"/>
      <x:c r="J1072" s="7" t="str">
        <x:v>OPEN</x:v>
      </x:c>
    </x:row>
    <x:row r="1073" ht="36" customHeight="1">
      <x:c r="B1073" s="7" t="str">
        <x:v>RAE-E-34-HP-11</x:v>
      </x:c>
      <x:c r="C1073" s="7" t="str">
        <x:v>RAE-E-34</x:v>
      </x:c>
      <x:c r="D1073" s="7" t="str">
        <x:v>RFP-C1</x:v>
      </x:c>
      <x:c r="E1073" s="7" t="str">
        <x:v>HP-11</x:v>
      </x:c>
      <x:c r="F1073" s="7" t="str">
        <x:v>containment</x:v>
      </x:c>
      <x:c r="G1073" s="7" t="str">
        <x:v>state</x:v>
      </x:c>
      <x:c r="H1073" s="10" t="str"/>
      <x:c r="I1073" s="7" t="str"/>
      <x:c r="J1073" s="7" t="str">
        <x:v>OPEN</x:v>
      </x:c>
    </x:row>
    <x:row r="1074" ht="36" customHeight="1">
      <x:c r="B1074" s="7" t="str">
        <x:v>RAE-E-34-HP-12</x:v>
      </x:c>
      <x:c r="C1074" s="7" t="str">
        <x:v>RAE-E-34</x:v>
      </x:c>
      <x:c r="D1074" s="7" t="str">
        <x:v>RFP-C1</x:v>
      </x:c>
      <x:c r="E1074" s="7" t="str">
        <x:v>HP-12</x:v>
      </x:c>
      <x:c r="F1074" s="7" t="str">
        <x:v>containment</x:v>
      </x:c>
      <x:c r="G1074" s="7" t="str">
        <x:v>authority</x:v>
      </x:c>
      <x:c r="H1074" s="10" t="str"/>
      <x:c r="I1074" s="7" t="str"/>
      <x:c r="J1074" s="7" t="str">
        <x:v>OPEN</x:v>
      </x:c>
    </x:row>
    <x:row r="1075" ht="36" customHeight="1">
      <x:c r="B1075" s="7" t="str">
        <x:v>RAE-E-34-HP-13</x:v>
      </x:c>
      <x:c r="C1075" s="7" t="str">
        <x:v>RAE-E-34</x:v>
      </x:c>
      <x:c r="D1075" s="7" t="str">
        <x:v>RFP-C1</x:v>
      </x:c>
      <x:c r="E1075" s="7" t="str">
        <x:v>HP-13</x:v>
      </x:c>
      <x:c r="F1075" s="7" t="str">
        <x:v>water</x:v>
      </x:c>
      <x:c r="G1075" s="7" t="str">
        <x:v>identity</x:v>
      </x:c>
      <x:c r="H1075" s="10" t="str"/>
      <x:c r="I1075" s="7" t="str"/>
      <x:c r="J1075" s="7" t="str">
        <x:v>OPEN</x:v>
      </x:c>
    </x:row>
    <x:row r="1076" ht="36" customHeight="1">
      <x:c r="B1076" s="7" t="str">
        <x:v>RAE-E-34-HP-14</x:v>
      </x:c>
      <x:c r="C1076" s="7" t="str">
        <x:v>RAE-E-34</x:v>
      </x:c>
      <x:c r="D1076" s="7" t="str">
        <x:v>RFP-C1</x:v>
      </x:c>
      <x:c r="E1076" s="7" t="str">
        <x:v>HP-14</x:v>
      </x:c>
      <x:c r="F1076" s="7" t="str">
        <x:v>water</x:v>
      </x:c>
      <x:c r="G1076" s="7" t="str">
        <x:v>capacity</x:v>
      </x:c>
      <x:c r="H1076" s="10" t="str"/>
      <x:c r="I1076" s="7" t="str"/>
      <x:c r="J1076" s="7" t="str">
        <x:v>OPEN</x:v>
      </x:c>
    </x:row>
    <x:row r="1077" ht="36" customHeight="1">
      <x:c r="B1077" s="7" t="str">
        <x:v>RAE-E-34-HP-15</x:v>
      </x:c>
      <x:c r="C1077" s="7" t="str">
        <x:v>RAE-E-34</x:v>
      </x:c>
      <x:c r="D1077" s="7" t="str">
        <x:v>RFP-C1</x:v>
      </x:c>
      <x:c r="E1077" s="7" t="str">
        <x:v>HP-15</x:v>
      </x:c>
      <x:c r="F1077" s="7" t="str">
        <x:v>water</x:v>
      </x:c>
      <x:c r="G1077" s="7" t="str">
        <x:v>state</x:v>
      </x:c>
      <x:c r="H1077" s="10" t="str"/>
      <x:c r="I1077" s="7" t="str"/>
      <x:c r="J1077" s="7" t="str">
        <x:v>OPEN</x:v>
      </x:c>
    </x:row>
    <x:row r="1078" ht="36" customHeight="1">
      <x:c r="B1078" s="7" t="str">
        <x:v>RAE-E-34-HP-16</x:v>
      </x:c>
      <x:c r="C1078" s="7" t="str">
        <x:v>RAE-E-34</x:v>
      </x:c>
      <x:c r="D1078" s="7" t="str">
        <x:v>RFP-C1</x:v>
      </x:c>
      <x:c r="E1078" s="7" t="str">
        <x:v>HP-16</x:v>
      </x:c>
      <x:c r="F1078" s="7" t="str">
        <x:v>water</x:v>
      </x:c>
      <x:c r="G1078" s="7" t="str">
        <x:v>authority</x:v>
      </x:c>
      <x:c r="H1078" s="10" t="str"/>
      <x:c r="I1078" s="7" t="str"/>
      <x:c r="J1078" s="7" t="str">
        <x:v>OPEN</x:v>
      </x:c>
    </x:row>
    <x:row r="1079" ht="36" customHeight="1">
      <x:c r="B1079" s="7" t="str">
        <x:v>RAE-E-34-HP-17</x:v>
      </x:c>
      <x:c r="C1079" s="7" t="str">
        <x:v>RAE-E-34</x:v>
      </x:c>
      <x:c r="D1079" s="7" t="str">
        <x:v>RFP-C1</x:v>
      </x:c>
      <x:c r="E1079" s="7" t="str">
        <x:v>HP-17</x:v>
      </x:c>
      <x:c r="F1079" s="7" t="str">
        <x:v>safeing</x:v>
      </x:c>
      <x:c r="G1079" s="7" t="str">
        <x:v>identity</x:v>
      </x:c>
      <x:c r="H1079" s="10" t="str"/>
      <x:c r="I1079" s="7" t="str"/>
      <x:c r="J1079" s="7" t="str">
        <x:v>OPEN</x:v>
      </x:c>
    </x:row>
    <x:row r="1080" ht="36" customHeight="1">
      <x:c r="B1080" s="7" t="str">
        <x:v>RAE-E-34-HP-18</x:v>
      </x:c>
      <x:c r="C1080" s="7" t="str">
        <x:v>RAE-E-34</x:v>
      </x:c>
      <x:c r="D1080" s="7" t="str">
        <x:v>RFP-C1</x:v>
      </x:c>
      <x:c r="E1080" s="7" t="str">
        <x:v>HP-18</x:v>
      </x:c>
      <x:c r="F1080" s="7" t="str">
        <x:v>safeing</x:v>
      </x:c>
      <x:c r="G1080" s="7" t="str">
        <x:v>capacity</x:v>
      </x:c>
      <x:c r="H1080" s="10" t="str"/>
      <x:c r="I1080" s="7" t="str"/>
      <x:c r="J1080" s="7" t="str">
        <x:v>OPEN</x:v>
      </x:c>
    </x:row>
    <x:row r="1081" ht="36" customHeight="1">
      <x:c r="B1081" s="7" t="str">
        <x:v>RAE-E-34-HP-19</x:v>
      </x:c>
      <x:c r="C1081" s="7" t="str">
        <x:v>RAE-E-34</x:v>
      </x:c>
      <x:c r="D1081" s="7" t="str">
        <x:v>RFP-C1</x:v>
      </x:c>
      <x:c r="E1081" s="7" t="str">
        <x:v>HP-19</x:v>
      </x:c>
      <x:c r="F1081" s="7" t="str">
        <x:v>safeing</x:v>
      </x:c>
      <x:c r="G1081" s="7" t="str">
        <x:v>state</x:v>
      </x:c>
      <x:c r="H1081" s="10" t="str"/>
      <x:c r="I1081" s="7" t="str"/>
      <x:c r="J1081" s="7" t="str">
        <x:v>OPEN</x:v>
      </x:c>
    </x:row>
    <x:row r="1082" ht="36" customHeight="1">
      <x:c r="B1082" s="7" t="str">
        <x:v>RAE-E-34-HP-20</x:v>
      </x:c>
      <x:c r="C1082" s="7" t="str">
        <x:v>RAE-E-34</x:v>
      </x:c>
      <x:c r="D1082" s="7" t="str">
        <x:v>RFP-C1</x:v>
      </x:c>
      <x:c r="E1082" s="7" t="str">
        <x:v>HP-20</x:v>
      </x:c>
      <x:c r="F1082" s="7" t="str">
        <x:v>safeing</x:v>
      </x:c>
      <x:c r="G1082" s="7" t="str">
        <x:v>authority</x:v>
      </x:c>
      <x:c r="H1082" s="10" t="str"/>
      <x:c r="I1082" s="7" t="str"/>
      <x:c r="J1082" s="7" t="str">
        <x:v>OPEN</x:v>
      </x:c>
    </x:row>
    <x:row r="1083" ht="36" customHeight="1">
      <x:c r="B1083" s="7" t="str">
        <x:v>RAE-E-34-HP-21</x:v>
      </x:c>
      <x:c r="C1083" s="7" t="str">
        <x:v>RAE-E-34</x:v>
      </x:c>
      <x:c r="D1083" s="7" t="str">
        <x:v>RFP-C1</x:v>
      </x:c>
      <x:c r="E1083" s="7" t="str">
        <x:v>HP-21</x:v>
      </x:c>
      <x:c r="F1083" s="7" t="str">
        <x:v>evidence</x:v>
      </x:c>
      <x:c r="G1083" s="7" t="str">
        <x:v>identity</x:v>
      </x:c>
      <x:c r="H1083" s="10" t="str"/>
      <x:c r="I1083" s="7" t="str"/>
      <x:c r="J1083" s="7" t="str">
        <x:v>OPEN</x:v>
      </x:c>
    </x:row>
    <x:row r="1084" ht="36" customHeight="1">
      <x:c r="B1084" s="7" t="str">
        <x:v>RAE-E-34-HP-22</x:v>
      </x:c>
      <x:c r="C1084" s="7" t="str">
        <x:v>RAE-E-34</x:v>
      </x:c>
      <x:c r="D1084" s="7" t="str">
        <x:v>RFP-C1</x:v>
      </x:c>
      <x:c r="E1084" s="7" t="str">
        <x:v>HP-22</x:v>
      </x:c>
      <x:c r="F1084" s="7" t="str">
        <x:v>evidence</x:v>
      </x:c>
      <x:c r="G1084" s="7" t="str">
        <x:v>capacity</x:v>
      </x:c>
      <x:c r="H1084" s="10" t="str"/>
      <x:c r="I1084" s="7" t="str"/>
      <x:c r="J1084" s="7" t="str">
        <x:v>OPEN</x:v>
      </x:c>
    </x:row>
    <x:row r="1085" ht="36" customHeight="1">
      <x:c r="B1085" s="7" t="str">
        <x:v>RAE-E-34-HP-23</x:v>
      </x:c>
      <x:c r="C1085" s="7" t="str">
        <x:v>RAE-E-34</x:v>
      </x:c>
      <x:c r="D1085" s="7" t="str">
        <x:v>RFP-C1</x:v>
      </x:c>
      <x:c r="E1085" s="7" t="str">
        <x:v>HP-23</x:v>
      </x:c>
      <x:c r="F1085" s="7" t="str">
        <x:v>evidence</x:v>
      </x:c>
      <x:c r="G1085" s="7" t="str">
        <x:v>state</x:v>
      </x:c>
      <x:c r="H1085" s="10" t="str"/>
      <x:c r="I1085" s="7" t="str"/>
      <x:c r="J1085" s="7" t="str">
        <x:v>OPEN</x:v>
      </x:c>
    </x:row>
    <x:row r="1086" ht="36" customHeight="1">
      <x:c r="B1086" s="7" t="str">
        <x:v>RAE-E-34-HP-24</x:v>
      </x:c>
      <x:c r="C1086" s="7" t="str">
        <x:v>RAE-E-34</x:v>
      </x:c>
      <x:c r="D1086" s="7" t="str">
        <x:v>RFP-C1</x:v>
      </x:c>
      <x:c r="E1086" s="7" t="str">
        <x:v>HP-24</x:v>
      </x:c>
      <x:c r="F1086" s="7" t="str">
        <x:v>evidence</x:v>
      </x:c>
      <x:c r="G1086" s="7" t="str">
        <x:v>authority</x:v>
      </x:c>
      <x:c r="H1086" s="10" t="str"/>
      <x:c r="I1086" s="7" t="str"/>
      <x:c r="J1086" s="7" t="str">
        <x:v>OPEN</x:v>
      </x:c>
    </x:row>
    <x:row r="1087" ht="36" customHeight="1">
      <x:c r="B1087" s="7" t="str">
        <x:v>RAE-E-34-HP-25</x:v>
      </x:c>
      <x:c r="C1087" s="7" t="str">
        <x:v>RAE-E-34</x:v>
      </x:c>
      <x:c r="D1087" s="7" t="str">
        <x:v>RFP-C1</x:v>
      </x:c>
      <x:c r="E1087" s="7" t="str">
        <x:v>HP-25</x:v>
      </x:c>
      <x:c r="F1087" s="7" t="str">
        <x:v>environment</x:v>
      </x:c>
      <x:c r="G1087" s="7" t="str">
        <x:v>identity</x:v>
      </x:c>
      <x:c r="H1087" s="10" t="str"/>
      <x:c r="I1087" s="7" t="str"/>
      <x:c r="J1087" s="7" t="str">
        <x:v>OPEN</x:v>
      </x:c>
    </x:row>
    <x:row r="1088" ht="36" customHeight="1">
      <x:c r="B1088" s="7" t="str">
        <x:v>RAE-E-34-HP-26</x:v>
      </x:c>
      <x:c r="C1088" s="7" t="str">
        <x:v>RAE-E-34</x:v>
      </x:c>
      <x:c r="D1088" s="7" t="str">
        <x:v>RFP-C1</x:v>
      </x:c>
      <x:c r="E1088" s="7" t="str">
        <x:v>HP-26</x:v>
      </x:c>
      <x:c r="F1088" s="7" t="str">
        <x:v>environment</x:v>
      </x:c>
      <x:c r="G1088" s="7" t="str">
        <x:v>capacity</x:v>
      </x:c>
      <x:c r="H1088" s="10" t="str"/>
      <x:c r="I1088" s="7" t="str"/>
      <x:c r="J1088" s="7" t="str">
        <x:v>OPEN</x:v>
      </x:c>
    </x:row>
    <x:row r="1089" ht="36" customHeight="1">
      <x:c r="B1089" s="7" t="str">
        <x:v>RAE-E-34-HP-27</x:v>
      </x:c>
      <x:c r="C1089" s="7" t="str">
        <x:v>RAE-E-34</x:v>
      </x:c>
      <x:c r="D1089" s="7" t="str">
        <x:v>RFP-C1</x:v>
      </x:c>
      <x:c r="E1089" s="7" t="str">
        <x:v>HP-27</x:v>
      </x:c>
      <x:c r="F1089" s="7" t="str">
        <x:v>environment</x:v>
      </x:c>
      <x:c r="G1089" s="7" t="str">
        <x:v>state</x:v>
      </x:c>
      <x:c r="H1089" s="10" t="str"/>
      <x:c r="I1089" s="7" t="str"/>
      <x:c r="J1089" s="7" t="str">
        <x:v>OPEN</x:v>
      </x:c>
    </x:row>
    <x:row r="1090" ht="36" customHeight="1">
      <x:c r="B1090" s="7" t="str">
        <x:v>RAE-E-34-HP-28</x:v>
      </x:c>
      <x:c r="C1090" s="7" t="str">
        <x:v>RAE-E-34</x:v>
      </x:c>
      <x:c r="D1090" s="7" t="str">
        <x:v>RFP-C1</x:v>
      </x:c>
      <x:c r="E1090" s="7" t="str">
        <x:v>HP-28</x:v>
      </x:c>
      <x:c r="F1090" s="7" t="str">
        <x:v>environment</x:v>
      </x:c>
      <x:c r="G1090" s="7" t="str">
        <x:v>authority</x:v>
      </x:c>
      <x:c r="H1090" s="10" t="str"/>
      <x:c r="I1090" s="7" t="str"/>
      <x:c r="J1090" s="7" t="str">
        <x:v>OPEN</x:v>
      </x:c>
    </x:row>
    <x:row r="1091" ht="36" customHeight="1">
      <x:c r="B1091" s="7" t="str">
        <x:v>RAE-E-34-HP-29</x:v>
      </x:c>
      <x:c r="C1091" s="7" t="str">
        <x:v>RAE-E-34</x:v>
      </x:c>
      <x:c r="D1091" s="7" t="str">
        <x:v>RFP-C1</x:v>
      </x:c>
      <x:c r="E1091" s="7" t="str">
        <x:v>HP-29</x:v>
      </x:c>
      <x:c r="F1091" s="7" t="str">
        <x:v>authority</x:v>
      </x:c>
      <x:c r="G1091" s="7" t="str">
        <x:v>identity</x:v>
      </x:c>
      <x:c r="H1091" s="10" t="str"/>
      <x:c r="I1091" s="7" t="str"/>
      <x:c r="J1091" s="7" t="str">
        <x:v>OPEN</x:v>
      </x:c>
    </x:row>
    <x:row r="1092" ht="36" customHeight="1">
      <x:c r="B1092" s="7" t="str">
        <x:v>RAE-E-34-HP-30</x:v>
      </x:c>
      <x:c r="C1092" s="7" t="str">
        <x:v>RAE-E-34</x:v>
      </x:c>
      <x:c r="D1092" s="7" t="str">
        <x:v>RFP-C1</x:v>
      </x:c>
      <x:c r="E1092" s="7" t="str">
        <x:v>HP-30</x:v>
      </x:c>
      <x:c r="F1092" s="7" t="str">
        <x:v>authority</x:v>
      </x:c>
      <x:c r="G1092" s="7" t="str">
        <x:v>capacity</x:v>
      </x:c>
      <x:c r="H1092" s="10" t="str"/>
      <x:c r="I1092" s="7" t="str"/>
      <x:c r="J1092" s="7" t="str">
        <x:v>OPEN</x:v>
      </x:c>
    </x:row>
    <x:row r="1093" ht="36" customHeight="1">
      <x:c r="B1093" s="7" t="str">
        <x:v>RAE-E-34-HP-31</x:v>
      </x:c>
      <x:c r="C1093" s="7" t="str">
        <x:v>RAE-E-34</x:v>
      </x:c>
      <x:c r="D1093" s="7" t="str">
        <x:v>RFP-C1</x:v>
      </x:c>
      <x:c r="E1093" s="7" t="str">
        <x:v>HP-31</x:v>
      </x:c>
      <x:c r="F1093" s="7" t="str">
        <x:v>authority</x:v>
      </x:c>
      <x:c r="G1093" s="7" t="str">
        <x:v>state</x:v>
      </x:c>
      <x:c r="H1093" s="10" t="str"/>
      <x:c r="I1093" s="7" t="str"/>
      <x:c r="J1093" s="7" t="str">
        <x:v>OPEN</x:v>
      </x:c>
    </x:row>
    <x:row r="1094" ht="36" customHeight="1">
      <x:c r="B1094" s="7" t="str">
        <x:v>RAE-E-34-HP-32</x:v>
      </x:c>
      <x:c r="C1094" s="7" t="str">
        <x:v>RAE-E-34</x:v>
      </x:c>
      <x:c r="D1094" s="7" t="str">
        <x:v>RFP-C1</x:v>
      </x:c>
      <x:c r="E1094" s="7" t="str">
        <x:v>HP-32</x:v>
      </x:c>
      <x:c r="F1094" s="7" t="str">
        <x:v>authority</x:v>
      </x:c>
      <x:c r="G1094" s="7" t="str">
        <x:v>authority</x:v>
      </x:c>
      <x:c r="H1094" s="10" t="str"/>
      <x:c r="I1094" s="7" t="str"/>
      <x:c r="J1094" s="7" t="str">
        <x:v>OPEN</x:v>
      </x:c>
    </x:row>
    <x:row r="1095" ht="36" customHeight="1">
      <x:c r="B1095" s="7" t="str">
        <x:v>RAE-E-35-HP-01</x:v>
      </x:c>
      <x:c r="C1095" s="7" t="str">
        <x:v>RAE-E-35</x:v>
      </x:c>
      <x:c r="D1095" s="7" t="str">
        <x:v>RFP-C1</x:v>
      </x:c>
      <x:c r="E1095" s="7" t="str">
        <x:v>HP-01</x:v>
      </x:c>
      <x:c r="F1095" s="7" t="str">
        <x:v>configuration</x:v>
      </x:c>
      <x:c r="G1095" s="7" t="str">
        <x:v>identity</x:v>
      </x:c>
      <x:c r="H1095" s="10" t="str"/>
      <x:c r="I1095" s="7" t="str"/>
      <x:c r="J1095" s="7" t="str">
        <x:v>OPEN</x:v>
      </x:c>
    </x:row>
    <x:row r="1096" ht="36" customHeight="1">
      <x:c r="B1096" s="7" t="str">
        <x:v>RAE-E-35-HP-02</x:v>
      </x:c>
      <x:c r="C1096" s="7" t="str">
        <x:v>RAE-E-35</x:v>
      </x:c>
      <x:c r="D1096" s="7" t="str">
        <x:v>RFP-C1</x:v>
      </x:c>
      <x:c r="E1096" s="7" t="str">
        <x:v>HP-02</x:v>
      </x:c>
      <x:c r="F1096" s="7" t="str">
        <x:v>configuration</x:v>
      </x:c>
      <x:c r="G1096" s="7" t="str">
        <x:v>capacity</x:v>
      </x:c>
      <x:c r="H1096" s="10" t="str"/>
      <x:c r="I1096" s="7" t="str"/>
      <x:c r="J1096" s="7" t="str">
        <x:v>OPEN</x:v>
      </x:c>
    </x:row>
    <x:row r="1097" ht="36" customHeight="1">
      <x:c r="B1097" s="7" t="str">
        <x:v>RAE-E-35-HP-03</x:v>
      </x:c>
      <x:c r="C1097" s="7" t="str">
        <x:v>RAE-E-35</x:v>
      </x:c>
      <x:c r="D1097" s="7" t="str">
        <x:v>RFP-C1</x:v>
      </x:c>
      <x:c r="E1097" s="7" t="str">
        <x:v>HP-03</x:v>
      </x:c>
      <x:c r="F1097" s="7" t="str">
        <x:v>configuration</x:v>
      </x:c>
      <x:c r="G1097" s="7" t="str">
        <x:v>state</x:v>
      </x:c>
      <x:c r="H1097" s="10" t="str"/>
      <x:c r="I1097" s="7" t="str"/>
      <x:c r="J1097" s="7" t="str">
        <x:v>OPEN</x:v>
      </x:c>
    </x:row>
    <x:row r="1098" ht="36" customHeight="1">
      <x:c r="B1098" s="7" t="str">
        <x:v>RAE-E-35-HP-04</x:v>
      </x:c>
      <x:c r="C1098" s="7" t="str">
        <x:v>RAE-E-35</x:v>
      </x:c>
      <x:c r="D1098" s="7" t="str">
        <x:v>RFP-C1</x:v>
      </x:c>
      <x:c r="E1098" s="7" t="str">
        <x:v>HP-04</x:v>
      </x:c>
      <x:c r="F1098" s="7" t="str">
        <x:v>configuration</x:v>
      </x:c>
      <x:c r="G1098" s="7" t="str">
        <x:v>authority</x:v>
      </x:c>
      <x:c r="H1098" s="10" t="str"/>
      <x:c r="I1098" s="7" t="str"/>
      <x:c r="J1098" s="7" t="str">
        <x:v>OPEN</x:v>
      </x:c>
    </x:row>
    <x:row r="1099" ht="36" customHeight="1">
      <x:c r="B1099" s="7" t="str">
        <x:v>RAE-E-35-HP-05</x:v>
      </x:c>
      <x:c r="C1099" s="7" t="str">
        <x:v>RAE-E-35</x:v>
      </x:c>
      <x:c r="D1099" s="7" t="str">
        <x:v>RFP-C1</x:v>
      </x:c>
      <x:c r="E1099" s="7" t="str">
        <x:v>HP-05</x:v>
      </x:c>
      <x:c r="F1099" s="7" t="str">
        <x:v>source</x:v>
      </x:c>
      <x:c r="G1099" s="7" t="str">
        <x:v>identity</x:v>
      </x:c>
      <x:c r="H1099" s="10" t="str"/>
      <x:c r="I1099" s="7" t="str"/>
      <x:c r="J1099" s="7" t="str">
        <x:v>OPEN</x:v>
      </x:c>
    </x:row>
    <x:row r="1100" ht="36" customHeight="1">
      <x:c r="B1100" s="7" t="str">
        <x:v>RAE-E-35-HP-06</x:v>
      </x:c>
      <x:c r="C1100" s="7" t="str">
        <x:v>RAE-E-35</x:v>
      </x:c>
      <x:c r="D1100" s="7" t="str">
        <x:v>RFP-C1</x:v>
      </x:c>
      <x:c r="E1100" s="7" t="str">
        <x:v>HP-06</x:v>
      </x:c>
      <x:c r="F1100" s="7" t="str">
        <x:v>source</x:v>
      </x:c>
      <x:c r="G1100" s="7" t="str">
        <x:v>capacity</x:v>
      </x:c>
      <x:c r="H1100" s="10" t="str"/>
      <x:c r="I1100" s="7" t="str"/>
      <x:c r="J1100" s="7" t="str">
        <x:v>OPEN</x:v>
      </x:c>
    </x:row>
    <x:row r="1101" ht="36" customHeight="1">
      <x:c r="B1101" s="7" t="str">
        <x:v>RAE-E-35-HP-07</x:v>
      </x:c>
      <x:c r="C1101" s="7" t="str">
        <x:v>RAE-E-35</x:v>
      </x:c>
      <x:c r="D1101" s="7" t="str">
        <x:v>RFP-C1</x:v>
      </x:c>
      <x:c r="E1101" s="7" t="str">
        <x:v>HP-07</x:v>
      </x:c>
      <x:c r="F1101" s="7" t="str">
        <x:v>source</x:v>
      </x:c>
      <x:c r="G1101" s="7" t="str">
        <x:v>state</x:v>
      </x:c>
      <x:c r="H1101" s="10" t="str"/>
      <x:c r="I1101" s="7" t="str"/>
      <x:c r="J1101" s="7" t="str">
        <x:v>OPEN</x:v>
      </x:c>
    </x:row>
    <x:row r="1102" ht="36" customHeight="1">
      <x:c r="B1102" s="7" t="str">
        <x:v>RAE-E-35-HP-08</x:v>
      </x:c>
      <x:c r="C1102" s="7" t="str">
        <x:v>RAE-E-35</x:v>
      </x:c>
      <x:c r="D1102" s="7" t="str">
        <x:v>RFP-C1</x:v>
      </x:c>
      <x:c r="E1102" s="7" t="str">
        <x:v>HP-08</x:v>
      </x:c>
      <x:c r="F1102" s="7" t="str">
        <x:v>source</x:v>
      </x:c>
      <x:c r="G1102" s="7" t="str">
        <x:v>authority</x:v>
      </x:c>
      <x:c r="H1102" s="10" t="str"/>
      <x:c r="I1102" s="7" t="str"/>
      <x:c r="J1102" s="7" t="str">
        <x:v>OPEN</x:v>
      </x:c>
    </x:row>
    <x:row r="1103" ht="36" customHeight="1">
      <x:c r="B1103" s="7" t="str">
        <x:v>RAE-E-35-HP-09</x:v>
      </x:c>
      <x:c r="C1103" s="7" t="str">
        <x:v>RAE-E-35</x:v>
      </x:c>
      <x:c r="D1103" s="7" t="str">
        <x:v>RFP-C1</x:v>
      </x:c>
      <x:c r="E1103" s="7" t="str">
        <x:v>HP-09</x:v>
      </x:c>
      <x:c r="F1103" s="7" t="str">
        <x:v>containment</x:v>
      </x:c>
      <x:c r="G1103" s="7" t="str">
        <x:v>identity</x:v>
      </x:c>
      <x:c r="H1103" s="10" t="str"/>
      <x:c r="I1103" s="7" t="str"/>
      <x:c r="J1103" s="7" t="str">
        <x:v>OPEN</x:v>
      </x:c>
    </x:row>
    <x:row r="1104" ht="36" customHeight="1">
      <x:c r="B1104" s="7" t="str">
        <x:v>RAE-E-35-HP-10</x:v>
      </x:c>
      <x:c r="C1104" s="7" t="str">
        <x:v>RAE-E-35</x:v>
      </x:c>
      <x:c r="D1104" s="7" t="str">
        <x:v>RFP-C1</x:v>
      </x:c>
      <x:c r="E1104" s="7" t="str">
        <x:v>HP-10</x:v>
      </x:c>
      <x:c r="F1104" s="7" t="str">
        <x:v>containment</x:v>
      </x:c>
      <x:c r="G1104" s="7" t="str">
        <x:v>capacity</x:v>
      </x:c>
      <x:c r="H1104" s="10" t="str"/>
      <x:c r="I1104" s="7" t="str"/>
      <x:c r="J1104" s="7" t="str">
        <x:v>OPEN</x:v>
      </x:c>
    </x:row>
    <x:row r="1105" ht="36" customHeight="1">
      <x:c r="B1105" s="7" t="str">
        <x:v>RAE-E-35-HP-11</x:v>
      </x:c>
      <x:c r="C1105" s="7" t="str">
        <x:v>RAE-E-35</x:v>
      </x:c>
      <x:c r="D1105" s="7" t="str">
        <x:v>RFP-C1</x:v>
      </x:c>
      <x:c r="E1105" s="7" t="str">
        <x:v>HP-11</x:v>
      </x:c>
      <x:c r="F1105" s="7" t="str">
        <x:v>containment</x:v>
      </x:c>
      <x:c r="G1105" s="7" t="str">
        <x:v>state</x:v>
      </x:c>
      <x:c r="H1105" s="10" t="str"/>
      <x:c r="I1105" s="7" t="str"/>
      <x:c r="J1105" s="7" t="str">
        <x:v>OPEN</x:v>
      </x:c>
    </x:row>
    <x:row r="1106" ht="36" customHeight="1">
      <x:c r="B1106" s="7" t="str">
        <x:v>RAE-E-35-HP-12</x:v>
      </x:c>
      <x:c r="C1106" s="7" t="str">
        <x:v>RAE-E-35</x:v>
      </x:c>
      <x:c r="D1106" s="7" t="str">
        <x:v>RFP-C1</x:v>
      </x:c>
      <x:c r="E1106" s="7" t="str">
        <x:v>HP-12</x:v>
      </x:c>
      <x:c r="F1106" s="7" t="str">
        <x:v>containment</x:v>
      </x:c>
      <x:c r="G1106" s="7" t="str">
        <x:v>authority</x:v>
      </x:c>
      <x:c r="H1106" s="10" t="str"/>
      <x:c r="I1106" s="7" t="str"/>
      <x:c r="J1106" s="7" t="str">
        <x:v>OPEN</x:v>
      </x:c>
    </x:row>
    <x:row r="1107" ht="36" customHeight="1">
      <x:c r="B1107" s="7" t="str">
        <x:v>RAE-E-35-HP-13</x:v>
      </x:c>
      <x:c r="C1107" s="7" t="str">
        <x:v>RAE-E-35</x:v>
      </x:c>
      <x:c r="D1107" s="7" t="str">
        <x:v>RFP-C1</x:v>
      </x:c>
      <x:c r="E1107" s="7" t="str">
        <x:v>HP-13</x:v>
      </x:c>
      <x:c r="F1107" s="7" t="str">
        <x:v>water</x:v>
      </x:c>
      <x:c r="G1107" s="7" t="str">
        <x:v>identity</x:v>
      </x:c>
      <x:c r="H1107" s="10" t="str"/>
      <x:c r="I1107" s="7" t="str"/>
      <x:c r="J1107" s="7" t="str">
        <x:v>OPEN</x:v>
      </x:c>
    </x:row>
    <x:row r="1108" ht="36" customHeight="1">
      <x:c r="B1108" s="7" t="str">
        <x:v>RAE-E-35-HP-14</x:v>
      </x:c>
      <x:c r="C1108" s="7" t="str">
        <x:v>RAE-E-35</x:v>
      </x:c>
      <x:c r="D1108" s="7" t="str">
        <x:v>RFP-C1</x:v>
      </x:c>
      <x:c r="E1108" s="7" t="str">
        <x:v>HP-14</x:v>
      </x:c>
      <x:c r="F1108" s="7" t="str">
        <x:v>water</x:v>
      </x:c>
      <x:c r="G1108" s="7" t="str">
        <x:v>capacity</x:v>
      </x:c>
      <x:c r="H1108" s="10" t="str"/>
      <x:c r="I1108" s="7" t="str"/>
      <x:c r="J1108" s="7" t="str">
        <x:v>OPEN</x:v>
      </x:c>
    </x:row>
    <x:row r="1109" ht="36" customHeight="1">
      <x:c r="B1109" s="7" t="str">
        <x:v>RAE-E-35-HP-15</x:v>
      </x:c>
      <x:c r="C1109" s="7" t="str">
        <x:v>RAE-E-35</x:v>
      </x:c>
      <x:c r="D1109" s="7" t="str">
        <x:v>RFP-C1</x:v>
      </x:c>
      <x:c r="E1109" s="7" t="str">
        <x:v>HP-15</x:v>
      </x:c>
      <x:c r="F1109" s="7" t="str">
        <x:v>water</x:v>
      </x:c>
      <x:c r="G1109" s="7" t="str">
        <x:v>state</x:v>
      </x:c>
      <x:c r="H1109" s="10" t="str"/>
      <x:c r="I1109" s="7" t="str"/>
      <x:c r="J1109" s="7" t="str">
        <x:v>OPEN</x:v>
      </x:c>
    </x:row>
    <x:row r="1110" ht="36" customHeight="1">
      <x:c r="B1110" s="7" t="str">
        <x:v>RAE-E-35-HP-16</x:v>
      </x:c>
      <x:c r="C1110" s="7" t="str">
        <x:v>RAE-E-35</x:v>
      </x:c>
      <x:c r="D1110" s="7" t="str">
        <x:v>RFP-C1</x:v>
      </x:c>
      <x:c r="E1110" s="7" t="str">
        <x:v>HP-16</x:v>
      </x:c>
      <x:c r="F1110" s="7" t="str">
        <x:v>water</x:v>
      </x:c>
      <x:c r="G1110" s="7" t="str">
        <x:v>authority</x:v>
      </x:c>
      <x:c r="H1110" s="10" t="str"/>
      <x:c r="I1110" s="7" t="str"/>
      <x:c r="J1110" s="7" t="str">
        <x:v>OPEN</x:v>
      </x:c>
    </x:row>
    <x:row r="1111" ht="36" customHeight="1">
      <x:c r="B1111" s="7" t="str">
        <x:v>RAE-E-35-HP-17</x:v>
      </x:c>
      <x:c r="C1111" s="7" t="str">
        <x:v>RAE-E-35</x:v>
      </x:c>
      <x:c r="D1111" s="7" t="str">
        <x:v>RFP-C1</x:v>
      </x:c>
      <x:c r="E1111" s="7" t="str">
        <x:v>HP-17</x:v>
      </x:c>
      <x:c r="F1111" s="7" t="str">
        <x:v>safeing</x:v>
      </x:c>
      <x:c r="G1111" s="7" t="str">
        <x:v>identity</x:v>
      </x:c>
      <x:c r="H1111" s="10" t="str"/>
      <x:c r="I1111" s="7" t="str"/>
      <x:c r="J1111" s="7" t="str">
        <x:v>OPEN</x:v>
      </x:c>
    </x:row>
    <x:row r="1112" ht="36" customHeight="1">
      <x:c r="B1112" s="7" t="str">
        <x:v>RAE-E-35-HP-18</x:v>
      </x:c>
      <x:c r="C1112" s="7" t="str">
        <x:v>RAE-E-35</x:v>
      </x:c>
      <x:c r="D1112" s="7" t="str">
        <x:v>RFP-C1</x:v>
      </x:c>
      <x:c r="E1112" s="7" t="str">
        <x:v>HP-18</x:v>
      </x:c>
      <x:c r="F1112" s="7" t="str">
        <x:v>safeing</x:v>
      </x:c>
      <x:c r="G1112" s="7" t="str">
        <x:v>capacity</x:v>
      </x:c>
      <x:c r="H1112" s="10" t="str"/>
      <x:c r="I1112" s="7" t="str"/>
      <x:c r="J1112" s="7" t="str">
        <x:v>OPEN</x:v>
      </x:c>
    </x:row>
    <x:row r="1113" ht="36" customHeight="1">
      <x:c r="B1113" s="7" t="str">
        <x:v>RAE-E-35-HP-19</x:v>
      </x:c>
      <x:c r="C1113" s="7" t="str">
        <x:v>RAE-E-35</x:v>
      </x:c>
      <x:c r="D1113" s="7" t="str">
        <x:v>RFP-C1</x:v>
      </x:c>
      <x:c r="E1113" s="7" t="str">
        <x:v>HP-19</x:v>
      </x:c>
      <x:c r="F1113" s="7" t="str">
        <x:v>safeing</x:v>
      </x:c>
      <x:c r="G1113" s="7" t="str">
        <x:v>state</x:v>
      </x:c>
      <x:c r="H1113" s="10" t="str"/>
      <x:c r="I1113" s="7" t="str"/>
      <x:c r="J1113" s="7" t="str">
        <x:v>OPEN</x:v>
      </x:c>
    </x:row>
    <x:row r="1114" ht="36" customHeight="1">
      <x:c r="B1114" s="7" t="str">
        <x:v>RAE-E-35-HP-20</x:v>
      </x:c>
      <x:c r="C1114" s="7" t="str">
        <x:v>RAE-E-35</x:v>
      </x:c>
      <x:c r="D1114" s="7" t="str">
        <x:v>RFP-C1</x:v>
      </x:c>
      <x:c r="E1114" s="7" t="str">
        <x:v>HP-20</x:v>
      </x:c>
      <x:c r="F1114" s="7" t="str">
        <x:v>safeing</x:v>
      </x:c>
      <x:c r="G1114" s="7" t="str">
        <x:v>authority</x:v>
      </x:c>
      <x:c r="H1114" s="10" t="str"/>
      <x:c r="I1114" s="7" t="str"/>
      <x:c r="J1114" s="7" t="str">
        <x:v>OPEN</x:v>
      </x:c>
    </x:row>
    <x:row r="1115" ht="36" customHeight="1">
      <x:c r="B1115" s="7" t="str">
        <x:v>RAE-E-35-HP-21</x:v>
      </x:c>
      <x:c r="C1115" s="7" t="str">
        <x:v>RAE-E-35</x:v>
      </x:c>
      <x:c r="D1115" s="7" t="str">
        <x:v>RFP-C1</x:v>
      </x:c>
      <x:c r="E1115" s="7" t="str">
        <x:v>HP-21</x:v>
      </x:c>
      <x:c r="F1115" s="7" t="str">
        <x:v>evidence</x:v>
      </x:c>
      <x:c r="G1115" s="7" t="str">
        <x:v>identity</x:v>
      </x:c>
      <x:c r="H1115" s="10" t="str"/>
      <x:c r="I1115" s="7" t="str"/>
      <x:c r="J1115" s="7" t="str">
        <x:v>OPEN</x:v>
      </x:c>
    </x:row>
    <x:row r="1116" ht="36" customHeight="1">
      <x:c r="B1116" s="7" t="str">
        <x:v>RAE-E-35-HP-22</x:v>
      </x:c>
      <x:c r="C1116" s="7" t="str">
        <x:v>RAE-E-35</x:v>
      </x:c>
      <x:c r="D1116" s="7" t="str">
        <x:v>RFP-C1</x:v>
      </x:c>
      <x:c r="E1116" s="7" t="str">
        <x:v>HP-22</x:v>
      </x:c>
      <x:c r="F1116" s="7" t="str">
        <x:v>evidence</x:v>
      </x:c>
      <x:c r="G1116" s="7" t="str">
        <x:v>capacity</x:v>
      </x:c>
      <x:c r="H1116" s="10" t="str"/>
      <x:c r="I1116" s="7" t="str"/>
      <x:c r="J1116" s="7" t="str">
        <x:v>OPEN</x:v>
      </x:c>
    </x:row>
    <x:row r="1117" ht="36" customHeight="1">
      <x:c r="B1117" s="7" t="str">
        <x:v>RAE-E-35-HP-23</x:v>
      </x:c>
      <x:c r="C1117" s="7" t="str">
        <x:v>RAE-E-35</x:v>
      </x:c>
      <x:c r="D1117" s="7" t="str">
        <x:v>RFP-C1</x:v>
      </x:c>
      <x:c r="E1117" s="7" t="str">
        <x:v>HP-23</x:v>
      </x:c>
      <x:c r="F1117" s="7" t="str">
        <x:v>evidence</x:v>
      </x:c>
      <x:c r="G1117" s="7" t="str">
        <x:v>state</x:v>
      </x:c>
      <x:c r="H1117" s="10" t="str"/>
      <x:c r="I1117" s="7" t="str"/>
      <x:c r="J1117" s="7" t="str">
        <x:v>OPEN</x:v>
      </x:c>
    </x:row>
    <x:row r="1118" ht="36" customHeight="1">
      <x:c r="B1118" s="7" t="str">
        <x:v>RAE-E-35-HP-24</x:v>
      </x:c>
      <x:c r="C1118" s="7" t="str">
        <x:v>RAE-E-35</x:v>
      </x:c>
      <x:c r="D1118" s="7" t="str">
        <x:v>RFP-C1</x:v>
      </x:c>
      <x:c r="E1118" s="7" t="str">
        <x:v>HP-24</x:v>
      </x:c>
      <x:c r="F1118" s="7" t="str">
        <x:v>evidence</x:v>
      </x:c>
      <x:c r="G1118" s="7" t="str">
        <x:v>authority</x:v>
      </x:c>
      <x:c r="H1118" s="10" t="str"/>
      <x:c r="I1118" s="7" t="str"/>
      <x:c r="J1118" s="7" t="str">
        <x:v>OPEN</x:v>
      </x:c>
    </x:row>
    <x:row r="1119" ht="36" customHeight="1">
      <x:c r="B1119" s="7" t="str">
        <x:v>RAE-E-35-HP-25</x:v>
      </x:c>
      <x:c r="C1119" s="7" t="str">
        <x:v>RAE-E-35</x:v>
      </x:c>
      <x:c r="D1119" s="7" t="str">
        <x:v>RFP-C1</x:v>
      </x:c>
      <x:c r="E1119" s="7" t="str">
        <x:v>HP-25</x:v>
      </x:c>
      <x:c r="F1119" s="7" t="str">
        <x:v>environment</x:v>
      </x:c>
      <x:c r="G1119" s="7" t="str">
        <x:v>identity</x:v>
      </x:c>
      <x:c r="H1119" s="10" t="str"/>
      <x:c r="I1119" s="7" t="str"/>
      <x:c r="J1119" s="7" t="str">
        <x:v>OPEN</x:v>
      </x:c>
    </x:row>
    <x:row r="1120" ht="36" customHeight="1">
      <x:c r="B1120" s="7" t="str">
        <x:v>RAE-E-35-HP-26</x:v>
      </x:c>
      <x:c r="C1120" s="7" t="str">
        <x:v>RAE-E-35</x:v>
      </x:c>
      <x:c r="D1120" s="7" t="str">
        <x:v>RFP-C1</x:v>
      </x:c>
      <x:c r="E1120" s="7" t="str">
        <x:v>HP-26</x:v>
      </x:c>
      <x:c r="F1120" s="7" t="str">
        <x:v>environment</x:v>
      </x:c>
      <x:c r="G1120" s="7" t="str">
        <x:v>capacity</x:v>
      </x:c>
      <x:c r="H1120" s="10" t="str"/>
      <x:c r="I1120" s="7" t="str"/>
      <x:c r="J1120" s="7" t="str">
        <x:v>OPEN</x:v>
      </x:c>
    </x:row>
    <x:row r="1121" ht="36" customHeight="1">
      <x:c r="B1121" s="7" t="str">
        <x:v>RAE-E-35-HP-27</x:v>
      </x:c>
      <x:c r="C1121" s="7" t="str">
        <x:v>RAE-E-35</x:v>
      </x:c>
      <x:c r="D1121" s="7" t="str">
        <x:v>RFP-C1</x:v>
      </x:c>
      <x:c r="E1121" s="7" t="str">
        <x:v>HP-27</x:v>
      </x:c>
      <x:c r="F1121" s="7" t="str">
        <x:v>environment</x:v>
      </x:c>
      <x:c r="G1121" s="7" t="str">
        <x:v>state</x:v>
      </x:c>
      <x:c r="H1121" s="10" t="str"/>
      <x:c r="I1121" s="7" t="str"/>
      <x:c r="J1121" s="7" t="str">
        <x:v>OPEN</x:v>
      </x:c>
    </x:row>
    <x:row r="1122" ht="36" customHeight="1">
      <x:c r="B1122" s="7" t="str">
        <x:v>RAE-E-35-HP-28</x:v>
      </x:c>
      <x:c r="C1122" s="7" t="str">
        <x:v>RAE-E-35</x:v>
      </x:c>
      <x:c r="D1122" s="7" t="str">
        <x:v>RFP-C1</x:v>
      </x:c>
      <x:c r="E1122" s="7" t="str">
        <x:v>HP-28</x:v>
      </x:c>
      <x:c r="F1122" s="7" t="str">
        <x:v>environment</x:v>
      </x:c>
      <x:c r="G1122" s="7" t="str">
        <x:v>authority</x:v>
      </x:c>
      <x:c r="H1122" s="10" t="str"/>
      <x:c r="I1122" s="7" t="str"/>
      <x:c r="J1122" s="7" t="str">
        <x:v>OPEN</x:v>
      </x:c>
    </x:row>
    <x:row r="1123" ht="36" customHeight="1">
      <x:c r="B1123" s="7" t="str">
        <x:v>RAE-E-35-HP-29</x:v>
      </x:c>
      <x:c r="C1123" s="7" t="str">
        <x:v>RAE-E-35</x:v>
      </x:c>
      <x:c r="D1123" s="7" t="str">
        <x:v>RFP-C1</x:v>
      </x:c>
      <x:c r="E1123" s="7" t="str">
        <x:v>HP-29</x:v>
      </x:c>
      <x:c r="F1123" s="7" t="str">
        <x:v>authority</x:v>
      </x:c>
      <x:c r="G1123" s="7" t="str">
        <x:v>identity</x:v>
      </x:c>
      <x:c r="H1123" s="10" t="str"/>
      <x:c r="I1123" s="7" t="str"/>
      <x:c r="J1123" s="7" t="str">
        <x:v>OPEN</x:v>
      </x:c>
    </x:row>
    <x:row r="1124" ht="36" customHeight="1">
      <x:c r="B1124" s="7" t="str">
        <x:v>RAE-E-35-HP-30</x:v>
      </x:c>
      <x:c r="C1124" s="7" t="str">
        <x:v>RAE-E-35</x:v>
      </x:c>
      <x:c r="D1124" s="7" t="str">
        <x:v>RFP-C1</x:v>
      </x:c>
      <x:c r="E1124" s="7" t="str">
        <x:v>HP-30</x:v>
      </x:c>
      <x:c r="F1124" s="7" t="str">
        <x:v>authority</x:v>
      </x:c>
      <x:c r="G1124" s="7" t="str">
        <x:v>capacity</x:v>
      </x:c>
      <x:c r="H1124" s="10" t="str"/>
      <x:c r="I1124" s="7" t="str"/>
      <x:c r="J1124" s="7" t="str">
        <x:v>OPEN</x:v>
      </x:c>
    </x:row>
    <x:row r="1125" ht="36" customHeight="1">
      <x:c r="B1125" s="7" t="str">
        <x:v>RAE-E-35-HP-31</x:v>
      </x:c>
      <x:c r="C1125" s="7" t="str">
        <x:v>RAE-E-35</x:v>
      </x:c>
      <x:c r="D1125" s="7" t="str">
        <x:v>RFP-C1</x:v>
      </x:c>
      <x:c r="E1125" s="7" t="str">
        <x:v>HP-31</x:v>
      </x:c>
      <x:c r="F1125" s="7" t="str">
        <x:v>authority</x:v>
      </x:c>
      <x:c r="G1125" s="7" t="str">
        <x:v>state</x:v>
      </x:c>
      <x:c r="H1125" s="10" t="str"/>
      <x:c r="I1125" s="7" t="str"/>
      <x:c r="J1125" s="7" t="str">
        <x:v>OPEN</x:v>
      </x:c>
    </x:row>
    <x:row r="1126" ht="36" customHeight="1">
      <x:c r="B1126" s="7" t="str">
        <x:v>RAE-E-35-HP-32</x:v>
      </x:c>
      <x:c r="C1126" s="7" t="str">
        <x:v>RAE-E-35</x:v>
      </x:c>
      <x:c r="D1126" s="7" t="str">
        <x:v>RFP-C1</x:v>
      </x:c>
      <x:c r="E1126" s="7" t="str">
        <x:v>HP-32</x:v>
      </x:c>
      <x:c r="F1126" s="7" t="str">
        <x:v>authority</x:v>
      </x:c>
      <x:c r="G1126" s="7" t="str">
        <x:v>authority</x:v>
      </x:c>
      <x:c r="H1126" s="10" t="str"/>
      <x:c r="I1126" s="7" t="str"/>
      <x:c r="J1126" s="7" t="str">
        <x:v>OPEN</x:v>
      </x:c>
    </x:row>
    <x:row r="1127" ht="36" customHeight="1">
      <x:c r="B1127" s="7" t="str">
        <x:v>RAE-E-36-HP-01</x:v>
      </x:c>
      <x:c r="C1127" s="7" t="str">
        <x:v>RAE-E-36</x:v>
      </x:c>
      <x:c r="D1127" s="7" t="str">
        <x:v>RFP-C1</x:v>
      </x:c>
      <x:c r="E1127" s="7" t="str">
        <x:v>HP-01</x:v>
      </x:c>
      <x:c r="F1127" s="7" t="str">
        <x:v>configuration</x:v>
      </x:c>
      <x:c r="G1127" s="7" t="str">
        <x:v>identity</x:v>
      </x:c>
      <x:c r="H1127" s="10" t="str"/>
      <x:c r="I1127" s="7" t="str"/>
      <x:c r="J1127" s="7" t="str">
        <x:v>OPEN</x:v>
      </x:c>
    </x:row>
    <x:row r="1128" ht="36" customHeight="1">
      <x:c r="B1128" s="7" t="str">
        <x:v>RAE-E-36-HP-02</x:v>
      </x:c>
      <x:c r="C1128" s="7" t="str">
        <x:v>RAE-E-36</x:v>
      </x:c>
      <x:c r="D1128" s="7" t="str">
        <x:v>RFP-C1</x:v>
      </x:c>
      <x:c r="E1128" s="7" t="str">
        <x:v>HP-02</x:v>
      </x:c>
      <x:c r="F1128" s="7" t="str">
        <x:v>configuration</x:v>
      </x:c>
      <x:c r="G1128" s="7" t="str">
        <x:v>capacity</x:v>
      </x:c>
      <x:c r="H1128" s="10" t="str"/>
      <x:c r="I1128" s="7" t="str"/>
      <x:c r="J1128" s="7" t="str">
        <x:v>OPEN</x:v>
      </x:c>
    </x:row>
    <x:row r="1129" ht="36" customHeight="1">
      <x:c r="B1129" s="7" t="str">
        <x:v>RAE-E-36-HP-03</x:v>
      </x:c>
      <x:c r="C1129" s="7" t="str">
        <x:v>RAE-E-36</x:v>
      </x:c>
      <x:c r="D1129" s="7" t="str">
        <x:v>RFP-C1</x:v>
      </x:c>
      <x:c r="E1129" s="7" t="str">
        <x:v>HP-03</x:v>
      </x:c>
      <x:c r="F1129" s="7" t="str">
        <x:v>configuration</x:v>
      </x:c>
      <x:c r="G1129" s="7" t="str">
        <x:v>state</x:v>
      </x:c>
      <x:c r="H1129" s="10" t="str"/>
      <x:c r="I1129" s="7" t="str"/>
      <x:c r="J1129" s="7" t="str">
        <x:v>OPEN</x:v>
      </x:c>
    </x:row>
    <x:row r="1130" ht="36" customHeight="1">
      <x:c r="B1130" s="7" t="str">
        <x:v>RAE-E-36-HP-04</x:v>
      </x:c>
      <x:c r="C1130" s="7" t="str">
        <x:v>RAE-E-36</x:v>
      </x:c>
      <x:c r="D1130" s="7" t="str">
        <x:v>RFP-C1</x:v>
      </x:c>
      <x:c r="E1130" s="7" t="str">
        <x:v>HP-04</x:v>
      </x:c>
      <x:c r="F1130" s="7" t="str">
        <x:v>configuration</x:v>
      </x:c>
      <x:c r="G1130" s="7" t="str">
        <x:v>authority</x:v>
      </x:c>
      <x:c r="H1130" s="10" t="str"/>
      <x:c r="I1130" s="7" t="str"/>
      <x:c r="J1130" s="7" t="str">
        <x:v>OPEN</x:v>
      </x:c>
    </x:row>
    <x:row r="1131" ht="36" customHeight="1">
      <x:c r="B1131" s="7" t="str">
        <x:v>RAE-E-36-HP-05</x:v>
      </x:c>
      <x:c r="C1131" s="7" t="str">
        <x:v>RAE-E-36</x:v>
      </x:c>
      <x:c r="D1131" s="7" t="str">
        <x:v>RFP-C1</x:v>
      </x:c>
      <x:c r="E1131" s="7" t="str">
        <x:v>HP-05</x:v>
      </x:c>
      <x:c r="F1131" s="7" t="str">
        <x:v>source</x:v>
      </x:c>
      <x:c r="G1131" s="7" t="str">
        <x:v>identity</x:v>
      </x:c>
      <x:c r="H1131" s="10" t="str"/>
      <x:c r="I1131" s="7" t="str"/>
      <x:c r="J1131" s="7" t="str">
        <x:v>OPEN</x:v>
      </x:c>
    </x:row>
    <x:row r="1132" ht="36" customHeight="1">
      <x:c r="B1132" s="7" t="str">
        <x:v>RAE-E-36-HP-06</x:v>
      </x:c>
      <x:c r="C1132" s="7" t="str">
        <x:v>RAE-E-36</x:v>
      </x:c>
      <x:c r="D1132" s="7" t="str">
        <x:v>RFP-C1</x:v>
      </x:c>
      <x:c r="E1132" s="7" t="str">
        <x:v>HP-06</x:v>
      </x:c>
      <x:c r="F1132" s="7" t="str">
        <x:v>source</x:v>
      </x:c>
      <x:c r="G1132" s="7" t="str">
        <x:v>capacity</x:v>
      </x:c>
      <x:c r="H1132" s="10" t="str"/>
      <x:c r="I1132" s="7" t="str"/>
      <x:c r="J1132" s="7" t="str">
        <x:v>OPEN</x:v>
      </x:c>
    </x:row>
    <x:row r="1133" ht="36" customHeight="1">
      <x:c r="B1133" s="7" t="str">
        <x:v>RAE-E-36-HP-07</x:v>
      </x:c>
      <x:c r="C1133" s="7" t="str">
        <x:v>RAE-E-36</x:v>
      </x:c>
      <x:c r="D1133" s="7" t="str">
        <x:v>RFP-C1</x:v>
      </x:c>
      <x:c r="E1133" s="7" t="str">
        <x:v>HP-07</x:v>
      </x:c>
      <x:c r="F1133" s="7" t="str">
        <x:v>source</x:v>
      </x:c>
      <x:c r="G1133" s="7" t="str">
        <x:v>state</x:v>
      </x:c>
      <x:c r="H1133" s="10" t="str"/>
      <x:c r="I1133" s="7" t="str"/>
      <x:c r="J1133" s="7" t="str">
        <x:v>OPEN</x:v>
      </x:c>
    </x:row>
    <x:row r="1134" ht="36" customHeight="1">
      <x:c r="B1134" s="7" t="str">
        <x:v>RAE-E-36-HP-08</x:v>
      </x:c>
      <x:c r="C1134" s="7" t="str">
        <x:v>RAE-E-36</x:v>
      </x:c>
      <x:c r="D1134" s="7" t="str">
        <x:v>RFP-C1</x:v>
      </x:c>
      <x:c r="E1134" s="7" t="str">
        <x:v>HP-08</x:v>
      </x:c>
      <x:c r="F1134" s="7" t="str">
        <x:v>source</x:v>
      </x:c>
      <x:c r="G1134" s="7" t="str">
        <x:v>authority</x:v>
      </x:c>
      <x:c r="H1134" s="10" t="str"/>
      <x:c r="I1134" s="7" t="str"/>
      <x:c r="J1134" s="7" t="str">
        <x:v>OPEN</x:v>
      </x:c>
    </x:row>
    <x:row r="1135" ht="36" customHeight="1">
      <x:c r="B1135" s="7" t="str">
        <x:v>RAE-E-36-HP-09</x:v>
      </x:c>
      <x:c r="C1135" s="7" t="str">
        <x:v>RAE-E-36</x:v>
      </x:c>
      <x:c r="D1135" s="7" t="str">
        <x:v>RFP-C1</x:v>
      </x:c>
      <x:c r="E1135" s="7" t="str">
        <x:v>HP-09</x:v>
      </x:c>
      <x:c r="F1135" s="7" t="str">
        <x:v>containment</x:v>
      </x:c>
      <x:c r="G1135" s="7" t="str">
        <x:v>identity</x:v>
      </x:c>
      <x:c r="H1135" s="10" t="str"/>
      <x:c r="I1135" s="7" t="str"/>
      <x:c r="J1135" s="7" t="str">
        <x:v>OPEN</x:v>
      </x:c>
    </x:row>
    <x:row r="1136" ht="36" customHeight="1">
      <x:c r="B1136" s="7" t="str">
        <x:v>RAE-E-36-HP-10</x:v>
      </x:c>
      <x:c r="C1136" s="7" t="str">
        <x:v>RAE-E-36</x:v>
      </x:c>
      <x:c r="D1136" s="7" t="str">
        <x:v>RFP-C1</x:v>
      </x:c>
      <x:c r="E1136" s="7" t="str">
        <x:v>HP-10</x:v>
      </x:c>
      <x:c r="F1136" s="7" t="str">
        <x:v>containment</x:v>
      </x:c>
      <x:c r="G1136" s="7" t="str">
        <x:v>capacity</x:v>
      </x:c>
      <x:c r="H1136" s="10" t="str"/>
      <x:c r="I1136" s="7" t="str"/>
      <x:c r="J1136" s="7" t="str">
        <x:v>OPEN</x:v>
      </x:c>
    </x:row>
    <x:row r="1137" ht="36" customHeight="1">
      <x:c r="B1137" s="7" t="str">
        <x:v>RAE-E-36-HP-11</x:v>
      </x:c>
      <x:c r="C1137" s="7" t="str">
        <x:v>RAE-E-36</x:v>
      </x:c>
      <x:c r="D1137" s="7" t="str">
        <x:v>RFP-C1</x:v>
      </x:c>
      <x:c r="E1137" s="7" t="str">
        <x:v>HP-11</x:v>
      </x:c>
      <x:c r="F1137" s="7" t="str">
        <x:v>containment</x:v>
      </x:c>
      <x:c r="G1137" s="7" t="str">
        <x:v>state</x:v>
      </x:c>
      <x:c r="H1137" s="10" t="str"/>
      <x:c r="I1137" s="7" t="str"/>
      <x:c r="J1137" s="7" t="str">
        <x:v>OPEN</x:v>
      </x:c>
    </x:row>
    <x:row r="1138" ht="36" customHeight="1">
      <x:c r="B1138" s="7" t="str">
        <x:v>RAE-E-36-HP-12</x:v>
      </x:c>
      <x:c r="C1138" s="7" t="str">
        <x:v>RAE-E-36</x:v>
      </x:c>
      <x:c r="D1138" s="7" t="str">
        <x:v>RFP-C1</x:v>
      </x:c>
      <x:c r="E1138" s="7" t="str">
        <x:v>HP-12</x:v>
      </x:c>
      <x:c r="F1138" s="7" t="str">
        <x:v>containment</x:v>
      </x:c>
      <x:c r="G1138" s="7" t="str">
        <x:v>authority</x:v>
      </x:c>
      <x:c r="H1138" s="10" t="str"/>
      <x:c r="I1138" s="7" t="str"/>
      <x:c r="J1138" s="7" t="str">
        <x:v>OPEN</x:v>
      </x:c>
    </x:row>
    <x:row r="1139" ht="36" customHeight="1">
      <x:c r="B1139" s="7" t="str">
        <x:v>RAE-E-36-HP-13</x:v>
      </x:c>
      <x:c r="C1139" s="7" t="str">
        <x:v>RAE-E-36</x:v>
      </x:c>
      <x:c r="D1139" s="7" t="str">
        <x:v>RFP-C1</x:v>
      </x:c>
      <x:c r="E1139" s="7" t="str">
        <x:v>HP-13</x:v>
      </x:c>
      <x:c r="F1139" s="7" t="str">
        <x:v>water</x:v>
      </x:c>
      <x:c r="G1139" s="7" t="str">
        <x:v>identity</x:v>
      </x:c>
      <x:c r="H1139" s="10" t="str"/>
      <x:c r="I1139" s="7" t="str"/>
      <x:c r="J1139" s="7" t="str">
        <x:v>OPEN</x:v>
      </x:c>
    </x:row>
    <x:row r="1140" ht="36" customHeight="1">
      <x:c r="B1140" s="7" t="str">
        <x:v>RAE-E-36-HP-14</x:v>
      </x:c>
      <x:c r="C1140" s="7" t="str">
        <x:v>RAE-E-36</x:v>
      </x:c>
      <x:c r="D1140" s="7" t="str">
        <x:v>RFP-C1</x:v>
      </x:c>
      <x:c r="E1140" s="7" t="str">
        <x:v>HP-14</x:v>
      </x:c>
      <x:c r="F1140" s="7" t="str">
        <x:v>water</x:v>
      </x:c>
      <x:c r="G1140" s="7" t="str">
        <x:v>capacity</x:v>
      </x:c>
      <x:c r="H1140" s="10" t="str"/>
      <x:c r="I1140" s="7" t="str"/>
      <x:c r="J1140" s="7" t="str">
        <x:v>OPEN</x:v>
      </x:c>
    </x:row>
    <x:row r="1141" ht="36" customHeight="1">
      <x:c r="B1141" s="7" t="str">
        <x:v>RAE-E-36-HP-15</x:v>
      </x:c>
      <x:c r="C1141" s="7" t="str">
        <x:v>RAE-E-36</x:v>
      </x:c>
      <x:c r="D1141" s="7" t="str">
        <x:v>RFP-C1</x:v>
      </x:c>
      <x:c r="E1141" s="7" t="str">
        <x:v>HP-15</x:v>
      </x:c>
      <x:c r="F1141" s="7" t="str">
        <x:v>water</x:v>
      </x:c>
      <x:c r="G1141" s="7" t="str">
        <x:v>state</x:v>
      </x:c>
      <x:c r="H1141" s="10" t="str"/>
      <x:c r="I1141" s="7" t="str"/>
      <x:c r="J1141" s="7" t="str">
        <x:v>OPEN</x:v>
      </x:c>
    </x:row>
    <x:row r="1142" ht="36" customHeight="1">
      <x:c r="B1142" s="7" t="str">
        <x:v>RAE-E-36-HP-16</x:v>
      </x:c>
      <x:c r="C1142" s="7" t="str">
        <x:v>RAE-E-36</x:v>
      </x:c>
      <x:c r="D1142" s="7" t="str">
        <x:v>RFP-C1</x:v>
      </x:c>
      <x:c r="E1142" s="7" t="str">
        <x:v>HP-16</x:v>
      </x:c>
      <x:c r="F1142" s="7" t="str">
        <x:v>water</x:v>
      </x:c>
      <x:c r="G1142" s="7" t="str">
        <x:v>authority</x:v>
      </x:c>
      <x:c r="H1142" s="10" t="str"/>
      <x:c r="I1142" s="7" t="str"/>
      <x:c r="J1142" s="7" t="str">
        <x:v>OPEN</x:v>
      </x:c>
    </x:row>
    <x:row r="1143" ht="36" customHeight="1">
      <x:c r="B1143" s="7" t="str">
        <x:v>RAE-E-36-HP-17</x:v>
      </x:c>
      <x:c r="C1143" s="7" t="str">
        <x:v>RAE-E-36</x:v>
      </x:c>
      <x:c r="D1143" s="7" t="str">
        <x:v>RFP-C1</x:v>
      </x:c>
      <x:c r="E1143" s="7" t="str">
        <x:v>HP-17</x:v>
      </x:c>
      <x:c r="F1143" s="7" t="str">
        <x:v>safeing</x:v>
      </x:c>
      <x:c r="G1143" s="7" t="str">
        <x:v>identity</x:v>
      </x:c>
      <x:c r="H1143" s="10" t="str"/>
      <x:c r="I1143" s="7" t="str"/>
      <x:c r="J1143" s="7" t="str">
        <x:v>OPEN</x:v>
      </x:c>
    </x:row>
    <x:row r="1144" ht="36" customHeight="1">
      <x:c r="B1144" s="7" t="str">
        <x:v>RAE-E-36-HP-18</x:v>
      </x:c>
      <x:c r="C1144" s="7" t="str">
        <x:v>RAE-E-36</x:v>
      </x:c>
      <x:c r="D1144" s="7" t="str">
        <x:v>RFP-C1</x:v>
      </x:c>
      <x:c r="E1144" s="7" t="str">
        <x:v>HP-18</x:v>
      </x:c>
      <x:c r="F1144" s="7" t="str">
        <x:v>safeing</x:v>
      </x:c>
      <x:c r="G1144" s="7" t="str">
        <x:v>capacity</x:v>
      </x:c>
      <x:c r="H1144" s="10" t="str"/>
      <x:c r="I1144" s="7" t="str"/>
      <x:c r="J1144" s="7" t="str">
        <x:v>OPEN</x:v>
      </x:c>
    </x:row>
    <x:row r="1145" ht="36" customHeight="1">
      <x:c r="B1145" s="7" t="str">
        <x:v>RAE-E-36-HP-19</x:v>
      </x:c>
      <x:c r="C1145" s="7" t="str">
        <x:v>RAE-E-36</x:v>
      </x:c>
      <x:c r="D1145" s="7" t="str">
        <x:v>RFP-C1</x:v>
      </x:c>
      <x:c r="E1145" s="7" t="str">
        <x:v>HP-19</x:v>
      </x:c>
      <x:c r="F1145" s="7" t="str">
        <x:v>safeing</x:v>
      </x:c>
      <x:c r="G1145" s="7" t="str">
        <x:v>state</x:v>
      </x:c>
      <x:c r="H1145" s="10" t="str"/>
      <x:c r="I1145" s="7" t="str"/>
      <x:c r="J1145" s="7" t="str">
        <x:v>OPEN</x:v>
      </x:c>
    </x:row>
    <x:row r="1146" ht="36" customHeight="1">
      <x:c r="B1146" s="7" t="str">
        <x:v>RAE-E-36-HP-20</x:v>
      </x:c>
      <x:c r="C1146" s="7" t="str">
        <x:v>RAE-E-36</x:v>
      </x:c>
      <x:c r="D1146" s="7" t="str">
        <x:v>RFP-C1</x:v>
      </x:c>
      <x:c r="E1146" s="7" t="str">
        <x:v>HP-20</x:v>
      </x:c>
      <x:c r="F1146" s="7" t="str">
        <x:v>safeing</x:v>
      </x:c>
      <x:c r="G1146" s="7" t="str">
        <x:v>authority</x:v>
      </x:c>
      <x:c r="H1146" s="10" t="str"/>
      <x:c r="I1146" s="7" t="str"/>
      <x:c r="J1146" s="7" t="str">
        <x:v>OPEN</x:v>
      </x:c>
    </x:row>
    <x:row r="1147" ht="36" customHeight="1">
      <x:c r="B1147" s="7" t="str">
        <x:v>RAE-E-36-HP-21</x:v>
      </x:c>
      <x:c r="C1147" s="7" t="str">
        <x:v>RAE-E-36</x:v>
      </x:c>
      <x:c r="D1147" s="7" t="str">
        <x:v>RFP-C1</x:v>
      </x:c>
      <x:c r="E1147" s="7" t="str">
        <x:v>HP-21</x:v>
      </x:c>
      <x:c r="F1147" s="7" t="str">
        <x:v>evidence</x:v>
      </x:c>
      <x:c r="G1147" s="7" t="str">
        <x:v>identity</x:v>
      </x:c>
      <x:c r="H1147" s="10" t="str"/>
      <x:c r="I1147" s="7" t="str"/>
      <x:c r="J1147" s="7" t="str">
        <x:v>OPEN</x:v>
      </x:c>
    </x:row>
    <x:row r="1148" ht="36" customHeight="1">
      <x:c r="B1148" s="7" t="str">
        <x:v>RAE-E-36-HP-22</x:v>
      </x:c>
      <x:c r="C1148" s="7" t="str">
        <x:v>RAE-E-36</x:v>
      </x:c>
      <x:c r="D1148" s="7" t="str">
        <x:v>RFP-C1</x:v>
      </x:c>
      <x:c r="E1148" s="7" t="str">
        <x:v>HP-22</x:v>
      </x:c>
      <x:c r="F1148" s="7" t="str">
        <x:v>evidence</x:v>
      </x:c>
      <x:c r="G1148" s="7" t="str">
        <x:v>capacity</x:v>
      </x:c>
      <x:c r="H1148" s="10" t="str"/>
      <x:c r="I1148" s="7" t="str"/>
      <x:c r="J1148" s="7" t="str">
        <x:v>OPEN</x:v>
      </x:c>
    </x:row>
    <x:row r="1149" ht="36" customHeight="1">
      <x:c r="B1149" s="7" t="str">
        <x:v>RAE-E-36-HP-23</x:v>
      </x:c>
      <x:c r="C1149" s="7" t="str">
        <x:v>RAE-E-36</x:v>
      </x:c>
      <x:c r="D1149" s="7" t="str">
        <x:v>RFP-C1</x:v>
      </x:c>
      <x:c r="E1149" s="7" t="str">
        <x:v>HP-23</x:v>
      </x:c>
      <x:c r="F1149" s="7" t="str">
        <x:v>evidence</x:v>
      </x:c>
      <x:c r="G1149" s="7" t="str">
        <x:v>state</x:v>
      </x:c>
      <x:c r="H1149" s="10" t="str"/>
      <x:c r="I1149" s="7" t="str"/>
      <x:c r="J1149" s="7" t="str">
        <x:v>OPEN</x:v>
      </x:c>
    </x:row>
    <x:row r="1150" ht="36" customHeight="1">
      <x:c r="B1150" s="7" t="str">
        <x:v>RAE-E-36-HP-24</x:v>
      </x:c>
      <x:c r="C1150" s="7" t="str">
        <x:v>RAE-E-36</x:v>
      </x:c>
      <x:c r="D1150" s="7" t="str">
        <x:v>RFP-C1</x:v>
      </x:c>
      <x:c r="E1150" s="7" t="str">
        <x:v>HP-24</x:v>
      </x:c>
      <x:c r="F1150" s="7" t="str">
        <x:v>evidence</x:v>
      </x:c>
      <x:c r="G1150" s="7" t="str">
        <x:v>authority</x:v>
      </x:c>
      <x:c r="H1150" s="10" t="str"/>
      <x:c r="I1150" s="7" t="str"/>
      <x:c r="J1150" s="7" t="str">
        <x:v>OPEN</x:v>
      </x:c>
    </x:row>
    <x:row r="1151" ht="36" customHeight="1">
      <x:c r="B1151" s="7" t="str">
        <x:v>RAE-E-36-HP-25</x:v>
      </x:c>
      <x:c r="C1151" s="7" t="str">
        <x:v>RAE-E-36</x:v>
      </x:c>
      <x:c r="D1151" s="7" t="str">
        <x:v>RFP-C1</x:v>
      </x:c>
      <x:c r="E1151" s="7" t="str">
        <x:v>HP-25</x:v>
      </x:c>
      <x:c r="F1151" s="7" t="str">
        <x:v>environment</x:v>
      </x:c>
      <x:c r="G1151" s="7" t="str">
        <x:v>identity</x:v>
      </x:c>
      <x:c r="H1151" s="10" t="str"/>
      <x:c r="I1151" s="7" t="str"/>
      <x:c r="J1151" s="7" t="str">
        <x:v>OPEN</x:v>
      </x:c>
    </x:row>
    <x:row r="1152" ht="36" customHeight="1">
      <x:c r="B1152" s="7" t="str">
        <x:v>RAE-E-36-HP-26</x:v>
      </x:c>
      <x:c r="C1152" s="7" t="str">
        <x:v>RAE-E-36</x:v>
      </x:c>
      <x:c r="D1152" s="7" t="str">
        <x:v>RFP-C1</x:v>
      </x:c>
      <x:c r="E1152" s="7" t="str">
        <x:v>HP-26</x:v>
      </x:c>
      <x:c r="F1152" s="7" t="str">
        <x:v>environment</x:v>
      </x:c>
      <x:c r="G1152" s="7" t="str">
        <x:v>capacity</x:v>
      </x:c>
      <x:c r="H1152" s="10" t="str"/>
      <x:c r="I1152" s="7" t="str"/>
      <x:c r="J1152" s="7" t="str">
        <x:v>OPEN</x:v>
      </x:c>
    </x:row>
    <x:row r="1153" ht="36" customHeight="1">
      <x:c r="B1153" s="7" t="str">
        <x:v>RAE-E-36-HP-27</x:v>
      </x:c>
      <x:c r="C1153" s="7" t="str">
        <x:v>RAE-E-36</x:v>
      </x:c>
      <x:c r="D1153" s="7" t="str">
        <x:v>RFP-C1</x:v>
      </x:c>
      <x:c r="E1153" s="7" t="str">
        <x:v>HP-27</x:v>
      </x:c>
      <x:c r="F1153" s="7" t="str">
        <x:v>environment</x:v>
      </x:c>
      <x:c r="G1153" s="7" t="str">
        <x:v>state</x:v>
      </x:c>
      <x:c r="H1153" s="10" t="str"/>
      <x:c r="I1153" s="7" t="str"/>
      <x:c r="J1153" s="7" t="str">
        <x:v>OPEN</x:v>
      </x:c>
    </x:row>
    <x:row r="1154" ht="36" customHeight="1">
      <x:c r="B1154" s="7" t="str">
        <x:v>RAE-E-36-HP-28</x:v>
      </x:c>
      <x:c r="C1154" s="7" t="str">
        <x:v>RAE-E-36</x:v>
      </x:c>
      <x:c r="D1154" s="7" t="str">
        <x:v>RFP-C1</x:v>
      </x:c>
      <x:c r="E1154" s="7" t="str">
        <x:v>HP-28</x:v>
      </x:c>
      <x:c r="F1154" s="7" t="str">
        <x:v>environment</x:v>
      </x:c>
      <x:c r="G1154" s="7" t="str">
        <x:v>authority</x:v>
      </x:c>
      <x:c r="H1154" s="10" t="str"/>
      <x:c r="I1154" s="7" t="str"/>
      <x:c r="J1154" s="7" t="str">
        <x:v>OPEN</x:v>
      </x:c>
    </x:row>
    <x:row r="1155" ht="36" customHeight="1">
      <x:c r="B1155" s="7" t="str">
        <x:v>RAE-E-36-HP-29</x:v>
      </x:c>
      <x:c r="C1155" s="7" t="str">
        <x:v>RAE-E-36</x:v>
      </x:c>
      <x:c r="D1155" s="7" t="str">
        <x:v>RFP-C1</x:v>
      </x:c>
      <x:c r="E1155" s="7" t="str">
        <x:v>HP-29</x:v>
      </x:c>
      <x:c r="F1155" s="7" t="str">
        <x:v>authority</x:v>
      </x:c>
      <x:c r="G1155" s="7" t="str">
        <x:v>identity</x:v>
      </x:c>
      <x:c r="H1155" s="10" t="str"/>
      <x:c r="I1155" s="7" t="str"/>
      <x:c r="J1155" s="7" t="str">
        <x:v>OPEN</x:v>
      </x:c>
    </x:row>
    <x:row r="1156" ht="36" customHeight="1">
      <x:c r="B1156" s="7" t="str">
        <x:v>RAE-E-36-HP-30</x:v>
      </x:c>
      <x:c r="C1156" s="7" t="str">
        <x:v>RAE-E-36</x:v>
      </x:c>
      <x:c r="D1156" s="7" t="str">
        <x:v>RFP-C1</x:v>
      </x:c>
      <x:c r="E1156" s="7" t="str">
        <x:v>HP-30</x:v>
      </x:c>
      <x:c r="F1156" s="7" t="str">
        <x:v>authority</x:v>
      </x:c>
      <x:c r="G1156" s="7" t="str">
        <x:v>capacity</x:v>
      </x:c>
      <x:c r="H1156" s="10" t="str"/>
      <x:c r="I1156" s="7" t="str"/>
      <x:c r="J1156" s="7" t="str">
        <x:v>OPEN</x:v>
      </x:c>
    </x:row>
    <x:row r="1157" ht="36" customHeight="1">
      <x:c r="B1157" s="7" t="str">
        <x:v>RAE-E-36-HP-31</x:v>
      </x:c>
      <x:c r="C1157" s="7" t="str">
        <x:v>RAE-E-36</x:v>
      </x:c>
      <x:c r="D1157" s="7" t="str">
        <x:v>RFP-C1</x:v>
      </x:c>
      <x:c r="E1157" s="7" t="str">
        <x:v>HP-31</x:v>
      </x:c>
      <x:c r="F1157" s="7" t="str">
        <x:v>authority</x:v>
      </x:c>
      <x:c r="G1157" s="7" t="str">
        <x:v>state</x:v>
      </x:c>
      <x:c r="H1157" s="10" t="str"/>
      <x:c r="I1157" s="7" t="str"/>
      <x:c r="J1157" s="7" t="str">
        <x:v>OPEN</x:v>
      </x:c>
    </x:row>
    <x:row r="1158" ht="36" customHeight="1">
      <x:c r="B1158" s="7" t="str">
        <x:v>RAE-E-36-HP-32</x:v>
      </x:c>
      <x:c r="C1158" s="7" t="str">
        <x:v>RAE-E-36</x:v>
      </x:c>
      <x:c r="D1158" s="7" t="str">
        <x:v>RFP-C1</x:v>
      </x:c>
      <x:c r="E1158" s="7" t="str">
        <x:v>HP-32</x:v>
      </x:c>
      <x:c r="F1158" s="7" t="str">
        <x:v>authority</x:v>
      </x:c>
      <x:c r="G1158" s="7" t="str">
        <x:v>authority</x:v>
      </x:c>
      <x:c r="H1158" s="10" t="str"/>
      <x:c r="I1158" s="7" t="str"/>
      <x:c r="J1158" s="7" t="str">
        <x:v>OPEN</x:v>
      </x:c>
    </x:row>
    <x:row r="1159" ht="36" customHeight="1">
      <x:c r="B1159" s="7" t="str">
        <x:v>RAE-E-37-HP-01</x:v>
      </x:c>
      <x:c r="C1159" s="7" t="str">
        <x:v>RAE-E-37</x:v>
      </x:c>
      <x:c r="D1159" s="7" t="str">
        <x:v>RFP-C1</x:v>
      </x:c>
      <x:c r="E1159" s="7" t="str">
        <x:v>HP-01</x:v>
      </x:c>
      <x:c r="F1159" s="7" t="str">
        <x:v>configuration</x:v>
      </x:c>
      <x:c r="G1159" s="7" t="str">
        <x:v>identity</x:v>
      </x:c>
      <x:c r="H1159" s="10" t="str"/>
      <x:c r="I1159" s="7" t="str"/>
      <x:c r="J1159" s="7" t="str">
        <x:v>OPEN</x:v>
      </x:c>
    </x:row>
    <x:row r="1160" ht="36" customHeight="1">
      <x:c r="B1160" s="7" t="str">
        <x:v>RAE-E-37-HP-02</x:v>
      </x:c>
      <x:c r="C1160" s="7" t="str">
        <x:v>RAE-E-37</x:v>
      </x:c>
      <x:c r="D1160" s="7" t="str">
        <x:v>RFP-C1</x:v>
      </x:c>
      <x:c r="E1160" s="7" t="str">
        <x:v>HP-02</x:v>
      </x:c>
      <x:c r="F1160" s="7" t="str">
        <x:v>configuration</x:v>
      </x:c>
      <x:c r="G1160" s="7" t="str">
        <x:v>capacity</x:v>
      </x:c>
      <x:c r="H1160" s="10" t="str"/>
      <x:c r="I1160" s="7" t="str"/>
      <x:c r="J1160" s="7" t="str">
        <x:v>OPEN</x:v>
      </x:c>
    </x:row>
    <x:row r="1161" ht="36" customHeight="1">
      <x:c r="B1161" s="7" t="str">
        <x:v>RAE-E-37-HP-03</x:v>
      </x:c>
      <x:c r="C1161" s="7" t="str">
        <x:v>RAE-E-37</x:v>
      </x:c>
      <x:c r="D1161" s="7" t="str">
        <x:v>RFP-C1</x:v>
      </x:c>
      <x:c r="E1161" s="7" t="str">
        <x:v>HP-03</x:v>
      </x:c>
      <x:c r="F1161" s="7" t="str">
        <x:v>configuration</x:v>
      </x:c>
      <x:c r="G1161" s="7" t="str">
        <x:v>state</x:v>
      </x:c>
      <x:c r="H1161" s="10" t="str"/>
      <x:c r="I1161" s="7" t="str"/>
      <x:c r="J1161" s="7" t="str">
        <x:v>OPEN</x:v>
      </x:c>
    </x:row>
    <x:row r="1162" ht="36" customHeight="1">
      <x:c r="B1162" s="7" t="str">
        <x:v>RAE-E-37-HP-04</x:v>
      </x:c>
      <x:c r="C1162" s="7" t="str">
        <x:v>RAE-E-37</x:v>
      </x:c>
      <x:c r="D1162" s="7" t="str">
        <x:v>RFP-C1</x:v>
      </x:c>
      <x:c r="E1162" s="7" t="str">
        <x:v>HP-04</x:v>
      </x:c>
      <x:c r="F1162" s="7" t="str">
        <x:v>configuration</x:v>
      </x:c>
      <x:c r="G1162" s="7" t="str">
        <x:v>authority</x:v>
      </x:c>
      <x:c r="H1162" s="10" t="str"/>
      <x:c r="I1162" s="7" t="str"/>
      <x:c r="J1162" s="7" t="str">
        <x:v>OPEN</x:v>
      </x:c>
    </x:row>
    <x:row r="1163" ht="36" customHeight="1">
      <x:c r="B1163" s="7" t="str">
        <x:v>RAE-E-37-HP-05</x:v>
      </x:c>
      <x:c r="C1163" s="7" t="str">
        <x:v>RAE-E-37</x:v>
      </x:c>
      <x:c r="D1163" s="7" t="str">
        <x:v>RFP-C1</x:v>
      </x:c>
      <x:c r="E1163" s="7" t="str">
        <x:v>HP-05</x:v>
      </x:c>
      <x:c r="F1163" s="7" t="str">
        <x:v>source</x:v>
      </x:c>
      <x:c r="G1163" s="7" t="str">
        <x:v>identity</x:v>
      </x:c>
      <x:c r="H1163" s="10" t="str"/>
      <x:c r="I1163" s="7" t="str"/>
      <x:c r="J1163" s="7" t="str">
        <x:v>OPEN</x:v>
      </x:c>
    </x:row>
    <x:row r="1164" ht="36" customHeight="1">
      <x:c r="B1164" s="7" t="str">
        <x:v>RAE-E-37-HP-06</x:v>
      </x:c>
      <x:c r="C1164" s="7" t="str">
        <x:v>RAE-E-37</x:v>
      </x:c>
      <x:c r="D1164" s="7" t="str">
        <x:v>RFP-C1</x:v>
      </x:c>
      <x:c r="E1164" s="7" t="str">
        <x:v>HP-06</x:v>
      </x:c>
      <x:c r="F1164" s="7" t="str">
        <x:v>source</x:v>
      </x:c>
      <x:c r="G1164" s="7" t="str">
        <x:v>capacity</x:v>
      </x:c>
      <x:c r="H1164" s="10" t="str"/>
      <x:c r="I1164" s="7" t="str"/>
      <x:c r="J1164" s="7" t="str">
        <x:v>OPEN</x:v>
      </x:c>
    </x:row>
    <x:row r="1165" ht="36" customHeight="1">
      <x:c r="B1165" s="7" t="str">
        <x:v>RAE-E-37-HP-07</x:v>
      </x:c>
      <x:c r="C1165" s="7" t="str">
        <x:v>RAE-E-37</x:v>
      </x:c>
      <x:c r="D1165" s="7" t="str">
        <x:v>RFP-C1</x:v>
      </x:c>
      <x:c r="E1165" s="7" t="str">
        <x:v>HP-07</x:v>
      </x:c>
      <x:c r="F1165" s="7" t="str">
        <x:v>source</x:v>
      </x:c>
      <x:c r="G1165" s="7" t="str">
        <x:v>state</x:v>
      </x:c>
      <x:c r="H1165" s="10" t="str"/>
      <x:c r="I1165" s="7" t="str"/>
      <x:c r="J1165" s="7" t="str">
        <x:v>OPEN</x:v>
      </x:c>
    </x:row>
    <x:row r="1166" ht="36" customHeight="1">
      <x:c r="B1166" s="7" t="str">
        <x:v>RAE-E-37-HP-08</x:v>
      </x:c>
      <x:c r="C1166" s="7" t="str">
        <x:v>RAE-E-37</x:v>
      </x:c>
      <x:c r="D1166" s="7" t="str">
        <x:v>RFP-C1</x:v>
      </x:c>
      <x:c r="E1166" s="7" t="str">
        <x:v>HP-08</x:v>
      </x:c>
      <x:c r="F1166" s="7" t="str">
        <x:v>source</x:v>
      </x:c>
      <x:c r="G1166" s="7" t="str">
        <x:v>authority</x:v>
      </x:c>
      <x:c r="H1166" s="10" t="str"/>
      <x:c r="I1166" s="7" t="str"/>
      <x:c r="J1166" s="7" t="str">
        <x:v>OPEN</x:v>
      </x:c>
    </x:row>
    <x:row r="1167" ht="36" customHeight="1">
      <x:c r="B1167" s="7" t="str">
        <x:v>RAE-E-37-HP-09</x:v>
      </x:c>
      <x:c r="C1167" s="7" t="str">
        <x:v>RAE-E-37</x:v>
      </x:c>
      <x:c r="D1167" s="7" t="str">
        <x:v>RFP-C1</x:v>
      </x:c>
      <x:c r="E1167" s="7" t="str">
        <x:v>HP-09</x:v>
      </x:c>
      <x:c r="F1167" s="7" t="str">
        <x:v>containment</x:v>
      </x:c>
      <x:c r="G1167" s="7" t="str">
        <x:v>identity</x:v>
      </x:c>
      <x:c r="H1167" s="10" t="str"/>
      <x:c r="I1167" s="7" t="str"/>
      <x:c r="J1167" s="7" t="str">
        <x:v>OPEN</x:v>
      </x:c>
    </x:row>
    <x:row r="1168" ht="36" customHeight="1">
      <x:c r="B1168" s="7" t="str">
        <x:v>RAE-E-37-HP-10</x:v>
      </x:c>
      <x:c r="C1168" s="7" t="str">
        <x:v>RAE-E-37</x:v>
      </x:c>
      <x:c r="D1168" s="7" t="str">
        <x:v>RFP-C1</x:v>
      </x:c>
      <x:c r="E1168" s="7" t="str">
        <x:v>HP-10</x:v>
      </x:c>
      <x:c r="F1168" s="7" t="str">
        <x:v>containment</x:v>
      </x:c>
      <x:c r="G1168" s="7" t="str">
        <x:v>capacity</x:v>
      </x:c>
      <x:c r="H1168" s="10" t="str"/>
      <x:c r="I1168" s="7" t="str"/>
      <x:c r="J1168" s="7" t="str">
        <x:v>OPEN</x:v>
      </x:c>
    </x:row>
    <x:row r="1169" ht="36" customHeight="1">
      <x:c r="B1169" s="7" t="str">
        <x:v>RAE-E-37-HP-11</x:v>
      </x:c>
      <x:c r="C1169" s="7" t="str">
        <x:v>RAE-E-37</x:v>
      </x:c>
      <x:c r="D1169" s="7" t="str">
        <x:v>RFP-C1</x:v>
      </x:c>
      <x:c r="E1169" s="7" t="str">
        <x:v>HP-11</x:v>
      </x:c>
      <x:c r="F1169" s="7" t="str">
        <x:v>containment</x:v>
      </x:c>
      <x:c r="G1169" s="7" t="str">
        <x:v>state</x:v>
      </x:c>
      <x:c r="H1169" s="10" t="str"/>
      <x:c r="I1169" s="7" t="str"/>
      <x:c r="J1169" s="7" t="str">
        <x:v>OPEN</x:v>
      </x:c>
    </x:row>
    <x:row r="1170" ht="36" customHeight="1">
      <x:c r="B1170" s="7" t="str">
        <x:v>RAE-E-37-HP-12</x:v>
      </x:c>
      <x:c r="C1170" s="7" t="str">
        <x:v>RAE-E-37</x:v>
      </x:c>
      <x:c r="D1170" s="7" t="str">
        <x:v>RFP-C1</x:v>
      </x:c>
      <x:c r="E1170" s="7" t="str">
        <x:v>HP-12</x:v>
      </x:c>
      <x:c r="F1170" s="7" t="str">
        <x:v>containment</x:v>
      </x:c>
      <x:c r="G1170" s="7" t="str">
        <x:v>authority</x:v>
      </x:c>
      <x:c r="H1170" s="10" t="str"/>
      <x:c r="I1170" s="7" t="str"/>
      <x:c r="J1170" s="7" t="str">
        <x:v>OPEN</x:v>
      </x:c>
    </x:row>
    <x:row r="1171" ht="36" customHeight="1">
      <x:c r="B1171" s="7" t="str">
        <x:v>RAE-E-37-HP-13</x:v>
      </x:c>
      <x:c r="C1171" s="7" t="str">
        <x:v>RAE-E-37</x:v>
      </x:c>
      <x:c r="D1171" s="7" t="str">
        <x:v>RFP-C1</x:v>
      </x:c>
      <x:c r="E1171" s="7" t="str">
        <x:v>HP-13</x:v>
      </x:c>
      <x:c r="F1171" s="7" t="str">
        <x:v>water</x:v>
      </x:c>
      <x:c r="G1171" s="7" t="str">
        <x:v>identity</x:v>
      </x:c>
      <x:c r="H1171" s="10" t="str"/>
      <x:c r="I1171" s="7" t="str"/>
      <x:c r="J1171" s="7" t="str">
        <x:v>OPEN</x:v>
      </x:c>
    </x:row>
    <x:row r="1172" ht="36" customHeight="1">
      <x:c r="B1172" s="7" t="str">
        <x:v>RAE-E-37-HP-14</x:v>
      </x:c>
      <x:c r="C1172" s="7" t="str">
        <x:v>RAE-E-37</x:v>
      </x:c>
      <x:c r="D1172" s="7" t="str">
        <x:v>RFP-C1</x:v>
      </x:c>
      <x:c r="E1172" s="7" t="str">
        <x:v>HP-14</x:v>
      </x:c>
      <x:c r="F1172" s="7" t="str">
        <x:v>water</x:v>
      </x:c>
      <x:c r="G1172" s="7" t="str">
        <x:v>capacity</x:v>
      </x:c>
      <x:c r="H1172" s="10" t="str"/>
      <x:c r="I1172" s="7" t="str"/>
      <x:c r="J1172" s="7" t="str">
        <x:v>OPEN</x:v>
      </x:c>
    </x:row>
    <x:row r="1173" ht="36" customHeight="1">
      <x:c r="B1173" s="7" t="str">
        <x:v>RAE-E-37-HP-15</x:v>
      </x:c>
      <x:c r="C1173" s="7" t="str">
        <x:v>RAE-E-37</x:v>
      </x:c>
      <x:c r="D1173" s="7" t="str">
        <x:v>RFP-C1</x:v>
      </x:c>
      <x:c r="E1173" s="7" t="str">
        <x:v>HP-15</x:v>
      </x:c>
      <x:c r="F1173" s="7" t="str">
        <x:v>water</x:v>
      </x:c>
      <x:c r="G1173" s="7" t="str">
        <x:v>state</x:v>
      </x:c>
      <x:c r="H1173" s="10" t="str"/>
      <x:c r="I1173" s="7" t="str"/>
      <x:c r="J1173" s="7" t="str">
        <x:v>OPEN</x:v>
      </x:c>
    </x:row>
    <x:row r="1174" ht="36" customHeight="1">
      <x:c r="B1174" s="7" t="str">
        <x:v>RAE-E-37-HP-16</x:v>
      </x:c>
      <x:c r="C1174" s="7" t="str">
        <x:v>RAE-E-37</x:v>
      </x:c>
      <x:c r="D1174" s="7" t="str">
        <x:v>RFP-C1</x:v>
      </x:c>
      <x:c r="E1174" s="7" t="str">
        <x:v>HP-16</x:v>
      </x:c>
      <x:c r="F1174" s="7" t="str">
        <x:v>water</x:v>
      </x:c>
      <x:c r="G1174" s="7" t="str">
        <x:v>authority</x:v>
      </x:c>
      <x:c r="H1174" s="10" t="str"/>
      <x:c r="I1174" s="7" t="str"/>
      <x:c r="J1174" s="7" t="str">
        <x:v>OPEN</x:v>
      </x:c>
    </x:row>
    <x:row r="1175" ht="36" customHeight="1">
      <x:c r="B1175" s="7" t="str">
        <x:v>RAE-E-37-HP-17</x:v>
      </x:c>
      <x:c r="C1175" s="7" t="str">
        <x:v>RAE-E-37</x:v>
      </x:c>
      <x:c r="D1175" s="7" t="str">
        <x:v>RFP-C1</x:v>
      </x:c>
      <x:c r="E1175" s="7" t="str">
        <x:v>HP-17</x:v>
      </x:c>
      <x:c r="F1175" s="7" t="str">
        <x:v>safeing</x:v>
      </x:c>
      <x:c r="G1175" s="7" t="str">
        <x:v>identity</x:v>
      </x:c>
      <x:c r="H1175" s="10" t="str"/>
      <x:c r="I1175" s="7" t="str"/>
      <x:c r="J1175" s="7" t="str">
        <x:v>OPEN</x:v>
      </x:c>
    </x:row>
    <x:row r="1176" ht="36" customHeight="1">
      <x:c r="B1176" s="7" t="str">
        <x:v>RAE-E-37-HP-18</x:v>
      </x:c>
      <x:c r="C1176" s="7" t="str">
        <x:v>RAE-E-37</x:v>
      </x:c>
      <x:c r="D1176" s="7" t="str">
        <x:v>RFP-C1</x:v>
      </x:c>
      <x:c r="E1176" s="7" t="str">
        <x:v>HP-18</x:v>
      </x:c>
      <x:c r="F1176" s="7" t="str">
        <x:v>safeing</x:v>
      </x:c>
      <x:c r="G1176" s="7" t="str">
        <x:v>capacity</x:v>
      </x:c>
      <x:c r="H1176" s="10" t="str"/>
      <x:c r="I1176" s="7" t="str"/>
      <x:c r="J1176" s="7" t="str">
        <x:v>OPEN</x:v>
      </x:c>
    </x:row>
    <x:row r="1177" ht="36" customHeight="1">
      <x:c r="B1177" s="7" t="str">
        <x:v>RAE-E-37-HP-19</x:v>
      </x:c>
      <x:c r="C1177" s="7" t="str">
        <x:v>RAE-E-37</x:v>
      </x:c>
      <x:c r="D1177" s="7" t="str">
        <x:v>RFP-C1</x:v>
      </x:c>
      <x:c r="E1177" s="7" t="str">
        <x:v>HP-19</x:v>
      </x:c>
      <x:c r="F1177" s="7" t="str">
        <x:v>safeing</x:v>
      </x:c>
      <x:c r="G1177" s="7" t="str">
        <x:v>state</x:v>
      </x:c>
      <x:c r="H1177" s="10" t="str"/>
      <x:c r="I1177" s="7" t="str"/>
      <x:c r="J1177" s="7" t="str">
        <x:v>OPEN</x:v>
      </x:c>
    </x:row>
    <x:row r="1178" ht="36" customHeight="1">
      <x:c r="B1178" s="7" t="str">
        <x:v>RAE-E-37-HP-20</x:v>
      </x:c>
      <x:c r="C1178" s="7" t="str">
        <x:v>RAE-E-37</x:v>
      </x:c>
      <x:c r="D1178" s="7" t="str">
        <x:v>RFP-C1</x:v>
      </x:c>
      <x:c r="E1178" s="7" t="str">
        <x:v>HP-20</x:v>
      </x:c>
      <x:c r="F1178" s="7" t="str">
        <x:v>safeing</x:v>
      </x:c>
      <x:c r="G1178" s="7" t="str">
        <x:v>authority</x:v>
      </x:c>
      <x:c r="H1178" s="10" t="str"/>
      <x:c r="I1178" s="7" t="str"/>
      <x:c r="J1178" s="7" t="str">
        <x:v>OPEN</x:v>
      </x:c>
    </x:row>
    <x:row r="1179" ht="36" customHeight="1">
      <x:c r="B1179" s="7" t="str">
        <x:v>RAE-E-37-HP-21</x:v>
      </x:c>
      <x:c r="C1179" s="7" t="str">
        <x:v>RAE-E-37</x:v>
      </x:c>
      <x:c r="D1179" s="7" t="str">
        <x:v>RFP-C1</x:v>
      </x:c>
      <x:c r="E1179" s="7" t="str">
        <x:v>HP-21</x:v>
      </x:c>
      <x:c r="F1179" s="7" t="str">
        <x:v>evidence</x:v>
      </x:c>
      <x:c r="G1179" s="7" t="str">
        <x:v>identity</x:v>
      </x:c>
      <x:c r="H1179" s="10" t="str"/>
      <x:c r="I1179" s="7" t="str"/>
      <x:c r="J1179" s="7" t="str">
        <x:v>OPEN</x:v>
      </x:c>
    </x:row>
    <x:row r="1180" ht="36" customHeight="1">
      <x:c r="B1180" s="7" t="str">
        <x:v>RAE-E-37-HP-22</x:v>
      </x:c>
      <x:c r="C1180" s="7" t="str">
        <x:v>RAE-E-37</x:v>
      </x:c>
      <x:c r="D1180" s="7" t="str">
        <x:v>RFP-C1</x:v>
      </x:c>
      <x:c r="E1180" s="7" t="str">
        <x:v>HP-22</x:v>
      </x:c>
      <x:c r="F1180" s="7" t="str">
        <x:v>evidence</x:v>
      </x:c>
      <x:c r="G1180" s="7" t="str">
        <x:v>capacity</x:v>
      </x:c>
      <x:c r="H1180" s="10" t="str"/>
      <x:c r="I1180" s="7" t="str"/>
      <x:c r="J1180" s="7" t="str">
        <x:v>OPEN</x:v>
      </x:c>
    </x:row>
    <x:row r="1181" ht="36" customHeight="1">
      <x:c r="B1181" s="7" t="str">
        <x:v>RAE-E-37-HP-23</x:v>
      </x:c>
      <x:c r="C1181" s="7" t="str">
        <x:v>RAE-E-37</x:v>
      </x:c>
      <x:c r="D1181" s="7" t="str">
        <x:v>RFP-C1</x:v>
      </x:c>
      <x:c r="E1181" s="7" t="str">
        <x:v>HP-23</x:v>
      </x:c>
      <x:c r="F1181" s="7" t="str">
        <x:v>evidence</x:v>
      </x:c>
      <x:c r="G1181" s="7" t="str">
        <x:v>state</x:v>
      </x:c>
      <x:c r="H1181" s="10" t="str"/>
      <x:c r="I1181" s="7" t="str"/>
      <x:c r="J1181" s="7" t="str">
        <x:v>OPEN</x:v>
      </x:c>
    </x:row>
    <x:row r="1182" ht="36" customHeight="1">
      <x:c r="B1182" s="7" t="str">
        <x:v>RAE-E-37-HP-24</x:v>
      </x:c>
      <x:c r="C1182" s="7" t="str">
        <x:v>RAE-E-37</x:v>
      </x:c>
      <x:c r="D1182" s="7" t="str">
        <x:v>RFP-C1</x:v>
      </x:c>
      <x:c r="E1182" s="7" t="str">
        <x:v>HP-24</x:v>
      </x:c>
      <x:c r="F1182" s="7" t="str">
        <x:v>evidence</x:v>
      </x:c>
      <x:c r="G1182" s="7" t="str">
        <x:v>authority</x:v>
      </x:c>
      <x:c r="H1182" s="10" t="str"/>
      <x:c r="I1182" s="7" t="str"/>
      <x:c r="J1182" s="7" t="str">
        <x:v>OPEN</x:v>
      </x:c>
    </x:row>
    <x:row r="1183" ht="36" customHeight="1">
      <x:c r="B1183" s="7" t="str">
        <x:v>RAE-E-37-HP-25</x:v>
      </x:c>
      <x:c r="C1183" s="7" t="str">
        <x:v>RAE-E-37</x:v>
      </x:c>
      <x:c r="D1183" s="7" t="str">
        <x:v>RFP-C1</x:v>
      </x:c>
      <x:c r="E1183" s="7" t="str">
        <x:v>HP-25</x:v>
      </x:c>
      <x:c r="F1183" s="7" t="str">
        <x:v>environment</x:v>
      </x:c>
      <x:c r="G1183" s="7" t="str">
        <x:v>identity</x:v>
      </x:c>
      <x:c r="H1183" s="10" t="str"/>
      <x:c r="I1183" s="7" t="str"/>
      <x:c r="J1183" s="7" t="str">
        <x:v>OPEN</x:v>
      </x:c>
    </x:row>
    <x:row r="1184" ht="36" customHeight="1">
      <x:c r="B1184" s="7" t="str">
        <x:v>RAE-E-37-HP-26</x:v>
      </x:c>
      <x:c r="C1184" s="7" t="str">
        <x:v>RAE-E-37</x:v>
      </x:c>
      <x:c r="D1184" s="7" t="str">
        <x:v>RFP-C1</x:v>
      </x:c>
      <x:c r="E1184" s="7" t="str">
        <x:v>HP-26</x:v>
      </x:c>
      <x:c r="F1184" s="7" t="str">
        <x:v>environment</x:v>
      </x:c>
      <x:c r="G1184" s="7" t="str">
        <x:v>capacity</x:v>
      </x:c>
      <x:c r="H1184" s="10" t="str"/>
      <x:c r="I1184" s="7" t="str"/>
      <x:c r="J1184" s="7" t="str">
        <x:v>OPEN</x:v>
      </x:c>
    </x:row>
    <x:row r="1185" ht="36" customHeight="1">
      <x:c r="B1185" s="7" t="str">
        <x:v>RAE-E-37-HP-27</x:v>
      </x:c>
      <x:c r="C1185" s="7" t="str">
        <x:v>RAE-E-37</x:v>
      </x:c>
      <x:c r="D1185" s="7" t="str">
        <x:v>RFP-C1</x:v>
      </x:c>
      <x:c r="E1185" s="7" t="str">
        <x:v>HP-27</x:v>
      </x:c>
      <x:c r="F1185" s="7" t="str">
        <x:v>environment</x:v>
      </x:c>
      <x:c r="G1185" s="7" t="str">
        <x:v>state</x:v>
      </x:c>
      <x:c r="H1185" s="10" t="str"/>
      <x:c r="I1185" s="7" t="str"/>
      <x:c r="J1185" s="7" t="str">
        <x:v>OPEN</x:v>
      </x:c>
    </x:row>
    <x:row r="1186" ht="36" customHeight="1">
      <x:c r="B1186" s="7" t="str">
        <x:v>RAE-E-37-HP-28</x:v>
      </x:c>
      <x:c r="C1186" s="7" t="str">
        <x:v>RAE-E-37</x:v>
      </x:c>
      <x:c r="D1186" s="7" t="str">
        <x:v>RFP-C1</x:v>
      </x:c>
      <x:c r="E1186" s="7" t="str">
        <x:v>HP-28</x:v>
      </x:c>
      <x:c r="F1186" s="7" t="str">
        <x:v>environment</x:v>
      </x:c>
      <x:c r="G1186" s="7" t="str">
        <x:v>authority</x:v>
      </x:c>
      <x:c r="H1186" s="10" t="str"/>
      <x:c r="I1186" s="7" t="str"/>
      <x:c r="J1186" s="7" t="str">
        <x:v>OPEN</x:v>
      </x:c>
    </x:row>
    <x:row r="1187" ht="36" customHeight="1">
      <x:c r="B1187" s="7" t="str">
        <x:v>RAE-E-37-HP-29</x:v>
      </x:c>
      <x:c r="C1187" s="7" t="str">
        <x:v>RAE-E-37</x:v>
      </x:c>
      <x:c r="D1187" s="7" t="str">
        <x:v>RFP-C1</x:v>
      </x:c>
      <x:c r="E1187" s="7" t="str">
        <x:v>HP-29</x:v>
      </x:c>
      <x:c r="F1187" s="7" t="str">
        <x:v>authority</x:v>
      </x:c>
      <x:c r="G1187" s="7" t="str">
        <x:v>identity</x:v>
      </x:c>
      <x:c r="H1187" s="10" t="str"/>
      <x:c r="I1187" s="7" t="str"/>
      <x:c r="J1187" s="7" t="str">
        <x:v>OPEN</x:v>
      </x:c>
    </x:row>
    <x:row r="1188" ht="36" customHeight="1">
      <x:c r="B1188" s="7" t="str">
        <x:v>RAE-E-37-HP-30</x:v>
      </x:c>
      <x:c r="C1188" s="7" t="str">
        <x:v>RAE-E-37</x:v>
      </x:c>
      <x:c r="D1188" s="7" t="str">
        <x:v>RFP-C1</x:v>
      </x:c>
      <x:c r="E1188" s="7" t="str">
        <x:v>HP-30</x:v>
      </x:c>
      <x:c r="F1188" s="7" t="str">
        <x:v>authority</x:v>
      </x:c>
      <x:c r="G1188" s="7" t="str">
        <x:v>capacity</x:v>
      </x:c>
      <x:c r="H1188" s="10" t="str"/>
      <x:c r="I1188" s="7" t="str"/>
      <x:c r="J1188" s="7" t="str">
        <x:v>OPEN</x:v>
      </x:c>
    </x:row>
    <x:row r="1189" ht="36" customHeight="1">
      <x:c r="B1189" s="7" t="str">
        <x:v>RAE-E-37-HP-31</x:v>
      </x:c>
      <x:c r="C1189" s="7" t="str">
        <x:v>RAE-E-37</x:v>
      </x:c>
      <x:c r="D1189" s="7" t="str">
        <x:v>RFP-C1</x:v>
      </x:c>
      <x:c r="E1189" s="7" t="str">
        <x:v>HP-31</x:v>
      </x:c>
      <x:c r="F1189" s="7" t="str">
        <x:v>authority</x:v>
      </x:c>
      <x:c r="G1189" s="7" t="str">
        <x:v>state</x:v>
      </x:c>
      <x:c r="H1189" s="10" t="str"/>
      <x:c r="I1189" s="7" t="str"/>
      <x:c r="J1189" s="7" t="str">
        <x:v>OPEN</x:v>
      </x:c>
    </x:row>
    <x:row r="1190" ht="36" customHeight="1">
      <x:c r="B1190" s="7" t="str">
        <x:v>RAE-E-37-HP-32</x:v>
      </x:c>
      <x:c r="C1190" s="7" t="str">
        <x:v>RAE-E-37</x:v>
      </x:c>
      <x:c r="D1190" s="7" t="str">
        <x:v>RFP-C1</x:v>
      </x:c>
      <x:c r="E1190" s="7" t="str">
        <x:v>HP-32</x:v>
      </x:c>
      <x:c r="F1190" s="7" t="str">
        <x:v>authority</x:v>
      </x:c>
      <x:c r="G1190" s="7" t="str">
        <x:v>authority</x:v>
      </x:c>
      <x:c r="H1190" s="10" t="str"/>
      <x:c r="I1190" s="7" t="str"/>
      <x:c r="J1190" s="7" t="str">
        <x:v>OPEN</x:v>
      </x:c>
    </x:row>
    <x:row r="1191" ht="36" customHeight="1">
      <x:c r="B1191" s="7" t="str">
        <x:v>RAE-E-38-HP-01</x:v>
      </x:c>
      <x:c r="C1191" s="7" t="str">
        <x:v>RAE-E-38</x:v>
      </x:c>
      <x:c r="D1191" s="7" t="str">
        <x:v>RFP-C1</x:v>
      </x:c>
      <x:c r="E1191" s="7" t="str">
        <x:v>HP-01</x:v>
      </x:c>
      <x:c r="F1191" s="7" t="str">
        <x:v>configuration</x:v>
      </x:c>
      <x:c r="G1191" s="7" t="str">
        <x:v>identity</x:v>
      </x:c>
      <x:c r="H1191" s="10" t="str"/>
      <x:c r="I1191" s="7" t="str"/>
      <x:c r="J1191" s="7" t="str">
        <x:v>OPEN</x:v>
      </x:c>
    </x:row>
    <x:row r="1192" ht="36" customHeight="1">
      <x:c r="B1192" s="7" t="str">
        <x:v>RAE-E-38-HP-02</x:v>
      </x:c>
      <x:c r="C1192" s="7" t="str">
        <x:v>RAE-E-38</x:v>
      </x:c>
      <x:c r="D1192" s="7" t="str">
        <x:v>RFP-C1</x:v>
      </x:c>
      <x:c r="E1192" s="7" t="str">
        <x:v>HP-02</x:v>
      </x:c>
      <x:c r="F1192" s="7" t="str">
        <x:v>configuration</x:v>
      </x:c>
      <x:c r="G1192" s="7" t="str">
        <x:v>capacity</x:v>
      </x:c>
      <x:c r="H1192" s="10" t="str"/>
      <x:c r="I1192" s="7" t="str"/>
      <x:c r="J1192" s="7" t="str">
        <x:v>OPEN</x:v>
      </x:c>
    </x:row>
    <x:row r="1193" ht="36" customHeight="1">
      <x:c r="B1193" s="7" t="str">
        <x:v>RAE-E-38-HP-03</x:v>
      </x:c>
      <x:c r="C1193" s="7" t="str">
        <x:v>RAE-E-38</x:v>
      </x:c>
      <x:c r="D1193" s="7" t="str">
        <x:v>RFP-C1</x:v>
      </x:c>
      <x:c r="E1193" s="7" t="str">
        <x:v>HP-03</x:v>
      </x:c>
      <x:c r="F1193" s="7" t="str">
        <x:v>configuration</x:v>
      </x:c>
      <x:c r="G1193" s="7" t="str">
        <x:v>state</x:v>
      </x:c>
      <x:c r="H1193" s="10" t="str"/>
      <x:c r="I1193" s="7" t="str"/>
      <x:c r="J1193" s="7" t="str">
        <x:v>OPEN</x:v>
      </x:c>
    </x:row>
    <x:row r="1194" ht="36" customHeight="1">
      <x:c r="B1194" s="7" t="str">
        <x:v>RAE-E-38-HP-04</x:v>
      </x:c>
      <x:c r="C1194" s="7" t="str">
        <x:v>RAE-E-38</x:v>
      </x:c>
      <x:c r="D1194" s="7" t="str">
        <x:v>RFP-C1</x:v>
      </x:c>
      <x:c r="E1194" s="7" t="str">
        <x:v>HP-04</x:v>
      </x:c>
      <x:c r="F1194" s="7" t="str">
        <x:v>configuration</x:v>
      </x:c>
      <x:c r="G1194" s="7" t="str">
        <x:v>authority</x:v>
      </x:c>
      <x:c r="H1194" s="10" t="str"/>
      <x:c r="I1194" s="7" t="str"/>
      <x:c r="J1194" s="7" t="str">
        <x:v>OPEN</x:v>
      </x:c>
    </x:row>
    <x:row r="1195" ht="36" customHeight="1">
      <x:c r="B1195" s="7" t="str">
        <x:v>RAE-E-38-HP-05</x:v>
      </x:c>
      <x:c r="C1195" s="7" t="str">
        <x:v>RAE-E-38</x:v>
      </x:c>
      <x:c r="D1195" s="7" t="str">
        <x:v>RFP-C1</x:v>
      </x:c>
      <x:c r="E1195" s="7" t="str">
        <x:v>HP-05</x:v>
      </x:c>
      <x:c r="F1195" s="7" t="str">
        <x:v>source</x:v>
      </x:c>
      <x:c r="G1195" s="7" t="str">
        <x:v>identity</x:v>
      </x:c>
      <x:c r="H1195" s="10" t="str"/>
      <x:c r="I1195" s="7" t="str"/>
      <x:c r="J1195" s="7" t="str">
        <x:v>OPEN</x:v>
      </x:c>
    </x:row>
    <x:row r="1196" ht="36" customHeight="1">
      <x:c r="B1196" s="7" t="str">
        <x:v>RAE-E-38-HP-06</x:v>
      </x:c>
      <x:c r="C1196" s="7" t="str">
        <x:v>RAE-E-38</x:v>
      </x:c>
      <x:c r="D1196" s="7" t="str">
        <x:v>RFP-C1</x:v>
      </x:c>
      <x:c r="E1196" s="7" t="str">
        <x:v>HP-06</x:v>
      </x:c>
      <x:c r="F1196" s="7" t="str">
        <x:v>source</x:v>
      </x:c>
      <x:c r="G1196" s="7" t="str">
        <x:v>capacity</x:v>
      </x:c>
      <x:c r="H1196" s="10" t="str"/>
      <x:c r="I1196" s="7" t="str"/>
      <x:c r="J1196" s="7" t="str">
        <x:v>OPEN</x:v>
      </x:c>
    </x:row>
    <x:row r="1197" ht="36" customHeight="1">
      <x:c r="B1197" s="7" t="str">
        <x:v>RAE-E-38-HP-07</x:v>
      </x:c>
      <x:c r="C1197" s="7" t="str">
        <x:v>RAE-E-38</x:v>
      </x:c>
      <x:c r="D1197" s="7" t="str">
        <x:v>RFP-C1</x:v>
      </x:c>
      <x:c r="E1197" s="7" t="str">
        <x:v>HP-07</x:v>
      </x:c>
      <x:c r="F1197" s="7" t="str">
        <x:v>source</x:v>
      </x:c>
      <x:c r="G1197" s="7" t="str">
        <x:v>state</x:v>
      </x:c>
      <x:c r="H1197" s="10" t="str"/>
      <x:c r="I1197" s="7" t="str"/>
      <x:c r="J1197" s="7" t="str">
        <x:v>OPEN</x:v>
      </x:c>
    </x:row>
    <x:row r="1198" ht="36" customHeight="1">
      <x:c r="B1198" s="7" t="str">
        <x:v>RAE-E-38-HP-08</x:v>
      </x:c>
      <x:c r="C1198" s="7" t="str">
        <x:v>RAE-E-38</x:v>
      </x:c>
      <x:c r="D1198" s="7" t="str">
        <x:v>RFP-C1</x:v>
      </x:c>
      <x:c r="E1198" s="7" t="str">
        <x:v>HP-08</x:v>
      </x:c>
      <x:c r="F1198" s="7" t="str">
        <x:v>source</x:v>
      </x:c>
      <x:c r="G1198" s="7" t="str">
        <x:v>authority</x:v>
      </x:c>
      <x:c r="H1198" s="10" t="str"/>
      <x:c r="I1198" s="7" t="str"/>
      <x:c r="J1198" s="7" t="str">
        <x:v>OPEN</x:v>
      </x:c>
    </x:row>
    <x:row r="1199" ht="36" customHeight="1">
      <x:c r="B1199" s="7" t="str">
        <x:v>RAE-E-38-HP-09</x:v>
      </x:c>
      <x:c r="C1199" s="7" t="str">
        <x:v>RAE-E-38</x:v>
      </x:c>
      <x:c r="D1199" s="7" t="str">
        <x:v>RFP-C1</x:v>
      </x:c>
      <x:c r="E1199" s="7" t="str">
        <x:v>HP-09</x:v>
      </x:c>
      <x:c r="F1199" s="7" t="str">
        <x:v>containment</x:v>
      </x:c>
      <x:c r="G1199" s="7" t="str">
        <x:v>identity</x:v>
      </x:c>
      <x:c r="H1199" s="10" t="str"/>
      <x:c r="I1199" s="7" t="str"/>
      <x:c r="J1199" s="7" t="str">
        <x:v>OPEN</x:v>
      </x:c>
    </x:row>
    <x:row r="1200" ht="36" customHeight="1">
      <x:c r="B1200" s="7" t="str">
        <x:v>RAE-E-38-HP-10</x:v>
      </x:c>
      <x:c r="C1200" s="7" t="str">
        <x:v>RAE-E-38</x:v>
      </x:c>
      <x:c r="D1200" s="7" t="str">
        <x:v>RFP-C1</x:v>
      </x:c>
      <x:c r="E1200" s="7" t="str">
        <x:v>HP-10</x:v>
      </x:c>
      <x:c r="F1200" s="7" t="str">
        <x:v>containment</x:v>
      </x:c>
      <x:c r="G1200" s="7" t="str">
        <x:v>capacity</x:v>
      </x:c>
      <x:c r="H1200" s="10" t="str"/>
      <x:c r="I1200" s="7" t="str"/>
      <x:c r="J1200" s="7" t="str">
        <x:v>OPEN</x:v>
      </x:c>
    </x:row>
    <x:row r="1201" ht="36" customHeight="1">
      <x:c r="B1201" s="7" t="str">
        <x:v>RAE-E-38-HP-11</x:v>
      </x:c>
      <x:c r="C1201" s="7" t="str">
        <x:v>RAE-E-38</x:v>
      </x:c>
      <x:c r="D1201" s="7" t="str">
        <x:v>RFP-C1</x:v>
      </x:c>
      <x:c r="E1201" s="7" t="str">
        <x:v>HP-11</x:v>
      </x:c>
      <x:c r="F1201" s="7" t="str">
        <x:v>containment</x:v>
      </x:c>
      <x:c r="G1201" s="7" t="str">
        <x:v>state</x:v>
      </x:c>
      <x:c r="H1201" s="10" t="str"/>
      <x:c r="I1201" s="7" t="str"/>
      <x:c r="J1201" s="7" t="str">
        <x:v>OPEN</x:v>
      </x:c>
    </x:row>
    <x:row r="1202" ht="36" customHeight="1">
      <x:c r="B1202" s="7" t="str">
        <x:v>RAE-E-38-HP-12</x:v>
      </x:c>
      <x:c r="C1202" s="7" t="str">
        <x:v>RAE-E-38</x:v>
      </x:c>
      <x:c r="D1202" s="7" t="str">
        <x:v>RFP-C1</x:v>
      </x:c>
      <x:c r="E1202" s="7" t="str">
        <x:v>HP-12</x:v>
      </x:c>
      <x:c r="F1202" s="7" t="str">
        <x:v>containment</x:v>
      </x:c>
      <x:c r="G1202" s="7" t="str">
        <x:v>authority</x:v>
      </x:c>
      <x:c r="H1202" s="10" t="str"/>
      <x:c r="I1202" s="7" t="str"/>
      <x:c r="J1202" s="7" t="str">
        <x:v>OPEN</x:v>
      </x:c>
    </x:row>
    <x:row r="1203" ht="36" customHeight="1">
      <x:c r="B1203" s="7" t="str">
        <x:v>RAE-E-38-HP-13</x:v>
      </x:c>
      <x:c r="C1203" s="7" t="str">
        <x:v>RAE-E-38</x:v>
      </x:c>
      <x:c r="D1203" s="7" t="str">
        <x:v>RFP-C1</x:v>
      </x:c>
      <x:c r="E1203" s="7" t="str">
        <x:v>HP-13</x:v>
      </x:c>
      <x:c r="F1203" s="7" t="str">
        <x:v>water</x:v>
      </x:c>
      <x:c r="G1203" s="7" t="str">
        <x:v>identity</x:v>
      </x:c>
      <x:c r="H1203" s="10" t="str"/>
      <x:c r="I1203" s="7" t="str"/>
      <x:c r="J1203" s="7" t="str">
        <x:v>OPEN</x:v>
      </x:c>
    </x:row>
    <x:row r="1204" ht="36" customHeight="1">
      <x:c r="B1204" s="7" t="str">
        <x:v>RAE-E-38-HP-14</x:v>
      </x:c>
      <x:c r="C1204" s="7" t="str">
        <x:v>RAE-E-38</x:v>
      </x:c>
      <x:c r="D1204" s="7" t="str">
        <x:v>RFP-C1</x:v>
      </x:c>
      <x:c r="E1204" s="7" t="str">
        <x:v>HP-14</x:v>
      </x:c>
      <x:c r="F1204" s="7" t="str">
        <x:v>water</x:v>
      </x:c>
      <x:c r="G1204" s="7" t="str">
        <x:v>capacity</x:v>
      </x:c>
      <x:c r="H1204" s="10" t="str"/>
      <x:c r="I1204" s="7" t="str"/>
      <x:c r="J1204" s="7" t="str">
        <x:v>OPEN</x:v>
      </x:c>
    </x:row>
    <x:row r="1205" ht="36" customHeight="1">
      <x:c r="B1205" s="7" t="str">
        <x:v>RAE-E-38-HP-15</x:v>
      </x:c>
      <x:c r="C1205" s="7" t="str">
        <x:v>RAE-E-38</x:v>
      </x:c>
      <x:c r="D1205" s="7" t="str">
        <x:v>RFP-C1</x:v>
      </x:c>
      <x:c r="E1205" s="7" t="str">
        <x:v>HP-15</x:v>
      </x:c>
      <x:c r="F1205" s="7" t="str">
        <x:v>water</x:v>
      </x:c>
      <x:c r="G1205" s="7" t="str">
        <x:v>state</x:v>
      </x:c>
      <x:c r="H1205" s="10" t="str"/>
      <x:c r="I1205" s="7" t="str"/>
      <x:c r="J1205" s="7" t="str">
        <x:v>OPEN</x:v>
      </x:c>
    </x:row>
    <x:row r="1206" ht="36" customHeight="1">
      <x:c r="B1206" s="7" t="str">
        <x:v>RAE-E-38-HP-16</x:v>
      </x:c>
      <x:c r="C1206" s="7" t="str">
        <x:v>RAE-E-38</x:v>
      </x:c>
      <x:c r="D1206" s="7" t="str">
        <x:v>RFP-C1</x:v>
      </x:c>
      <x:c r="E1206" s="7" t="str">
        <x:v>HP-16</x:v>
      </x:c>
      <x:c r="F1206" s="7" t="str">
        <x:v>water</x:v>
      </x:c>
      <x:c r="G1206" s="7" t="str">
        <x:v>authority</x:v>
      </x:c>
      <x:c r="H1206" s="10" t="str"/>
      <x:c r="I1206" s="7" t="str"/>
      <x:c r="J1206" s="7" t="str">
        <x:v>OPEN</x:v>
      </x:c>
    </x:row>
    <x:row r="1207" ht="36" customHeight="1">
      <x:c r="B1207" s="7" t="str">
        <x:v>RAE-E-38-HP-17</x:v>
      </x:c>
      <x:c r="C1207" s="7" t="str">
        <x:v>RAE-E-38</x:v>
      </x:c>
      <x:c r="D1207" s="7" t="str">
        <x:v>RFP-C1</x:v>
      </x:c>
      <x:c r="E1207" s="7" t="str">
        <x:v>HP-17</x:v>
      </x:c>
      <x:c r="F1207" s="7" t="str">
        <x:v>safeing</x:v>
      </x:c>
      <x:c r="G1207" s="7" t="str">
        <x:v>identity</x:v>
      </x:c>
      <x:c r="H1207" s="10" t="str"/>
      <x:c r="I1207" s="7" t="str"/>
      <x:c r="J1207" s="7" t="str">
        <x:v>OPEN</x:v>
      </x:c>
    </x:row>
    <x:row r="1208" ht="36" customHeight="1">
      <x:c r="B1208" s="7" t="str">
        <x:v>RAE-E-38-HP-18</x:v>
      </x:c>
      <x:c r="C1208" s="7" t="str">
        <x:v>RAE-E-38</x:v>
      </x:c>
      <x:c r="D1208" s="7" t="str">
        <x:v>RFP-C1</x:v>
      </x:c>
      <x:c r="E1208" s="7" t="str">
        <x:v>HP-18</x:v>
      </x:c>
      <x:c r="F1208" s="7" t="str">
        <x:v>safeing</x:v>
      </x:c>
      <x:c r="G1208" s="7" t="str">
        <x:v>capacity</x:v>
      </x:c>
      <x:c r="H1208" s="10" t="str"/>
      <x:c r="I1208" s="7" t="str"/>
      <x:c r="J1208" s="7" t="str">
        <x:v>OPEN</x:v>
      </x:c>
    </x:row>
    <x:row r="1209" ht="36" customHeight="1">
      <x:c r="B1209" s="7" t="str">
        <x:v>RAE-E-38-HP-19</x:v>
      </x:c>
      <x:c r="C1209" s="7" t="str">
        <x:v>RAE-E-38</x:v>
      </x:c>
      <x:c r="D1209" s="7" t="str">
        <x:v>RFP-C1</x:v>
      </x:c>
      <x:c r="E1209" s="7" t="str">
        <x:v>HP-19</x:v>
      </x:c>
      <x:c r="F1209" s="7" t="str">
        <x:v>safeing</x:v>
      </x:c>
      <x:c r="G1209" s="7" t="str">
        <x:v>state</x:v>
      </x:c>
      <x:c r="H1209" s="10" t="str"/>
      <x:c r="I1209" s="7" t="str"/>
      <x:c r="J1209" s="7" t="str">
        <x:v>OPEN</x:v>
      </x:c>
    </x:row>
    <x:row r="1210" ht="36" customHeight="1">
      <x:c r="B1210" s="7" t="str">
        <x:v>RAE-E-38-HP-20</x:v>
      </x:c>
      <x:c r="C1210" s="7" t="str">
        <x:v>RAE-E-38</x:v>
      </x:c>
      <x:c r="D1210" s="7" t="str">
        <x:v>RFP-C1</x:v>
      </x:c>
      <x:c r="E1210" s="7" t="str">
        <x:v>HP-20</x:v>
      </x:c>
      <x:c r="F1210" s="7" t="str">
        <x:v>safeing</x:v>
      </x:c>
      <x:c r="G1210" s="7" t="str">
        <x:v>authority</x:v>
      </x:c>
      <x:c r="H1210" s="10" t="str"/>
      <x:c r="I1210" s="7" t="str"/>
      <x:c r="J1210" s="7" t="str">
        <x:v>OPEN</x:v>
      </x:c>
    </x:row>
    <x:row r="1211" ht="36" customHeight="1">
      <x:c r="B1211" s="7" t="str">
        <x:v>RAE-E-38-HP-21</x:v>
      </x:c>
      <x:c r="C1211" s="7" t="str">
        <x:v>RAE-E-38</x:v>
      </x:c>
      <x:c r="D1211" s="7" t="str">
        <x:v>RFP-C1</x:v>
      </x:c>
      <x:c r="E1211" s="7" t="str">
        <x:v>HP-21</x:v>
      </x:c>
      <x:c r="F1211" s="7" t="str">
        <x:v>evidence</x:v>
      </x:c>
      <x:c r="G1211" s="7" t="str">
        <x:v>identity</x:v>
      </x:c>
      <x:c r="H1211" s="10" t="str"/>
      <x:c r="I1211" s="7" t="str"/>
      <x:c r="J1211" s="7" t="str">
        <x:v>OPEN</x:v>
      </x:c>
    </x:row>
    <x:row r="1212" ht="36" customHeight="1">
      <x:c r="B1212" s="7" t="str">
        <x:v>RAE-E-38-HP-22</x:v>
      </x:c>
      <x:c r="C1212" s="7" t="str">
        <x:v>RAE-E-38</x:v>
      </x:c>
      <x:c r="D1212" s="7" t="str">
        <x:v>RFP-C1</x:v>
      </x:c>
      <x:c r="E1212" s="7" t="str">
        <x:v>HP-22</x:v>
      </x:c>
      <x:c r="F1212" s="7" t="str">
        <x:v>evidence</x:v>
      </x:c>
      <x:c r="G1212" s="7" t="str">
        <x:v>capacity</x:v>
      </x:c>
      <x:c r="H1212" s="10" t="str"/>
      <x:c r="I1212" s="7" t="str"/>
      <x:c r="J1212" s="7" t="str">
        <x:v>OPEN</x:v>
      </x:c>
    </x:row>
    <x:row r="1213" ht="36" customHeight="1">
      <x:c r="B1213" s="7" t="str">
        <x:v>RAE-E-38-HP-23</x:v>
      </x:c>
      <x:c r="C1213" s="7" t="str">
        <x:v>RAE-E-38</x:v>
      </x:c>
      <x:c r="D1213" s="7" t="str">
        <x:v>RFP-C1</x:v>
      </x:c>
      <x:c r="E1213" s="7" t="str">
        <x:v>HP-23</x:v>
      </x:c>
      <x:c r="F1213" s="7" t="str">
        <x:v>evidence</x:v>
      </x:c>
      <x:c r="G1213" s="7" t="str">
        <x:v>state</x:v>
      </x:c>
      <x:c r="H1213" s="10" t="str"/>
      <x:c r="I1213" s="7" t="str"/>
      <x:c r="J1213" s="7" t="str">
        <x:v>OPEN</x:v>
      </x:c>
    </x:row>
    <x:row r="1214" ht="36" customHeight="1">
      <x:c r="B1214" s="7" t="str">
        <x:v>RAE-E-38-HP-24</x:v>
      </x:c>
      <x:c r="C1214" s="7" t="str">
        <x:v>RAE-E-38</x:v>
      </x:c>
      <x:c r="D1214" s="7" t="str">
        <x:v>RFP-C1</x:v>
      </x:c>
      <x:c r="E1214" s="7" t="str">
        <x:v>HP-24</x:v>
      </x:c>
      <x:c r="F1214" s="7" t="str">
        <x:v>evidence</x:v>
      </x:c>
      <x:c r="G1214" s="7" t="str">
        <x:v>authority</x:v>
      </x:c>
      <x:c r="H1214" s="10" t="str"/>
      <x:c r="I1214" s="7" t="str"/>
      <x:c r="J1214" s="7" t="str">
        <x:v>OPEN</x:v>
      </x:c>
    </x:row>
    <x:row r="1215" ht="36" customHeight="1">
      <x:c r="B1215" s="7" t="str">
        <x:v>RAE-E-38-HP-25</x:v>
      </x:c>
      <x:c r="C1215" s="7" t="str">
        <x:v>RAE-E-38</x:v>
      </x:c>
      <x:c r="D1215" s="7" t="str">
        <x:v>RFP-C1</x:v>
      </x:c>
      <x:c r="E1215" s="7" t="str">
        <x:v>HP-25</x:v>
      </x:c>
      <x:c r="F1215" s="7" t="str">
        <x:v>environment</x:v>
      </x:c>
      <x:c r="G1215" s="7" t="str">
        <x:v>identity</x:v>
      </x:c>
      <x:c r="H1215" s="10" t="str"/>
      <x:c r="I1215" s="7" t="str"/>
      <x:c r="J1215" s="7" t="str">
        <x:v>OPEN</x:v>
      </x:c>
    </x:row>
    <x:row r="1216" ht="36" customHeight="1">
      <x:c r="B1216" s="7" t="str">
        <x:v>RAE-E-38-HP-26</x:v>
      </x:c>
      <x:c r="C1216" s="7" t="str">
        <x:v>RAE-E-38</x:v>
      </x:c>
      <x:c r="D1216" s="7" t="str">
        <x:v>RFP-C1</x:v>
      </x:c>
      <x:c r="E1216" s="7" t="str">
        <x:v>HP-26</x:v>
      </x:c>
      <x:c r="F1216" s="7" t="str">
        <x:v>environment</x:v>
      </x:c>
      <x:c r="G1216" s="7" t="str">
        <x:v>capacity</x:v>
      </x:c>
      <x:c r="H1216" s="10" t="str"/>
      <x:c r="I1216" s="7" t="str"/>
      <x:c r="J1216" s="7" t="str">
        <x:v>OPEN</x:v>
      </x:c>
    </x:row>
    <x:row r="1217" ht="36" customHeight="1">
      <x:c r="B1217" s="7" t="str">
        <x:v>RAE-E-38-HP-27</x:v>
      </x:c>
      <x:c r="C1217" s="7" t="str">
        <x:v>RAE-E-38</x:v>
      </x:c>
      <x:c r="D1217" s="7" t="str">
        <x:v>RFP-C1</x:v>
      </x:c>
      <x:c r="E1217" s="7" t="str">
        <x:v>HP-27</x:v>
      </x:c>
      <x:c r="F1217" s="7" t="str">
        <x:v>environment</x:v>
      </x:c>
      <x:c r="G1217" s="7" t="str">
        <x:v>state</x:v>
      </x:c>
      <x:c r="H1217" s="10" t="str"/>
      <x:c r="I1217" s="7" t="str"/>
      <x:c r="J1217" s="7" t="str">
        <x:v>OPEN</x:v>
      </x:c>
    </x:row>
    <x:row r="1218" ht="36" customHeight="1">
      <x:c r="B1218" s="7" t="str">
        <x:v>RAE-E-38-HP-28</x:v>
      </x:c>
      <x:c r="C1218" s="7" t="str">
        <x:v>RAE-E-38</x:v>
      </x:c>
      <x:c r="D1218" s="7" t="str">
        <x:v>RFP-C1</x:v>
      </x:c>
      <x:c r="E1218" s="7" t="str">
        <x:v>HP-28</x:v>
      </x:c>
      <x:c r="F1218" s="7" t="str">
        <x:v>environment</x:v>
      </x:c>
      <x:c r="G1218" s="7" t="str">
        <x:v>authority</x:v>
      </x:c>
      <x:c r="H1218" s="10" t="str"/>
      <x:c r="I1218" s="7" t="str"/>
      <x:c r="J1218" s="7" t="str">
        <x:v>OPEN</x:v>
      </x:c>
    </x:row>
    <x:row r="1219" ht="36" customHeight="1">
      <x:c r="B1219" s="7" t="str">
        <x:v>RAE-E-38-HP-29</x:v>
      </x:c>
      <x:c r="C1219" s="7" t="str">
        <x:v>RAE-E-38</x:v>
      </x:c>
      <x:c r="D1219" s="7" t="str">
        <x:v>RFP-C1</x:v>
      </x:c>
      <x:c r="E1219" s="7" t="str">
        <x:v>HP-29</x:v>
      </x:c>
      <x:c r="F1219" s="7" t="str">
        <x:v>authority</x:v>
      </x:c>
      <x:c r="G1219" s="7" t="str">
        <x:v>identity</x:v>
      </x:c>
      <x:c r="H1219" s="10" t="str"/>
      <x:c r="I1219" s="7" t="str"/>
      <x:c r="J1219" s="7" t="str">
        <x:v>OPEN</x:v>
      </x:c>
    </x:row>
    <x:row r="1220" ht="36" customHeight="1">
      <x:c r="B1220" s="7" t="str">
        <x:v>RAE-E-38-HP-30</x:v>
      </x:c>
      <x:c r="C1220" s="7" t="str">
        <x:v>RAE-E-38</x:v>
      </x:c>
      <x:c r="D1220" s="7" t="str">
        <x:v>RFP-C1</x:v>
      </x:c>
      <x:c r="E1220" s="7" t="str">
        <x:v>HP-30</x:v>
      </x:c>
      <x:c r="F1220" s="7" t="str">
        <x:v>authority</x:v>
      </x:c>
      <x:c r="G1220" s="7" t="str">
        <x:v>capacity</x:v>
      </x:c>
      <x:c r="H1220" s="10" t="str"/>
      <x:c r="I1220" s="7" t="str"/>
      <x:c r="J1220" s="7" t="str">
        <x:v>OPEN</x:v>
      </x:c>
    </x:row>
    <x:row r="1221" ht="36" customHeight="1">
      <x:c r="B1221" s="7" t="str">
        <x:v>RAE-E-38-HP-31</x:v>
      </x:c>
      <x:c r="C1221" s="7" t="str">
        <x:v>RAE-E-38</x:v>
      </x:c>
      <x:c r="D1221" s="7" t="str">
        <x:v>RFP-C1</x:v>
      </x:c>
      <x:c r="E1221" s="7" t="str">
        <x:v>HP-31</x:v>
      </x:c>
      <x:c r="F1221" s="7" t="str">
        <x:v>authority</x:v>
      </x:c>
      <x:c r="G1221" s="7" t="str">
        <x:v>state</x:v>
      </x:c>
      <x:c r="H1221" s="10" t="str"/>
      <x:c r="I1221" s="7" t="str"/>
      <x:c r="J1221" s="7" t="str">
        <x:v>OPEN</x:v>
      </x:c>
    </x:row>
    <x:row r="1222" ht="36" customHeight="1">
      <x:c r="B1222" s="7" t="str">
        <x:v>RAE-E-38-HP-32</x:v>
      </x:c>
      <x:c r="C1222" s="7" t="str">
        <x:v>RAE-E-38</x:v>
      </x:c>
      <x:c r="D1222" s="7" t="str">
        <x:v>RFP-C1</x:v>
      </x:c>
      <x:c r="E1222" s="7" t="str">
        <x:v>HP-32</x:v>
      </x:c>
      <x:c r="F1222" s="7" t="str">
        <x:v>authority</x:v>
      </x:c>
      <x:c r="G1222" s="7" t="str">
        <x:v>authority</x:v>
      </x:c>
      <x:c r="H1222" s="10" t="str"/>
      <x:c r="I1222" s="7" t="str"/>
      <x:c r="J1222" s="7" t="str">
        <x:v>OPEN</x:v>
      </x:c>
    </x:row>
    <x:row r="1223" ht="36" customHeight="1">
      <x:c r="B1223" s="7" t="str">
        <x:v>RAE-E-39-HP-01</x:v>
      </x:c>
      <x:c r="C1223" s="7" t="str">
        <x:v>RAE-E-39</x:v>
      </x:c>
      <x:c r="D1223" s="7" t="str">
        <x:v>RFP-C1</x:v>
      </x:c>
      <x:c r="E1223" s="7" t="str">
        <x:v>HP-01</x:v>
      </x:c>
      <x:c r="F1223" s="7" t="str">
        <x:v>configuration</x:v>
      </x:c>
      <x:c r="G1223" s="7" t="str">
        <x:v>identity</x:v>
      </x:c>
      <x:c r="H1223" s="10" t="str"/>
      <x:c r="I1223" s="7" t="str"/>
      <x:c r="J1223" s="7" t="str">
        <x:v>OPEN</x:v>
      </x:c>
    </x:row>
    <x:row r="1224" ht="36" customHeight="1">
      <x:c r="B1224" s="7" t="str">
        <x:v>RAE-E-39-HP-02</x:v>
      </x:c>
      <x:c r="C1224" s="7" t="str">
        <x:v>RAE-E-39</x:v>
      </x:c>
      <x:c r="D1224" s="7" t="str">
        <x:v>RFP-C1</x:v>
      </x:c>
      <x:c r="E1224" s="7" t="str">
        <x:v>HP-02</x:v>
      </x:c>
      <x:c r="F1224" s="7" t="str">
        <x:v>configuration</x:v>
      </x:c>
      <x:c r="G1224" s="7" t="str">
        <x:v>capacity</x:v>
      </x:c>
      <x:c r="H1224" s="10" t="str"/>
      <x:c r="I1224" s="7" t="str"/>
      <x:c r="J1224" s="7" t="str">
        <x:v>OPEN</x:v>
      </x:c>
    </x:row>
    <x:row r="1225" ht="36" customHeight="1">
      <x:c r="B1225" s="7" t="str">
        <x:v>RAE-E-39-HP-03</x:v>
      </x:c>
      <x:c r="C1225" s="7" t="str">
        <x:v>RAE-E-39</x:v>
      </x:c>
      <x:c r="D1225" s="7" t="str">
        <x:v>RFP-C1</x:v>
      </x:c>
      <x:c r="E1225" s="7" t="str">
        <x:v>HP-03</x:v>
      </x:c>
      <x:c r="F1225" s="7" t="str">
        <x:v>configuration</x:v>
      </x:c>
      <x:c r="G1225" s="7" t="str">
        <x:v>state</x:v>
      </x:c>
      <x:c r="H1225" s="10" t="str"/>
      <x:c r="I1225" s="7" t="str"/>
      <x:c r="J1225" s="7" t="str">
        <x:v>OPEN</x:v>
      </x:c>
    </x:row>
    <x:row r="1226" ht="36" customHeight="1">
      <x:c r="B1226" s="7" t="str">
        <x:v>RAE-E-39-HP-04</x:v>
      </x:c>
      <x:c r="C1226" s="7" t="str">
        <x:v>RAE-E-39</x:v>
      </x:c>
      <x:c r="D1226" s="7" t="str">
        <x:v>RFP-C1</x:v>
      </x:c>
      <x:c r="E1226" s="7" t="str">
        <x:v>HP-04</x:v>
      </x:c>
      <x:c r="F1226" s="7" t="str">
        <x:v>configuration</x:v>
      </x:c>
      <x:c r="G1226" s="7" t="str">
        <x:v>authority</x:v>
      </x:c>
      <x:c r="H1226" s="10" t="str"/>
      <x:c r="I1226" s="7" t="str"/>
      <x:c r="J1226" s="7" t="str">
        <x:v>OPEN</x:v>
      </x:c>
    </x:row>
    <x:row r="1227" ht="36" customHeight="1">
      <x:c r="B1227" s="7" t="str">
        <x:v>RAE-E-39-HP-05</x:v>
      </x:c>
      <x:c r="C1227" s="7" t="str">
        <x:v>RAE-E-39</x:v>
      </x:c>
      <x:c r="D1227" s="7" t="str">
        <x:v>RFP-C1</x:v>
      </x:c>
      <x:c r="E1227" s="7" t="str">
        <x:v>HP-05</x:v>
      </x:c>
      <x:c r="F1227" s="7" t="str">
        <x:v>source</x:v>
      </x:c>
      <x:c r="G1227" s="7" t="str">
        <x:v>identity</x:v>
      </x:c>
      <x:c r="H1227" s="10" t="str"/>
      <x:c r="I1227" s="7" t="str"/>
      <x:c r="J1227" s="7" t="str">
        <x:v>OPEN</x:v>
      </x:c>
    </x:row>
    <x:row r="1228" ht="36" customHeight="1">
      <x:c r="B1228" s="7" t="str">
        <x:v>RAE-E-39-HP-06</x:v>
      </x:c>
      <x:c r="C1228" s="7" t="str">
        <x:v>RAE-E-39</x:v>
      </x:c>
      <x:c r="D1228" s="7" t="str">
        <x:v>RFP-C1</x:v>
      </x:c>
      <x:c r="E1228" s="7" t="str">
        <x:v>HP-06</x:v>
      </x:c>
      <x:c r="F1228" s="7" t="str">
        <x:v>source</x:v>
      </x:c>
      <x:c r="G1228" s="7" t="str">
        <x:v>capacity</x:v>
      </x:c>
      <x:c r="H1228" s="10" t="str"/>
      <x:c r="I1228" s="7" t="str"/>
      <x:c r="J1228" s="7" t="str">
        <x:v>OPEN</x:v>
      </x:c>
    </x:row>
    <x:row r="1229" ht="36" customHeight="1">
      <x:c r="B1229" s="7" t="str">
        <x:v>RAE-E-39-HP-07</x:v>
      </x:c>
      <x:c r="C1229" s="7" t="str">
        <x:v>RAE-E-39</x:v>
      </x:c>
      <x:c r="D1229" s="7" t="str">
        <x:v>RFP-C1</x:v>
      </x:c>
      <x:c r="E1229" s="7" t="str">
        <x:v>HP-07</x:v>
      </x:c>
      <x:c r="F1229" s="7" t="str">
        <x:v>source</x:v>
      </x:c>
      <x:c r="G1229" s="7" t="str">
        <x:v>state</x:v>
      </x:c>
      <x:c r="H1229" s="10" t="str"/>
      <x:c r="I1229" s="7" t="str"/>
      <x:c r="J1229" s="7" t="str">
        <x:v>OPEN</x:v>
      </x:c>
    </x:row>
    <x:row r="1230" ht="36" customHeight="1">
      <x:c r="B1230" s="7" t="str">
        <x:v>RAE-E-39-HP-08</x:v>
      </x:c>
      <x:c r="C1230" s="7" t="str">
        <x:v>RAE-E-39</x:v>
      </x:c>
      <x:c r="D1230" s="7" t="str">
        <x:v>RFP-C1</x:v>
      </x:c>
      <x:c r="E1230" s="7" t="str">
        <x:v>HP-08</x:v>
      </x:c>
      <x:c r="F1230" s="7" t="str">
        <x:v>source</x:v>
      </x:c>
      <x:c r="G1230" s="7" t="str">
        <x:v>authority</x:v>
      </x:c>
      <x:c r="H1230" s="10" t="str"/>
      <x:c r="I1230" s="7" t="str"/>
      <x:c r="J1230" s="7" t="str">
        <x:v>OPEN</x:v>
      </x:c>
    </x:row>
    <x:row r="1231" ht="36" customHeight="1">
      <x:c r="B1231" s="7" t="str">
        <x:v>RAE-E-39-HP-09</x:v>
      </x:c>
      <x:c r="C1231" s="7" t="str">
        <x:v>RAE-E-39</x:v>
      </x:c>
      <x:c r="D1231" s="7" t="str">
        <x:v>RFP-C1</x:v>
      </x:c>
      <x:c r="E1231" s="7" t="str">
        <x:v>HP-09</x:v>
      </x:c>
      <x:c r="F1231" s="7" t="str">
        <x:v>containment</x:v>
      </x:c>
      <x:c r="G1231" s="7" t="str">
        <x:v>identity</x:v>
      </x:c>
      <x:c r="H1231" s="10" t="str"/>
      <x:c r="I1231" s="7" t="str"/>
      <x:c r="J1231" s="7" t="str">
        <x:v>OPEN</x:v>
      </x:c>
    </x:row>
    <x:row r="1232" ht="36" customHeight="1">
      <x:c r="B1232" s="7" t="str">
        <x:v>RAE-E-39-HP-10</x:v>
      </x:c>
      <x:c r="C1232" s="7" t="str">
        <x:v>RAE-E-39</x:v>
      </x:c>
      <x:c r="D1232" s="7" t="str">
        <x:v>RFP-C1</x:v>
      </x:c>
      <x:c r="E1232" s="7" t="str">
        <x:v>HP-10</x:v>
      </x:c>
      <x:c r="F1232" s="7" t="str">
        <x:v>containment</x:v>
      </x:c>
      <x:c r="G1232" s="7" t="str">
        <x:v>capacity</x:v>
      </x:c>
      <x:c r="H1232" s="10" t="str"/>
      <x:c r="I1232" s="7" t="str"/>
      <x:c r="J1232" s="7" t="str">
        <x:v>OPEN</x:v>
      </x:c>
    </x:row>
    <x:row r="1233" ht="36" customHeight="1">
      <x:c r="B1233" s="7" t="str">
        <x:v>RAE-E-39-HP-11</x:v>
      </x:c>
      <x:c r="C1233" s="7" t="str">
        <x:v>RAE-E-39</x:v>
      </x:c>
      <x:c r="D1233" s="7" t="str">
        <x:v>RFP-C1</x:v>
      </x:c>
      <x:c r="E1233" s="7" t="str">
        <x:v>HP-11</x:v>
      </x:c>
      <x:c r="F1233" s="7" t="str">
        <x:v>containment</x:v>
      </x:c>
      <x:c r="G1233" s="7" t="str">
        <x:v>state</x:v>
      </x:c>
      <x:c r="H1233" s="10" t="str"/>
      <x:c r="I1233" s="7" t="str"/>
      <x:c r="J1233" s="7" t="str">
        <x:v>OPEN</x:v>
      </x:c>
    </x:row>
    <x:row r="1234" ht="36" customHeight="1">
      <x:c r="B1234" s="7" t="str">
        <x:v>RAE-E-39-HP-12</x:v>
      </x:c>
      <x:c r="C1234" s="7" t="str">
        <x:v>RAE-E-39</x:v>
      </x:c>
      <x:c r="D1234" s="7" t="str">
        <x:v>RFP-C1</x:v>
      </x:c>
      <x:c r="E1234" s="7" t="str">
        <x:v>HP-12</x:v>
      </x:c>
      <x:c r="F1234" s="7" t="str">
        <x:v>containment</x:v>
      </x:c>
      <x:c r="G1234" s="7" t="str">
        <x:v>authority</x:v>
      </x:c>
      <x:c r="H1234" s="10" t="str"/>
      <x:c r="I1234" s="7" t="str"/>
      <x:c r="J1234" s="7" t="str">
        <x:v>OPEN</x:v>
      </x:c>
    </x:row>
    <x:row r="1235" ht="36" customHeight="1">
      <x:c r="B1235" s="7" t="str">
        <x:v>RAE-E-39-HP-13</x:v>
      </x:c>
      <x:c r="C1235" s="7" t="str">
        <x:v>RAE-E-39</x:v>
      </x:c>
      <x:c r="D1235" s="7" t="str">
        <x:v>RFP-C1</x:v>
      </x:c>
      <x:c r="E1235" s="7" t="str">
        <x:v>HP-13</x:v>
      </x:c>
      <x:c r="F1235" s="7" t="str">
        <x:v>water</x:v>
      </x:c>
      <x:c r="G1235" s="7" t="str">
        <x:v>identity</x:v>
      </x:c>
      <x:c r="H1235" s="10" t="str"/>
      <x:c r="I1235" s="7" t="str"/>
      <x:c r="J1235" s="7" t="str">
        <x:v>OPEN</x:v>
      </x:c>
    </x:row>
    <x:row r="1236" ht="36" customHeight="1">
      <x:c r="B1236" s="7" t="str">
        <x:v>RAE-E-39-HP-14</x:v>
      </x:c>
      <x:c r="C1236" s="7" t="str">
        <x:v>RAE-E-39</x:v>
      </x:c>
      <x:c r="D1236" s="7" t="str">
        <x:v>RFP-C1</x:v>
      </x:c>
      <x:c r="E1236" s="7" t="str">
        <x:v>HP-14</x:v>
      </x:c>
      <x:c r="F1236" s="7" t="str">
        <x:v>water</x:v>
      </x:c>
      <x:c r="G1236" s="7" t="str">
        <x:v>capacity</x:v>
      </x:c>
      <x:c r="H1236" s="10" t="str"/>
      <x:c r="I1236" s="7" t="str"/>
      <x:c r="J1236" s="7" t="str">
        <x:v>OPEN</x:v>
      </x:c>
    </x:row>
    <x:row r="1237" ht="36" customHeight="1">
      <x:c r="B1237" s="7" t="str">
        <x:v>RAE-E-39-HP-15</x:v>
      </x:c>
      <x:c r="C1237" s="7" t="str">
        <x:v>RAE-E-39</x:v>
      </x:c>
      <x:c r="D1237" s="7" t="str">
        <x:v>RFP-C1</x:v>
      </x:c>
      <x:c r="E1237" s="7" t="str">
        <x:v>HP-15</x:v>
      </x:c>
      <x:c r="F1237" s="7" t="str">
        <x:v>water</x:v>
      </x:c>
      <x:c r="G1237" s="7" t="str">
        <x:v>state</x:v>
      </x:c>
      <x:c r="H1237" s="10" t="str"/>
      <x:c r="I1237" s="7" t="str"/>
      <x:c r="J1237" s="7" t="str">
        <x:v>OPEN</x:v>
      </x:c>
    </x:row>
    <x:row r="1238" ht="36" customHeight="1">
      <x:c r="B1238" s="7" t="str">
        <x:v>RAE-E-39-HP-16</x:v>
      </x:c>
      <x:c r="C1238" s="7" t="str">
        <x:v>RAE-E-39</x:v>
      </x:c>
      <x:c r="D1238" s="7" t="str">
        <x:v>RFP-C1</x:v>
      </x:c>
      <x:c r="E1238" s="7" t="str">
        <x:v>HP-16</x:v>
      </x:c>
      <x:c r="F1238" s="7" t="str">
        <x:v>water</x:v>
      </x:c>
      <x:c r="G1238" s="7" t="str">
        <x:v>authority</x:v>
      </x:c>
      <x:c r="H1238" s="10" t="str"/>
      <x:c r="I1238" s="7" t="str"/>
      <x:c r="J1238" s="7" t="str">
        <x:v>OPEN</x:v>
      </x:c>
    </x:row>
    <x:row r="1239" ht="36" customHeight="1">
      <x:c r="B1239" s="7" t="str">
        <x:v>RAE-E-39-HP-17</x:v>
      </x:c>
      <x:c r="C1239" s="7" t="str">
        <x:v>RAE-E-39</x:v>
      </x:c>
      <x:c r="D1239" s="7" t="str">
        <x:v>RFP-C1</x:v>
      </x:c>
      <x:c r="E1239" s="7" t="str">
        <x:v>HP-17</x:v>
      </x:c>
      <x:c r="F1239" s="7" t="str">
        <x:v>safeing</x:v>
      </x:c>
      <x:c r="G1239" s="7" t="str">
        <x:v>identity</x:v>
      </x:c>
      <x:c r="H1239" s="10" t="str"/>
      <x:c r="I1239" s="7" t="str"/>
      <x:c r="J1239" s="7" t="str">
        <x:v>OPEN</x:v>
      </x:c>
    </x:row>
    <x:row r="1240" ht="36" customHeight="1">
      <x:c r="B1240" s="7" t="str">
        <x:v>RAE-E-39-HP-18</x:v>
      </x:c>
      <x:c r="C1240" s="7" t="str">
        <x:v>RAE-E-39</x:v>
      </x:c>
      <x:c r="D1240" s="7" t="str">
        <x:v>RFP-C1</x:v>
      </x:c>
      <x:c r="E1240" s="7" t="str">
        <x:v>HP-18</x:v>
      </x:c>
      <x:c r="F1240" s="7" t="str">
        <x:v>safeing</x:v>
      </x:c>
      <x:c r="G1240" s="7" t="str">
        <x:v>capacity</x:v>
      </x:c>
      <x:c r="H1240" s="10" t="str"/>
      <x:c r="I1240" s="7" t="str"/>
      <x:c r="J1240" s="7" t="str">
        <x:v>OPEN</x:v>
      </x:c>
    </x:row>
    <x:row r="1241" ht="36" customHeight="1">
      <x:c r="B1241" s="7" t="str">
        <x:v>RAE-E-39-HP-19</x:v>
      </x:c>
      <x:c r="C1241" s="7" t="str">
        <x:v>RAE-E-39</x:v>
      </x:c>
      <x:c r="D1241" s="7" t="str">
        <x:v>RFP-C1</x:v>
      </x:c>
      <x:c r="E1241" s="7" t="str">
        <x:v>HP-19</x:v>
      </x:c>
      <x:c r="F1241" s="7" t="str">
        <x:v>safeing</x:v>
      </x:c>
      <x:c r="G1241" s="7" t="str">
        <x:v>state</x:v>
      </x:c>
      <x:c r="H1241" s="10" t="str"/>
      <x:c r="I1241" s="7" t="str"/>
      <x:c r="J1241" s="7" t="str">
        <x:v>OPEN</x:v>
      </x:c>
    </x:row>
    <x:row r="1242" ht="36" customHeight="1">
      <x:c r="B1242" s="7" t="str">
        <x:v>RAE-E-39-HP-20</x:v>
      </x:c>
      <x:c r="C1242" s="7" t="str">
        <x:v>RAE-E-39</x:v>
      </x:c>
      <x:c r="D1242" s="7" t="str">
        <x:v>RFP-C1</x:v>
      </x:c>
      <x:c r="E1242" s="7" t="str">
        <x:v>HP-20</x:v>
      </x:c>
      <x:c r="F1242" s="7" t="str">
        <x:v>safeing</x:v>
      </x:c>
      <x:c r="G1242" s="7" t="str">
        <x:v>authority</x:v>
      </x:c>
      <x:c r="H1242" s="10" t="str"/>
      <x:c r="I1242" s="7" t="str"/>
      <x:c r="J1242" s="7" t="str">
        <x:v>OPEN</x:v>
      </x:c>
    </x:row>
    <x:row r="1243" ht="36" customHeight="1">
      <x:c r="B1243" s="7" t="str">
        <x:v>RAE-E-39-HP-21</x:v>
      </x:c>
      <x:c r="C1243" s="7" t="str">
        <x:v>RAE-E-39</x:v>
      </x:c>
      <x:c r="D1243" s="7" t="str">
        <x:v>RFP-C1</x:v>
      </x:c>
      <x:c r="E1243" s="7" t="str">
        <x:v>HP-21</x:v>
      </x:c>
      <x:c r="F1243" s="7" t="str">
        <x:v>evidence</x:v>
      </x:c>
      <x:c r="G1243" s="7" t="str">
        <x:v>identity</x:v>
      </x:c>
      <x:c r="H1243" s="10" t="str"/>
      <x:c r="I1243" s="7" t="str"/>
      <x:c r="J1243" s="7" t="str">
        <x:v>OPEN</x:v>
      </x:c>
    </x:row>
    <x:row r="1244" ht="36" customHeight="1">
      <x:c r="B1244" s="7" t="str">
        <x:v>RAE-E-39-HP-22</x:v>
      </x:c>
      <x:c r="C1244" s="7" t="str">
        <x:v>RAE-E-39</x:v>
      </x:c>
      <x:c r="D1244" s="7" t="str">
        <x:v>RFP-C1</x:v>
      </x:c>
      <x:c r="E1244" s="7" t="str">
        <x:v>HP-22</x:v>
      </x:c>
      <x:c r="F1244" s="7" t="str">
        <x:v>evidence</x:v>
      </x:c>
      <x:c r="G1244" s="7" t="str">
        <x:v>capacity</x:v>
      </x:c>
      <x:c r="H1244" s="10" t="str"/>
      <x:c r="I1244" s="7" t="str"/>
      <x:c r="J1244" s="7" t="str">
        <x:v>OPEN</x:v>
      </x:c>
    </x:row>
    <x:row r="1245" ht="36" customHeight="1">
      <x:c r="B1245" s="7" t="str">
        <x:v>RAE-E-39-HP-23</x:v>
      </x:c>
      <x:c r="C1245" s="7" t="str">
        <x:v>RAE-E-39</x:v>
      </x:c>
      <x:c r="D1245" s="7" t="str">
        <x:v>RFP-C1</x:v>
      </x:c>
      <x:c r="E1245" s="7" t="str">
        <x:v>HP-23</x:v>
      </x:c>
      <x:c r="F1245" s="7" t="str">
        <x:v>evidence</x:v>
      </x:c>
      <x:c r="G1245" s="7" t="str">
        <x:v>state</x:v>
      </x:c>
      <x:c r="H1245" s="10" t="str"/>
      <x:c r="I1245" s="7" t="str"/>
      <x:c r="J1245" s="7" t="str">
        <x:v>OPEN</x:v>
      </x:c>
    </x:row>
    <x:row r="1246" ht="36" customHeight="1">
      <x:c r="B1246" s="7" t="str">
        <x:v>RAE-E-39-HP-24</x:v>
      </x:c>
      <x:c r="C1246" s="7" t="str">
        <x:v>RAE-E-39</x:v>
      </x:c>
      <x:c r="D1246" s="7" t="str">
        <x:v>RFP-C1</x:v>
      </x:c>
      <x:c r="E1246" s="7" t="str">
        <x:v>HP-24</x:v>
      </x:c>
      <x:c r="F1246" s="7" t="str">
        <x:v>evidence</x:v>
      </x:c>
      <x:c r="G1246" s="7" t="str">
        <x:v>authority</x:v>
      </x:c>
      <x:c r="H1246" s="10" t="str"/>
      <x:c r="I1246" s="7" t="str"/>
      <x:c r="J1246" s="7" t="str">
        <x:v>OPEN</x:v>
      </x:c>
    </x:row>
    <x:row r="1247" ht="36" customHeight="1">
      <x:c r="B1247" s="7" t="str">
        <x:v>RAE-E-39-HP-25</x:v>
      </x:c>
      <x:c r="C1247" s="7" t="str">
        <x:v>RAE-E-39</x:v>
      </x:c>
      <x:c r="D1247" s="7" t="str">
        <x:v>RFP-C1</x:v>
      </x:c>
      <x:c r="E1247" s="7" t="str">
        <x:v>HP-25</x:v>
      </x:c>
      <x:c r="F1247" s="7" t="str">
        <x:v>environment</x:v>
      </x:c>
      <x:c r="G1247" s="7" t="str">
        <x:v>identity</x:v>
      </x:c>
      <x:c r="H1247" s="10" t="str"/>
      <x:c r="I1247" s="7" t="str"/>
      <x:c r="J1247" s="7" t="str">
        <x:v>OPEN</x:v>
      </x:c>
    </x:row>
    <x:row r="1248" ht="36" customHeight="1">
      <x:c r="B1248" s="7" t="str">
        <x:v>RAE-E-39-HP-26</x:v>
      </x:c>
      <x:c r="C1248" s="7" t="str">
        <x:v>RAE-E-39</x:v>
      </x:c>
      <x:c r="D1248" s="7" t="str">
        <x:v>RFP-C1</x:v>
      </x:c>
      <x:c r="E1248" s="7" t="str">
        <x:v>HP-26</x:v>
      </x:c>
      <x:c r="F1248" s="7" t="str">
        <x:v>environment</x:v>
      </x:c>
      <x:c r="G1248" s="7" t="str">
        <x:v>capacity</x:v>
      </x:c>
      <x:c r="H1248" s="10" t="str"/>
      <x:c r="I1248" s="7" t="str"/>
      <x:c r="J1248" s="7" t="str">
        <x:v>OPEN</x:v>
      </x:c>
    </x:row>
    <x:row r="1249" ht="36" customHeight="1">
      <x:c r="B1249" s="7" t="str">
        <x:v>RAE-E-39-HP-27</x:v>
      </x:c>
      <x:c r="C1249" s="7" t="str">
        <x:v>RAE-E-39</x:v>
      </x:c>
      <x:c r="D1249" s="7" t="str">
        <x:v>RFP-C1</x:v>
      </x:c>
      <x:c r="E1249" s="7" t="str">
        <x:v>HP-27</x:v>
      </x:c>
      <x:c r="F1249" s="7" t="str">
        <x:v>environment</x:v>
      </x:c>
      <x:c r="G1249" s="7" t="str">
        <x:v>state</x:v>
      </x:c>
      <x:c r="H1249" s="10" t="str"/>
      <x:c r="I1249" s="7" t="str"/>
      <x:c r="J1249" s="7" t="str">
        <x:v>OPEN</x:v>
      </x:c>
    </x:row>
    <x:row r="1250" ht="36" customHeight="1">
      <x:c r="B1250" s="7" t="str">
        <x:v>RAE-E-39-HP-28</x:v>
      </x:c>
      <x:c r="C1250" s="7" t="str">
        <x:v>RAE-E-39</x:v>
      </x:c>
      <x:c r="D1250" s="7" t="str">
        <x:v>RFP-C1</x:v>
      </x:c>
      <x:c r="E1250" s="7" t="str">
        <x:v>HP-28</x:v>
      </x:c>
      <x:c r="F1250" s="7" t="str">
        <x:v>environment</x:v>
      </x:c>
      <x:c r="G1250" s="7" t="str">
        <x:v>authority</x:v>
      </x:c>
      <x:c r="H1250" s="10" t="str"/>
      <x:c r="I1250" s="7" t="str"/>
      <x:c r="J1250" s="7" t="str">
        <x:v>OPEN</x:v>
      </x:c>
    </x:row>
    <x:row r="1251" ht="36" customHeight="1">
      <x:c r="B1251" s="7" t="str">
        <x:v>RAE-E-39-HP-29</x:v>
      </x:c>
      <x:c r="C1251" s="7" t="str">
        <x:v>RAE-E-39</x:v>
      </x:c>
      <x:c r="D1251" s="7" t="str">
        <x:v>RFP-C1</x:v>
      </x:c>
      <x:c r="E1251" s="7" t="str">
        <x:v>HP-29</x:v>
      </x:c>
      <x:c r="F1251" s="7" t="str">
        <x:v>authority</x:v>
      </x:c>
      <x:c r="G1251" s="7" t="str">
        <x:v>identity</x:v>
      </x:c>
      <x:c r="H1251" s="10" t="str"/>
      <x:c r="I1251" s="7" t="str"/>
      <x:c r="J1251" s="7" t="str">
        <x:v>OPEN</x:v>
      </x:c>
    </x:row>
    <x:row r="1252" ht="36" customHeight="1">
      <x:c r="B1252" s="7" t="str">
        <x:v>RAE-E-39-HP-30</x:v>
      </x:c>
      <x:c r="C1252" s="7" t="str">
        <x:v>RAE-E-39</x:v>
      </x:c>
      <x:c r="D1252" s="7" t="str">
        <x:v>RFP-C1</x:v>
      </x:c>
      <x:c r="E1252" s="7" t="str">
        <x:v>HP-30</x:v>
      </x:c>
      <x:c r="F1252" s="7" t="str">
        <x:v>authority</x:v>
      </x:c>
      <x:c r="G1252" s="7" t="str">
        <x:v>capacity</x:v>
      </x:c>
      <x:c r="H1252" s="10" t="str"/>
      <x:c r="I1252" s="7" t="str"/>
      <x:c r="J1252" s="7" t="str">
        <x:v>OPEN</x:v>
      </x:c>
    </x:row>
    <x:row r="1253" ht="36" customHeight="1">
      <x:c r="B1253" s="7" t="str">
        <x:v>RAE-E-39-HP-31</x:v>
      </x:c>
      <x:c r="C1253" s="7" t="str">
        <x:v>RAE-E-39</x:v>
      </x:c>
      <x:c r="D1253" s="7" t="str">
        <x:v>RFP-C1</x:v>
      </x:c>
      <x:c r="E1253" s="7" t="str">
        <x:v>HP-31</x:v>
      </x:c>
      <x:c r="F1253" s="7" t="str">
        <x:v>authority</x:v>
      </x:c>
      <x:c r="G1253" s="7" t="str">
        <x:v>state</x:v>
      </x:c>
      <x:c r="H1253" s="10" t="str"/>
      <x:c r="I1253" s="7" t="str"/>
      <x:c r="J1253" s="7" t="str">
        <x:v>OPEN</x:v>
      </x:c>
    </x:row>
    <x:row r="1254" ht="36" customHeight="1">
      <x:c r="B1254" s="7" t="str">
        <x:v>RAE-E-39-HP-32</x:v>
      </x:c>
      <x:c r="C1254" s="7" t="str">
        <x:v>RAE-E-39</x:v>
      </x:c>
      <x:c r="D1254" s="7" t="str">
        <x:v>RFP-C1</x:v>
      </x:c>
      <x:c r="E1254" s="7" t="str">
        <x:v>HP-32</x:v>
      </x:c>
      <x:c r="F1254" s="7" t="str">
        <x:v>authority</x:v>
      </x:c>
      <x:c r="G1254" s="7" t="str">
        <x:v>authority</x:v>
      </x:c>
      <x:c r="H1254" s="10" t="str"/>
      <x:c r="I1254" s="7" t="str"/>
      <x:c r="J1254" s="7" t="str">
        <x:v>OPEN</x:v>
      </x:c>
    </x:row>
    <x:row r="1255" ht="36" customHeight="1">
      <x:c r="B1255" s="7" t="str">
        <x:v>RAE-E-40-HP-01</x:v>
      </x:c>
      <x:c r="C1255" s="7" t="str">
        <x:v>RAE-E-40</x:v>
      </x:c>
      <x:c r="D1255" s="7" t="str">
        <x:v>RFP-C1</x:v>
      </x:c>
      <x:c r="E1255" s="7" t="str">
        <x:v>HP-01</x:v>
      </x:c>
      <x:c r="F1255" s="7" t="str">
        <x:v>configuration</x:v>
      </x:c>
      <x:c r="G1255" s="7" t="str">
        <x:v>identity</x:v>
      </x:c>
      <x:c r="H1255" s="10" t="str"/>
      <x:c r="I1255" s="7" t="str"/>
      <x:c r="J1255" s="7" t="str">
        <x:v>OPEN</x:v>
      </x:c>
    </x:row>
    <x:row r="1256" ht="36" customHeight="1">
      <x:c r="B1256" s="7" t="str">
        <x:v>RAE-E-40-HP-02</x:v>
      </x:c>
      <x:c r="C1256" s="7" t="str">
        <x:v>RAE-E-40</x:v>
      </x:c>
      <x:c r="D1256" s="7" t="str">
        <x:v>RFP-C1</x:v>
      </x:c>
      <x:c r="E1256" s="7" t="str">
        <x:v>HP-02</x:v>
      </x:c>
      <x:c r="F1256" s="7" t="str">
        <x:v>configuration</x:v>
      </x:c>
      <x:c r="G1256" s="7" t="str">
        <x:v>capacity</x:v>
      </x:c>
      <x:c r="H1256" s="10" t="str"/>
      <x:c r="I1256" s="7" t="str"/>
      <x:c r="J1256" s="7" t="str">
        <x:v>OPEN</x:v>
      </x:c>
    </x:row>
    <x:row r="1257" ht="36" customHeight="1">
      <x:c r="B1257" s="7" t="str">
        <x:v>RAE-E-40-HP-03</x:v>
      </x:c>
      <x:c r="C1257" s="7" t="str">
        <x:v>RAE-E-40</x:v>
      </x:c>
      <x:c r="D1257" s="7" t="str">
        <x:v>RFP-C1</x:v>
      </x:c>
      <x:c r="E1257" s="7" t="str">
        <x:v>HP-03</x:v>
      </x:c>
      <x:c r="F1257" s="7" t="str">
        <x:v>configuration</x:v>
      </x:c>
      <x:c r="G1257" s="7" t="str">
        <x:v>state</x:v>
      </x:c>
      <x:c r="H1257" s="10" t="str"/>
      <x:c r="I1257" s="7" t="str"/>
      <x:c r="J1257" s="7" t="str">
        <x:v>OPEN</x:v>
      </x:c>
    </x:row>
    <x:row r="1258" ht="36" customHeight="1">
      <x:c r="B1258" s="7" t="str">
        <x:v>RAE-E-40-HP-04</x:v>
      </x:c>
      <x:c r="C1258" s="7" t="str">
        <x:v>RAE-E-40</x:v>
      </x:c>
      <x:c r="D1258" s="7" t="str">
        <x:v>RFP-C1</x:v>
      </x:c>
      <x:c r="E1258" s="7" t="str">
        <x:v>HP-04</x:v>
      </x:c>
      <x:c r="F1258" s="7" t="str">
        <x:v>configuration</x:v>
      </x:c>
      <x:c r="G1258" s="7" t="str">
        <x:v>authority</x:v>
      </x:c>
      <x:c r="H1258" s="10" t="str"/>
      <x:c r="I1258" s="7" t="str"/>
      <x:c r="J1258" s="7" t="str">
        <x:v>OPEN</x:v>
      </x:c>
    </x:row>
    <x:row r="1259" ht="36" customHeight="1">
      <x:c r="B1259" s="7" t="str">
        <x:v>RAE-E-40-HP-05</x:v>
      </x:c>
      <x:c r="C1259" s="7" t="str">
        <x:v>RAE-E-40</x:v>
      </x:c>
      <x:c r="D1259" s="7" t="str">
        <x:v>RFP-C1</x:v>
      </x:c>
      <x:c r="E1259" s="7" t="str">
        <x:v>HP-05</x:v>
      </x:c>
      <x:c r="F1259" s="7" t="str">
        <x:v>source</x:v>
      </x:c>
      <x:c r="G1259" s="7" t="str">
        <x:v>identity</x:v>
      </x:c>
      <x:c r="H1259" s="10" t="str"/>
      <x:c r="I1259" s="7" t="str"/>
      <x:c r="J1259" s="7" t="str">
        <x:v>OPEN</x:v>
      </x:c>
    </x:row>
    <x:row r="1260" ht="36" customHeight="1">
      <x:c r="B1260" s="7" t="str">
        <x:v>RAE-E-40-HP-06</x:v>
      </x:c>
      <x:c r="C1260" s="7" t="str">
        <x:v>RAE-E-40</x:v>
      </x:c>
      <x:c r="D1260" s="7" t="str">
        <x:v>RFP-C1</x:v>
      </x:c>
      <x:c r="E1260" s="7" t="str">
        <x:v>HP-06</x:v>
      </x:c>
      <x:c r="F1260" s="7" t="str">
        <x:v>source</x:v>
      </x:c>
      <x:c r="G1260" s="7" t="str">
        <x:v>capacity</x:v>
      </x:c>
      <x:c r="H1260" s="10" t="str"/>
      <x:c r="I1260" s="7" t="str"/>
      <x:c r="J1260" s="7" t="str">
        <x:v>OPEN</x:v>
      </x:c>
    </x:row>
    <x:row r="1261" ht="36" customHeight="1">
      <x:c r="B1261" s="7" t="str">
        <x:v>RAE-E-40-HP-07</x:v>
      </x:c>
      <x:c r="C1261" s="7" t="str">
        <x:v>RAE-E-40</x:v>
      </x:c>
      <x:c r="D1261" s="7" t="str">
        <x:v>RFP-C1</x:v>
      </x:c>
      <x:c r="E1261" s="7" t="str">
        <x:v>HP-07</x:v>
      </x:c>
      <x:c r="F1261" s="7" t="str">
        <x:v>source</x:v>
      </x:c>
      <x:c r="G1261" s="7" t="str">
        <x:v>state</x:v>
      </x:c>
      <x:c r="H1261" s="10" t="str"/>
      <x:c r="I1261" s="7" t="str"/>
      <x:c r="J1261" s="7" t="str">
        <x:v>OPEN</x:v>
      </x:c>
    </x:row>
    <x:row r="1262" ht="36" customHeight="1">
      <x:c r="B1262" s="7" t="str">
        <x:v>RAE-E-40-HP-08</x:v>
      </x:c>
      <x:c r="C1262" s="7" t="str">
        <x:v>RAE-E-40</x:v>
      </x:c>
      <x:c r="D1262" s="7" t="str">
        <x:v>RFP-C1</x:v>
      </x:c>
      <x:c r="E1262" s="7" t="str">
        <x:v>HP-08</x:v>
      </x:c>
      <x:c r="F1262" s="7" t="str">
        <x:v>source</x:v>
      </x:c>
      <x:c r="G1262" s="7" t="str">
        <x:v>authority</x:v>
      </x:c>
      <x:c r="H1262" s="10" t="str"/>
      <x:c r="I1262" s="7" t="str"/>
      <x:c r="J1262" s="7" t="str">
        <x:v>OPEN</x:v>
      </x:c>
    </x:row>
    <x:row r="1263" ht="36" customHeight="1">
      <x:c r="B1263" s="7" t="str">
        <x:v>RAE-E-40-HP-09</x:v>
      </x:c>
      <x:c r="C1263" s="7" t="str">
        <x:v>RAE-E-40</x:v>
      </x:c>
      <x:c r="D1263" s="7" t="str">
        <x:v>RFP-C1</x:v>
      </x:c>
      <x:c r="E1263" s="7" t="str">
        <x:v>HP-09</x:v>
      </x:c>
      <x:c r="F1263" s="7" t="str">
        <x:v>containment</x:v>
      </x:c>
      <x:c r="G1263" s="7" t="str">
        <x:v>identity</x:v>
      </x:c>
      <x:c r="H1263" s="10" t="str"/>
      <x:c r="I1263" s="7" t="str"/>
      <x:c r="J1263" s="7" t="str">
        <x:v>OPEN</x:v>
      </x:c>
    </x:row>
    <x:row r="1264" ht="36" customHeight="1">
      <x:c r="B1264" s="7" t="str">
        <x:v>RAE-E-40-HP-10</x:v>
      </x:c>
      <x:c r="C1264" s="7" t="str">
        <x:v>RAE-E-40</x:v>
      </x:c>
      <x:c r="D1264" s="7" t="str">
        <x:v>RFP-C1</x:v>
      </x:c>
      <x:c r="E1264" s="7" t="str">
        <x:v>HP-10</x:v>
      </x:c>
      <x:c r="F1264" s="7" t="str">
        <x:v>containment</x:v>
      </x:c>
      <x:c r="G1264" s="7" t="str">
        <x:v>capacity</x:v>
      </x:c>
      <x:c r="H1264" s="10" t="str"/>
      <x:c r="I1264" s="7" t="str"/>
      <x:c r="J1264" s="7" t="str">
        <x:v>OPEN</x:v>
      </x:c>
    </x:row>
    <x:row r="1265" ht="36" customHeight="1">
      <x:c r="B1265" s="7" t="str">
        <x:v>RAE-E-40-HP-11</x:v>
      </x:c>
      <x:c r="C1265" s="7" t="str">
        <x:v>RAE-E-40</x:v>
      </x:c>
      <x:c r="D1265" s="7" t="str">
        <x:v>RFP-C1</x:v>
      </x:c>
      <x:c r="E1265" s="7" t="str">
        <x:v>HP-11</x:v>
      </x:c>
      <x:c r="F1265" s="7" t="str">
        <x:v>containment</x:v>
      </x:c>
      <x:c r="G1265" s="7" t="str">
        <x:v>state</x:v>
      </x:c>
      <x:c r="H1265" s="10" t="str"/>
      <x:c r="I1265" s="7" t="str"/>
      <x:c r="J1265" s="7" t="str">
        <x:v>OPEN</x:v>
      </x:c>
    </x:row>
    <x:row r="1266" ht="36" customHeight="1">
      <x:c r="B1266" s="7" t="str">
        <x:v>RAE-E-40-HP-12</x:v>
      </x:c>
      <x:c r="C1266" s="7" t="str">
        <x:v>RAE-E-40</x:v>
      </x:c>
      <x:c r="D1266" s="7" t="str">
        <x:v>RFP-C1</x:v>
      </x:c>
      <x:c r="E1266" s="7" t="str">
        <x:v>HP-12</x:v>
      </x:c>
      <x:c r="F1266" s="7" t="str">
        <x:v>containment</x:v>
      </x:c>
      <x:c r="G1266" s="7" t="str">
        <x:v>authority</x:v>
      </x:c>
      <x:c r="H1266" s="10" t="str"/>
      <x:c r="I1266" s="7" t="str"/>
      <x:c r="J1266" s="7" t="str">
        <x:v>OPEN</x:v>
      </x:c>
    </x:row>
    <x:row r="1267" ht="36" customHeight="1">
      <x:c r="B1267" s="7" t="str">
        <x:v>RAE-E-40-HP-13</x:v>
      </x:c>
      <x:c r="C1267" s="7" t="str">
        <x:v>RAE-E-40</x:v>
      </x:c>
      <x:c r="D1267" s="7" t="str">
        <x:v>RFP-C1</x:v>
      </x:c>
      <x:c r="E1267" s="7" t="str">
        <x:v>HP-13</x:v>
      </x:c>
      <x:c r="F1267" s="7" t="str">
        <x:v>water</x:v>
      </x:c>
      <x:c r="G1267" s="7" t="str">
        <x:v>identity</x:v>
      </x:c>
      <x:c r="H1267" s="10" t="str"/>
      <x:c r="I1267" s="7" t="str"/>
      <x:c r="J1267" s="7" t="str">
        <x:v>OPEN</x:v>
      </x:c>
    </x:row>
    <x:row r="1268" ht="36" customHeight="1">
      <x:c r="B1268" s="7" t="str">
        <x:v>RAE-E-40-HP-14</x:v>
      </x:c>
      <x:c r="C1268" s="7" t="str">
        <x:v>RAE-E-40</x:v>
      </x:c>
      <x:c r="D1268" s="7" t="str">
        <x:v>RFP-C1</x:v>
      </x:c>
      <x:c r="E1268" s="7" t="str">
        <x:v>HP-14</x:v>
      </x:c>
      <x:c r="F1268" s="7" t="str">
        <x:v>water</x:v>
      </x:c>
      <x:c r="G1268" s="7" t="str">
        <x:v>capacity</x:v>
      </x:c>
      <x:c r="H1268" s="10" t="str"/>
      <x:c r="I1268" s="7" t="str"/>
      <x:c r="J1268" s="7" t="str">
        <x:v>OPEN</x:v>
      </x:c>
    </x:row>
    <x:row r="1269" ht="36" customHeight="1">
      <x:c r="B1269" s="7" t="str">
        <x:v>RAE-E-40-HP-15</x:v>
      </x:c>
      <x:c r="C1269" s="7" t="str">
        <x:v>RAE-E-40</x:v>
      </x:c>
      <x:c r="D1269" s="7" t="str">
        <x:v>RFP-C1</x:v>
      </x:c>
      <x:c r="E1269" s="7" t="str">
        <x:v>HP-15</x:v>
      </x:c>
      <x:c r="F1269" s="7" t="str">
        <x:v>water</x:v>
      </x:c>
      <x:c r="G1269" s="7" t="str">
        <x:v>state</x:v>
      </x:c>
      <x:c r="H1269" s="10" t="str"/>
      <x:c r="I1269" s="7" t="str"/>
      <x:c r="J1269" s="7" t="str">
        <x:v>OPEN</x:v>
      </x:c>
    </x:row>
    <x:row r="1270" ht="36" customHeight="1">
      <x:c r="B1270" s="7" t="str">
        <x:v>RAE-E-40-HP-16</x:v>
      </x:c>
      <x:c r="C1270" s="7" t="str">
        <x:v>RAE-E-40</x:v>
      </x:c>
      <x:c r="D1270" s="7" t="str">
        <x:v>RFP-C1</x:v>
      </x:c>
      <x:c r="E1270" s="7" t="str">
        <x:v>HP-16</x:v>
      </x:c>
      <x:c r="F1270" s="7" t="str">
        <x:v>water</x:v>
      </x:c>
      <x:c r="G1270" s="7" t="str">
        <x:v>authority</x:v>
      </x:c>
      <x:c r="H1270" s="10" t="str"/>
      <x:c r="I1270" s="7" t="str"/>
      <x:c r="J1270" s="7" t="str">
        <x:v>OPEN</x:v>
      </x:c>
    </x:row>
    <x:row r="1271" ht="36" customHeight="1">
      <x:c r="B1271" s="7" t="str">
        <x:v>RAE-E-40-HP-17</x:v>
      </x:c>
      <x:c r="C1271" s="7" t="str">
        <x:v>RAE-E-40</x:v>
      </x:c>
      <x:c r="D1271" s="7" t="str">
        <x:v>RFP-C1</x:v>
      </x:c>
      <x:c r="E1271" s="7" t="str">
        <x:v>HP-17</x:v>
      </x:c>
      <x:c r="F1271" s="7" t="str">
        <x:v>safeing</x:v>
      </x:c>
      <x:c r="G1271" s="7" t="str">
        <x:v>identity</x:v>
      </x:c>
      <x:c r="H1271" s="10" t="str"/>
      <x:c r="I1271" s="7" t="str"/>
      <x:c r="J1271" s="7" t="str">
        <x:v>OPEN</x:v>
      </x:c>
    </x:row>
    <x:row r="1272" ht="36" customHeight="1">
      <x:c r="B1272" s="7" t="str">
        <x:v>RAE-E-40-HP-18</x:v>
      </x:c>
      <x:c r="C1272" s="7" t="str">
        <x:v>RAE-E-40</x:v>
      </x:c>
      <x:c r="D1272" s="7" t="str">
        <x:v>RFP-C1</x:v>
      </x:c>
      <x:c r="E1272" s="7" t="str">
        <x:v>HP-18</x:v>
      </x:c>
      <x:c r="F1272" s="7" t="str">
        <x:v>safeing</x:v>
      </x:c>
      <x:c r="G1272" s="7" t="str">
        <x:v>capacity</x:v>
      </x:c>
      <x:c r="H1272" s="10" t="str"/>
      <x:c r="I1272" s="7" t="str"/>
      <x:c r="J1272" s="7" t="str">
        <x:v>OPEN</x:v>
      </x:c>
    </x:row>
    <x:row r="1273" ht="36" customHeight="1">
      <x:c r="B1273" s="7" t="str">
        <x:v>RAE-E-40-HP-19</x:v>
      </x:c>
      <x:c r="C1273" s="7" t="str">
        <x:v>RAE-E-40</x:v>
      </x:c>
      <x:c r="D1273" s="7" t="str">
        <x:v>RFP-C1</x:v>
      </x:c>
      <x:c r="E1273" s="7" t="str">
        <x:v>HP-19</x:v>
      </x:c>
      <x:c r="F1273" s="7" t="str">
        <x:v>safeing</x:v>
      </x:c>
      <x:c r="G1273" s="7" t="str">
        <x:v>state</x:v>
      </x:c>
      <x:c r="H1273" s="10" t="str"/>
      <x:c r="I1273" s="7" t="str"/>
      <x:c r="J1273" s="7" t="str">
        <x:v>OPEN</x:v>
      </x:c>
    </x:row>
    <x:row r="1274" ht="36" customHeight="1">
      <x:c r="B1274" s="7" t="str">
        <x:v>RAE-E-40-HP-20</x:v>
      </x:c>
      <x:c r="C1274" s="7" t="str">
        <x:v>RAE-E-40</x:v>
      </x:c>
      <x:c r="D1274" s="7" t="str">
        <x:v>RFP-C1</x:v>
      </x:c>
      <x:c r="E1274" s="7" t="str">
        <x:v>HP-20</x:v>
      </x:c>
      <x:c r="F1274" s="7" t="str">
        <x:v>safeing</x:v>
      </x:c>
      <x:c r="G1274" s="7" t="str">
        <x:v>authority</x:v>
      </x:c>
      <x:c r="H1274" s="10" t="str"/>
      <x:c r="I1274" s="7" t="str"/>
      <x:c r="J1274" s="7" t="str">
        <x:v>OPEN</x:v>
      </x:c>
    </x:row>
    <x:row r="1275" ht="36" customHeight="1">
      <x:c r="B1275" s="7" t="str">
        <x:v>RAE-E-40-HP-21</x:v>
      </x:c>
      <x:c r="C1275" s="7" t="str">
        <x:v>RAE-E-40</x:v>
      </x:c>
      <x:c r="D1275" s="7" t="str">
        <x:v>RFP-C1</x:v>
      </x:c>
      <x:c r="E1275" s="7" t="str">
        <x:v>HP-21</x:v>
      </x:c>
      <x:c r="F1275" s="7" t="str">
        <x:v>evidence</x:v>
      </x:c>
      <x:c r="G1275" s="7" t="str">
        <x:v>identity</x:v>
      </x:c>
      <x:c r="H1275" s="10" t="str"/>
      <x:c r="I1275" s="7" t="str"/>
      <x:c r="J1275" s="7" t="str">
        <x:v>OPEN</x:v>
      </x:c>
    </x:row>
    <x:row r="1276" ht="36" customHeight="1">
      <x:c r="B1276" s="7" t="str">
        <x:v>RAE-E-40-HP-22</x:v>
      </x:c>
      <x:c r="C1276" s="7" t="str">
        <x:v>RAE-E-40</x:v>
      </x:c>
      <x:c r="D1276" s="7" t="str">
        <x:v>RFP-C1</x:v>
      </x:c>
      <x:c r="E1276" s="7" t="str">
        <x:v>HP-22</x:v>
      </x:c>
      <x:c r="F1276" s="7" t="str">
        <x:v>evidence</x:v>
      </x:c>
      <x:c r="G1276" s="7" t="str">
        <x:v>capacity</x:v>
      </x:c>
      <x:c r="H1276" s="10" t="str"/>
      <x:c r="I1276" s="7" t="str"/>
      <x:c r="J1276" s="7" t="str">
        <x:v>OPEN</x:v>
      </x:c>
    </x:row>
    <x:row r="1277" ht="36" customHeight="1">
      <x:c r="B1277" s="7" t="str">
        <x:v>RAE-E-40-HP-23</x:v>
      </x:c>
      <x:c r="C1277" s="7" t="str">
        <x:v>RAE-E-40</x:v>
      </x:c>
      <x:c r="D1277" s="7" t="str">
        <x:v>RFP-C1</x:v>
      </x:c>
      <x:c r="E1277" s="7" t="str">
        <x:v>HP-23</x:v>
      </x:c>
      <x:c r="F1277" s="7" t="str">
        <x:v>evidence</x:v>
      </x:c>
      <x:c r="G1277" s="7" t="str">
        <x:v>state</x:v>
      </x:c>
      <x:c r="H1277" s="10" t="str"/>
      <x:c r="I1277" s="7" t="str"/>
      <x:c r="J1277" s="7" t="str">
        <x:v>OPEN</x:v>
      </x:c>
    </x:row>
    <x:row r="1278" ht="36" customHeight="1">
      <x:c r="B1278" s="7" t="str">
        <x:v>RAE-E-40-HP-24</x:v>
      </x:c>
      <x:c r="C1278" s="7" t="str">
        <x:v>RAE-E-40</x:v>
      </x:c>
      <x:c r="D1278" s="7" t="str">
        <x:v>RFP-C1</x:v>
      </x:c>
      <x:c r="E1278" s="7" t="str">
        <x:v>HP-24</x:v>
      </x:c>
      <x:c r="F1278" s="7" t="str">
        <x:v>evidence</x:v>
      </x:c>
      <x:c r="G1278" s="7" t="str">
        <x:v>authority</x:v>
      </x:c>
      <x:c r="H1278" s="10" t="str"/>
      <x:c r="I1278" s="7" t="str"/>
      <x:c r="J1278" s="7" t="str">
        <x:v>OPEN</x:v>
      </x:c>
    </x:row>
    <x:row r="1279" ht="36" customHeight="1">
      <x:c r="B1279" s="7" t="str">
        <x:v>RAE-E-40-HP-25</x:v>
      </x:c>
      <x:c r="C1279" s="7" t="str">
        <x:v>RAE-E-40</x:v>
      </x:c>
      <x:c r="D1279" s="7" t="str">
        <x:v>RFP-C1</x:v>
      </x:c>
      <x:c r="E1279" s="7" t="str">
        <x:v>HP-25</x:v>
      </x:c>
      <x:c r="F1279" s="7" t="str">
        <x:v>environment</x:v>
      </x:c>
      <x:c r="G1279" s="7" t="str">
        <x:v>identity</x:v>
      </x:c>
      <x:c r="H1279" s="10" t="str"/>
      <x:c r="I1279" s="7" t="str"/>
      <x:c r="J1279" s="7" t="str">
        <x:v>OPEN</x:v>
      </x:c>
    </x:row>
    <x:row r="1280" ht="36" customHeight="1">
      <x:c r="B1280" s="7" t="str">
        <x:v>RAE-E-40-HP-26</x:v>
      </x:c>
      <x:c r="C1280" s="7" t="str">
        <x:v>RAE-E-40</x:v>
      </x:c>
      <x:c r="D1280" s="7" t="str">
        <x:v>RFP-C1</x:v>
      </x:c>
      <x:c r="E1280" s="7" t="str">
        <x:v>HP-26</x:v>
      </x:c>
      <x:c r="F1280" s="7" t="str">
        <x:v>environment</x:v>
      </x:c>
      <x:c r="G1280" s="7" t="str">
        <x:v>capacity</x:v>
      </x:c>
      <x:c r="H1280" s="10" t="str"/>
      <x:c r="I1280" s="7" t="str"/>
      <x:c r="J1280" s="7" t="str">
        <x:v>OPEN</x:v>
      </x:c>
    </x:row>
    <x:row r="1281" ht="36" customHeight="1">
      <x:c r="B1281" s="7" t="str">
        <x:v>RAE-E-40-HP-27</x:v>
      </x:c>
      <x:c r="C1281" s="7" t="str">
        <x:v>RAE-E-40</x:v>
      </x:c>
      <x:c r="D1281" s="7" t="str">
        <x:v>RFP-C1</x:v>
      </x:c>
      <x:c r="E1281" s="7" t="str">
        <x:v>HP-27</x:v>
      </x:c>
      <x:c r="F1281" s="7" t="str">
        <x:v>environment</x:v>
      </x:c>
      <x:c r="G1281" s="7" t="str">
        <x:v>state</x:v>
      </x:c>
      <x:c r="H1281" s="10" t="str"/>
      <x:c r="I1281" s="7" t="str"/>
      <x:c r="J1281" s="7" t="str">
        <x:v>OPEN</x:v>
      </x:c>
    </x:row>
    <x:row r="1282" ht="36" customHeight="1">
      <x:c r="B1282" s="7" t="str">
        <x:v>RAE-E-40-HP-28</x:v>
      </x:c>
      <x:c r="C1282" s="7" t="str">
        <x:v>RAE-E-40</x:v>
      </x:c>
      <x:c r="D1282" s="7" t="str">
        <x:v>RFP-C1</x:v>
      </x:c>
      <x:c r="E1282" s="7" t="str">
        <x:v>HP-28</x:v>
      </x:c>
      <x:c r="F1282" s="7" t="str">
        <x:v>environment</x:v>
      </x:c>
      <x:c r="G1282" s="7" t="str">
        <x:v>authority</x:v>
      </x:c>
      <x:c r="H1282" s="10" t="str"/>
      <x:c r="I1282" s="7" t="str"/>
      <x:c r="J1282" s="7" t="str">
        <x:v>OPEN</x:v>
      </x:c>
    </x:row>
    <x:row r="1283" ht="36" customHeight="1">
      <x:c r="B1283" s="7" t="str">
        <x:v>RAE-E-40-HP-29</x:v>
      </x:c>
      <x:c r="C1283" s="7" t="str">
        <x:v>RAE-E-40</x:v>
      </x:c>
      <x:c r="D1283" s="7" t="str">
        <x:v>RFP-C1</x:v>
      </x:c>
      <x:c r="E1283" s="7" t="str">
        <x:v>HP-29</x:v>
      </x:c>
      <x:c r="F1283" s="7" t="str">
        <x:v>authority</x:v>
      </x:c>
      <x:c r="G1283" s="7" t="str">
        <x:v>identity</x:v>
      </x:c>
      <x:c r="H1283" s="10" t="str"/>
      <x:c r="I1283" s="7" t="str"/>
      <x:c r="J1283" s="7" t="str">
        <x:v>OPEN</x:v>
      </x:c>
    </x:row>
    <x:row r="1284" ht="36" customHeight="1">
      <x:c r="B1284" s="7" t="str">
        <x:v>RAE-E-40-HP-30</x:v>
      </x:c>
      <x:c r="C1284" s="7" t="str">
        <x:v>RAE-E-40</x:v>
      </x:c>
      <x:c r="D1284" s="7" t="str">
        <x:v>RFP-C1</x:v>
      </x:c>
      <x:c r="E1284" s="7" t="str">
        <x:v>HP-30</x:v>
      </x:c>
      <x:c r="F1284" s="7" t="str">
        <x:v>authority</x:v>
      </x:c>
      <x:c r="G1284" s="7" t="str">
        <x:v>capacity</x:v>
      </x:c>
      <x:c r="H1284" s="10" t="str"/>
      <x:c r="I1284" s="7" t="str"/>
      <x:c r="J1284" s="7" t="str">
        <x:v>OPEN</x:v>
      </x:c>
    </x:row>
    <x:row r="1285" ht="36" customHeight="1">
      <x:c r="B1285" s="7" t="str">
        <x:v>RAE-E-40-HP-31</x:v>
      </x:c>
      <x:c r="C1285" s="7" t="str">
        <x:v>RAE-E-40</x:v>
      </x:c>
      <x:c r="D1285" s="7" t="str">
        <x:v>RFP-C1</x:v>
      </x:c>
      <x:c r="E1285" s="7" t="str">
        <x:v>HP-31</x:v>
      </x:c>
      <x:c r="F1285" s="7" t="str">
        <x:v>authority</x:v>
      </x:c>
      <x:c r="G1285" s="7" t="str">
        <x:v>state</x:v>
      </x:c>
      <x:c r="H1285" s="10" t="str"/>
      <x:c r="I1285" s="7" t="str"/>
      <x:c r="J1285" s="7" t="str">
        <x:v>OPEN</x:v>
      </x:c>
    </x:row>
    <x:row r="1286" ht="36" customHeight="1">
      <x:c r="B1286" s="7" t="str">
        <x:v>RAE-E-40-HP-32</x:v>
      </x:c>
      <x:c r="C1286" s="7" t="str">
        <x:v>RAE-E-40</x:v>
      </x:c>
      <x:c r="D1286" s="7" t="str">
        <x:v>RFP-C1</x:v>
      </x:c>
      <x:c r="E1286" s="7" t="str">
        <x:v>HP-32</x:v>
      </x:c>
      <x:c r="F1286" s="7" t="str">
        <x:v>authority</x:v>
      </x:c>
      <x:c r="G1286" s="7" t="str">
        <x:v>authority</x:v>
      </x:c>
      <x:c r="H1286" s="10" t="str"/>
      <x:c r="I1286" s="7" t="str"/>
      <x:c r="J1286" s="7" t="str">
        <x:v>OPEN</x:v>
      </x:c>
    </x:row>
    <x:row r="1287" ht="36" customHeight="1">
      <x:c r="B1287" s="7" t="str">
        <x:v>RAE-E-41-HP-01</x:v>
      </x:c>
      <x:c r="C1287" s="7" t="str">
        <x:v>RAE-E-41</x:v>
      </x:c>
      <x:c r="D1287" s="7" t="str">
        <x:v>RFP-C2</x:v>
      </x:c>
      <x:c r="E1287" s="7" t="str">
        <x:v>HP-01</x:v>
      </x:c>
      <x:c r="F1287" s="7" t="str">
        <x:v>configuration</x:v>
      </x:c>
      <x:c r="G1287" s="7" t="str">
        <x:v>identity</x:v>
      </x:c>
      <x:c r="H1287" s="10" t="str"/>
      <x:c r="I1287" s="7" t="str"/>
      <x:c r="J1287" s="7" t="str">
        <x:v>OPEN</x:v>
      </x:c>
    </x:row>
    <x:row r="1288" ht="36" customHeight="1">
      <x:c r="B1288" s="7" t="str">
        <x:v>RAE-E-41-HP-02</x:v>
      </x:c>
      <x:c r="C1288" s="7" t="str">
        <x:v>RAE-E-41</x:v>
      </x:c>
      <x:c r="D1288" s="7" t="str">
        <x:v>RFP-C2</x:v>
      </x:c>
      <x:c r="E1288" s="7" t="str">
        <x:v>HP-02</x:v>
      </x:c>
      <x:c r="F1288" s="7" t="str">
        <x:v>configuration</x:v>
      </x:c>
      <x:c r="G1288" s="7" t="str">
        <x:v>capacity</x:v>
      </x:c>
      <x:c r="H1288" s="10" t="str"/>
      <x:c r="I1288" s="7" t="str"/>
      <x:c r="J1288" s="7" t="str">
        <x:v>OPEN</x:v>
      </x:c>
    </x:row>
    <x:row r="1289" ht="36" customHeight="1">
      <x:c r="B1289" s="7" t="str">
        <x:v>RAE-E-41-HP-03</x:v>
      </x:c>
      <x:c r="C1289" s="7" t="str">
        <x:v>RAE-E-41</x:v>
      </x:c>
      <x:c r="D1289" s="7" t="str">
        <x:v>RFP-C2</x:v>
      </x:c>
      <x:c r="E1289" s="7" t="str">
        <x:v>HP-03</x:v>
      </x:c>
      <x:c r="F1289" s="7" t="str">
        <x:v>configuration</x:v>
      </x:c>
      <x:c r="G1289" s="7" t="str">
        <x:v>state</x:v>
      </x:c>
      <x:c r="H1289" s="10" t="str"/>
      <x:c r="I1289" s="7" t="str"/>
      <x:c r="J1289" s="7" t="str">
        <x:v>OPEN</x:v>
      </x:c>
    </x:row>
    <x:row r="1290" ht="36" customHeight="1">
      <x:c r="B1290" s="7" t="str">
        <x:v>RAE-E-41-HP-04</x:v>
      </x:c>
      <x:c r="C1290" s="7" t="str">
        <x:v>RAE-E-41</x:v>
      </x:c>
      <x:c r="D1290" s="7" t="str">
        <x:v>RFP-C2</x:v>
      </x:c>
      <x:c r="E1290" s="7" t="str">
        <x:v>HP-04</x:v>
      </x:c>
      <x:c r="F1290" s="7" t="str">
        <x:v>configuration</x:v>
      </x:c>
      <x:c r="G1290" s="7" t="str">
        <x:v>authority</x:v>
      </x:c>
      <x:c r="H1290" s="10" t="str"/>
      <x:c r="I1290" s="7" t="str"/>
      <x:c r="J1290" s="7" t="str">
        <x:v>OPEN</x:v>
      </x:c>
    </x:row>
    <x:row r="1291" ht="36" customHeight="1">
      <x:c r="B1291" s="7" t="str">
        <x:v>RAE-E-41-HP-05</x:v>
      </x:c>
      <x:c r="C1291" s="7" t="str">
        <x:v>RAE-E-41</x:v>
      </x:c>
      <x:c r="D1291" s="7" t="str">
        <x:v>RFP-C2</x:v>
      </x:c>
      <x:c r="E1291" s="7" t="str">
        <x:v>HP-05</x:v>
      </x:c>
      <x:c r="F1291" s="7" t="str">
        <x:v>source</x:v>
      </x:c>
      <x:c r="G1291" s="7" t="str">
        <x:v>identity</x:v>
      </x:c>
      <x:c r="H1291" s="10" t="str"/>
      <x:c r="I1291" s="7" t="str"/>
      <x:c r="J1291" s="7" t="str">
        <x:v>OPEN</x:v>
      </x:c>
    </x:row>
    <x:row r="1292" ht="36" customHeight="1">
      <x:c r="B1292" s="7" t="str">
        <x:v>RAE-E-41-HP-06</x:v>
      </x:c>
      <x:c r="C1292" s="7" t="str">
        <x:v>RAE-E-41</x:v>
      </x:c>
      <x:c r="D1292" s="7" t="str">
        <x:v>RFP-C2</x:v>
      </x:c>
      <x:c r="E1292" s="7" t="str">
        <x:v>HP-06</x:v>
      </x:c>
      <x:c r="F1292" s="7" t="str">
        <x:v>source</x:v>
      </x:c>
      <x:c r="G1292" s="7" t="str">
        <x:v>capacity</x:v>
      </x:c>
      <x:c r="H1292" s="10" t="str"/>
      <x:c r="I1292" s="7" t="str"/>
      <x:c r="J1292" s="7" t="str">
        <x:v>OPEN</x:v>
      </x:c>
    </x:row>
    <x:row r="1293" ht="36" customHeight="1">
      <x:c r="B1293" s="7" t="str">
        <x:v>RAE-E-41-HP-07</x:v>
      </x:c>
      <x:c r="C1293" s="7" t="str">
        <x:v>RAE-E-41</x:v>
      </x:c>
      <x:c r="D1293" s="7" t="str">
        <x:v>RFP-C2</x:v>
      </x:c>
      <x:c r="E1293" s="7" t="str">
        <x:v>HP-07</x:v>
      </x:c>
      <x:c r="F1293" s="7" t="str">
        <x:v>source</x:v>
      </x:c>
      <x:c r="G1293" s="7" t="str">
        <x:v>state</x:v>
      </x:c>
      <x:c r="H1293" s="10" t="str"/>
      <x:c r="I1293" s="7" t="str"/>
      <x:c r="J1293" s="7" t="str">
        <x:v>OPEN</x:v>
      </x:c>
    </x:row>
    <x:row r="1294" ht="36" customHeight="1">
      <x:c r="B1294" s="7" t="str">
        <x:v>RAE-E-41-HP-08</x:v>
      </x:c>
      <x:c r="C1294" s="7" t="str">
        <x:v>RAE-E-41</x:v>
      </x:c>
      <x:c r="D1294" s="7" t="str">
        <x:v>RFP-C2</x:v>
      </x:c>
      <x:c r="E1294" s="7" t="str">
        <x:v>HP-08</x:v>
      </x:c>
      <x:c r="F1294" s="7" t="str">
        <x:v>source</x:v>
      </x:c>
      <x:c r="G1294" s="7" t="str">
        <x:v>authority</x:v>
      </x:c>
      <x:c r="H1294" s="10" t="str"/>
      <x:c r="I1294" s="7" t="str"/>
      <x:c r="J1294" s="7" t="str">
        <x:v>OPEN</x:v>
      </x:c>
    </x:row>
    <x:row r="1295" ht="36" customHeight="1">
      <x:c r="B1295" s="7" t="str">
        <x:v>RAE-E-41-HP-09</x:v>
      </x:c>
      <x:c r="C1295" s="7" t="str">
        <x:v>RAE-E-41</x:v>
      </x:c>
      <x:c r="D1295" s="7" t="str">
        <x:v>RFP-C2</x:v>
      </x:c>
      <x:c r="E1295" s="7" t="str">
        <x:v>HP-09</x:v>
      </x:c>
      <x:c r="F1295" s="7" t="str">
        <x:v>containment</x:v>
      </x:c>
      <x:c r="G1295" s="7" t="str">
        <x:v>identity</x:v>
      </x:c>
      <x:c r="H1295" s="10" t="str"/>
      <x:c r="I1295" s="7" t="str"/>
      <x:c r="J1295" s="7" t="str">
        <x:v>OPEN</x:v>
      </x:c>
    </x:row>
    <x:row r="1296" ht="36" customHeight="1">
      <x:c r="B1296" s="7" t="str">
        <x:v>RAE-E-41-HP-10</x:v>
      </x:c>
      <x:c r="C1296" s="7" t="str">
        <x:v>RAE-E-41</x:v>
      </x:c>
      <x:c r="D1296" s="7" t="str">
        <x:v>RFP-C2</x:v>
      </x:c>
      <x:c r="E1296" s="7" t="str">
        <x:v>HP-10</x:v>
      </x:c>
      <x:c r="F1296" s="7" t="str">
        <x:v>containment</x:v>
      </x:c>
      <x:c r="G1296" s="7" t="str">
        <x:v>capacity</x:v>
      </x:c>
      <x:c r="H1296" s="10" t="str"/>
      <x:c r="I1296" s="7" t="str"/>
      <x:c r="J1296" s="7" t="str">
        <x:v>OPEN</x:v>
      </x:c>
    </x:row>
    <x:row r="1297" ht="36" customHeight="1">
      <x:c r="B1297" s="7" t="str">
        <x:v>RAE-E-41-HP-11</x:v>
      </x:c>
      <x:c r="C1297" s="7" t="str">
        <x:v>RAE-E-41</x:v>
      </x:c>
      <x:c r="D1297" s="7" t="str">
        <x:v>RFP-C2</x:v>
      </x:c>
      <x:c r="E1297" s="7" t="str">
        <x:v>HP-11</x:v>
      </x:c>
      <x:c r="F1297" s="7" t="str">
        <x:v>containment</x:v>
      </x:c>
      <x:c r="G1297" s="7" t="str">
        <x:v>state</x:v>
      </x:c>
      <x:c r="H1297" s="10" t="str"/>
      <x:c r="I1297" s="7" t="str"/>
      <x:c r="J1297" s="7" t="str">
        <x:v>OPEN</x:v>
      </x:c>
    </x:row>
    <x:row r="1298" ht="36" customHeight="1">
      <x:c r="B1298" s="7" t="str">
        <x:v>RAE-E-41-HP-12</x:v>
      </x:c>
      <x:c r="C1298" s="7" t="str">
        <x:v>RAE-E-41</x:v>
      </x:c>
      <x:c r="D1298" s="7" t="str">
        <x:v>RFP-C2</x:v>
      </x:c>
      <x:c r="E1298" s="7" t="str">
        <x:v>HP-12</x:v>
      </x:c>
      <x:c r="F1298" s="7" t="str">
        <x:v>containment</x:v>
      </x:c>
      <x:c r="G1298" s="7" t="str">
        <x:v>authority</x:v>
      </x:c>
      <x:c r="H1298" s="10" t="str"/>
      <x:c r="I1298" s="7" t="str"/>
      <x:c r="J1298" s="7" t="str">
        <x:v>OPEN</x:v>
      </x:c>
    </x:row>
    <x:row r="1299" ht="36" customHeight="1">
      <x:c r="B1299" s="7" t="str">
        <x:v>RAE-E-41-HP-13</x:v>
      </x:c>
      <x:c r="C1299" s="7" t="str">
        <x:v>RAE-E-41</x:v>
      </x:c>
      <x:c r="D1299" s="7" t="str">
        <x:v>RFP-C2</x:v>
      </x:c>
      <x:c r="E1299" s="7" t="str">
        <x:v>HP-13</x:v>
      </x:c>
      <x:c r="F1299" s="7" t="str">
        <x:v>water</x:v>
      </x:c>
      <x:c r="G1299" s="7" t="str">
        <x:v>identity</x:v>
      </x:c>
      <x:c r="H1299" s="10" t="str"/>
      <x:c r="I1299" s="7" t="str"/>
      <x:c r="J1299" s="7" t="str">
        <x:v>OPEN</x:v>
      </x:c>
    </x:row>
    <x:row r="1300" ht="36" customHeight="1">
      <x:c r="B1300" s="7" t="str">
        <x:v>RAE-E-41-HP-14</x:v>
      </x:c>
      <x:c r="C1300" s="7" t="str">
        <x:v>RAE-E-41</x:v>
      </x:c>
      <x:c r="D1300" s="7" t="str">
        <x:v>RFP-C2</x:v>
      </x:c>
      <x:c r="E1300" s="7" t="str">
        <x:v>HP-14</x:v>
      </x:c>
      <x:c r="F1300" s="7" t="str">
        <x:v>water</x:v>
      </x:c>
      <x:c r="G1300" s="7" t="str">
        <x:v>capacity</x:v>
      </x:c>
      <x:c r="H1300" s="10" t="str"/>
      <x:c r="I1300" s="7" t="str"/>
      <x:c r="J1300" s="7" t="str">
        <x:v>OPEN</x:v>
      </x:c>
    </x:row>
    <x:row r="1301" ht="36" customHeight="1">
      <x:c r="B1301" s="7" t="str">
        <x:v>RAE-E-41-HP-15</x:v>
      </x:c>
      <x:c r="C1301" s="7" t="str">
        <x:v>RAE-E-41</x:v>
      </x:c>
      <x:c r="D1301" s="7" t="str">
        <x:v>RFP-C2</x:v>
      </x:c>
      <x:c r="E1301" s="7" t="str">
        <x:v>HP-15</x:v>
      </x:c>
      <x:c r="F1301" s="7" t="str">
        <x:v>water</x:v>
      </x:c>
      <x:c r="G1301" s="7" t="str">
        <x:v>state</x:v>
      </x:c>
      <x:c r="H1301" s="10" t="str"/>
      <x:c r="I1301" s="7" t="str"/>
      <x:c r="J1301" s="7" t="str">
        <x:v>OPEN</x:v>
      </x:c>
    </x:row>
    <x:row r="1302" ht="36" customHeight="1">
      <x:c r="B1302" s="7" t="str">
        <x:v>RAE-E-41-HP-16</x:v>
      </x:c>
      <x:c r="C1302" s="7" t="str">
        <x:v>RAE-E-41</x:v>
      </x:c>
      <x:c r="D1302" s="7" t="str">
        <x:v>RFP-C2</x:v>
      </x:c>
      <x:c r="E1302" s="7" t="str">
        <x:v>HP-16</x:v>
      </x:c>
      <x:c r="F1302" s="7" t="str">
        <x:v>water</x:v>
      </x:c>
      <x:c r="G1302" s="7" t="str">
        <x:v>authority</x:v>
      </x:c>
      <x:c r="H1302" s="10" t="str"/>
      <x:c r="I1302" s="7" t="str"/>
      <x:c r="J1302" s="7" t="str">
        <x:v>OPEN</x:v>
      </x:c>
    </x:row>
    <x:row r="1303" ht="36" customHeight="1">
      <x:c r="B1303" s="7" t="str">
        <x:v>RAE-E-41-HP-17</x:v>
      </x:c>
      <x:c r="C1303" s="7" t="str">
        <x:v>RAE-E-41</x:v>
      </x:c>
      <x:c r="D1303" s="7" t="str">
        <x:v>RFP-C2</x:v>
      </x:c>
      <x:c r="E1303" s="7" t="str">
        <x:v>HP-17</x:v>
      </x:c>
      <x:c r="F1303" s="7" t="str">
        <x:v>safeing</x:v>
      </x:c>
      <x:c r="G1303" s="7" t="str">
        <x:v>identity</x:v>
      </x:c>
      <x:c r="H1303" s="10" t="str"/>
      <x:c r="I1303" s="7" t="str"/>
      <x:c r="J1303" s="7" t="str">
        <x:v>OPEN</x:v>
      </x:c>
    </x:row>
    <x:row r="1304" ht="36" customHeight="1">
      <x:c r="B1304" s="7" t="str">
        <x:v>RAE-E-41-HP-18</x:v>
      </x:c>
      <x:c r="C1304" s="7" t="str">
        <x:v>RAE-E-41</x:v>
      </x:c>
      <x:c r="D1304" s="7" t="str">
        <x:v>RFP-C2</x:v>
      </x:c>
      <x:c r="E1304" s="7" t="str">
        <x:v>HP-18</x:v>
      </x:c>
      <x:c r="F1304" s="7" t="str">
        <x:v>safeing</x:v>
      </x:c>
      <x:c r="G1304" s="7" t="str">
        <x:v>capacity</x:v>
      </x:c>
      <x:c r="H1304" s="10" t="str"/>
      <x:c r="I1304" s="7" t="str"/>
      <x:c r="J1304" s="7" t="str">
        <x:v>OPEN</x:v>
      </x:c>
    </x:row>
    <x:row r="1305" ht="36" customHeight="1">
      <x:c r="B1305" s="7" t="str">
        <x:v>RAE-E-41-HP-19</x:v>
      </x:c>
      <x:c r="C1305" s="7" t="str">
        <x:v>RAE-E-41</x:v>
      </x:c>
      <x:c r="D1305" s="7" t="str">
        <x:v>RFP-C2</x:v>
      </x:c>
      <x:c r="E1305" s="7" t="str">
        <x:v>HP-19</x:v>
      </x:c>
      <x:c r="F1305" s="7" t="str">
        <x:v>safeing</x:v>
      </x:c>
      <x:c r="G1305" s="7" t="str">
        <x:v>state</x:v>
      </x:c>
      <x:c r="H1305" s="10" t="str"/>
      <x:c r="I1305" s="7" t="str"/>
      <x:c r="J1305" s="7" t="str">
        <x:v>OPEN</x:v>
      </x:c>
    </x:row>
    <x:row r="1306" ht="36" customHeight="1">
      <x:c r="B1306" s="7" t="str">
        <x:v>RAE-E-41-HP-20</x:v>
      </x:c>
      <x:c r="C1306" s="7" t="str">
        <x:v>RAE-E-41</x:v>
      </x:c>
      <x:c r="D1306" s="7" t="str">
        <x:v>RFP-C2</x:v>
      </x:c>
      <x:c r="E1306" s="7" t="str">
        <x:v>HP-20</x:v>
      </x:c>
      <x:c r="F1306" s="7" t="str">
        <x:v>safeing</x:v>
      </x:c>
      <x:c r="G1306" s="7" t="str">
        <x:v>authority</x:v>
      </x:c>
      <x:c r="H1306" s="10" t="str"/>
      <x:c r="I1306" s="7" t="str"/>
      <x:c r="J1306" s="7" t="str">
        <x:v>OPEN</x:v>
      </x:c>
    </x:row>
    <x:row r="1307" ht="36" customHeight="1">
      <x:c r="B1307" s="7" t="str">
        <x:v>RAE-E-41-HP-21</x:v>
      </x:c>
      <x:c r="C1307" s="7" t="str">
        <x:v>RAE-E-41</x:v>
      </x:c>
      <x:c r="D1307" s="7" t="str">
        <x:v>RFP-C2</x:v>
      </x:c>
      <x:c r="E1307" s="7" t="str">
        <x:v>HP-21</x:v>
      </x:c>
      <x:c r="F1307" s="7" t="str">
        <x:v>evidence</x:v>
      </x:c>
      <x:c r="G1307" s="7" t="str">
        <x:v>identity</x:v>
      </x:c>
      <x:c r="H1307" s="10" t="str"/>
      <x:c r="I1307" s="7" t="str"/>
      <x:c r="J1307" s="7" t="str">
        <x:v>OPEN</x:v>
      </x:c>
    </x:row>
    <x:row r="1308" ht="36" customHeight="1">
      <x:c r="B1308" s="7" t="str">
        <x:v>RAE-E-41-HP-22</x:v>
      </x:c>
      <x:c r="C1308" s="7" t="str">
        <x:v>RAE-E-41</x:v>
      </x:c>
      <x:c r="D1308" s="7" t="str">
        <x:v>RFP-C2</x:v>
      </x:c>
      <x:c r="E1308" s="7" t="str">
        <x:v>HP-22</x:v>
      </x:c>
      <x:c r="F1308" s="7" t="str">
        <x:v>evidence</x:v>
      </x:c>
      <x:c r="G1308" s="7" t="str">
        <x:v>capacity</x:v>
      </x:c>
      <x:c r="H1308" s="10" t="str"/>
      <x:c r="I1308" s="7" t="str"/>
      <x:c r="J1308" s="7" t="str">
        <x:v>OPEN</x:v>
      </x:c>
    </x:row>
    <x:row r="1309" ht="36" customHeight="1">
      <x:c r="B1309" s="7" t="str">
        <x:v>RAE-E-41-HP-23</x:v>
      </x:c>
      <x:c r="C1309" s="7" t="str">
        <x:v>RAE-E-41</x:v>
      </x:c>
      <x:c r="D1309" s="7" t="str">
        <x:v>RFP-C2</x:v>
      </x:c>
      <x:c r="E1309" s="7" t="str">
        <x:v>HP-23</x:v>
      </x:c>
      <x:c r="F1309" s="7" t="str">
        <x:v>evidence</x:v>
      </x:c>
      <x:c r="G1309" s="7" t="str">
        <x:v>state</x:v>
      </x:c>
      <x:c r="H1309" s="10" t="str"/>
      <x:c r="I1309" s="7" t="str"/>
      <x:c r="J1309" s="7" t="str">
        <x:v>OPEN</x:v>
      </x:c>
    </x:row>
    <x:row r="1310" ht="36" customHeight="1">
      <x:c r="B1310" s="7" t="str">
        <x:v>RAE-E-41-HP-24</x:v>
      </x:c>
      <x:c r="C1310" s="7" t="str">
        <x:v>RAE-E-41</x:v>
      </x:c>
      <x:c r="D1310" s="7" t="str">
        <x:v>RFP-C2</x:v>
      </x:c>
      <x:c r="E1310" s="7" t="str">
        <x:v>HP-24</x:v>
      </x:c>
      <x:c r="F1310" s="7" t="str">
        <x:v>evidence</x:v>
      </x:c>
      <x:c r="G1310" s="7" t="str">
        <x:v>authority</x:v>
      </x:c>
      <x:c r="H1310" s="10" t="str"/>
      <x:c r="I1310" s="7" t="str"/>
      <x:c r="J1310" s="7" t="str">
        <x:v>OPEN</x:v>
      </x:c>
    </x:row>
    <x:row r="1311" ht="36" customHeight="1">
      <x:c r="B1311" s="7" t="str">
        <x:v>RAE-E-41-HP-25</x:v>
      </x:c>
      <x:c r="C1311" s="7" t="str">
        <x:v>RAE-E-41</x:v>
      </x:c>
      <x:c r="D1311" s="7" t="str">
        <x:v>RFP-C2</x:v>
      </x:c>
      <x:c r="E1311" s="7" t="str">
        <x:v>HP-25</x:v>
      </x:c>
      <x:c r="F1311" s="7" t="str">
        <x:v>environment</x:v>
      </x:c>
      <x:c r="G1311" s="7" t="str">
        <x:v>identity</x:v>
      </x:c>
      <x:c r="H1311" s="10" t="str"/>
      <x:c r="I1311" s="7" t="str"/>
      <x:c r="J1311" s="7" t="str">
        <x:v>OPEN</x:v>
      </x:c>
    </x:row>
    <x:row r="1312" ht="36" customHeight="1">
      <x:c r="B1312" s="7" t="str">
        <x:v>RAE-E-41-HP-26</x:v>
      </x:c>
      <x:c r="C1312" s="7" t="str">
        <x:v>RAE-E-41</x:v>
      </x:c>
      <x:c r="D1312" s="7" t="str">
        <x:v>RFP-C2</x:v>
      </x:c>
      <x:c r="E1312" s="7" t="str">
        <x:v>HP-26</x:v>
      </x:c>
      <x:c r="F1312" s="7" t="str">
        <x:v>environment</x:v>
      </x:c>
      <x:c r="G1312" s="7" t="str">
        <x:v>capacity</x:v>
      </x:c>
      <x:c r="H1312" s="10" t="str"/>
      <x:c r="I1312" s="7" t="str"/>
      <x:c r="J1312" s="7" t="str">
        <x:v>OPEN</x:v>
      </x:c>
    </x:row>
    <x:row r="1313" ht="36" customHeight="1">
      <x:c r="B1313" s="7" t="str">
        <x:v>RAE-E-41-HP-27</x:v>
      </x:c>
      <x:c r="C1313" s="7" t="str">
        <x:v>RAE-E-41</x:v>
      </x:c>
      <x:c r="D1313" s="7" t="str">
        <x:v>RFP-C2</x:v>
      </x:c>
      <x:c r="E1313" s="7" t="str">
        <x:v>HP-27</x:v>
      </x:c>
      <x:c r="F1313" s="7" t="str">
        <x:v>environment</x:v>
      </x:c>
      <x:c r="G1313" s="7" t="str">
        <x:v>state</x:v>
      </x:c>
      <x:c r="H1313" s="10" t="str"/>
      <x:c r="I1313" s="7" t="str"/>
      <x:c r="J1313" s="7" t="str">
        <x:v>OPEN</x:v>
      </x:c>
    </x:row>
    <x:row r="1314" ht="36" customHeight="1">
      <x:c r="B1314" s="7" t="str">
        <x:v>RAE-E-41-HP-28</x:v>
      </x:c>
      <x:c r="C1314" s="7" t="str">
        <x:v>RAE-E-41</x:v>
      </x:c>
      <x:c r="D1314" s="7" t="str">
        <x:v>RFP-C2</x:v>
      </x:c>
      <x:c r="E1314" s="7" t="str">
        <x:v>HP-28</x:v>
      </x:c>
      <x:c r="F1314" s="7" t="str">
        <x:v>environment</x:v>
      </x:c>
      <x:c r="G1314" s="7" t="str">
        <x:v>authority</x:v>
      </x:c>
      <x:c r="H1314" s="10" t="str"/>
      <x:c r="I1314" s="7" t="str"/>
      <x:c r="J1314" s="7" t="str">
        <x:v>OPEN</x:v>
      </x:c>
    </x:row>
    <x:row r="1315" ht="36" customHeight="1">
      <x:c r="B1315" s="7" t="str">
        <x:v>RAE-E-41-HP-29</x:v>
      </x:c>
      <x:c r="C1315" s="7" t="str">
        <x:v>RAE-E-41</x:v>
      </x:c>
      <x:c r="D1315" s="7" t="str">
        <x:v>RFP-C2</x:v>
      </x:c>
      <x:c r="E1315" s="7" t="str">
        <x:v>HP-29</x:v>
      </x:c>
      <x:c r="F1315" s="7" t="str">
        <x:v>authority</x:v>
      </x:c>
      <x:c r="G1315" s="7" t="str">
        <x:v>identity</x:v>
      </x:c>
      <x:c r="H1315" s="10" t="str"/>
      <x:c r="I1315" s="7" t="str"/>
      <x:c r="J1315" s="7" t="str">
        <x:v>OPEN</x:v>
      </x:c>
    </x:row>
    <x:row r="1316" ht="36" customHeight="1">
      <x:c r="B1316" s="7" t="str">
        <x:v>RAE-E-41-HP-30</x:v>
      </x:c>
      <x:c r="C1316" s="7" t="str">
        <x:v>RAE-E-41</x:v>
      </x:c>
      <x:c r="D1316" s="7" t="str">
        <x:v>RFP-C2</x:v>
      </x:c>
      <x:c r="E1316" s="7" t="str">
        <x:v>HP-30</x:v>
      </x:c>
      <x:c r="F1316" s="7" t="str">
        <x:v>authority</x:v>
      </x:c>
      <x:c r="G1316" s="7" t="str">
        <x:v>capacity</x:v>
      </x:c>
      <x:c r="H1316" s="10" t="str"/>
      <x:c r="I1316" s="7" t="str"/>
      <x:c r="J1316" s="7" t="str">
        <x:v>OPEN</x:v>
      </x:c>
    </x:row>
    <x:row r="1317" ht="36" customHeight="1">
      <x:c r="B1317" s="7" t="str">
        <x:v>RAE-E-41-HP-31</x:v>
      </x:c>
      <x:c r="C1317" s="7" t="str">
        <x:v>RAE-E-41</x:v>
      </x:c>
      <x:c r="D1317" s="7" t="str">
        <x:v>RFP-C2</x:v>
      </x:c>
      <x:c r="E1317" s="7" t="str">
        <x:v>HP-31</x:v>
      </x:c>
      <x:c r="F1317" s="7" t="str">
        <x:v>authority</x:v>
      </x:c>
      <x:c r="G1317" s="7" t="str">
        <x:v>state</x:v>
      </x:c>
      <x:c r="H1317" s="10" t="str"/>
      <x:c r="I1317" s="7" t="str"/>
      <x:c r="J1317" s="7" t="str">
        <x:v>OPEN</x:v>
      </x:c>
    </x:row>
    <x:row r="1318" ht="36" customHeight="1">
      <x:c r="B1318" s="7" t="str">
        <x:v>RAE-E-41-HP-32</x:v>
      </x:c>
      <x:c r="C1318" s="7" t="str">
        <x:v>RAE-E-41</x:v>
      </x:c>
      <x:c r="D1318" s="7" t="str">
        <x:v>RFP-C2</x:v>
      </x:c>
      <x:c r="E1318" s="7" t="str">
        <x:v>HP-32</x:v>
      </x:c>
      <x:c r="F1318" s="7" t="str">
        <x:v>authority</x:v>
      </x:c>
      <x:c r="G1318" s="7" t="str">
        <x:v>authority</x:v>
      </x:c>
      <x:c r="H1318" s="10" t="str"/>
      <x:c r="I1318" s="7" t="str"/>
      <x:c r="J1318" s="7" t="str">
        <x:v>OPEN</x:v>
      </x:c>
    </x:row>
    <x:row r="1319" ht="36" customHeight="1">
      <x:c r="B1319" s="7" t="str">
        <x:v>RAE-E-42-HP-01</x:v>
      </x:c>
      <x:c r="C1319" s="7" t="str">
        <x:v>RAE-E-42</x:v>
      </x:c>
      <x:c r="D1319" s="7" t="str">
        <x:v>RFP-C2</x:v>
      </x:c>
      <x:c r="E1319" s="7" t="str">
        <x:v>HP-01</x:v>
      </x:c>
      <x:c r="F1319" s="7" t="str">
        <x:v>configuration</x:v>
      </x:c>
      <x:c r="G1319" s="7" t="str">
        <x:v>identity</x:v>
      </x:c>
      <x:c r="H1319" s="10" t="str"/>
      <x:c r="I1319" s="7" t="str"/>
      <x:c r="J1319" s="7" t="str">
        <x:v>OPEN</x:v>
      </x:c>
    </x:row>
    <x:row r="1320" ht="36" customHeight="1">
      <x:c r="B1320" s="7" t="str">
        <x:v>RAE-E-42-HP-02</x:v>
      </x:c>
      <x:c r="C1320" s="7" t="str">
        <x:v>RAE-E-42</x:v>
      </x:c>
      <x:c r="D1320" s="7" t="str">
        <x:v>RFP-C2</x:v>
      </x:c>
      <x:c r="E1320" s="7" t="str">
        <x:v>HP-02</x:v>
      </x:c>
      <x:c r="F1320" s="7" t="str">
        <x:v>configuration</x:v>
      </x:c>
      <x:c r="G1320" s="7" t="str">
        <x:v>capacity</x:v>
      </x:c>
      <x:c r="H1320" s="10" t="str"/>
      <x:c r="I1320" s="7" t="str"/>
      <x:c r="J1320" s="7" t="str">
        <x:v>OPEN</x:v>
      </x:c>
    </x:row>
    <x:row r="1321" ht="36" customHeight="1">
      <x:c r="B1321" s="7" t="str">
        <x:v>RAE-E-42-HP-03</x:v>
      </x:c>
      <x:c r="C1321" s="7" t="str">
        <x:v>RAE-E-42</x:v>
      </x:c>
      <x:c r="D1321" s="7" t="str">
        <x:v>RFP-C2</x:v>
      </x:c>
      <x:c r="E1321" s="7" t="str">
        <x:v>HP-03</x:v>
      </x:c>
      <x:c r="F1321" s="7" t="str">
        <x:v>configuration</x:v>
      </x:c>
      <x:c r="G1321" s="7" t="str">
        <x:v>state</x:v>
      </x:c>
      <x:c r="H1321" s="10" t="str"/>
      <x:c r="I1321" s="7" t="str"/>
      <x:c r="J1321" s="7" t="str">
        <x:v>OPEN</x:v>
      </x:c>
    </x:row>
    <x:row r="1322" ht="36" customHeight="1">
      <x:c r="B1322" s="7" t="str">
        <x:v>RAE-E-42-HP-04</x:v>
      </x:c>
      <x:c r="C1322" s="7" t="str">
        <x:v>RAE-E-42</x:v>
      </x:c>
      <x:c r="D1322" s="7" t="str">
        <x:v>RFP-C2</x:v>
      </x:c>
      <x:c r="E1322" s="7" t="str">
        <x:v>HP-04</x:v>
      </x:c>
      <x:c r="F1322" s="7" t="str">
        <x:v>configuration</x:v>
      </x:c>
      <x:c r="G1322" s="7" t="str">
        <x:v>authority</x:v>
      </x:c>
      <x:c r="H1322" s="10" t="str"/>
      <x:c r="I1322" s="7" t="str"/>
      <x:c r="J1322" s="7" t="str">
        <x:v>OPEN</x:v>
      </x:c>
    </x:row>
    <x:row r="1323" ht="36" customHeight="1">
      <x:c r="B1323" s="7" t="str">
        <x:v>RAE-E-42-HP-05</x:v>
      </x:c>
      <x:c r="C1323" s="7" t="str">
        <x:v>RAE-E-42</x:v>
      </x:c>
      <x:c r="D1323" s="7" t="str">
        <x:v>RFP-C2</x:v>
      </x:c>
      <x:c r="E1323" s="7" t="str">
        <x:v>HP-05</x:v>
      </x:c>
      <x:c r="F1323" s="7" t="str">
        <x:v>source</x:v>
      </x:c>
      <x:c r="G1323" s="7" t="str">
        <x:v>identity</x:v>
      </x:c>
      <x:c r="H1323" s="10" t="str"/>
      <x:c r="I1323" s="7" t="str"/>
      <x:c r="J1323" s="7" t="str">
        <x:v>OPEN</x:v>
      </x:c>
    </x:row>
    <x:row r="1324" ht="36" customHeight="1">
      <x:c r="B1324" s="7" t="str">
        <x:v>RAE-E-42-HP-06</x:v>
      </x:c>
      <x:c r="C1324" s="7" t="str">
        <x:v>RAE-E-42</x:v>
      </x:c>
      <x:c r="D1324" s="7" t="str">
        <x:v>RFP-C2</x:v>
      </x:c>
      <x:c r="E1324" s="7" t="str">
        <x:v>HP-06</x:v>
      </x:c>
      <x:c r="F1324" s="7" t="str">
        <x:v>source</x:v>
      </x:c>
      <x:c r="G1324" s="7" t="str">
        <x:v>capacity</x:v>
      </x:c>
      <x:c r="H1324" s="10" t="str"/>
      <x:c r="I1324" s="7" t="str"/>
      <x:c r="J1324" s="7" t="str">
        <x:v>OPEN</x:v>
      </x:c>
    </x:row>
    <x:row r="1325" ht="36" customHeight="1">
      <x:c r="B1325" s="7" t="str">
        <x:v>RAE-E-42-HP-07</x:v>
      </x:c>
      <x:c r="C1325" s="7" t="str">
        <x:v>RAE-E-42</x:v>
      </x:c>
      <x:c r="D1325" s="7" t="str">
        <x:v>RFP-C2</x:v>
      </x:c>
      <x:c r="E1325" s="7" t="str">
        <x:v>HP-07</x:v>
      </x:c>
      <x:c r="F1325" s="7" t="str">
        <x:v>source</x:v>
      </x:c>
      <x:c r="G1325" s="7" t="str">
        <x:v>state</x:v>
      </x:c>
      <x:c r="H1325" s="10" t="str"/>
      <x:c r="I1325" s="7" t="str"/>
      <x:c r="J1325" s="7" t="str">
        <x:v>OPEN</x:v>
      </x:c>
    </x:row>
    <x:row r="1326" ht="36" customHeight="1">
      <x:c r="B1326" s="7" t="str">
        <x:v>RAE-E-42-HP-08</x:v>
      </x:c>
      <x:c r="C1326" s="7" t="str">
        <x:v>RAE-E-42</x:v>
      </x:c>
      <x:c r="D1326" s="7" t="str">
        <x:v>RFP-C2</x:v>
      </x:c>
      <x:c r="E1326" s="7" t="str">
        <x:v>HP-08</x:v>
      </x:c>
      <x:c r="F1326" s="7" t="str">
        <x:v>source</x:v>
      </x:c>
      <x:c r="G1326" s="7" t="str">
        <x:v>authority</x:v>
      </x:c>
      <x:c r="H1326" s="10" t="str"/>
      <x:c r="I1326" s="7" t="str"/>
      <x:c r="J1326" s="7" t="str">
        <x:v>OPEN</x:v>
      </x:c>
    </x:row>
    <x:row r="1327" ht="36" customHeight="1">
      <x:c r="B1327" s="7" t="str">
        <x:v>RAE-E-42-HP-09</x:v>
      </x:c>
      <x:c r="C1327" s="7" t="str">
        <x:v>RAE-E-42</x:v>
      </x:c>
      <x:c r="D1327" s="7" t="str">
        <x:v>RFP-C2</x:v>
      </x:c>
      <x:c r="E1327" s="7" t="str">
        <x:v>HP-09</x:v>
      </x:c>
      <x:c r="F1327" s="7" t="str">
        <x:v>containment</x:v>
      </x:c>
      <x:c r="G1327" s="7" t="str">
        <x:v>identity</x:v>
      </x:c>
      <x:c r="H1327" s="10" t="str"/>
      <x:c r="I1327" s="7" t="str"/>
      <x:c r="J1327" s="7" t="str">
        <x:v>OPEN</x:v>
      </x:c>
    </x:row>
    <x:row r="1328" ht="36" customHeight="1">
      <x:c r="B1328" s="7" t="str">
        <x:v>RAE-E-42-HP-10</x:v>
      </x:c>
      <x:c r="C1328" s="7" t="str">
        <x:v>RAE-E-42</x:v>
      </x:c>
      <x:c r="D1328" s="7" t="str">
        <x:v>RFP-C2</x:v>
      </x:c>
      <x:c r="E1328" s="7" t="str">
        <x:v>HP-10</x:v>
      </x:c>
      <x:c r="F1328" s="7" t="str">
        <x:v>containment</x:v>
      </x:c>
      <x:c r="G1328" s="7" t="str">
        <x:v>capacity</x:v>
      </x:c>
      <x:c r="H1328" s="10" t="str"/>
      <x:c r="I1328" s="7" t="str"/>
      <x:c r="J1328" s="7" t="str">
        <x:v>OPEN</x:v>
      </x:c>
    </x:row>
    <x:row r="1329" ht="36" customHeight="1">
      <x:c r="B1329" s="7" t="str">
        <x:v>RAE-E-42-HP-11</x:v>
      </x:c>
      <x:c r="C1329" s="7" t="str">
        <x:v>RAE-E-42</x:v>
      </x:c>
      <x:c r="D1329" s="7" t="str">
        <x:v>RFP-C2</x:v>
      </x:c>
      <x:c r="E1329" s="7" t="str">
        <x:v>HP-11</x:v>
      </x:c>
      <x:c r="F1329" s="7" t="str">
        <x:v>containment</x:v>
      </x:c>
      <x:c r="G1329" s="7" t="str">
        <x:v>state</x:v>
      </x:c>
      <x:c r="H1329" s="10" t="str"/>
      <x:c r="I1329" s="7" t="str"/>
      <x:c r="J1329" s="7" t="str">
        <x:v>OPEN</x:v>
      </x:c>
    </x:row>
    <x:row r="1330" ht="36" customHeight="1">
      <x:c r="B1330" s="7" t="str">
        <x:v>RAE-E-42-HP-12</x:v>
      </x:c>
      <x:c r="C1330" s="7" t="str">
        <x:v>RAE-E-42</x:v>
      </x:c>
      <x:c r="D1330" s="7" t="str">
        <x:v>RFP-C2</x:v>
      </x:c>
      <x:c r="E1330" s="7" t="str">
        <x:v>HP-12</x:v>
      </x:c>
      <x:c r="F1330" s="7" t="str">
        <x:v>containment</x:v>
      </x:c>
      <x:c r="G1330" s="7" t="str">
        <x:v>authority</x:v>
      </x:c>
      <x:c r="H1330" s="10" t="str"/>
      <x:c r="I1330" s="7" t="str"/>
      <x:c r="J1330" s="7" t="str">
        <x:v>OPEN</x:v>
      </x:c>
    </x:row>
    <x:row r="1331" ht="36" customHeight="1">
      <x:c r="B1331" s="7" t="str">
        <x:v>RAE-E-42-HP-13</x:v>
      </x:c>
      <x:c r="C1331" s="7" t="str">
        <x:v>RAE-E-42</x:v>
      </x:c>
      <x:c r="D1331" s="7" t="str">
        <x:v>RFP-C2</x:v>
      </x:c>
      <x:c r="E1331" s="7" t="str">
        <x:v>HP-13</x:v>
      </x:c>
      <x:c r="F1331" s="7" t="str">
        <x:v>water</x:v>
      </x:c>
      <x:c r="G1331" s="7" t="str">
        <x:v>identity</x:v>
      </x:c>
      <x:c r="H1331" s="10" t="str"/>
      <x:c r="I1331" s="7" t="str"/>
      <x:c r="J1331" s="7" t="str">
        <x:v>OPEN</x:v>
      </x:c>
    </x:row>
    <x:row r="1332" ht="36" customHeight="1">
      <x:c r="B1332" s="7" t="str">
        <x:v>RAE-E-42-HP-14</x:v>
      </x:c>
      <x:c r="C1332" s="7" t="str">
        <x:v>RAE-E-42</x:v>
      </x:c>
      <x:c r="D1332" s="7" t="str">
        <x:v>RFP-C2</x:v>
      </x:c>
      <x:c r="E1332" s="7" t="str">
        <x:v>HP-14</x:v>
      </x:c>
      <x:c r="F1332" s="7" t="str">
        <x:v>water</x:v>
      </x:c>
      <x:c r="G1332" s="7" t="str">
        <x:v>capacity</x:v>
      </x:c>
      <x:c r="H1332" s="10" t="str"/>
      <x:c r="I1332" s="7" t="str"/>
      <x:c r="J1332" s="7" t="str">
        <x:v>OPEN</x:v>
      </x:c>
    </x:row>
    <x:row r="1333" ht="36" customHeight="1">
      <x:c r="B1333" s="7" t="str">
        <x:v>RAE-E-42-HP-15</x:v>
      </x:c>
      <x:c r="C1333" s="7" t="str">
        <x:v>RAE-E-42</x:v>
      </x:c>
      <x:c r="D1333" s="7" t="str">
        <x:v>RFP-C2</x:v>
      </x:c>
      <x:c r="E1333" s="7" t="str">
        <x:v>HP-15</x:v>
      </x:c>
      <x:c r="F1333" s="7" t="str">
        <x:v>water</x:v>
      </x:c>
      <x:c r="G1333" s="7" t="str">
        <x:v>state</x:v>
      </x:c>
      <x:c r="H1333" s="10" t="str"/>
      <x:c r="I1333" s="7" t="str"/>
      <x:c r="J1333" s="7" t="str">
        <x:v>OPEN</x:v>
      </x:c>
    </x:row>
    <x:row r="1334" ht="36" customHeight="1">
      <x:c r="B1334" s="7" t="str">
        <x:v>RAE-E-42-HP-16</x:v>
      </x:c>
      <x:c r="C1334" s="7" t="str">
        <x:v>RAE-E-42</x:v>
      </x:c>
      <x:c r="D1334" s="7" t="str">
        <x:v>RFP-C2</x:v>
      </x:c>
      <x:c r="E1334" s="7" t="str">
        <x:v>HP-16</x:v>
      </x:c>
      <x:c r="F1334" s="7" t="str">
        <x:v>water</x:v>
      </x:c>
      <x:c r="G1334" s="7" t="str">
        <x:v>authority</x:v>
      </x:c>
      <x:c r="H1334" s="10" t="str"/>
      <x:c r="I1334" s="7" t="str"/>
      <x:c r="J1334" s="7" t="str">
        <x:v>OPEN</x:v>
      </x:c>
    </x:row>
    <x:row r="1335" ht="36" customHeight="1">
      <x:c r="B1335" s="7" t="str">
        <x:v>RAE-E-42-HP-17</x:v>
      </x:c>
      <x:c r="C1335" s="7" t="str">
        <x:v>RAE-E-42</x:v>
      </x:c>
      <x:c r="D1335" s="7" t="str">
        <x:v>RFP-C2</x:v>
      </x:c>
      <x:c r="E1335" s="7" t="str">
        <x:v>HP-17</x:v>
      </x:c>
      <x:c r="F1335" s="7" t="str">
        <x:v>safeing</x:v>
      </x:c>
      <x:c r="G1335" s="7" t="str">
        <x:v>identity</x:v>
      </x:c>
      <x:c r="H1335" s="10" t="str"/>
      <x:c r="I1335" s="7" t="str"/>
      <x:c r="J1335" s="7" t="str">
        <x:v>OPEN</x:v>
      </x:c>
    </x:row>
    <x:row r="1336" ht="36" customHeight="1">
      <x:c r="B1336" s="7" t="str">
        <x:v>RAE-E-42-HP-18</x:v>
      </x:c>
      <x:c r="C1336" s="7" t="str">
        <x:v>RAE-E-42</x:v>
      </x:c>
      <x:c r="D1336" s="7" t="str">
        <x:v>RFP-C2</x:v>
      </x:c>
      <x:c r="E1336" s="7" t="str">
        <x:v>HP-18</x:v>
      </x:c>
      <x:c r="F1336" s="7" t="str">
        <x:v>safeing</x:v>
      </x:c>
      <x:c r="G1336" s="7" t="str">
        <x:v>capacity</x:v>
      </x:c>
      <x:c r="H1336" s="10" t="str"/>
      <x:c r="I1336" s="7" t="str"/>
      <x:c r="J1336" s="7" t="str">
        <x:v>OPEN</x:v>
      </x:c>
    </x:row>
    <x:row r="1337" ht="36" customHeight="1">
      <x:c r="B1337" s="7" t="str">
        <x:v>RAE-E-42-HP-19</x:v>
      </x:c>
      <x:c r="C1337" s="7" t="str">
        <x:v>RAE-E-42</x:v>
      </x:c>
      <x:c r="D1337" s="7" t="str">
        <x:v>RFP-C2</x:v>
      </x:c>
      <x:c r="E1337" s="7" t="str">
        <x:v>HP-19</x:v>
      </x:c>
      <x:c r="F1337" s="7" t="str">
        <x:v>safeing</x:v>
      </x:c>
      <x:c r="G1337" s="7" t="str">
        <x:v>state</x:v>
      </x:c>
      <x:c r="H1337" s="10" t="str"/>
      <x:c r="I1337" s="7" t="str"/>
      <x:c r="J1337" s="7" t="str">
        <x:v>OPEN</x:v>
      </x:c>
    </x:row>
    <x:row r="1338" ht="36" customHeight="1">
      <x:c r="B1338" s="7" t="str">
        <x:v>RAE-E-42-HP-20</x:v>
      </x:c>
      <x:c r="C1338" s="7" t="str">
        <x:v>RAE-E-42</x:v>
      </x:c>
      <x:c r="D1338" s="7" t="str">
        <x:v>RFP-C2</x:v>
      </x:c>
      <x:c r="E1338" s="7" t="str">
        <x:v>HP-20</x:v>
      </x:c>
      <x:c r="F1338" s="7" t="str">
        <x:v>safeing</x:v>
      </x:c>
      <x:c r="G1338" s="7" t="str">
        <x:v>authority</x:v>
      </x:c>
      <x:c r="H1338" s="10" t="str"/>
      <x:c r="I1338" s="7" t="str"/>
      <x:c r="J1338" s="7" t="str">
        <x:v>OPEN</x:v>
      </x:c>
    </x:row>
    <x:row r="1339" ht="36" customHeight="1">
      <x:c r="B1339" s="7" t="str">
        <x:v>RAE-E-42-HP-21</x:v>
      </x:c>
      <x:c r="C1339" s="7" t="str">
        <x:v>RAE-E-42</x:v>
      </x:c>
      <x:c r="D1339" s="7" t="str">
        <x:v>RFP-C2</x:v>
      </x:c>
      <x:c r="E1339" s="7" t="str">
        <x:v>HP-21</x:v>
      </x:c>
      <x:c r="F1339" s="7" t="str">
        <x:v>evidence</x:v>
      </x:c>
      <x:c r="G1339" s="7" t="str">
        <x:v>identity</x:v>
      </x:c>
      <x:c r="H1339" s="10" t="str"/>
      <x:c r="I1339" s="7" t="str"/>
      <x:c r="J1339" s="7" t="str">
        <x:v>OPEN</x:v>
      </x:c>
    </x:row>
    <x:row r="1340" ht="36" customHeight="1">
      <x:c r="B1340" s="7" t="str">
        <x:v>RAE-E-42-HP-22</x:v>
      </x:c>
      <x:c r="C1340" s="7" t="str">
        <x:v>RAE-E-42</x:v>
      </x:c>
      <x:c r="D1340" s="7" t="str">
        <x:v>RFP-C2</x:v>
      </x:c>
      <x:c r="E1340" s="7" t="str">
        <x:v>HP-22</x:v>
      </x:c>
      <x:c r="F1340" s="7" t="str">
        <x:v>evidence</x:v>
      </x:c>
      <x:c r="G1340" s="7" t="str">
        <x:v>capacity</x:v>
      </x:c>
      <x:c r="H1340" s="10" t="str"/>
      <x:c r="I1340" s="7" t="str"/>
      <x:c r="J1340" s="7" t="str">
        <x:v>OPEN</x:v>
      </x:c>
    </x:row>
    <x:row r="1341" ht="36" customHeight="1">
      <x:c r="B1341" s="7" t="str">
        <x:v>RAE-E-42-HP-23</x:v>
      </x:c>
      <x:c r="C1341" s="7" t="str">
        <x:v>RAE-E-42</x:v>
      </x:c>
      <x:c r="D1341" s="7" t="str">
        <x:v>RFP-C2</x:v>
      </x:c>
      <x:c r="E1341" s="7" t="str">
        <x:v>HP-23</x:v>
      </x:c>
      <x:c r="F1341" s="7" t="str">
        <x:v>evidence</x:v>
      </x:c>
      <x:c r="G1341" s="7" t="str">
        <x:v>state</x:v>
      </x:c>
      <x:c r="H1341" s="10" t="str"/>
      <x:c r="I1341" s="7" t="str"/>
      <x:c r="J1341" s="7" t="str">
        <x:v>OPEN</x:v>
      </x:c>
    </x:row>
    <x:row r="1342" ht="36" customHeight="1">
      <x:c r="B1342" s="7" t="str">
        <x:v>RAE-E-42-HP-24</x:v>
      </x:c>
      <x:c r="C1342" s="7" t="str">
        <x:v>RAE-E-42</x:v>
      </x:c>
      <x:c r="D1342" s="7" t="str">
        <x:v>RFP-C2</x:v>
      </x:c>
      <x:c r="E1342" s="7" t="str">
        <x:v>HP-24</x:v>
      </x:c>
      <x:c r="F1342" s="7" t="str">
        <x:v>evidence</x:v>
      </x:c>
      <x:c r="G1342" s="7" t="str">
        <x:v>authority</x:v>
      </x:c>
      <x:c r="H1342" s="10" t="str"/>
      <x:c r="I1342" s="7" t="str"/>
      <x:c r="J1342" s="7" t="str">
        <x:v>OPEN</x:v>
      </x:c>
    </x:row>
    <x:row r="1343" ht="36" customHeight="1">
      <x:c r="B1343" s="7" t="str">
        <x:v>RAE-E-42-HP-25</x:v>
      </x:c>
      <x:c r="C1343" s="7" t="str">
        <x:v>RAE-E-42</x:v>
      </x:c>
      <x:c r="D1343" s="7" t="str">
        <x:v>RFP-C2</x:v>
      </x:c>
      <x:c r="E1343" s="7" t="str">
        <x:v>HP-25</x:v>
      </x:c>
      <x:c r="F1343" s="7" t="str">
        <x:v>environment</x:v>
      </x:c>
      <x:c r="G1343" s="7" t="str">
        <x:v>identity</x:v>
      </x:c>
      <x:c r="H1343" s="10" t="str"/>
      <x:c r="I1343" s="7" t="str"/>
      <x:c r="J1343" s="7" t="str">
        <x:v>OPEN</x:v>
      </x:c>
    </x:row>
    <x:row r="1344" ht="36" customHeight="1">
      <x:c r="B1344" s="7" t="str">
        <x:v>RAE-E-42-HP-26</x:v>
      </x:c>
      <x:c r="C1344" s="7" t="str">
        <x:v>RAE-E-42</x:v>
      </x:c>
      <x:c r="D1344" s="7" t="str">
        <x:v>RFP-C2</x:v>
      </x:c>
      <x:c r="E1344" s="7" t="str">
        <x:v>HP-26</x:v>
      </x:c>
      <x:c r="F1344" s="7" t="str">
        <x:v>environment</x:v>
      </x:c>
      <x:c r="G1344" s="7" t="str">
        <x:v>capacity</x:v>
      </x:c>
      <x:c r="H1344" s="10" t="str"/>
      <x:c r="I1344" s="7" t="str"/>
      <x:c r="J1344" s="7" t="str">
        <x:v>OPEN</x:v>
      </x:c>
    </x:row>
    <x:row r="1345" ht="36" customHeight="1">
      <x:c r="B1345" s="7" t="str">
        <x:v>RAE-E-42-HP-27</x:v>
      </x:c>
      <x:c r="C1345" s="7" t="str">
        <x:v>RAE-E-42</x:v>
      </x:c>
      <x:c r="D1345" s="7" t="str">
        <x:v>RFP-C2</x:v>
      </x:c>
      <x:c r="E1345" s="7" t="str">
        <x:v>HP-27</x:v>
      </x:c>
      <x:c r="F1345" s="7" t="str">
        <x:v>environment</x:v>
      </x:c>
      <x:c r="G1345" s="7" t="str">
        <x:v>state</x:v>
      </x:c>
      <x:c r="H1345" s="10" t="str"/>
      <x:c r="I1345" s="7" t="str"/>
      <x:c r="J1345" s="7" t="str">
        <x:v>OPEN</x:v>
      </x:c>
    </x:row>
    <x:row r="1346" ht="36" customHeight="1">
      <x:c r="B1346" s="7" t="str">
        <x:v>RAE-E-42-HP-28</x:v>
      </x:c>
      <x:c r="C1346" s="7" t="str">
        <x:v>RAE-E-42</x:v>
      </x:c>
      <x:c r="D1346" s="7" t="str">
        <x:v>RFP-C2</x:v>
      </x:c>
      <x:c r="E1346" s="7" t="str">
        <x:v>HP-28</x:v>
      </x:c>
      <x:c r="F1346" s="7" t="str">
        <x:v>environment</x:v>
      </x:c>
      <x:c r="G1346" s="7" t="str">
        <x:v>authority</x:v>
      </x:c>
      <x:c r="H1346" s="10" t="str"/>
      <x:c r="I1346" s="7" t="str"/>
      <x:c r="J1346" s="7" t="str">
        <x:v>OPEN</x:v>
      </x:c>
    </x:row>
    <x:row r="1347" ht="36" customHeight="1">
      <x:c r="B1347" s="7" t="str">
        <x:v>RAE-E-42-HP-29</x:v>
      </x:c>
      <x:c r="C1347" s="7" t="str">
        <x:v>RAE-E-42</x:v>
      </x:c>
      <x:c r="D1347" s="7" t="str">
        <x:v>RFP-C2</x:v>
      </x:c>
      <x:c r="E1347" s="7" t="str">
        <x:v>HP-29</x:v>
      </x:c>
      <x:c r="F1347" s="7" t="str">
        <x:v>authority</x:v>
      </x:c>
      <x:c r="G1347" s="7" t="str">
        <x:v>identity</x:v>
      </x:c>
      <x:c r="H1347" s="10" t="str"/>
      <x:c r="I1347" s="7" t="str"/>
      <x:c r="J1347" s="7" t="str">
        <x:v>OPEN</x:v>
      </x:c>
    </x:row>
    <x:row r="1348" ht="36" customHeight="1">
      <x:c r="B1348" s="7" t="str">
        <x:v>RAE-E-42-HP-30</x:v>
      </x:c>
      <x:c r="C1348" s="7" t="str">
        <x:v>RAE-E-42</x:v>
      </x:c>
      <x:c r="D1348" s="7" t="str">
        <x:v>RFP-C2</x:v>
      </x:c>
      <x:c r="E1348" s="7" t="str">
        <x:v>HP-30</x:v>
      </x:c>
      <x:c r="F1348" s="7" t="str">
        <x:v>authority</x:v>
      </x:c>
      <x:c r="G1348" s="7" t="str">
        <x:v>capacity</x:v>
      </x:c>
      <x:c r="H1348" s="10" t="str"/>
      <x:c r="I1348" s="7" t="str"/>
      <x:c r="J1348" s="7" t="str">
        <x:v>OPEN</x:v>
      </x:c>
    </x:row>
    <x:row r="1349" ht="36" customHeight="1">
      <x:c r="B1349" s="7" t="str">
        <x:v>RAE-E-42-HP-31</x:v>
      </x:c>
      <x:c r="C1349" s="7" t="str">
        <x:v>RAE-E-42</x:v>
      </x:c>
      <x:c r="D1349" s="7" t="str">
        <x:v>RFP-C2</x:v>
      </x:c>
      <x:c r="E1349" s="7" t="str">
        <x:v>HP-31</x:v>
      </x:c>
      <x:c r="F1349" s="7" t="str">
        <x:v>authority</x:v>
      </x:c>
      <x:c r="G1349" s="7" t="str">
        <x:v>state</x:v>
      </x:c>
      <x:c r="H1349" s="10" t="str"/>
      <x:c r="I1349" s="7" t="str"/>
      <x:c r="J1349" s="7" t="str">
        <x:v>OPEN</x:v>
      </x:c>
    </x:row>
    <x:row r="1350" ht="36" customHeight="1">
      <x:c r="B1350" s="7" t="str">
        <x:v>RAE-E-42-HP-32</x:v>
      </x:c>
      <x:c r="C1350" s="7" t="str">
        <x:v>RAE-E-42</x:v>
      </x:c>
      <x:c r="D1350" s="7" t="str">
        <x:v>RFP-C2</x:v>
      </x:c>
      <x:c r="E1350" s="7" t="str">
        <x:v>HP-32</x:v>
      </x:c>
      <x:c r="F1350" s="7" t="str">
        <x:v>authority</x:v>
      </x:c>
      <x:c r="G1350" s="7" t="str">
        <x:v>authority</x:v>
      </x:c>
      <x:c r="H1350" s="10" t="str"/>
      <x:c r="I1350" s="7" t="str"/>
      <x:c r="J1350" s="7" t="str">
        <x:v>OPEN</x:v>
      </x:c>
    </x:row>
    <x:row r="1351" ht="36" customHeight="1">
      <x:c r="B1351" s="7" t="str">
        <x:v>RAE-E-43-HP-01</x:v>
      </x:c>
      <x:c r="C1351" s="7" t="str">
        <x:v>RAE-E-43</x:v>
      </x:c>
      <x:c r="D1351" s="7" t="str">
        <x:v>RFP-C2</x:v>
      </x:c>
      <x:c r="E1351" s="7" t="str">
        <x:v>HP-01</x:v>
      </x:c>
      <x:c r="F1351" s="7" t="str">
        <x:v>configuration</x:v>
      </x:c>
      <x:c r="G1351" s="7" t="str">
        <x:v>identity</x:v>
      </x:c>
      <x:c r="H1351" s="10" t="str"/>
      <x:c r="I1351" s="7" t="str"/>
      <x:c r="J1351" s="7" t="str">
        <x:v>OPEN</x:v>
      </x:c>
    </x:row>
    <x:row r="1352" ht="36" customHeight="1">
      <x:c r="B1352" s="7" t="str">
        <x:v>RAE-E-43-HP-02</x:v>
      </x:c>
      <x:c r="C1352" s="7" t="str">
        <x:v>RAE-E-43</x:v>
      </x:c>
      <x:c r="D1352" s="7" t="str">
        <x:v>RFP-C2</x:v>
      </x:c>
      <x:c r="E1352" s="7" t="str">
        <x:v>HP-02</x:v>
      </x:c>
      <x:c r="F1352" s="7" t="str">
        <x:v>configuration</x:v>
      </x:c>
      <x:c r="G1352" s="7" t="str">
        <x:v>capacity</x:v>
      </x:c>
      <x:c r="H1352" s="10" t="str"/>
      <x:c r="I1352" s="7" t="str"/>
      <x:c r="J1352" s="7" t="str">
        <x:v>OPEN</x:v>
      </x:c>
    </x:row>
    <x:row r="1353" ht="36" customHeight="1">
      <x:c r="B1353" s="7" t="str">
        <x:v>RAE-E-43-HP-03</x:v>
      </x:c>
      <x:c r="C1353" s="7" t="str">
        <x:v>RAE-E-43</x:v>
      </x:c>
      <x:c r="D1353" s="7" t="str">
        <x:v>RFP-C2</x:v>
      </x:c>
      <x:c r="E1353" s="7" t="str">
        <x:v>HP-03</x:v>
      </x:c>
      <x:c r="F1353" s="7" t="str">
        <x:v>configuration</x:v>
      </x:c>
      <x:c r="G1353" s="7" t="str">
        <x:v>state</x:v>
      </x:c>
      <x:c r="H1353" s="10" t="str"/>
      <x:c r="I1353" s="7" t="str"/>
      <x:c r="J1353" s="7" t="str">
        <x:v>OPEN</x:v>
      </x:c>
    </x:row>
    <x:row r="1354" ht="36" customHeight="1">
      <x:c r="B1354" s="7" t="str">
        <x:v>RAE-E-43-HP-04</x:v>
      </x:c>
      <x:c r="C1354" s="7" t="str">
        <x:v>RAE-E-43</x:v>
      </x:c>
      <x:c r="D1354" s="7" t="str">
        <x:v>RFP-C2</x:v>
      </x:c>
      <x:c r="E1354" s="7" t="str">
        <x:v>HP-04</x:v>
      </x:c>
      <x:c r="F1354" s="7" t="str">
        <x:v>configuration</x:v>
      </x:c>
      <x:c r="G1354" s="7" t="str">
        <x:v>authority</x:v>
      </x:c>
      <x:c r="H1354" s="10" t="str"/>
      <x:c r="I1354" s="7" t="str"/>
      <x:c r="J1354" s="7" t="str">
        <x:v>OPEN</x:v>
      </x:c>
    </x:row>
    <x:row r="1355" ht="36" customHeight="1">
      <x:c r="B1355" s="7" t="str">
        <x:v>RAE-E-43-HP-05</x:v>
      </x:c>
      <x:c r="C1355" s="7" t="str">
        <x:v>RAE-E-43</x:v>
      </x:c>
      <x:c r="D1355" s="7" t="str">
        <x:v>RFP-C2</x:v>
      </x:c>
      <x:c r="E1355" s="7" t="str">
        <x:v>HP-05</x:v>
      </x:c>
      <x:c r="F1355" s="7" t="str">
        <x:v>source</x:v>
      </x:c>
      <x:c r="G1355" s="7" t="str">
        <x:v>identity</x:v>
      </x:c>
      <x:c r="H1355" s="10" t="str"/>
      <x:c r="I1355" s="7" t="str"/>
      <x:c r="J1355" s="7" t="str">
        <x:v>OPEN</x:v>
      </x:c>
    </x:row>
    <x:row r="1356" ht="36" customHeight="1">
      <x:c r="B1356" s="7" t="str">
        <x:v>RAE-E-43-HP-06</x:v>
      </x:c>
      <x:c r="C1356" s="7" t="str">
        <x:v>RAE-E-43</x:v>
      </x:c>
      <x:c r="D1356" s="7" t="str">
        <x:v>RFP-C2</x:v>
      </x:c>
      <x:c r="E1356" s="7" t="str">
        <x:v>HP-06</x:v>
      </x:c>
      <x:c r="F1356" s="7" t="str">
        <x:v>source</x:v>
      </x:c>
      <x:c r="G1356" s="7" t="str">
        <x:v>capacity</x:v>
      </x:c>
      <x:c r="H1356" s="10" t="str"/>
      <x:c r="I1356" s="7" t="str"/>
      <x:c r="J1356" s="7" t="str">
        <x:v>OPEN</x:v>
      </x:c>
    </x:row>
    <x:row r="1357" ht="36" customHeight="1">
      <x:c r="B1357" s="7" t="str">
        <x:v>RAE-E-43-HP-07</x:v>
      </x:c>
      <x:c r="C1357" s="7" t="str">
        <x:v>RAE-E-43</x:v>
      </x:c>
      <x:c r="D1357" s="7" t="str">
        <x:v>RFP-C2</x:v>
      </x:c>
      <x:c r="E1357" s="7" t="str">
        <x:v>HP-07</x:v>
      </x:c>
      <x:c r="F1357" s="7" t="str">
        <x:v>source</x:v>
      </x:c>
      <x:c r="G1357" s="7" t="str">
        <x:v>state</x:v>
      </x:c>
      <x:c r="H1357" s="10" t="str"/>
      <x:c r="I1357" s="7" t="str"/>
      <x:c r="J1357" s="7" t="str">
        <x:v>OPEN</x:v>
      </x:c>
    </x:row>
    <x:row r="1358" ht="36" customHeight="1">
      <x:c r="B1358" s="7" t="str">
        <x:v>RAE-E-43-HP-08</x:v>
      </x:c>
      <x:c r="C1358" s="7" t="str">
        <x:v>RAE-E-43</x:v>
      </x:c>
      <x:c r="D1358" s="7" t="str">
        <x:v>RFP-C2</x:v>
      </x:c>
      <x:c r="E1358" s="7" t="str">
        <x:v>HP-08</x:v>
      </x:c>
      <x:c r="F1358" s="7" t="str">
        <x:v>source</x:v>
      </x:c>
      <x:c r="G1358" s="7" t="str">
        <x:v>authority</x:v>
      </x:c>
      <x:c r="H1358" s="10" t="str"/>
      <x:c r="I1358" s="7" t="str"/>
      <x:c r="J1358" s="7" t="str">
        <x:v>OPEN</x:v>
      </x:c>
    </x:row>
    <x:row r="1359" ht="36" customHeight="1">
      <x:c r="B1359" s="7" t="str">
        <x:v>RAE-E-43-HP-09</x:v>
      </x:c>
      <x:c r="C1359" s="7" t="str">
        <x:v>RAE-E-43</x:v>
      </x:c>
      <x:c r="D1359" s="7" t="str">
        <x:v>RFP-C2</x:v>
      </x:c>
      <x:c r="E1359" s="7" t="str">
        <x:v>HP-09</x:v>
      </x:c>
      <x:c r="F1359" s="7" t="str">
        <x:v>containment</x:v>
      </x:c>
      <x:c r="G1359" s="7" t="str">
        <x:v>identity</x:v>
      </x:c>
      <x:c r="H1359" s="10" t="str"/>
      <x:c r="I1359" s="7" t="str"/>
      <x:c r="J1359" s="7" t="str">
        <x:v>OPEN</x:v>
      </x:c>
    </x:row>
    <x:row r="1360" ht="36" customHeight="1">
      <x:c r="B1360" s="7" t="str">
        <x:v>RAE-E-43-HP-10</x:v>
      </x:c>
      <x:c r="C1360" s="7" t="str">
        <x:v>RAE-E-43</x:v>
      </x:c>
      <x:c r="D1360" s="7" t="str">
        <x:v>RFP-C2</x:v>
      </x:c>
      <x:c r="E1360" s="7" t="str">
        <x:v>HP-10</x:v>
      </x:c>
      <x:c r="F1360" s="7" t="str">
        <x:v>containment</x:v>
      </x:c>
      <x:c r="G1360" s="7" t="str">
        <x:v>capacity</x:v>
      </x:c>
      <x:c r="H1360" s="10" t="str"/>
      <x:c r="I1360" s="7" t="str"/>
      <x:c r="J1360" s="7" t="str">
        <x:v>OPEN</x:v>
      </x:c>
    </x:row>
    <x:row r="1361" ht="36" customHeight="1">
      <x:c r="B1361" s="7" t="str">
        <x:v>RAE-E-43-HP-11</x:v>
      </x:c>
      <x:c r="C1361" s="7" t="str">
        <x:v>RAE-E-43</x:v>
      </x:c>
      <x:c r="D1361" s="7" t="str">
        <x:v>RFP-C2</x:v>
      </x:c>
      <x:c r="E1361" s="7" t="str">
        <x:v>HP-11</x:v>
      </x:c>
      <x:c r="F1361" s="7" t="str">
        <x:v>containment</x:v>
      </x:c>
      <x:c r="G1361" s="7" t="str">
        <x:v>state</x:v>
      </x:c>
      <x:c r="H1361" s="10" t="str"/>
      <x:c r="I1361" s="7" t="str"/>
      <x:c r="J1361" s="7" t="str">
        <x:v>OPEN</x:v>
      </x:c>
    </x:row>
    <x:row r="1362" ht="36" customHeight="1">
      <x:c r="B1362" s="7" t="str">
        <x:v>RAE-E-43-HP-12</x:v>
      </x:c>
      <x:c r="C1362" s="7" t="str">
        <x:v>RAE-E-43</x:v>
      </x:c>
      <x:c r="D1362" s="7" t="str">
        <x:v>RFP-C2</x:v>
      </x:c>
      <x:c r="E1362" s="7" t="str">
        <x:v>HP-12</x:v>
      </x:c>
      <x:c r="F1362" s="7" t="str">
        <x:v>containment</x:v>
      </x:c>
      <x:c r="G1362" s="7" t="str">
        <x:v>authority</x:v>
      </x:c>
      <x:c r="H1362" s="10" t="str"/>
      <x:c r="I1362" s="7" t="str"/>
      <x:c r="J1362" s="7" t="str">
        <x:v>OPEN</x:v>
      </x:c>
    </x:row>
    <x:row r="1363" ht="36" customHeight="1">
      <x:c r="B1363" s="7" t="str">
        <x:v>RAE-E-43-HP-13</x:v>
      </x:c>
      <x:c r="C1363" s="7" t="str">
        <x:v>RAE-E-43</x:v>
      </x:c>
      <x:c r="D1363" s="7" t="str">
        <x:v>RFP-C2</x:v>
      </x:c>
      <x:c r="E1363" s="7" t="str">
        <x:v>HP-13</x:v>
      </x:c>
      <x:c r="F1363" s="7" t="str">
        <x:v>water</x:v>
      </x:c>
      <x:c r="G1363" s="7" t="str">
        <x:v>identity</x:v>
      </x:c>
      <x:c r="H1363" s="10" t="str"/>
      <x:c r="I1363" s="7" t="str"/>
      <x:c r="J1363" s="7" t="str">
        <x:v>OPEN</x:v>
      </x:c>
    </x:row>
    <x:row r="1364" ht="36" customHeight="1">
      <x:c r="B1364" s="7" t="str">
        <x:v>RAE-E-43-HP-14</x:v>
      </x:c>
      <x:c r="C1364" s="7" t="str">
        <x:v>RAE-E-43</x:v>
      </x:c>
      <x:c r="D1364" s="7" t="str">
        <x:v>RFP-C2</x:v>
      </x:c>
      <x:c r="E1364" s="7" t="str">
        <x:v>HP-14</x:v>
      </x:c>
      <x:c r="F1364" s="7" t="str">
        <x:v>water</x:v>
      </x:c>
      <x:c r="G1364" s="7" t="str">
        <x:v>capacity</x:v>
      </x:c>
      <x:c r="H1364" s="10" t="str"/>
      <x:c r="I1364" s="7" t="str"/>
      <x:c r="J1364" s="7" t="str">
        <x:v>OPEN</x:v>
      </x:c>
    </x:row>
    <x:row r="1365" ht="36" customHeight="1">
      <x:c r="B1365" s="7" t="str">
        <x:v>RAE-E-43-HP-15</x:v>
      </x:c>
      <x:c r="C1365" s="7" t="str">
        <x:v>RAE-E-43</x:v>
      </x:c>
      <x:c r="D1365" s="7" t="str">
        <x:v>RFP-C2</x:v>
      </x:c>
      <x:c r="E1365" s="7" t="str">
        <x:v>HP-15</x:v>
      </x:c>
      <x:c r="F1365" s="7" t="str">
        <x:v>water</x:v>
      </x:c>
      <x:c r="G1365" s="7" t="str">
        <x:v>state</x:v>
      </x:c>
      <x:c r="H1365" s="10" t="str"/>
      <x:c r="I1365" s="7" t="str"/>
      <x:c r="J1365" s="7" t="str">
        <x:v>OPEN</x:v>
      </x:c>
    </x:row>
    <x:row r="1366" ht="36" customHeight="1">
      <x:c r="B1366" s="7" t="str">
        <x:v>RAE-E-43-HP-16</x:v>
      </x:c>
      <x:c r="C1366" s="7" t="str">
        <x:v>RAE-E-43</x:v>
      </x:c>
      <x:c r="D1366" s="7" t="str">
        <x:v>RFP-C2</x:v>
      </x:c>
      <x:c r="E1366" s="7" t="str">
        <x:v>HP-16</x:v>
      </x:c>
      <x:c r="F1366" s="7" t="str">
        <x:v>water</x:v>
      </x:c>
      <x:c r="G1366" s="7" t="str">
        <x:v>authority</x:v>
      </x:c>
      <x:c r="H1366" s="10" t="str"/>
      <x:c r="I1366" s="7" t="str"/>
      <x:c r="J1366" s="7" t="str">
        <x:v>OPEN</x:v>
      </x:c>
    </x:row>
    <x:row r="1367" ht="36" customHeight="1">
      <x:c r="B1367" s="7" t="str">
        <x:v>RAE-E-43-HP-17</x:v>
      </x:c>
      <x:c r="C1367" s="7" t="str">
        <x:v>RAE-E-43</x:v>
      </x:c>
      <x:c r="D1367" s="7" t="str">
        <x:v>RFP-C2</x:v>
      </x:c>
      <x:c r="E1367" s="7" t="str">
        <x:v>HP-17</x:v>
      </x:c>
      <x:c r="F1367" s="7" t="str">
        <x:v>safeing</x:v>
      </x:c>
      <x:c r="G1367" s="7" t="str">
        <x:v>identity</x:v>
      </x:c>
      <x:c r="H1367" s="10" t="str"/>
      <x:c r="I1367" s="7" t="str"/>
      <x:c r="J1367" s="7" t="str">
        <x:v>OPEN</x:v>
      </x:c>
    </x:row>
    <x:row r="1368" ht="36" customHeight="1">
      <x:c r="B1368" s="7" t="str">
        <x:v>RAE-E-43-HP-18</x:v>
      </x:c>
      <x:c r="C1368" s="7" t="str">
        <x:v>RAE-E-43</x:v>
      </x:c>
      <x:c r="D1368" s="7" t="str">
        <x:v>RFP-C2</x:v>
      </x:c>
      <x:c r="E1368" s="7" t="str">
        <x:v>HP-18</x:v>
      </x:c>
      <x:c r="F1368" s="7" t="str">
        <x:v>safeing</x:v>
      </x:c>
      <x:c r="G1368" s="7" t="str">
        <x:v>capacity</x:v>
      </x:c>
      <x:c r="H1368" s="10" t="str"/>
      <x:c r="I1368" s="7" t="str"/>
      <x:c r="J1368" s="7" t="str">
        <x:v>OPEN</x:v>
      </x:c>
    </x:row>
    <x:row r="1369" ht="36" customHeight="1">
      <x:c r="B1369" s="7" t="str">
        <x:v>RAE-E-43-HP-19</x:v>
      </x:c>
      <x:c r="C1369" s="7" t="str">
        <x:v>RAE-E-43</x:v>
      </x:c>
      <x:c r="D1369" s="7" t="str">
        <x:v>RFP-C2</x:v>
      </x:c>
      <x:c r="E1369" s="7" t="str">
        <x:v>HP-19</x:v>
      </x:c>
      <x:c r="F1369" s="7" t="str">
        <x:v>safeing</x:v>
      </x:c>
      <x:c r="G1369" s="7" t="str">
        <x:v>state</x:v>
      </x:c>
      <x:c r="H1369" s="10" t="str"/>
      <x:c r="I1369" s="7" t="str"/>
      <x:c r="J1369" s="7" t="str">
        <x:v>OPEN</x:v>
      </x:c>
    </x:row>
    <x:row r="1370" ht="36" customHeight="1">
      <x:c r="B1370" s="7" t="str">
        <x:v>RAE-E-43-HP-20</x:v>
      </x:c>
      <x:c r="C1370" s="7" t="str">
        <x:v>RAE-E-43</x:v>
      </x:c>
      <x:c r="D1370" s="7" t="str">
        <x:v>RFP-C2</x:v>
      </x:c>
      <x:c r="E1370" s="7" t="str">
        <x:v>HP-20</x:v>
      </x:c>
      <x:c r="F1370" s="7" t="str">
        <x:v>safeing</x:v>
      </x:c>
      <x:c r="G1370" s="7" t="str">
        <x:v>authority</x:v>
      </x:c>
      <x:c r="H1370" s="10" t="str"/>
      <x:c r="I1370" s="7" t="str"/>
      <x:c r="J1370" s="7" t="str">
        <x:v>OPEN</x:v>
      </x:c>
    </x:row>
    <x:row r="1371" ht="36" customHeight="1">
      <x:c r="B1371" s="7" t="str">
        <x:v>RAE-E-43-HP-21</x:v>
      </x:c>
      <x:c r="C1371" s="7" t="str">
        <x:v>RAE-E-43</x:v>
      </x:c>
      <x:c r="D1371" s="7" t="str">
        <x:v>RFP-C2</x:v>
      </x:c>
      <x:c r="E1371" s="7" t="str">
        <x:v>HP-21</x:v>
      </x:c>
      <x:c r="F1371" s="7" t="str">
        <x:v>evidence</x:v>
      </x:c>
      <x:c r="G1371" s="7" t="str">
        <x:v>identity</x:v>
      </x:c>
      <x:c r="H1371" s="10" t="str"/>
      <x:c r="I1371" s="7" t="str"/>
      <x:c r="J1371" s="7" t="str">
        <x:v>OPEN</x:v>
      </x:c>
    </x:row>
    <x:row r="1372" ht="36" customHeight="1">
      <x:c r="B1372" s="7" t="str">
        <x:v>RAE-E-43-HP-22</x:v>
      </x:c>
      <x:c r="C1372" s="7" t="str">
        <x:v>RAE-E-43</x:v>
      </x:c>
      <x:c r="D1372" s="7" t="str">
        <x:v>RFP-C2</x:v>
      </x:c>
      <x:c r="E1372" s="7" t="str">
        <x:v>HP-22</x:v>
      </x:c>
      <x:c r="F1372" s="7" t="str">
        <x:v>evidence</x:v>
      </x:c>
      <x:c r="G1372" s="7" t="str">
        <x:v>capacity</x:v>
      </x:c>
      <x:c r="H1372" s="10" t="str"/>
      <x:c r="I1372" s="7" t="str"/>
      <x:c r="J1372" s="7" t="str">
        <x:v>OPEN</x:v>
      </x:c>
    </x:row>
    <x:row r="1373" ht="36" customHeight="1">
      <x:c r="B1373" s="7" t="str">
        <x:v>RAE-E-43-HP-23</x:v>
      </x:c>
      <x:c r="C1373" s="7" t="str">
        <x:v>RAE-E-43</x:v>
      </x:c>
      <x:c r="D1373" s="7" t="str">
        <x:v>RFP-C2</x:v>
      </x:c>
      <x:c r="E1373" s="7" t="str">
        <x:v>HP-23</x:v>
      </x:c>
      <x:c r="F1373" s="7" t="str">
        <x:v>evidence</x:v>
      </x:c>
      <x:c r="G1373" s="7" t="str">
        <x:v>state</x:v>
      </x:c>
      <x:c r="H1373" s="10" t="str"/>
      <x:c r="I1373" s="7" t="str"/>
      <x:c r="J1373" s="7" t="str">
        <x:v>OPEN</x:v>
      </x:c>
    </x:row>
    <x:row r="1374" ht="36" customHeight="1">
      <x:c r="B1374" s="7" t="str">
        <x:v>RAE-E-43-HP-24</x:v>
      </x:c>
      <x:c r="C1374" s="7" t="str">
        <x:v>RAE-E-43</x:v>
      </x:c>
      <x:c r="D1374" s="7" t="str">
        <x:v>RFP-C2</x:v>
      </x:c>
      <x:c r="E1374" s="7" t="str">
        <x:v>HP-24</x:v>
      </x:c>
      <x:c r="F1374" s="7" t="str">
        <x:v>evidence</x:v>
      </x:c>
      <x:c r="G1374" s="7" t="str">
        <x:v>authority</x:v>
      </x:c>
      <x:c r="H1374" s="10" t="str"/>
      <x:c r="I1374" s="7" t="str"/>
      <x:c r="J1374" s="7" t="str">
        <x:v>OPEN</x:v>
      </x:c>
    </x:row>
    <x:row r="1375" ht="36" customHeight="1">
      <x:c r="B1375" s="7" t="str">
        <x:v>RAE-E-43-HP-25</x:v>
      </x:c>
      <x:c r="C1375" s="7" t="str">
        <x:v>RAE-E-43</x:v>
      </x:c>
      <x:c r="D1375" s="7" t="str">
        <x:v>RFP-C2</x:v>
      </x:c>
      <x:c r="E1375" s="7" t="str">
        <x:v>HP-25</x:v>
      </x:c>
      <x:c r="F1375" s="7" t="str">
        <x:v>environment</x:v>
      </x:c>
      <x:c r="G1375" s="7" t="str">
        <x:v>identity</x:v>
      </x:c>
      <x:c r="H1375" s="10" t="str"/>
      <x:c r="I1375" s="7" t="str"/>
      <x:c r="J1375" s="7" t="str">
        <x:v>OPEN</x:v>
      </x:c>
    </x:row>
    <x:row r="1376" ht="36" customHeight="1">
      <x:c r="B1376" s="7" t="str">
        <x:v>RAE-E-43-HP-26</x:v>
      </x:c>
      <x:c r="C1376" s="7" t="str">
        <x:v>RAE-E-43</x:v>
      </x:c>
      <x:c r="D1376" s="7" t="str">
        <x:v>RFP-C2</x:v>
      </x:c>
      <x:c r="E1376" s="7" t="str">
        <x:v>HP-26</x:v>
      </x:c>
      <x:c r="F1376" s="7" t="str">
        <x:v>environment</x:v>
      </x:c>
      <x:c r="G1376" s="7" t="str">
        <x:v>capacity</x:v>
      </x:c>
      <x:c r="H1376" s="10" t="str"/>
      <x:c r="I1376" s="7" t="str"/>
      <x:c r="J1376" s="7" t="str">
        <x:v>OPEN</x:v>
      </x:c>
    </x:row>
    <x:row r="1377" ht="36" customHeight="1">
      <x:c r="B1377" s="7" t="str">
        <x:v>RAE-E-43-HP-27</x:v>
      </x:c>
      <x:c r="C1377" s="7" t="str">
        <x:v>RAE-E-43</x:v>
      </x:c>
      <x:c r="D1377" s="7" t="str">
        <x:v>RFP-C2</x:v>
      </x:c>
      <x:c r="E1377" s="7" t="str">
        <x:v>HP-27</x:v>
      </x:c>
      <x:c r="F1377" s="7" t="str">
        <x:v>environment</x:v>
      </x:c>
      <x:c r="G1377" s="7" t="str">
        <x:v>state</x:v>
      </x:c>
      <x:c r="H1377" s="10" t="str"/>
      <x:c r="I1377" s="7" t="str"/>
      <x:c r="J1377" s="7" t="str">
        <x:v>OPEN</x:v>
      </x:c>
    </x:row>
    <x:row r="1378" ht="36" customHeight="1">
      <x:c r="B1378" s="7" t="str">
        <x:v>RAE-E-43-HP-28</x:v>
      </x:c>
      <x:c r="C1378" s="7" t="str">
        <x:v>RAE-E-43</x:v>
      </x:c>
      <x:c r="D1378" s="7" t="str">
        <x:v>RFP-C2</x:v>
      </x:c>
      <x:c r="E1378" s="7" t="str">
        <x:v>HP-28</x:v>
      </x:c>
      <x:c r="F1378" s="7" t="str">
        <x:v>environment</x:v>
      </x:c>
      <x:c r="G1378" s="7" t="str">
        <x:v>authority</x:v>
      </x:c>
      <x:c r="H1378" s="10" t="str"/>
      <x:c r="I1378" s="7" t="str"/>
      <x:c r="J1378" s="7" t="str">
        <x:v>OPEN</x:v>
      </x:c>
    </x:row>
    <x:row r="1379" ht="36" customHeight="1">
      <x:c r="B1379" s="7" t="str">
        <x:v>RAE-E-43-HP-29</x:v>
      </x:c>
      <x:c r="C1379" s="7" t="str">
        <x:v>RAE-E-43</x:v>
      </x:c>
      <x:c r="D1379" s="7" t="str">
        <x:v>RFP-C2</x:v>
      </x:c>
      <x:c r="E1379" s="7" t="str">
        <x:v>HP-29</x:v>
      </x:c>
      <x:c r="F1379" s="7" t="str">
        <x:v>authority</x:v>
      </x:c>
      <x:c r="G1379" s="7" t="str">
        <x:v>identity</x:v>
      </x:c>
      <x:c r="H1379" s="10" t="str"/>
      <x:c r="I1379" s="7" t="str"/>
      <x:c r="J1379" s="7" t="str">
        <x:v>OPEN</x:v>
      </x:c>
    </x:row>
    <x:row r="1380" ht="36" customHeight="1">
      <x:c r="B1380" s="7" t="str">
        <x:v>RAE-E-43-HP-30</x:v>
      </x:c>
      <x:c r="C1380" s="7" t="str">
        <x:v>RAE-E-43</x:v>
      </x:c>
      <x:c r="D1380" s="7" t="str">
        <x:v>RFP-C2</x:v>
      </x:c>
      <x:c r="E1380" s="7" t="str">
        <x:v>HP-30</x:v>
      </x:c>
      <x:c r="F1380" s="7" t="str">
        <x:v>authority</x:v>
      </x:c>
      <x:c r="G1380" s="7" t="str">
        <x:v>capacity</x:v>
      </x:c>
      <x:c r="H1380" s="10" t="str"/>
      <x:c r="I1380" s="7" t="str"/>
      <x:c r="J1380" s="7" t="str">
        <x:v>OPEN</x:v>
      </x:c>
    </x:row>
    <x:row r="1381" ht="36" customHeight="1">
      <x:c r="B1381" s="7" t="str">
        <x:v>RAE-E-43-HP-31</x:v>
      </x:c>
      <x:c r="C1381" s="7" t="str">
        <x:v>RAE-E-43</x:v>
      </x:c>
      <x:c r="D1381" s="7" t="str">
        <x:v>RFP-C2</x:v>
      </x:c>
      <x:c r="E1381" s="7" t="str">
        <x:v>HP-31</x:v>
      </x:c>
      <x:c r="F1381" s="7" t="str">
        <x:v>authority</x:v>
      </x:c>
      <x:c r="G1381" s="7" t="str">
        <x:v>state</x:v>
      </x:c>
      <x:c r="H1381" s="10" t="str"/>
      <x:c r="I1381" s="7" t="str"/>
      <x:c r="J1381" s="7" t="str">
        <x:v>OPEN</x:v>
      </x:c>
    </x:row>
    <x:row r="1382" ht="36" customHeight="1">
      <x:c r="B1382" s="7" t="str">
        <x:v>RAE-E-43-HP-32</x:v>
      </x:c>
      <x:c r="C1382" s="7" t="str">
        <x:v>RAE-E-43</x:v>
      </x:c>
      <x:c r="D1382" s="7" t="str">
        <x:v>RFP-C2</x:v>
      </x:c>
      <x:c r="E1382" s="7" t="str">
        <x:v>HP-32</x:v>
      </x:c>
      <x:c r="F1382" s="7" t="str">
        <x:v>authority</x:v>
      </x:c>
      <x:c r="G1382" s="7" t="str">
        <x:v>authority</x:v>
      </x:c>
      <x:c r="H1382" s="10" t="str"/>
      <x:c r="I1382" s="7" t="str"/>
      <x:c r="J1382" s="7" t="str">
        <x:v>OPEN</x:v>
      </x:c>
    </x:row>
    <x:row r="1383" ht="36" customHeight="1">
      <x:c r="B1383" s="7" t="str">
        <x:v>RAE-E-44-HP-01</x:v>
      </x:c>
      <x:c r="C1383" s="7" t="str">
        <x:v>RAE-E-44</x:v>
      </x:c>
      <x:c r="D1383" s="7" t="str">
        <x:v>RFP-C2</x:v>
      </x:c>
      <x:c r="E1383" s="7" t="str">
        <x:v>HP-01</x:v>
      </x:c>
      <x:c r="F1383" s="7" t="str">
        <x:v>configuration</x:v>
      </x:c>
      <x:c r="G1383" s="7" t="str">
        <x:v>identity</x:v>
      </x:c>
      <x:c r="H1383" s="10" t="str"/>
      <x:c r="I1383" s="7" t="str"/>
      <x:c r="J1383" s="7" t="str">
        <x:v>OPEN</x:v>
      </x:c>
    </x:row>
    <x:row r="1384" ht="36" customHeight="1">
      <x:c r="B1384" s="7" t="str">
        <x:v>RAE-E-44-HP-02</x:v>
      </x:c>
      <x:c r="C1384" s="7" t="str">
        <x:v>RAE-E-44</x:v>
      </x:c>
      <x:c r="D1384" s="7" t="str">
        <x:v>RFP-C2</x:v>
      </x:c>
      <x:c r="E1384" s="7" t="str">
        <x:v>HP-02</x:v>
      </x:c>
      <x:c r="F1384" s="7" t="str">
        <x:v>configuration</x:v>
      </x:c>
      <x:c r="G1384" s="7" t="str">
        <x:v>capacity</x:v>
      </x:c>
      <x:c r="H1384" s="10" t="str"/>
      <x:c r="I1384" s="7" t="str"/>
      <x:c r="J1384" s="7" t="str">
        <x:v>OPEN</x:v>
      </x:c>
    </x:row>
    <x:row r="1385" ht="36" customHeight="1">
      <x:c r="B1385" s="7" t="str">
        <x:v>RAE-E-44-HP-03</x:v>
      </x:c>
      <x:c r="C1385" s="7" t="str">
        <x:v>RAE-E-44</x:v>
      </x:c>
      <x:c r="D1385" s="7" t="str">
        <x:v>RFP-C2</x:v>
      </x:c>
      <x:c r="E1385" s="7" t="str">
        <x:v>HP-03</x:v>
      </x:c>
      <x:c r="F1385" s="7" t="str">
        <x:v>configuration</x:v>
      </x:c>
      <x:c r="G1385" s="7" t="str">
        <x:v>state</x:v>
      </x:c>
      <x:c r="H1385" s="10" t="str"/>
      <x:c r="I1385" s="7" t="str"/>
      <x:c r="J1385" s="7" t="str">
        <x:v>OPEN</x:v>
      </x:c>
    </x:row>
    <x:row r="1386" ht="36" customHeight="1">
      <x:c r="B1386" s="7" t="str">
        <x:v>RAE-E-44-HP-04</x:v>
      </x:c>
      <x:c r="C1386" s="7" t="str">
        <x:v>RAE-E-44</x:v>
      </x:c>
      <x:c r="D1386" s="7" t="str">
        <x:v>RFP-C2</x:v>
      </x:c>
      <x:c r="E1386" s="7" t="str">
        <x:v>HP-04</x:v>
      </x:c>
      <x:c r="F1386" s="7" t="str">
        <x:v>configuration</x:v>
      </x:c>
      <x:c r="G1386" s="7" t="str">
        <x:v>authority</x:v>
      </x:c>
      <x:c r="H1386" s="10" t="str"/>
      <x:c r="I1386" s="7" t="str"/>
      <x:c r="J1386" s="7" t="str">
        <x:v>OPEN</x:v>
      </x:c>
    </x:row>
    <x:row r="1387" ht="36" customHeight="1">
      <x:c r="B1387" s="7" t="str">
        <x:v>RAE-E-44-HP-05</x:v>
      </x:c>
      <x:c r="C1387" s="7" t="str">
        <x:v>RAE-E-44</x:v>
      </x:c>
      <x:c r="D1387" s="7" t="str">
        <x:v>RFP-C2</x:v>
      </x:c>
      <x:c r="E1387" s="7" t="str">
        <x:v>HP-05</x:v>
      </x:c>
      <x:c r="F1387" s="7" t="str">
        <x:v>source</x:v>
      </x:c>
      <x:c r="G1387" s="7" t="str">
        <x:v>identity</x:v>
      </x:c>
      <x:c r="H1387" s="10" t="str"/>
      <x:c r="I1387" s="7" t="str"/>
      <x:c r="J1387" s="7" t="str">
        <x:v>OPEN</x:v>
      </x:c>
    </x:row>
    <x:row r="1388" ht="36" customHeight="1">
      <x:c r="B1388" s="7" t="str">
        <x:v>RAE-E-44-HP-06</x:v>
      </x:c>
      <x:c r="C1388" s="7" t="str">
        <x:v>RAE-E-44</x:v>
      </x:c>
      <x:c r="D1388" s="7" t="str">
        <x:v>RFP-C2</x:v>
      </x:c>
      <x:c r="E1388" s="7" t="str">
        <x:v>HP-06</x:v>
      </x:c>
      <x:c r="F1388" s="7" t="str">
        <x:v>source</x:v>
      </x:c>
      <x:c r="G1388" s="7" t="str">
        <x:v>capacity</x:v>
      </x:c>
      <x:c r="H1388" s="10" t="str"/>
      <x:c r="I1388" s="7" t="str"/>
      <x:c r="J1388" s="7" t="str">
        <x:v>OPEN</x:v>
      </x:c>
    </x:row>
    <x:row r="1389" ht="36" customHeight="1">
      <x:c r="B1389" s="7" t="str">
        <x:v>RAE-E-44-HP-07</x:v>
      </x:c>
      <x:c r="C1389" s="7" t="str">
        <x:v>RAE-E-44</x:v>
      </x:c>
      <x:c r="D1389" s="7" t="str">
        <x:v>RFP-C2</x:v>
      </x:c>
      <x:c r="E1389" s="7" t="str">
        <x:v>HP-07</x:v>
      </x:c>
      <x:c r="F1389" s="7" t="str">
        <x:v>source</x:v>
      </x:c>
      <x:c r="G1389" s="7" t="str">
        <x:v>state</x:v>
      </x:c>
      <x:c r="H1389" s="10" t="str"/>
      <x:c r="I1389" s="7" t="str"/>
      <x:c r="J1389" s="7" t="str">
        <x:v>OPEN</x:v>
      </x:c>
    </x:row>
    <x:row r="1390" ht="36" customHeight="1">
      <x:c r="B1390" s="7" t="str">
        <x:v>RAE-E-44-HP-08</x:v>
      </x:c>
      <x:c r="C1390" s="7" t="str">
        <x:v>RAE-E-44</x:v>
      </x:c>
      <x:c r="D1390" s="7" t="str">
        <x:v>RFP-C2</x:v>
      </x:c>
      <x:c r="E1390" s="7" t="str">
        <x:v>HP-08</x:v>
      </x:c>
      <x:c r="F1390" s="7" t="str">
        <x:v>source</x:v>
      </x:c>
      <x:c r="G1390" s="7" t="str">
        <x:v>authority</x:v>
      </x:c>
      <x:c r="H1390" s="10" t="str"/>
      <x:c r="I1390" s="7" t="str"/>
      <x:c r="J1390" s="7" t="str">
        <x:v>OPEN</x:v>
      </x:c>
    </x:row>
    <x:row r="1391" ht="36" customHeight="1">
      <x:c r="B1391" s="7" t="str">
        <x:v>RAE-E-44-HP-09</x:v>
      </x:c>
      <x:c r="C1391" s="7" t="str">
        <x:v>RAE-E-44</x:v>
      </x:c>
      <x:c r="D1391" s="7" t="str">
        <x:v>RFP-C2</x:v>
      </x:c>
      <x:c r="E1391" s="7" t="str">
        <x:v>HP-09</x:v>
      </x:c>
      <x:c r="F1391" s="7" t="str">
        <x:v>containment</x:v>
      </x:c>
      <x:c r="G1391" s="7" t="str">
        <x:v>identity</x:v>
      </x:c>
      <x:c r="H1391" s="10" t="str"/>
      <x:c r="I1391" s="7" t="str"/>
      <x:c r="J1391" s="7" t="str">
        <x:v>OPEN</x:v>
      </x:c>
    </x:row>
    <x:row r="1392" ht="36" customHeight="1">
      <x:c r="B1392" s="7" t="str">
        <x:v>RAE-E-44-HP-10</x:v>
      </x:c>
      <x:c r="C1392" s="7" t="str">
        <x:v>RAE-E-44</x:v>
      </x:c>
      <x:c r="D1392" s="7" t="str">
        <x:v>RFP-C2</x:v>
      </x:c>
      <x:c r="E1392" s="7" t="str">
        <x:v>HP-10</x:v>
      </x:c>
      <x:c r="F1392" s="7" t="str">
        <x:v>containment</x:v>
      </x:c>
      <x:c r="G1392" s="7" t="str">
        <x:v>capacity</x:v>
      </x:c>
      <x:c r="H1392" s="10" t="str"/>
      <x:c r="I1392" s="7" t="str"/>
      <x:c r="J1392" s="7" t="str">
        <x:v>OPEN</x:v>
      </x:c>
    </x:row>
    <x:row r="1393" ht="36" customHeight="1">
      <x:c r="B1393" s="7" t="str">
        <x:v>RAE-E-44-HP-11</x:v>
      </x:c>
      <x:c r="C1393" s="7" t="str">
        <x:v>RAE-E-44</x:v>
      </x:c>
      <x:c r="D1393" s="7" t="str">
        <x:v>RFP-C2</x:v>
      </x:c>
      <x:c r="E1393" s="7" t="str">
        <x:v>HP-11</x:v>
      </x:c>
      <x:c r="F1393" s="7" t="str">
        <x:v>containment</x:v>
      </x:c>
      <x:c r="G1393" s="7" t="str">
        <x:v>state</x:v>
      </x:c>
      <x:c r="H1393" s="10" t="str"/>
      <x:c r="I1393" s="7" t="str"/>
      <x:c r="J1393" s="7" t="str">
        <x:v>OPEN</x:v>
      </x:c>
    </x:row>
    <x:row r="1394" ht="36" customHeight="1">
      <x:c r="B1394" s="7" t="str">
        <x:v>RAE-E-44-HP-12</x:v>
      </x:c>
      <x:c r="C1394" s="7" t="str">
        <x:v>RAE-E-44</x:v>
      </x:c>
      <x:c r="D1394" s="7" t="str">
        <x:v>RFP-C2</x:v>
      </x:c>
      <x:c r="E1394" s="7" t="str">
        <x:v>HP-12</x:v>
      </x:c>
      <x:c r="F1394" s="7" t="str">
        <x:v>containment</x:v>
      </x:c>
      <x:c r="G1394" s="7" t="str">
        <x:v>authority</x:v>
      </x:c>
      <x:c r="H1394" s="10" t="str"/>
      <x:c r="I1394" s="7" t="str"/>
      <x:c r="J1394" s="7" t="str">
        <x:v>OPEN</x:v>
      </x:c>
    </x:row>
    <x:row r="1395" ht="36" customHeight="1">
      <x:c r="B1395" s="7" t="str">
        <x:v>RAE-E-44-HP-13</x:v>
      </x:c>
      <x:c r="C1395" s="7" t="str">
        <x:v>RAE-E-44</x:v>
      </x:c>
      <x:c r="D1395" s="7" t="str">
        <x:v>RFP-C2</x:v>
      </x:c>
      <x:c r="E1395" s="7" t="str">
        <x:v>HP-13</x:v>
      </x:c>
      <x:c r="F1395" s="7" t="str">
        <x:v>water</x:v>
      </x:c>
      <x:c r="G1395" s="7" t="str">
        <x:v>identity</x:v>
      </x:c>
      <x:c r="H1395" s="10" t="str"/>
      <x:c r="I1395" s="7" t="str"/>
      <x:c r="J1395" s="7" t="str">
        <x:v>OPEN</x:v>
      </x:c>
    </x:row>
    <x:row r="1396" ht="36" customHeight="1">
      <x:c r="B1396" s="7" t="str">
        <x:v>RAE-E-44-HP-14</x:v>
      </x:c>
      <x:c r="C1396" s="7" t="str">
        <x:v>RAE-E-44</x:v>
      </x:c>
      <x:c r="D1396" s="7" t="str">
        <x:v>RFP-C2</x:v>
      </x:c>
      <x:c r="E1396" s="7" t="str">
        <x:v>HP-14</x:v>
      </x:c>
      <x:c r="F1396" s="7" t="str">
        <x:v>water</x:v>
      </x:c>
      <x:c r="G1396" s="7" t="str">
        <x:v>capacity</x:v>
      </x:c>
      <x:c r="H1396" s="10" t="str"/>
      <x:c r="I1396" s="7" t="str"/>
      <x:c r="J1396" s="7" t="str">
        <x:v>OPEN</x:v>
      </x:c>
    </x:row>
    <x:row r="1397" ht="36" customHeight="1">
      <x:c r="B1397" s="7" t="str">
        <x:v>RAE-E-44-HP-15</x:v>
      </x:c>
      <x:c r="C1397" s="7" t="str">
        <x:v>RAE-E-44</x:v>
      </x:c>
      <x:c r="D1397" s="7" t="str">
        <x:v>RFP-C2</x:v>
      </x:c>
      <x:c r="E1397" s="7" t="str">
        <x:v>HP-15</x:v>
      </x:c>
      <x:c r="F1397" s="7" t="str">
        <x:v>water</x:v>
      </x:c>
      <x:c r="G1397" s="7" t="str">
        <x:v>state</x:v>
      </x:c>
      <x:c r="H1397" s="10" t="str"/>
      <x:c r="I1397" s="7" t="str"/>
      <x:c r="J1397" s="7" t="str">
        <x:v>OPEN</x:v>
      </x:c>
    </x:row>
    <x:row r="1398" ht="36" customHeight="1">
      <x:c r="B1398" s="7" t="str">
        <x:v>RAE-E-44-HP-16</x:v>
      </x:c>
      <x:c r="C1398" s="7" t="str">
        <x:v>RAE-E-44</x:v>
      </x:c>
      <x:c r="D1398" s="7" t="str">
        <x:v>RFP-C2</x:v>
      </x:c>
      <x:c r="E1398" s="7" t="str">
        <x:v>HP-16</x:v>
      </x:c>
      <x:c r="F1398" s="7" t="str">
        <x:v>water</x:v>
      </x:c>
      <x:c r="G1398" s="7" t="str">
        <x:v>authority</x:v>
      </x:c>
      <x:c r="H1398" s="10" t="str"/>
      <x:c r="I1398" s="7" t="str"/>
      <x:c r="J1398" s="7" t="str">
        <x:v>OPEN</x:v>
      </x:c>
    </x:row>
    <x:row r="1399" ht="36" customHeight="1">
      <x:c r="B1399" s="7" t="str">
        <x:v>RAE-E-44-HP-17</x:v>
      </x:c>
      <x:c r="C1399" s="7" t="str">
        <x:v>RAE-E-44</x:v>
      </x:c>
      <x:c r="D1399" s="7" t="str">
        <x:v>RFP-C2</x:v>
      </x:c>
      <x:c r="E1399" s="7" t="str">
        <x:v>HP-17</x:v>
      </x:c>
      <x:c r="F1399" s="7" t="str">
        <x:v>safeing</x:v>
      </x:c>
      <x:c r="G1399" s="7" t="str">
        <x:v>identity</x:v>
      </x:c>
      <x:c r="H1399" s="10" t="str"/>
      <x:c r="I1399" s="7" t="str"/>
      <x:c r="J1399" s="7" t="str">
        <x:v>OPEN</x:v>
      </x:c>
    </x:row>
    <x:row r="1400" ht="36" customHeight="1">
      <x:c r="B1400" s="7" t="str">
        <x:v>RAE-E-44-HP-18</x:v>
      </x:c>
      <x:c r="C1400" s="7" t="str">
        <x:v>RAE-E-44</x:v>
      </x:c>
      <x:c r="D1400" s="7" t="str">
        <x:v>RFP-C2</x:v>
      </x:c>
      <x:c r="E1400" s="7" t="str">
        <x:v>HP-18</x:v>
      </x:c>
      <x:c r="F1400" s="7" t="str">
        <x:v>safeing</x:v>
      </x:c>
      <x:c r="G1400" s="7" t="str">
        <x:v>capacity</x:v>
      </x:c>
      <x:c r="H1400" s="10" t="str"/>
      <x:c r="I1400" s="7" t="str"/>
      <x:c r="J1400" s="7" t="str">
        <x:v>OPEN</x:v>
      </x:c>
    </x:row>
    <x:row r="1401" ht="36" customHeight="1">
      <x:c r="B1401" s="7" t="str">
        <x:v>RAE-E-44-HP-19</x:v>
      </x:c>
      <x:c r="C1401" s="7" t="str">
        <x:v>RAE-E-44</x:v>
      </x:c>
      <x:c r="D1401" s="7" t="str">
        <x:v>RFP-C2</x:v>
      </x:c>
      <x:c r="E1401" s="7" t="str">
        <x:v>HP-19</x:v>
      </x:c>
      <x:c r="F1401" s="7" t="str">
        <x:v>safeing</x:v>
      </x:c>
      <x:c r="G1401" s="7" t="str">
        <x:v>state</x:v>
      </x:c>
      <x:c r="H1401" s="10" t="str"/>
      <x:c r="I1401" s="7" t="str"/>
      <x:c r="J1401" s="7" t="str">
        <x:v>OPEN</x:v>
      </x:c>
    </x:row>
    <x:row r="1402" ht="36" customHeight="1">
      <x:c r="B1402" s="7" t="str">
        <x:v>RAE-E-44-HP-20</x:v>
      </x:c>
      <x:c r="C1402" s="7" t="str">
        <x:v>RAE-E-44</x:v>
      </x:c>
      <x:c r="D1402" s="7" t="str">
        <x:v>RFP-C2</x:v>
      </x:c>
      <x:c r="E1402" s="7" t="str">
        <x:v>HP-20</x:v>
      </x:c>
      <x:c r="F1402" s="7" t="str">
        <x:v>safeing</x:v>
      </x:c>
      <x:c r="G1402" s="7" t="str">
        <x:v>authority</x:v>
      </x:c>
      <x:c r="H1402" s="10" t="str"/>
      <x:c r="I1402" s="7" t="str"/>
      <x:c r="J1402" s="7" t="str">
        <x:v>OPEN</x:v>
      </x:c>
    </x:row>
    <x:row r="1403" ht="36" customHeight="1">
      <x:c r="B1403" s="7" t="str">
        <x:v>RAE-E-44-HP-21</x:v>
      </x:c>
      <x:c r="C1403" s="7" t="str">
        <x:v>RAE-E-44</x:v>
      </x:c>
      <x:c r="D1403" s="7" t="str">
        <x:v>RFP-C2</x:v>
      </x:c>
      <x:c r="E1403" s="7" t="str">
        <x:v>HP-21</x:v>
      </x:c>
      <x:c r="F1403" s="7" t="str">
        <x:v>evidence</x:v>
      </x:c>
      <x:c r="G1403" s="7" t="str">
        <x:v>identity</x:v>
      </x:c>
      <x:c r="H1403" s="10" t="str"/>
      <x:c r="I1403" s="7" t="str"/>
      <x:c r="J1403" s="7" t="str">
        <x:v>OPEN</x:v>
      </x:c>
    </x:row>
    <x:row r="1404" ht="36" customHeight="1">
      <x:c r="B1404" s="7" t="str">
        <x:v>RAE-E-44-HP-22</x:v>
      </x:c>
      <x:c r="C1404" s="7" t="str">
        <x:v>RAE-E-44</x:v>
      </x:c>
      <x:c r="D1404" s="7" t="str">
        <x:v>RFP-C2</x:v>
      </x:c>
      <x:c r="E1404" s="7" t="str">
        <x:v>HP-22</x:v>
      </x:c>
      <x:c r="F1404" s="7" t="str">
        <x:v>evidence</x:v>
      </x:c>
      <x:c r="G1404" s="7" t="str">
        <x:v>capacity</x:v>
      </x:c>
      <x:c r="H1404" s="10" t="str"/>
      <x:c r="I1404" s="7" t="str"/>
      <x:c r="J1404" s="7" t="str">
        <x:v>OPEN</x:v>
      </x:c>
    </x:row>
    <x:row r="1405" ht="36" customHeight="1">
      <x:c r="B1405" s="7" t="str">
        <x:v>RAE-E-44-HP-23</x:v>
      </x:c>
      <x:c r="C1405" s="7" t="str">
        <x:v>RAE-E-44</x:v>
      </x:c>
      <x:c r="D1405" s="7" t="str">
        <x:v>RFP-C2</x:v>
      </x:c>
      <x:c r="E1405" s="7" t="str">
        <x:v>HP-23</x:v>
      </x:c>
      <x:c r="F1405" s="7" t="str">
        <x:v>evidence</x:v>
      </x:c>
      <x:c r="G1405" s="7" t="str">
        <x:v>state</x:v>
      </x:c>
      <x:c r="H1405" s="10" t="str"/>
      <x:c r="I1405" s="7" t="str"/>
      <x:c r="J1405" s="7" t="str">
        <x:v>OPEN</x:v>
      </x:c>
    </x:row>
    <x:row r="1406" ht="36" customHeight="1">
      <x:c r="B1406" s="7" t="str">
        <x:v>RAE-E-44-HP-24</x:v>
      </x:c>
      <x:c r="C1406" s="7" t="str">
        <x:v>RAE-E-44</x:v>
      </x:c>
      <x:c r="D1406" s="7" t="str">
        <x:v>RFP-C2</x:v>
      </x:c>
      <x:c r="E1406" s="7" t="str">
        <x:v>HP-24</x:v>
      </x:c>
      <x:c r="F1406" s="7" t="str">
        <x:v>evidence</x:v>
      </x:c>
      <x:c r="G1406" s="7" t="str">
        <x:v>authority</x:v>
      </x:c>
      <x:c r="H1406" s="10" t="str"/>
      <x:c r="I1406" s="7" t="str"/>
      <x:c r="J1406" s="7" t="str">
        <x:v>OPEN</x:v>
      </x:c>
    </x:row>
    <x:row r="1407" ht="36" customHeight="1">
      <x:c r="B1407" s="7" t="str">
        <x:v>RAE-E-44-HP-25</x:v>
      </x:c>
      <x:c r="C1407" s="7" t="str">
        <x:v>RAE-E-44</x:v>
      </x:c>
      <x:c r="D1407" s="7" t="str">
        <x:v>RFP-C2</x:v>
      </x:c>
      <x:c r="E1407" s="7" t="str">
        <x:v>HP-25</x:v>
      </x:c>
      <x:c r="F1407" s="7" t="str">
        <x:v>environment</x:v>
      </x:c>
      <x:c r="G1407" s="7" t="str">
        <x:v>identity</x:v>
      </x:c>
      <x:c r="H1407" s="10" t="str"/>
      <x:c r="I1407" s="7" t="str"/>
      <x:c r="J1407" s="7" t="str">
        <x:v>OPEN</x:v>
      </x:c>
    </x:row>
    <x:row r="1408" ht="36" customHeight="1">
      <x:c r="B1408" s="7" t="str">
        <x:v>RAE-E-44-HP-26</x:v>
      </x:c>
      <x:c r="C1408" s="7" t="str">
        <x:v>RAE-E-44</x:v>
      </x:c>
      <x:c r="D1408" s="7" t="str">
        <x:v>RFP-C2</x:v>
      </x:c>
      <x:c r="E1408" s="7" t="str">
        <x:v>HP-26</x:v>
      </x:c>
      <x:c r="F1408" s="7" t="str">
        <x:v>environment</x:v>
      </x:c>
      <x:c r="G1408" s="7" t="str">
        <x:v>capacity</x:v>
      </x:c>
      <x:c r="H1408" s="10" t="str"/>
      <x:c r="I1408" s="7" t="str"/>
      <x:c r="J1408" s="7" t="str">
        <x:v>OPEN</x:v>
      </x:c>
    </x:row>
    <x:row r="1409" ht="36" customHeight="1">
      <x:c r="B1409" s="7" t="str">
        <x:v>RAE-E-44-HP-27</x:v>
      </x:c>
      <x:c r="C1409" s="7" t="str">
        <x:v>RAE-E-44</x:v>
      </x:c>
      <x:c r="D1409" s="7" t="str">
        <x:v>RFP-C2</x:v>
      </x:c>
      <x:c r="E1409" s="7" t="str">
        <x:v>HP-27</x:v>
      </x:c>
      <x:c r="F1409" s="7" t="str">
        <x:v>environment</x:v>
      </x:c>
      <x:c r="G1409" s="7" t="str">
        <x:v>state</x:v>
      </x:c>
      <x:c r="H1409" s="10" t="str"/>
      <x:c r="I1409" s="7" t="str"/>
      <x:c r="J1409" s="7" t="str">
        <x:v>OPEN</x:v>
      </x:c>
    </x:row>
    <x:row r="1410" ht="36" customHeight="1">
      <x:c r="B1410" s="7" t="str">
        <x:v>RAE-E-44-HP-28</x:v>
      </x:c>
      <x:c r="C1410" s="7" t="str">
        <x:v>RAE-E-44</x:v>
      </x:c>
      <x:c r="D1410" s="7" t="str">
        <x:v>RFP-C2</x:v>
      </x:c>
      <x:c r="E1410" s="7" t="str">
        <x:v>HP-28</x:v>
      </x:c>
      <x:c r="F1410" s="7" t="str">
        <x:v>environment</x:v>
      </x:c>
      <x:c r="G1410" s="7" t="str">
        <x:v>authority</x:v>
      </x:c>
      <x:c r="H1410" s="10" t="str"/>
      <x:c r="I1410" s="7" t="str"/>
      <x:c r="J1410" s="7" t="str">
        <x:v>OPEN</x:v>
      </x:c>
    </x:row>
    <x:row r="1411" ht="36" customHeight="1">
      <x:c r="B1411" s="7" t="str">
        <x:v>RAE-E-44-HP-29</x:v>
      </x:c>
      <x:c r="C1411" s="7" t="str">
        <x:v>RAE-E-44</x:v>
      </x:c>
      <x:c r="D1411" s="7" t="str">
        <x:v>RFP-C2</x:v>
      </x:c>
      <x:c r="E1411" s="7" t="str">
        <x:v>HP-29</x:v>
      </x:c>
      <x:c r="F1411" s="7" t="str">
        <x:v>authority</x:v>
      </x:c>
      <x:c r="G1411" s="7" t="str">
        <x:v>identity</x:v>
      </x:c>
      <x:c r="H1411" s="10" t="str"/>
      <x:c r="I1411" s="7" t="str"/>
      <x:c r="J1411" s="7" t="str">
        <x:v>OPEN</x:v>
      </x:c>
    </x:row>
    <x:row r="1412" ht="36" customHeight="1">
      <x:c r="B1412" s="7" t="str">
        <x:v>RAE-E-44-HP-30</x:v>
      </x:c>
      <x:c r="C1412" s="7" t="str">
        <x:v>RAE-E-44</x:v>
      </x:c>
      <x:c r="D1412" s="7" t="str">
        <x:v>RFP-C2</x:v>
      </x:c>
      <x:c r="E1412" s="7" t="str">
        <x:v>HP-30</x:v>
      </x:c>
      <x:c r="F1412" s="7" t="str">
        <x:v>authority</x:v>
      </x:c>
      <x:c r="G1412" s="7" t="str">
        <x:v>capacity</x:v>
      </x:c>
      <x:c r="H1412" s="10" t="str"/>
      <x:c r="I1412" s="7" t="str"/>
      <x:c r="J1412" s="7" t="str">
        <x:v>OPEN</x:v>
      </x:c>
    </x:row>
    <x:row r="1413" ht="36" customHeight="1">
      <x:c r="B1413" s="7" t="str">
        <x:v>RAE-E-44-HP-31</x:v>
      </x:c>
      <x:c r="C1413" s="7" t="str">
        <x:v>RAE-E-44</x:v>
      </x:c>
      <x:c r="D1413" s="7" t="str">
        <x:v>RFP-C2</x:v>
      </x:c>
      <x:c r="E1413" s="7" t="str">
        <x:v>HP-31</x:v>
      </x:c>
      <x:c r="F1413" s="7" t="str">
        <x:v>authority</x:v>
      </x:c>
      <x:c r="G1413" s="7" t="str">
        <x:v>state</x:v>
      </x:c>
      <x:c r="H1413" s="10" t="str"/>
      <x:c r="I1413" s="7" t="str"/>
      <x:c r="J1413" s="7" t="str">
        <x:v>OPEN</x:v>
      </x:c>
    </x:row>
    <x:row r="1414" ht="36" customHeight="1">
      <x:c r="B1414" s="7" t="str">
        <x:v>RAE-E-44-HP-32</x:v>
      </x:c>
      <x:c r="C1414" s="7" t="str">
        <x:v>RAE-E-44</x:v>
      </x:c>
      <x:c r="D1414" s="7" t="str">
        <x:v>RFP-C2</x:v>
      </x:c>
      <x:c r="E1414" s="7" t="str">
        <x:v>HP-32</x:v>
      </x:c>
      <x:c r="F1414" s="7" t="str">
        <x:v>authority</x:v>
      </x:c>
      <x:c r="G1414" s="7" t="str">
        <x:v>authority</x:v>
      </x:c>
      <x:c r="H1414" s="10" t="str"/>
      <x:c r="I1414" s="7" t="str"/>
      <x:c r="J1414" s="7" t="str">
        <x:v>OPEN</x:v>
      </x:c>
    </x:row>
    <x:row r="1415" ht="36" customHeight="1">
      <x:c r="B1415" s="7" t="str">
        <x:v>RAE-E-45-HP-01</x:v>
      </x:c>
      <x:c r="C1415" s="7" t="str">
        <x:v>RAE-E-45</x:v>
      </x:c>
      <x:c r="D1415" s="7" t="str">
        <x:v>RFP-C2</x:v>
      </x:c>
      <x:c r="E1415" s="7" t="str">
        <x:v>HP-01</x:v>
      </x:c>
      <x:c r="F1415" s="7" t="str">
        <x:v>configuration</x:v>
      </x:c>
      <x:c r="G1415" s="7" t="str">
        <x:v>identity</x:v>
      </x:c>
      <x:c r="H1415" s="10" t="str"/>
      <x:c r="I1415" s="7" t="str"/>
      <x:c r="J1415" s="7" t="str">
        <x:v>OPEN</x:v>
      </x:c>
    </x:row>
    <x:row r="1416" ht="36" customHeight="1">
      <x:c r="B1416" s="7" t="str">
        <x:v>RAE-E-45-HP-02</x:v>
      </x:c>
      <x:c r="C1416" s="7" t="str">
        <x:v>RAE-E-45</x:v>
      </x:c>
      <x:c r="D1416" s="7" t="str">
        <x:v>RFP-C2</x:v>
      </x:c>
      <x:c r="E1416" s="7" t="str">
        <x:v>HP-02</x:v>
      </x:c>
      <x:c r="F1416" s="7" t="str">
        <x:v>configuration</x:v>
      </x:c>
      <x:c r="G1416" s="7" t="str">
        <x:v>capacity</x:v>
      </x:c>
      <x:c r="H1416" s="10" t="str"/>
      <x:c r="I1416" s="7" t="str"/>
      <x:c r="J1416" s="7" t="str">
        <x:v>OPEN</x:v>
      </x:c>
    </x:row>
    <x:row r="1417" ht="36" customHeight="1">
      <x:c r="B1417" s="7" t="str">
        <x:v>RAE-E-45-HP-03</x:v>
      </x:c>
      <x:c r="C1417" s="7" t="str">
        <x:v>RAE-E-45</x:v>
      </x:c>
      <x:c r="D1417" s="7" t="str">
        <x:v>RFP-C2</x:v>
      </x:c>
      <x:c r="E1417" s="7" t="str">
        <x:v>HP-03</x:v>
      </x:c>
      <x:c r="F1417" s="7" t="str">
        <x:v>configuration</x:v>
      </x:c>
      <x:c r="G1417" s="7" t="str">
        <x:v>state</x:v>
      </x:c>
      <x:c r="H1417" s="10" t="str"/>
      <x:c r="I1417" s="7" t="str"/>
      <x:c r="J1417" s="7" t="str">
        <x:v>OPEN</x:v>
      </x:c>
    </x:row>
    <x:row r="1418" ht="36" customHeight="1">
      <x:c r="B1418" s="7" t="str">
        <x:v>RAE-E-45-HP-04</x:v>
      </x:c>
      <x:c r="C1418" s="7" t="str">
        <x:v>RAE-E-45</x:v>
      </x:c>
      <x:c r="D1418" s="7" t="str">
        <x:v>RFP-C2</x:v>
      </x:c>
      <x:c r="E1418" s="7" t="str">
        <x:v>HP-04</x:v>
      </x:c>
      <x:c r="F1418" s="7" t="str">
        <x:v>configuration</x:v>
      </x:c>
      <x:c r="G1418" s="7" t="str">
        <x:v>authority</x:v>
      </x:c>
      <x:c r="H1418" s="10" t="str"/>
      <x:c r="I1418" s="7" t="str"/>
      <x:c r="J1418" s="7" t="str">
        <x:v>OPEN</x:v>
      </x:c>
    </x:row>
    <x:row r="1419" ht="36" customHeight="1">
      <x:c r="B1419" s="7" t="str">
        <x:v>RAE-E-45-HP-05</x:v>
      </x:c>
      <x:c r="C1419" s="7" t="str">
        <x:v>RAE-E-45</x:v>
      </x:c>
      <x:c r="D1419" s="7" t="str">
        <x:v>RFP-C2</x:v>
      </x:c>
      <x:c r="E1419" s="7" t="str">
        <x:v>HP-05</x:v>
      </x:c>
      <x:c r="F1419" s="7" t="str">
        <x:v>source</x:v>
      </x:c>
      <x:c r="G1419" s="7" t="str">
        <x:v>identity</x:v>
      </x:c>
      <x:c r="H1419" s="10" t="str"/>
      <x:c r="I1419" s="7" t="str"/>
      <x:c r="J1419" s="7" t="str">
        <x:v>OPEN</x:v>
      </x:c>
    </x:row>
    <x:row r="1420" ht="36" customHeight="1">
      <x:c r="B1420" s="7" t="str">
        <x:v>RAE-E-45-HP-06</x:v>
      </x:c>
      <x:c r="C1420" s="7" t="str">
        <x:v>RAE-E-45</x:v>
      </x:c>
      <x:c r="D1420" s="7" t="str">
        <x:v>RFP-C2</x:v>
      </x:c>
      <x:c r="E1420" s="7" t="str">
        <x:v>HP-06</x:v>
      </x:c>
      <x:c r="F1420" s="7" t="str">
        <x:v>source</x:v>
      </x:c>
      <x:c r="G1420" s="7" t="str">
        <x:v>capacity</x:v>
      </x:c>
      <x:c r="H1420" s="10" t="str"/>
      <x:c r="I1420" s="7" t="str"/>
      <x:c r="J1420" s="7" t="str">
        <x:v>OPEN</x:v>
      </x:c>
    </x:row>
    <x:row r="1421" ht="36" customHeight="1">
      <x:c r="B1421" s="7" t="str">
        <x:v>RAE-E-45-HP-07</x:v>
      </x:c>
      <x:c r="C1421" s="7" t="str">
        <x:v>RAE-E-45</x:v>
      </x:c>
      <x:c r="D1421" s="7" t="str">
        <x:v>RFP-C2</x:v>
      </x:c>
      <x:c r="E1421" s="7" t="str">
        <x:v>HP-07</x:v>
      </x:c>
      <x:c r="F1421" s="7" t="str">
        <x:v>source</x:v>
      </x:c>
      <x:c r="G1421" s="7" t="str">
        <x:v>state</x:v>
      </x:c>
      <x:c r="H1421" s="10" t="str"/>
      <x:c r="I1421" s="7" t="str"/>
      <x:c r="J1421" s="7" t="str">
        <x:v>OPEN</x:v>
      </x:c>
    </x:row>
    <x:row r="1422" ht="36" customHeight="1">
      <x:c r="B1422" s="7" t="str">
        <x:v>RAE-E-45-HP-08</x:v>
      </x:c>
      <x:c r="C1422" s="7" t="str">
        <x:v>RAE-E-45</x:v>
      </x:c>
      <x:c r="D1422" s="7" t="str">
        <x:v>RFP-C2</x:v>
      </x:c>
      <x:c r="E1422" s="7" t="str">
        <x:v>HP-08</x:v>
      </x:c>
      <x:c r="F1422" s="7" t="str">
        <x:v>source</x:v>
      </x:c>
      <x:c r="G1422" s="7" t="str">
        <x:v>authority</x:v>
      </x:c>
      <x:c r="H1422" s="10" t="str"/>
      <x:c r="I1422" s="7" t="str"/>
      <x:c r="J1422" s="7" t="str">
        <x:v>OPEN</x:v>
      </x:c>
    </x:row>
    <x:row r="1423" ht="36" customHeight="1">
      <x:c r="B1423" s="7" t="str">
        <x:v>RAE-E-45-HP-09</x:v>
      </x:c>
      <x:c r="C1423" s="7" t="str">
        <x:v>RAE-E-45</x:v>
      </x:c>
      <x:c r="D1423" s="7" t="str">
        <x:v>RFP-C2</x:v>
      </x:c>
      <x:c r="E1423" s="7" t="str">
        <x:v>HP-09</x:v>
      </x:c>
      <x:c r="F1423" s="7" t="str">
        <x:v>containment</x:v>
      </x:c>
      <x:c r="G1423" s="7" t="str">
        <x:v>identity</x:v>
      </x:c>
      <x:c r="H1423" s="10" t="str"/>
      <x:c r="I1423" s="7" t="str"/>
      <x:c r="J1423" s="7" t="str">
        <x:v>OPEN</x:v>
      </x:c>
    </x:row>
    <x:row r="1424" ht="36" customHeight="1">
      <x:c r="B1424" s="7" t="str">
        <x:v>RAE-E-45-HP-10</x:v>
      </x:c>
      <x:c r="C1424" s="7" t="str">
        <x:v>RAE-E-45</x:v>
      </x:c>
      <x:c r="D1424" s="7" t="str">
        <x:v>RFP-C2</x:v>
      </x:c>
      <x:c r="E1424" s="7" t="str">
        <x:v>HP-10</x:v>
      </x:c>
      <x:c r="F1424" s="7" t="str">
        <x:v>containment</x:v>
      </x:c>
      <x:c r="G1424" s="7" t="str">
        <x:v>capacity</x:v>
      </x:c>
      <x:c r="H1424" s="10" t="str"/>
      <x:c r="I1424" s="7" t="str"/>
      <x:c r="J1424" s="7" t="str">
        <x:v>OPEN</x:v>
      </x:c>
    </x:row>
    <x:row r="1425" ht="36" customHeight="1">
      <x:c r="B1425" s="7" t="str">
        <x:v>RAE-E-45-HP-11</x:v>
      </x:c>
      <x:c r="C1425" s="7" t="str">
        <x:v>RAE-E-45</x:v>
      </x:c>
      <x:c r="D1425" s="7" t="str">
        <x:v>RFP-C2</x:v>
      </x:c>
      <x:c r="E1425" s="7" t="str">
        <x:v>HP-11</x:v>
      </x:c>
      <x:c r="F1425" s="7" t="str">
        <x:v>containment</x:v>
      </x:c>
      <x:c r="G1425" s="7" t="str">
        <x:v>state</x:v>
      </x:c>
      <x:c r="H1425" s="10" t="str"/>
      <x:c r="I1425" s="7" t="str"/>
      <x:c r="J1425" s="7" t="str">
        <x:v>OPEN</x:v>
      </x:c>
    </x:row>
    <x:row r="1426" ht="36" customHeight="1">
      <x:c r="B1426" s="7" t="str">
        <x:v>RAE-E-45-HP-12</x:v>
      </x:c>
      <x:c r="C1426" s="7" t="str">
        <x:v>RAE-E-45</x:v>
      </x:c>
      <x:c r="D1426" s="7" t="str">
        <x:v>RFP-C2</x:v>
      </x:c>
      <x:c r="E1426" s="7" t="str">
        <x:v>HP-12</x:v>
      </x:c>
      <x:c r="F1426" s="7" t="str">
        <x:v>containment</x:v>
      </x:c>
      <x:c r="G1426" s="7" t="str">
        <x:v>authority</x:v>
      </x:c>
      <x:c r="H1426" s="10" t="str"/>
      <x:c r="I1426" s="7" t="str"/>
      <x:c r="J1426" s="7" t="str">
        <x:v>OPEN</x:v>
      </x:c>
    </x:row>
    <x:row r="1427" ht="36" customHeight="1">
      <x:c r="B1427" s="7" t="str">
        <x:v>RAE-E-45-HP-13</x:v>
      </x:c>
      <x:c r="C1427" s="7" t="str">
        <x:v>RAE-E-45</x:v>
      </x:c>
      <x:c r="D1427" s="7" t="str">
        <x:v>RFP-C2</x:v>
      </x:c>
      <x:c r="E1427" s="7" t="str">
        <x:v>HP-13</x:v>
      </x:c>
      <x:c r="F1427" s="7" t="str">
        <x:v>water</x:v>
      </x:c>
      <x:c r="G1427" s="7" t="str">
        <x:v>identity</x:v>
      </x:c>
      <x:c r="H1427" s="10" t="str"/>
      <x:c r="I1427" s="7" t="str"/>
      <x:c r="J1427" s="7" t="str">
        <x:v>OPEN</x:v>
      </x:c>
    </x:row>
    <x:row r="1428" ht="36" customHeight="1">
      <x:c r="B1428" s="7" t="str">
        <x:v>RAE-E-45-HP-14</x:v>
      </x:c>
      <x:c r="C1428" s="7" t="str">
        <x:v>RAE-E-45</x:v>
      </x:c>
      <x:c r="D1428" s="7" t="str">
        <x:v>RFP-C2</x:v>
      </x:c>
      <x:c r="E1428" s="7" t="str">
        <x:v>HP-14</x:v>
      </x:c>
      <x:c r="F1428" s="7" t="str">
        <x:v>water</x:v>
      </x:c>
      <x:c r="G1428" s="7" t="str">
        <x:v>capacity</x:v>
      </x:c>
      <x:c r="H1428" s="10" t="str"/>
      <x:c r="I1428" s="7" t="str"/>
      <x:c r="J1428" s="7" t="str">
        <x:v>OPEN</x:v>
      </x:c>
    </x:row>
    <x:row r="1429" ht="36" customHeight="1">
      <x:c r="B1429" s="7" t="str">
        <x:v>RAE-E-45-HP-15</x:v>
      </x:c>
      <x:c r="C1429" s="7" t="str">
        <x:v>RAE-E-45</x:v>
      </x:c>
      <x:c r="D1429" s="7" t="str">
        <x:v>RFP-C2</x:v>
      </x:c>
      <x:c r="E1429" s="7" t="str">
        <x:v>HP-15</x:v>
      </x:c>
      <x:c r="F1429" s="7" t="str">
        <x:v>water</x:v>
      </x:c>
      <x:c r="G1429" s="7" t="str">
        <x:v>state</x:v>
      </x:c>
      <x:c r="H1429" s="10" t="str"/>
      <x:c r="I1429" s="7" t="str"/>
      <x:c r="J1429" s="7" t="str">
        <x:v>OPEN</x:v>
      </x:c>
    </x:row>
    <x:row r="1430" ht="36" customHeight="1">
      <x:c r="B1430" s="7" t="str">
        <x:v>RAE-E-45-HP-16</x:v>
      </x:c>
      <x:c r="C1430" s="7" t="str">
        <x:v>RAE-E-45</x:v>
      </x:c>
      <x:c r="D1430" s="7" t="str">
        <x:v>RFP-C2</x:v>
      </x:c>
      <x:c r="E1430" s="7" t="str">
        <x:v>HP-16</x:v>
      </x:c>
      <x:c r="F1430" s="7" t="str">
        <x:v>water</x:v>
      </x:c>
      <x:c r="G1430" s="7" t="str">
        <x:v>authority</x:v>
      </x:c>
      <x:c r="H1430" s="10" t="str"/>
      <x:c r="I1430" s="7" t="str"/>
      <x:c r="J1430" s="7" t="str">
        <x:v>OPEN</x:v>
      </x:c>
    </x:row>
    <x:row r="1431" ht="36" customHeight="1">
      <x:c r="B1431" s="7" t="str">
        <x:v>RAE-E-45-HP-17</x:v>
      </x:c>
      <x:c r="C1431" s="7" t="str">
        <x:v>RAE-E-45</x:v>
      </x:c>
      <x:c r="D1431" s="7" t="str">
        <x:v>RFP-C2</x:v>
      </x:c>
      <x:c r="E1431" s="7" t="str">
        <x:v>HP-17</x:v>
      </x:c>
      <x:c r="F1431" s="7" t="str">
        <x:v>safeing</x:v>
      </x:c>
      <x:c r="G1431" s="7" t="str">
        <x:v>identity</x:v>
      </x:c>
      <x:c r="H1431" s="10" t="str"/>
      <x:c r="I1431" s="7" t="str"/>
      <x:c r="J1431" s="7" t="str">
        <x:v>OPEN</x:v>
      </x:c>
    </x:row>
    <x:row r="1432" ht="36" customHeight="1">
      <x:c r="B1432" s="7" t="str">
        <x:v>RAE-E-45-HP-18</x:v>
      </x:c>
      <x:c r="C1432" s="7" t="str">
        <x:v>RAE-E-45</x:v>
      </x:c>
      <x:c r="D1432" s="7" t="str">
        <x:v>RFP-C2</x:v>
      </x:c>
      <x:c r="E1432" s="7" t="str">
        <x:v>HP-18</x:v>
      </x:c>
      <x:c r="F1432" s="7" t="str">
        <x:v>safeing</x:v>
      </x:c>
      <x:c r="G1432" s="7" t="str">
        <x:v>capacity</x:v>
      </x:c>
      <x:c r="H1432" s="10" t="str"/>
      <x:c r="I1432" s="7" t="str"/>
      <x:c r="J1432" s="7" t="str">
        <x:v>OPEN</x:v>
      </x:c>
    </x:row>
    <x:row r="1433" ht="36" customHeight="1">
      <x:c r="B1433" s="7" t="str">
        <x:v>RAE-E-45-HP-19</x:v>
      </x:c>
      <x:c r="C1433" s="7" t="str">
        <x:v>RAE-E-45</x:v>
      </x:c>
      <x:c r="D1433" s="7" t="str">
        <x:v>RFP-C2</x:v>
      </x:c>
      <x:c r="E1433" s="7" t="str">
        <x:v>HP-19</x:v>
      </x:c>
      <x:c r="F1433" s="7" t="str">
        <x:v>safeing</x:v>
      </x:c>
      <x:c r="G1433" s="7" t="str">
        <x:v>state</x:v>
      </x:c>
      <x:c r="H1433" s="10" t="str"/>
      <x:c r="I1433" s="7" t="str"/>
      <x:c r="J1433" s="7" t="str">
        <x:v>OPEN</x:v>
      </x:c>
    </x:row>
    <x:row r="1434" ht="36" customHeight="1">
      <x:c r="B1434" s="7" t="str">
        <x:v>RAE-E-45-HP-20</x:v>
      </x:c>
      <x:c r="C1434" s="7" t="str">
        <x:v>RAE-E-45</x:v>
      </x:c>
      <x:c r="D1434" s="7" t="str">
        <x:v>RFP-C2</x:v>
      </x:c>
      <x:c r="E1434" s="7" t="str">
        <x:v>HP-20</x:v>
      </x:c>
      <x:c r="F1434" s="7" t="str">
        <x:v>safeing</x:v>
      </x:c>
      <x:c r="G1434" s="7" t="str">
        <x:v>authority</x:v>
      </x:c>
      <x:c r="H1434" s="10" t="str"/>
      <x:c r="I1434" s="7" t="str"/>
      <x:c r="J1434" s="7" t="str">
        <x:v>OPEN</x:v>
      </x:c>
    </x:row>
    <x:row r="1435" ht="36" customHeight="1">
      <x:c r="B1435" s="7" t="str">
        <x:v>RAE-E-45-HP-21</x:v>
      </x:c>
      <x:c r="C1435" s="7" t="str">
        <x:v>RAE-E-45</x:v>
      </x:c>
      <x:c r="D1435" s="7" t="str">
        <x:v>RFP-C2</x:v>
      </x:c>
      <x:c r="E1435" s="7" t="str">
        <x:v>HP-21</x:v>
      </x:c>
      <x:c r="F1435" s="7" t="str">
        <x:v>evidence</x:v>
      </x:c>
      <x:c r="G1435" s="7" t="str">
        <x:v>identity</x:v>
      </x:c>
      <x:c r="H1435" s="10" t="str"/>
      <x:c r="I1435" s="7" t="str"/>
      <x:c r="J1435" s="7" t="str">
        <x:v>OPEN</x:v>
      </x:c>
    </x:row>
    <x:row r="1436" ht="36" customHeight="1">
      <x:c r="B1436" s="7" t="str">
        <x:v>RAE-E-45-HP-22</x:v>
      </x:c>
      <x:c r="C1436" s="7" t="str">
        <x:v>RAE-E-45</x:v>
      </x:c>
      <x:c r="D1436" s="7" t="str">
        <x:v>RFP-C2</x:v>
      </x:c>
      <x:c r="E1436" s="7" t="str">
        <x:v>HP-22</x:v>
      </x:c>
      <x:c r="F1436" s="7" t="str">
        <x:v>evidence</x:v>
      </x:c>
      <x:c r="G1436" s="7" t="str">
        <x:v>capacity</x:v>
      </x:c>
      <x:c r="H1436" s="10" t="str"/>
      <x:c r="I1436" s="7" t="str"/>
      <x:c r="J1436" s="7" t="str">
        <x:v>OPEN</x:v>
      </x:c>
    </x:row>
    <x:row r="1437" ht="36" customHeight="1">
      <x:c r="B1437" s="7" t="str">
        <x:v>RAE-E-45-HP-23</x:v>
      </x:c>
      <x:c r="C1437" s="7" t="str">
        <x:v>RAE-E-45</x:v>
      </x:c>
      <x:c r="D1437" s="7" t="str">
        <x:v>RFP-C2</x:v>
      </x:c>
      <x:c r="E1437" s="7" t="str">
        <x:v>HP-23</x:v>
      </x:c>
      <x:c r="F1437" s="7" t="str">
        <x:v>evidence</x:v>
      </x:c>
      <x:c r="G1437" s="7" t="str">
        <x:v>state</x:v>
      </x:c>
      <x:c r="H1437" s="10" t="str"/>
      <x:c r="I1437" s="7" t="str"/>
      <x:c r="J1437" s="7" t="str">
        <x:v>OPEN</x:v>
      </x:c>
    </x:row>
    <x:row r="1438" ht="36" customHeight="1">
      <x:c r="B1438" s="7" t="str">
        <x:v>RAE-E-45-HP-24</x:v>
      </x:c>
      <x:c r="C1438" s="7" t="str">
        <x:v>RAE-E-45</x:v>
      </x:c>
      <x:c r="D1438" s="7" t="str">
        <x:v>RFP-C2</x:v>
      </x:c>
      <x:c r="E1438" s="7" t="str">
        <x:v>HP-24</x:v>
      </x:c>
      <x:c r="F1438" s="7" t="str">
        <x:v>evidence</x:v>
      </x:c>
      <x:c r="G1438" s="7" t="str">
        <x:v>authority</x:v>
      </x:c>
      <x:c r="H1438" s="10" t="str"/>
      <x:c r="I1438" s="7" t="str"/>
      <x:c r="J1438" s="7" t="str">
        <x:v>OPEN</x:v>
      </x:c>
    </x:row>
    <x:row r="1439" ht="36" customHeight="1">
      <x:c r="B1439" s="7" t="str">
        <x:v>RAE-E-45-HP-25</x:v>
      </x:c>
      <x:c r="C1439" s="7" t="str">
        <x:v>RAE-E-45</x:v>
      </x:c>
      <x:c r="D1439" s="7" t="str">
        <x:v>RFP-C2</x:v>
      </x:c>
      <x:c r="E1439" s="7" t="str">
        <x:v>HP-25</x:v>
      </x:c>
      <x:c r="F1439" s="7" t="str">
        <x:v>environment</x:v>
      </x:c>
      <x:c r="G1439" s="7" t="str">
        <x:v>identity</x:v>
      </x:c>
      <x:c r="H1439" s="10" t="str"/>
      <x:c r="I1439" s="7" t="str"/>
      <x:c r="J1439" s="7" t="str">
        <x:v>OPEN</x:v>
      </x:c>
    </x:row>
    <x:row r="1440" ht="36" customHeight="1">
      <x:c r="B1440" s="7" t="str">
        <x:v>RAE-E-45-HP-26</x:v>
      </x:c>
      <x:c r="C1440" s="7" t="str">
        <x:v>RAE-E-45</x:v>
      </x:c>
      <x:c r="D1440" s="7" t="str">
        <x:v>RFP-C2</x:v>
      </x:c>
      <x:c r="E1440" s="7" t="str">
        <x:v>HP-26</x:v>
      </x:c>
      <x:c r="F1440" s="7" t="str">
        <x:v>environment</x:v>
      </x:c>
      <x:c r="G1440" s="7" t="str">
        <x:v>capacity</x:v>
      </x:c>
      <x:c r="H1440" s="10" t="str"/>
      <x:c r="I1440" s="7" t="str"/>
      <x:c r="J1440" s="7" t="str">
        <x:v>OPEN</x:v>
      </x:c>
    </x:row>
    <x:row r="1441" ht="36" customHeight="1">
      <x:c r="B1441" s="7" t="str">
        <x:v>RAE-E-45-HP-27</x:v>
      </x:c>
      <x:c r="C1441" s="7" t="str">
        <x:v>RAE-E-45</x:v>
      </x:c>
      <x:c r="D1441" s="7" t="str">
        <x:v>RFP-C2</x:v>
      </x:c>
      <x:c r="E1441" s="7" t="str">
        <x:v>HP-27</x:v>
      </x:c>
      <x:c r="F1441" s="7" t="str">
        <x:v>environment</x:v>
      </x:c>
      <x:c r="G1441" s="7" t="str">
        <x:v>state</x:v>
      </x:c>
      <x:c r="H1441" s="10" t="str"/>
      <x:c r="I1441" s="7" t="str"/>
      <x:c r="J1441" s="7" t="str">
        <x:v>OPEN</x:v>
      </x:c>
    </x:row>
    <x:row r="1442" ht="36" customHeight="1">
      <x:c r="B1442" s="7" t="str">
        <x:v>RAE-E-45-HP-28</x:v>
      </x:c>
      <x:c r="C1442" s="7" t="str">
        <x:v>RAE-E-45</x:v>
      </x:c>
      <x:c r="D1442" s="7" t="str">
        <x:v>RFP-C2</x:v>
      </x:c>
      <x:c r="E1442" s="7" t="str">
        <x:v>HP-28</x:v>
      </x:c>
      <x:c r="F1442" s="7" t="str">
        <x:v>environment</x:v>
      </x:c>
      <x:c r="G1442" s="7" t="str">
        <x:v>authority</x:v>
      </x:c>
      <x:c r="H1442" s="10" t="str"/>
      <x:c r="I1442" s="7" t="str"/>
      <x:c r="J1442" s="7" t="str">
        <x:v>OPEN</x:v>
      </x:c>
    </x:row>
    <x:row r="1443" ht="36" customHeight="1">
      <x:c r="B1443" s="7" t="str">
        <x:v>RAE-E-45-HP-29</x:v>
      </x:c>
      <x:c r="C1443" s="7" t="str">
        <x:v>RAE-E-45</x:v>
      </x:c>
      <x:c r="D1443" s="7" t="str">
        <x:v>RFP-C2</x:v>
      </x:c>
      <x:c r="E1443" s="7" t="str">
        <x:v>HP-29</x:v>
      </x:c>
      <x:c r="F1443" s="7" t="str">
        <x:v>authority</x:v>
      </x:c>
      <x:c r="G1443" s="7" t="str">
        <x:v>identity</x:v>
      </x:c>
      <x:c r="H1443" s="10" t="str"/>
      <x:c r="I1443" s="7" t="str"/>
      <x:c r="J1443" s="7" t="str">
        <x:v>OPEN</x:v>
      </x:c>
    </x:row>
    <x:row r="1444" ht="36" customHeight="1">
      <x:c r="B1444" s="7" t="str">
        <x:v>RAE-E-45-HP-30</x:v>
      </x:c>
      <x:c r="C1444" s="7" t="str">
        <x:v>RAE-E-45</x:v>
      </x:c>
      <x:c r="D1444" s="7" t="str">
        <x:v>RFP-C2</x:v>
      </x:c>
      <x:c r="E1444" s="7" t="str">
        <x:v>HP-30</x:v>
      </x:c>
      <x:c r="F1444" s="7" t="str">
        <x:v>authority</x:v>
      </x:c>
      <x:c r="G1444" s="7" t="str">
        <x:v>capacity</x:v>
      </x:c>
      <x:c r="H1444" s="10" t="str"/>
      <x:c r="I1444" s="7" t="str"/>
      <x:c r="J1444" s="7" t="str">
        <x:v>OPEN</x:v>
      </x:c>
    </x:row>
    <x:row r="1445" ht="36" customHeight="1">
      <x:c r="B1445" s="7" t="str">
        <x:v>RAE-E-45-HP-31</x:v>
      </x:c>
      <x:c r="C1445" s="7" t="str">
        <x:v>RAE-E-45</x:v>
      </x:c>
      <x:c r="D1445" s="7" t="str">
        <x:v>RFP-C2</x:v>
      </x:c>
      <x:c r="E1445" s="7" t="str">
        <x:v>HP-31</x:v>
      </x:c>
      <x:c r="F1445" s="7" t="str">
        <x:v>authority</x:v>
      </x:c>
      <x:c r="G1445" s="7" t="str">
        <x:v>state</x:v>
      </x:c>
      <x:c r="H1445" s="10" t="str"/>
      <x:c r="I1445" s="7" t="str"/>
      <x:c r="J1445" s="7" t="str">
        <x:v>OPEN</x:v>
      </x:c>
    </x:row>
    <x:row r="1446" ht="36" customHeight="1">
      <x:c r="B1446" s="7" t="str">
        <x:v>RAE-E-45-HP-32</x:v>
      </x:c>
      <x:c r="C1446" s="7" t="str">
        <x:v>RAE-E-45</x:v>
      </x:c>
      <x:c r="D1446" s="7" t="str">
        <x:v>RFP-C2</x:v>
      </x:c>
      <x:c r="E1446" s="7" t="str">
        <x:v>HP-32</x:v>
      </x:c>
      <x:c r="F1446" s="7" t="str">
        <x:v>authority</x:v>
      </x:c>
      <x:c r="G1446" s="7" t="str">
        <x:v>authority</x:v>
      </x:c>
      <x:c r="H1446" s="10" t="str"/>
      <x:c r="I1446" s="7" t="str"/>
      <x:c r="J1446" s="7" t="str">
        <x:v>OPEN</x:v>
      </x:c>
    </x:row>
    <x:row r="1447" ht="36" customHeight="1">
      <x:c r="B1447" s="7" t="str">
        <x:v>RAE-E-46-HP-01</x:v>
      </x:c>
      <x:c r="C1447" s="7" t="str">
        <x:v>RAE-E-46</x:v>
      </x:c>
      <x:c r="D1447" s="7" t="str">
        <x:v>RFP-C2</x:v>
      </x:c>
      <x:c r="E1447" s="7" t="str">
        <x:v>HP-01</x:v>
      </x:c>
      <x:c r="F1447" s="7" t="str">
        <x:v>configuration</x:v>
      </x:c>
      <x:c r="G1447" s="7" t="str">
        <x:v>identity</x:v>
      </x:c>
      <x:c r="H1447" s="10" t="str"/>
      <x:c r="I1447" s="7" t="str"/>
      <x:c r="J1447" s="7" t="str">
        <x:v>OPEN</x:v>
      </x:c>
    </x:row>
    <x:row r="1448" ht="36" customHeight="1">
      <x:c r="B1448" s="7" t="str">
        <x:v>RAE-E-46-HP-02</x:v>
      </x:c>
      <x:c r="C1448" s="7" t="str">
        <x:v>RAE-E-46</x:v>
      </x:c>
      <x:c r="D1448" s="7" t="str">
        <x:v>RFP-C2</x:v>
      </x:c>
      <x:c r="E1448" s="7" t="str">
        <x:v>HP-02</x:v>
      </x:c>
      <x:c r="F1448" s="7" t="str">
        <x:v>configuration</x:v>
      </x:c>
      <x:c r="G1448" s="7" t="str">
        <x:v>capacity</x:v>
      </x:c>
      <x:c r="H1448" s="10" t="str"/>
      <x:c r="I1448" s="7" t="str"/>
      <x:c r="J1448" s="7" t="str">
        <x:v>OPEN</x:v>
      </x:c>
    </x:row>
    <x:row r="1449" ht="36" customHeight="1">
      <x:c r="B1449" s="7" t="str">
        <x:v>RAE-E-46-HP-03</x:v>
      </x:c>
      <x:c r="C1449" s="7" t="str">
        <x:v>RAE-E-46</x:v>
      </x:c>
      <x:c r="D1449" s="7" t="str">
        <x:v>RFP-C2</x:v>
      </x:c>
      <x:c r="E1449" s="7" t="str">
        <x:v>HP-03</x:v>
      </x:c>
      <x:c r="F1449" s="7" t="str">
        <x:v>configuration</x:v>
      </x:c>
      <x:c r="G1449" s="7" t="str">
        <x:v>state</x:v>
      </x:c>
      <x:c r="H1449" s="10" t="str"/>
      <x:c r="I1449" s="7" t="str"/>
      <x:c r="J1449" s="7" t="str">
        <x:v>OPEN</x:v>
      </x:c>
    </x:row>
    <x:row r="1450" ht="36" customHeight="1">
      <x:c r="B1450" s="7" t="str">
        <x:v>RAE-E-46-HP-04</x:v>
      </x:c>
      <x:c r="C1450" s="7" t="str">
        <x:v>RAE-E-46</x:v>
      </x:c>
      <x:c r="D1450" s="7" t="str">
        <x:v>RFP-C2</x:v>
      </x:c>
      <x:c r="E1450" s="7" t="str">
        <x:v>HP-04</x:v>
      </x:c>
      <x:c r="F1450" s="7" t="str">
        <x:v>configuration</x:v>
      </x:c>
      <x:c r="G1450" s="7" t="str">
        <x:v>authority</x:v>
      </x:c>
      <x:c r="H1450" s="10" t="str"/>
      <x:c r="I1450" s="7" t="str"/>
      <x:c r="J1450" s="7" t="str">
        <x:v>OPEN</x:v>
      </x:c>
    </x:row>
    <x:row r="1451" ht="36" customHeight="1">
      <x:c r="B1451" s="7" t="str">
        <x:v>RAE-E-46-HP-05</x:v>
      </x:c>
      <x:c r="C1451" s="7" t="str">
        <x:v>RAE-E-46</x:v>
      </x:c>
      <x:c r="D1451" s="7" t="str">
        <x:v>RFP-C2</x:v>
      </x:c>
      <x:c r="E1451" s="7" t="str">
        <x:v>HP-05</x:v>
      </x:c>
      <x:c r="F1451" s="7" t="str">
        <x:v>source</x:v>
      </x:c>
      <x:c r="G1451" s="7" t="str">
        <x:v>identity</x:v>
      </x:c>
      <x:c r="H1451" s="10" t="str"/>
      <x:c r="I1451" s="7" t="str"/>
      <x:c r="J1451" s="7" t="str">
        <x:v>OPEN</x:v>
      </x:c>
    </x:row>
    <x:row r="1452" ht="36" customHeight="1">
      <x:c r="B1452" s="7" t="str">
        <x:v>RAE-E-46-HP-06</x:v>
      </x:c>
      <x:c r="C1452" s="7" t="str">
        <x:v>RAE-E-46</x:v>
      </x:c>
      <x:c r="D1452" s="7" t="str">
        <x:v>RFP-C2</x:v>
      </x:c>
      <x:c r="E1452" s="7" t="str">
        <x:v>HP-06</x:v>
      </x:c>
      <x:c r="F1452" s="7" t="str">
        <x:v>source</x:v>
      </x:c>
      <x:c r="G1452" s="7" t="str">
        <x:v>capacity</x:v>
      </x:c>
      <x:c r="H1452" s="10" t="str"/>
      <x:c r="I1452" s="7" t="str"/>
      <x:c r="J1452" s="7" t="str">
        <x:v>OPEN</x:v>
      </x:c>
    </x:row>
    <x:row r="1453" ht="36" customHeight="1">
      <x:c r="B1453" s="7" t="str">
        <x:v>RAE-E-46-HP-07</x:v>
      </x:c>
      <x:c r="C1453" s="7" t="str">
        <x:v>RAE-E-46</x:v>
      </x:c>
      <x:c r="D1453" s="7" t="str">
        <x:v>RFP-C2</x:v>
      </x:c>
      <x:c r="E1453" s="7" t="str">
        <x:v>HP-07</x:v>
      </x:c>
      <x:c r="F1453" s="7" t="str">
        <x:v>source</x:v>
      </x:c>
      <x:c r="G1453" s="7" t="str">
        <x:v>state</x:v>
      </x:c>
      <x:c r="H1453" s="10" t="str"/>
      <x:c r="I1453" s="7" t="str"/>
      <x:c r="J1453" s="7" t="str">
        <x:v>OPEN</x:v>
      </x:c>
    </x:row>
    <x:row r="1454" ht="36" customHeight="1">
      <x:c r="B1454" s="7" t="str">
        <x:v>RAE-E-46-HP-08</x:v>
      </x:c>
      <x:c r="C1454" s="7" t="str">
        <x:v>RAE-E-46</x:v>
      </x:c>
      <x:c r="D1454" s="7" t="str">
        <x:v>RFP-C2</x:v>
      </x:c>
      <x:c r="E1454" s="7" t="str">
        <x:v>HP-08</x:v>
      </x:c>
      <x:c r="F1454" s="7" t="str">
        <x:v>source</x:v>
      </x:c>
      <x:c r="G1454" s="7" t="str">
        <x:v>authority</x:v>
      </x:c>
      <x:c r="H1454" s="10" t="str"/>
      <x:c r="I1454" s="7" t="str"/>
      <x:c r="J1454" s="7" t="str">
        <x:v>OPEN</x:v>
      </x:c>
    </x:row>
    <x:row r="1455" ht="36" customHeight="1">
      <x:c r="B1455" s="7" t="str">
        <x:v>RAE-E-46-HP-09</x:v>
      </x:c>
      <x:c r="C1455" s="7" t="str">
        <x:v>RAE-E-46</x:v>
      </x:c>
      <x:c r="D1455" s="7" t="str">
        <x:v>RFP-C2</x:v>
      </x:c>
      <x:c r="E1455" s="7" t="str">
        <x:v>HP-09</x:v>
      </x:c>
      <x:c r="F1455" s="7" t="str">
        <x:v>containment</x:v>
      </x:c>
      <x:c r="G1455" s="7" t="str">
        <x:v>identity</x:v>
      </x:c>
      <x:c r="H1455" s="10" t="str"/>
      <x:c r="I1455" s="7" t="str"/>
      <x:c r="J1455" s="7" t="str">
        <x:v>OPEN</x:v>
      </x:c>
    </x:row>
    <x:row r="1456" ht="36" customHeight="1">
      <x:c r="B1456" s="7" t="str">
        <x:v>RAE-E-46-HP-10</x:v>
      </x:c>
      <x:c r="C1456" s="7" t="str">
        <x:v>RAE-E-46</x:v>
      </x:c>
      <x:c r="D1456" s="7" t="str">
        <x:v>RFP-C2</x:v>
      </x:c>
      <x:c r="E1456" s="7" t="str">
        <x:v>HP-10</x:v>
      </x:c>
      <x:c r="F1456" s="7" t="str">
        <x:v>containment</x:v>
      </x:c>
      <x:c r="G1456" s="7" t="str">
        <x:v>capacity</x:v>
      </x:c>
      <x:c r="H1456" s="10" t="str"/>
      <x:c r="I1456" s="7" t="str"/>
      <x:c r="J1456" s="7" t="str">
        <x:v>OPEN</x:v>
      </x:c>
    </x:row>
    <x:row r="1457" ht="36" customHeight="1">
      <x:c r="B1457" s="7" t="str">
        <x:v>RAE-E-46-HP-11</x:v>
      </x:c>
      <x:c r="C1457" s="7" t="str">
        <x:v>RAE-E-46</x:v>
      </x:c>
      <x:c r="D1457" s="7" t="str">
        <x:v>RFP-C2</x:v>
      </x:c>
      <x:c r="E1457" s="7" t="str">
        <x:v>HP-11</x:v>
      </x:c>
      <x:c r="F1457" s="7" t="str">
        <x:v>containment</x:v>
      </x:c>
      <x:c r="G1457" s="7" t="str">
        <x:v>state</x:v>
      </x:c>
      <x:c r="H1457" s="10" t="str"/>
      <x:c r="I1457" s="7" t="str"/>
      <x:c r="J1457" s="7" t="str">
        <x:v>OPEN</x:v>
      </x:c>
    </x:row>
    <x:row r="1458" ht="36" customHeight="1">
      <x:c r="B1458" s="7" t="str">
        <x:v>RAE-E-46-HP-12</x:v>
      </x:c>
      <x:c r="C1458" s="7" t="str">
        <x:v>RAE-E-46</x:v>
      </x:c>
      <x:c r="D1458" s="7" t="str">
        <x:v>RFP-C2</x:v>
      </x:c>
      <x:c r="E1458" s="7" t="str">
        <x:v>HP-12</x:v>
      </x:c>
      <x:c r="F1458" s="7" t="str">
        <x:v>containment</x:v>
      </x:c>
      <x:c r="G1458" s="7" t="str">
        <x:v>authority</x:v>
      </x:c>
      <x:c r="H1458" s="10" t="str"/>
      <x:c r="I1458" s="7" t="str"/>
      <x:c r="J1458" s="7" t="str">
        <x:v>OPEN</x:v>
      </x:c>
    </x:row>
    <x:row r="1459" ht="36" customHeight="1">
      <x:c r="B1459" s="7" t="str">
        <x:v>RAE-E-46-HP-13</x:v>
      </x:c>
      <x:c r="C1459" s="7" t="str">
        <x:v>RAE-E-46</x:v>
      </x:c>
      <x:c r="D1459" s="7" t="str">
        <x:v>RFP-C2</x:v>
      </x:c>
      <x:c r="E1459" s="7" t="str">
        <x:v>HP-13</x:v>
      </x:c>
      <x:c r="F1459" s="7" t="str">
        <x:v>water</x:v>
      </x:c>
      <x:c r="G1459" s="7" t="str">
        <x:v>identity</x:v>
      </x:c>
      <x:c r="H1459" s="10" t="str"/>
      <x:c r="I1459" s="7" t="str"/>
      <x:c r="J1459" s="7" t="str">
        <x:v>OPEN</x:v>
      </x:c>
    </x:row>
    <x:row r="1460" ht="36" customHeight="1">
      <x:c r="B1460" s="7" t="str">
        <x:v>RAE-E-46-HP-14</x:v>
      </x:c>
      <x:c r="C1460" s="7" t="str">
        <x:v>RAE-E-46</x:v>
      </x:c>
      <x:c r="D1460" s="7" t="str">
        <x:v>RFP-C2</x:v>
      </x:c>
      <x:c r="E1460" s="7" t="str">
        <x:v>HP-14</x:v>
      </x:c>
      <x:c r="F1460" s="7" t="str">
        <x:v>water</x:v>
      </x:c>
      <x:c r="G1460" s="7" t="str">
        <x:v>capacity</x:v>
      </x:c>
      <x:c r="H1460" s="10" t="str"/>
      <x:c r="I1460" s="7" t="str"/>
      <x:c r="J1460" s="7" t="str">
        <x:v>OPEN</x:v>
      </x:c>
    </x:row>
    <x:row r="1461" ht="36" customHeight="1">
      <x:c r="B1461" s="7" t="str">
        <x:v>RAE-E-46-HP-15</x:v>
      </x:c>
      <x:c r="C1461" s="7" t="str">
        <x:v>RAE-E-46</x:v>
      </x:c>
      <x:c r="D1461" s="7" t="str">
        <x:v>RFP-C2</x:v>
      </x:c>
      <x:c r="E1461" s="7" t="str">
        <x:v>HP-15</x:v>
      </x:c>
      <x:c r="F1461" s="7" t="str">
        <x:v>water</x:v>
      </x:c>
      <x:c r="G1461" s="7" t="str">
        <x:v>state</x:v>
      </x:c>
      <x:c r="H1461" s="10" t="str"/>
      <x:c r="I1461" s="7" t="str"/>
      <x:c r="J1461" s="7" t="str">
        <x:v>OPEN</x:v>
      </x:c>
    </x:row>
    <x:row r="1462" ht="36" customHeight="1">
      <x:c r="B1462" s="7" t="str">
        <x:v>RAE-E-46-HP-16</x:v>
      </x:c>
      <x:c r="C1462" s="7" t="str">
        <x:v>RAE-E-46</x:v>
      </x:c>
      <x:c r="D1462" s="7" t="str">
        <x:v>RFP-C2</x:v>
      </x:c>
      <x:c r="E1462" s="7" t="str">
        <x:v>HP-16</x:v>
      </x:c>
      <x:c r="F1462" s="7" t="str">
        <x:v>water</x:v>
      </x:c>
      <x:c r="G1462" s="7" t="str">
        <x:v>authority</x:v>
      </x:c>
      <x:c r="H1462" s="10" t="str"/>
      <x:c r="I1462" s="7" t="str"/>
      <x:c r="J1462" s="7" t="str">
        <x:v>OPEN</x:v>
      </x:c>
    </x:row>
    <x:row r="1463" ht="36" customHeight="1">
      <x:c r="B1463" s="7" t="str">
        <x:v>RAE-E-46-HP-17</x:v>
      </x:c>
      <x:c r="C1463" s="7" t="str">
        <x:v>RAE-E-46</x:v>
      </x:c>
      <x:c r="D1463" s="7" t="str">
        <x:v>RFP-C2</x:v>
      </x:c>
      <x:c r="E1463" s="7" t="str">
        <x:v>HP-17</x:v>
      </x:c>
      <x:c r="F1463" s="7" t="str">
        <x:v>safeing</x:v>
      </x:c>
      <x:c r="G1463" s="7" t="str">
        <x:v>identity</x:v>
      </x:c>
      <x:c r="H1463" s="10" t="str"/>
      <x:c r="I1463" s="7" t="str"/>
      <x:c r="J1463" s="7" t="str">
        <x:v>OPEN</x:v>
      </x:c>
    </x:row>
    <x:row r="1464" ht="36" customHeight="1">
      <x:c r="B1464" s="7" t="str">
        <x:v>RAE-E-46-HP-18</x:v>
      </x:c>
      <x:c r="C1464" s="7" t="str">
        <x:v>RAE-E-46</x:v>
      </x:c>
      <x:c r="D1464" s="7" t="str">
        <x:v>RFP-C2</x:v>
      </x:c>
      <x:c r="E1464" s="7" t="str">
        <x:v>HP-18</x:v>
      </x:c>
      <x:c r="F1464" s="7" t="str">
        <x:v>safeing</x:v>
      </x:c>
      <x:c r="G1464" s="7" t="str">
        <x:v>capacity</x:v>
      </x:c>
      <x:c r="H1464" s="10" t="str"/>
      <x:c r="I1464" s="7" t="str"/>
      <x:c r="J1464" s="7" t="str">
        <x:v>OPEN</x:v>
      </x:c>
    </x:row>
    <x:row r="1465" ht="36" customHeight="1">
      <x:c r="B1465" s="7" t="str">
        <x:v>RAE-E-46-HP-19</x:v>
      </x:c>
      <x:c r="C1465" s="7" t="str">
        <x:v>RAE-E-46</x:v>
      </x:c>
      <x:c r="D1465" s="7" t="str">
        <x:v>RFP-C2</x:v>
      </x:c>
      <x:c r="E1465" s="7" t="str">
        <x:v>HP-19</x:v>
      </x:c>
      <x:c r="F1465" s="7" t="str">
        <x:v>safeing</x:v>
      </x:c>
      <x:c r="G1465" s="7" t="str">
        <x:v>state</x:v>
      </x:c>
      <x:c r="H1465" s="10" t="str"/>
      <x:c r="I1465" s="7" t="str"/>
      <x:c r="J1465" s="7" t="str">
        <x:v>OPEN</x:v>
      </x:c>
    </x:row>
    <x:row r="1466" ht="36" customHeight="1">
      <x:c r="B1466" s="7" t="str">
        <x:v>RAE-E-46-HP-20</x:v>
      </x:c>
      <x:c r="C1466" s="7" t="str">
        <x:v>RAE-E-46</x:v>
      </x:c>
      <x:c r="D1466" s="7" t="str">
        <x:v>RFP-C2</x:v>
      </x:c>
      <x:c r="E1466" s="7" t="str">
        <x:v>HP-20</x:v>
      </x:c>
      <x:c r="F1466" s="7" t="str">
        <x:v>safeing</x:v>
      </x:c>
      <x:c r="G1466" s="7" t="str">
        <x:v>authority</x:v>
      </x:c>
      <x:c r="H1466" s="10" t="str"/>
      <x:c r="I1466" s="7" t="str"/>
      <x:c r="J1466" s="7" t="str">
        <x:v>OPEN</x:v>
      </x:c>
    </x:row>
    <x:row r="1467" ht="36" customHeight="1">
      <x:c r="B1467" s="7" t="str">
        <x:v>RAE-E-46-HP-21</x:v>
      </x:c>
      <x:c r="C1467" s="7" t="str">
        <x:v>RAE-E-46</x:v>
      </x:c>
      <x:c r="D1467" s="7" t="str">
        <x:v>RFP-C2</x:v>
      </x:c>
      <x:c r="E1467" s="7" t="str">
        <x:v>HP-21</x:v>
      </x:c>
      <x:c r="F1467" s="7" t="str">
        <x:v>evidence</x:v>
      </x:c>
      <x:c r="G1467" s="7" t="str">
        <x:v>identity</x:v>
      </x:c>
      <x:c r="H1467" s="10" t="str"/>
      <x:c r="I1467" s="7" t="str"/>
      <x:c r="J1467" s="7" t="str">
        <x:v>OPEN</x:v>
      </x:c>
    </x:row>
    <x:row r="1468" ht="36" customHeight="1">
      <x:c r="B1468" s="7" t="str">
        <x:v>RAE-E-46-HP-22</x:v>
      </x:c>
      <x:c r="C1468" s="7" t="str">
        <x:v>RAE-E-46</x:v>
      </x:c>
      <x:c r="D1468" s="7" t="str">
        <x:v>RFP-C2</x:v>
      </x:c>
      <x:c r="E1468" s="7" t="str">
        <x:v>HP-22</x:v>
      </x:c>
      <x:c r="F1468" s="7" t="str">
        <x:v>evidence</x:v>
      </x:c>
      <x:c r="G1468" s="7" t="str">
        <x:v>capacity</x:v>
      </x:c>
      <x:c r="H1468" s="10" t="str"/>
      <x:c r="I1468" s="7" t="str"/>
      <x:c r="J1468" s="7" t="str">
        <x:v>OPEN</x:v>
      </x:c>
    </x:row>
    <x:row r="1469" ht="36" customHeight="1">
      <x:c r="B1469" s="7" t="str">
        <x:v>RAE-E-46-HP-23</x:v>
      </x:c>
      <x:c r="C1469" s="7" t="str">
        <x:v>RAE-E-46</x:v>
      </x:c>
      <x:c r="D1469" s="7" t="str">
        <x:v>RFP-C2</x:v>
      </x:c>
      <x:c r="E1469" s="7" t="str">
        <x:v>HP-23</x:v>
      </x:c>
      <x:c r="F1469" s="7" t="str">
        <x:v>evidence</x:v>
      </x:c>
      <x:c r="G1469" s="7" t="str">
        <x:v>state</x:v>
      </x:c>
      <x:c r="H1469" s="10" t="str"/>
      <x:c r="I1469" s="7" t="str"/>
      <x:c r="J1469" s="7" t="str">
        <x:v>OPEN</x:v>
      </x:c>
    </x:row>
    <x:row r="1470" ht="36" customHeight="1">
      <x:c r="B1470" s="7" t="str">
        <x:v>RAE-E-46-HP-24</x:v>
      </x:c>
      <x:c r="C1470" s="7" t="str">
        <x:v>RAE-E-46</x:v>
      </x:c>
      <x:c r="D1470" s="7" t="str">
        <x:v>RFP-C2</x:v>
      </x:c>
      <x:c r="E1470" s="7" t="str">
        <x:v>HP-24</x:v>
      </x:c>
      <x:c r="F1470" s="7" t="str">
        <x:v>evidence</x:v>
      </x:c>
      <x:c r="G1470" s="7" t="str">
        <x:v>authority</x:v>
      </x:c>
      <x:c r="H1470" s="10" t="str"/>
      <x:c r="I1470" s="7" t="str"/>
      <x:c r="J1470" s="7" t="str">
        <x:v>OPEN</x:v>
      </x:c>
    </x:row>
    <x:row r="1471" ht="36" customHeight="1">
      <x:c r="B1471" s="7" t="str">
        <x:v>RAE-E-46-HP-25</x:v>
      </x:c>
      <x:c r="C1471" s="7" t="str">
        <x:v>RAE-E-46</x:v>
      </x:c>
      <x:c r="D1471" s="7" t="str">
        <x:v>RFP-C2</x:v>
      </x:c>
      <x:c r="E1471" s="7" t="str">
        <x:v>HP-25</x:v>
      </x:c>
      <x:c r="F1471" s="7" t="str">
        <x:v>environment</x:v>
      </x:c>
      <x:c r="G1471" s="7" t="str">
        <x:v>identity</x:v>
      </x:c>
      <x:c r="H1471" s="10" t="str"/>
      <x:c r="I1471" s="7" t="str"/>
      <x:c r="J1471" s="7" t="str">
        <x:v>OPEN</x:v>
      </x:c>
    </x:row>
    <x:row r="1472" ht="36" customHeight="1">
      <x:c r="B1472" s="7" t="str">
        <x:v>RAE-E-46-HP-26</x:v>
      </x:c>
      <x:c r="C1472" s="7" t="str">
        <x:v>RAE-E-46</x:v>
      </x:c>
      <x:c r="D1472" s="7" t="str">
        <x:v>RFP-C2</x:v>
      </x:c>
      <x:c r="E1472" s="7" t="str">
        <x:v>HP-26</x:v>
      </x:c>
      <x:c r="F1472" s="7" t="str">
        <x:v>environment</x:v>
      </x:c>
      <x:c r="G1472" s="7" t="str">
        <x:v>capacity</x:v>
      </x:c>
      <x:c r="H1472" s="10" t="str"/>
      <x:c r="I1472" s="7" t="str"/>
      <x:c r="J1472" s="7" t="str">
        <x:v>OPEN</x:v>
      </x:c>
    </x:row>
    <x:row r="1473" ht="36" customHeight="1">
      <x:c r="B1473" s="7" t="str">
        <x:v>RAE-E-46-HP-27</x:v>
      </x:c>
      <x:c r="C1473" s="7" t="str">
        <x:v>RAE-E-46</x:v>
      </x:c>
      <x:c r="D1473" s="7" t="str">
        <x:v>RFP-C2</x:v>
      </x:c>
      <x:c r="E1473" s="7" t="str">
        <x:v>HP-27</x:v>
      </x:c>
      <x:c r="F1473" s="7" t="str">
        <x:v>environment</x:v>
      </x:c>
      <x:c r="G1473" s="7" t="str">
        <x:v>state</x:v>
      </x:c>
      <x:c r="H1473" s="10" t="str"/>
      <x:c r="I1473" s="7" t="str"/>
      <x:c r="J1473" s="7" t="str">
        <x:v>OPEN</x:v>
      </x:c>
    </x:row>
    <x:row r="1474" ht="36" customHeight="1">
      <x:c r="B1474" s="7" t="str">
        <x:v>RAE-E-46-HP-28</x:v>
      </x:c>
      <x:c r="C1474" s="7" t="str">
        <x:v>RAE-E-46</x:v>
      </x:c>
      <x:c r="D1474" s="7" t="str">
        <x:v>RFP-C2</x:v>
      </x:c>
      <x:c r="E1474" s="7" t="str">
        <x:v>HP-28</x:v>
      </x:c>
      <x:c r="F1474" s="7" t="str">
        <x:v>environment</x:v>
      </x:c>
      <x:c r="G1474" s="7" t="str">
        <x:v>authority</x:v>
      </x:c>
      <x:c r="H1474" s="10" t="str"/>
      <x:c r="I1474" s="7" t="str"/>
      <x:c r="J1474" s="7" t="str">
        <x:v>OPEN</x:v>
      </x:c>
    </x:row>
    <x:row r="1475" ht="36" customHeight="1">
      <x:c r="B1475" s="7" t="str">
        <x:v>RAE-E-46-HP-29</x:v>
      </x:c>
      <x:c r="C1475" s="7" t="str">
        <x:v>RAE-E-46</x:v>
      </x:c>
      <x:c r="D1475" s="7" t="str">
        <x:v>RFP-C2</x:v>
      </x:c>
      <x:c r="E1475" s="7" t="str">
        <x:v>HP-29</x:v>
      </x:c>
      <x:c r="F1475" s="7" t="str">
        <x:v>authority</x:v>
      </x:c>
      <x:c r="G1475" s="7" t="str">
        <x:v>identity</x:v>
      </x:c>
      <x:c r="H1475" s="10" t="str"/>
      <x:c r="I1475" s="7" t="str"/>
      <x:c r="J1475" s="7" t="str">
        <x:v>OPEN</x:v>
      </x:c>
    </x:row>
    <x:row r="1476" ht="36" customHeight="1">
      <x:c r="B1476" s="7" t="str">
        <x:v>RAE-E-46-HP-30</x:v>
      </x:c>
      <x:c r="C1476" s="7" t="str">
        <x:v>RAE-E-46</x:v>
      </x:c>
      <x:c r="D1476" s="7" t="str">
        <x:v>RFP-C2</x:v>
      </x:c>
      <x:c r="E1476" s="7" t="str">
        <x:v>HP-30</x:v>
      </x:c>
      <x:c r="F1476" s="7" t="str">
        <x:v>authority</x:v>
      </x:c>
      <x:c r="G1476" s="7" t="str">
        <x:v>capacity</x:v>
      </x:c>
      <x:c r="H1476" s="10" t="str"/>
      <x:c r="I1476" s="7" t="str"/>
      <x:c r="J1476" s="7" t="str">
        <x:v>OPEN</x:v>
      </x:c>
    </x:row>
    <x:row r="1477" ht="36" customHeight="1">
      <x:c r="B1477" s="7" t="str">
        <x:v>RAE-E-46-HP-31</x:v>
      </x:c>
      <x:c r="C1477" s="7" t="str">
        <x:v>RAE-E-46</x:v>
      </x:c>
      <x:c r="D1477" s="7" t="str">
        <x:v>RFP-C2</x:v>
      </x:c>
      <x:c r="E1477" s="7" t="str">
        <x:v>HP-31</x:v>
      </x:c>
      <x:c r="F1477" s="7" t="str">
        <x:v>authority</x:v>
      </x:c>
      <x:c r="G1477" s="7" t="str">
        <x:v>state</x:v>
      </x:c>
      <x:c r="H1477" s="10" t="str"/>
      <x:c r="I1477" s="7" t="str"/>
      <x:c r="J1477" s="7" t="str">
        <x:v>OPEN</x:v>
      </x:c>
    </x:row>
    <x:row r="1478" ht="36" customHeight="1">
      <x:c r="B1478" s="7" t="str">
        <x:v>RAE-E-46-HP-32</x:v>
      </x:c>
      <x:c r="C1478" s="7" t="str">
        <x:v>RAE-E-46</x:v>
      </x:c>
      <x:c r="D1478" s="7" t="str">
        <x:v>RFP-C2</x:v>
      </x:c>
      <x:c r="E1478" s="7" t="str">
        <x:v>HP-32</x:v>
      </x:c>
      <x:c r="F1478" s="7" t="str">
        <x:v>authority</x:v>
      </x:c>
      <x:c r="G1478" s="7" t="str">
        <x:v>authority</x:v>
      </x:c>
      <x:c r="H1478" s="10" t="str"/>
      <x:c r="I1478" s="7" t="str"/>
      <x:c r="J1478" s="7" t="str">
        <x:v>OPEN</x:v>
      </x:c>
    </x:row>
    <x:row r="1479" ht="36" customHeight="1">
      <x:c r="B1479" s="7" t="str">
        <x:v>RAE-E-47-HP-01</x:v>
      </x:c>
      <x:c r="C1479" s="7" t="str">
        <x:v>RAE-E-47</x:v>
      </x:c>
      <x:c r="D1479" s="7" t="str">
        <x:v>RFP-C2</x:v>
      </x:c>
      <x:c r="E1479" s="7" t="str">
        <x:v>HP-01</x:v>
      </x:c>
      <x:c r="F1479" s="7" t="str">
        <x:v>configuration</x:v>
      </x:c>
      <x:c r="G1479" s="7" t="str">
        <x:v>identity</x:v>
      </x:c>
      <x:c r="H1479" s="10" t="str"/>
      <x:c r="I1479" s="7" t="str"/>
      <x:c r="J1479" s="7" t="str">
        <x:v>OPEN</x:v>
      </x:c>
    </x:row>
    <x:row r="1480" ht="36" customHeight="1">
      <x:c r="B1480" s="7" t="str">
        <x:v>RAE-E-47-HP-02</x:v>
      </x:c>
      <x:c r="C1480" s="7" t="str">
        <x:v>RAE-E-47</x:v>
      </x:c>
      <x:c r="D1480" s="7" t="str">
        <x:v>RFP-C2</x:v>
      </x:c>
      <x:c r="E1480" s="7" t="str">
        <x:v>HP-02</x:v>
      </x:c>
      <x:c r="F1480" s="7" t="str">
        <x:v>configuration</x:v>
      </x:c>
      <x:c r="G1480" s="7" t="str">
        <x:v>capacity</x:v>
      </x:c>
      <x:c r="H1480" s="10" t="str"/>
      <x:c r="I1480" s="7" t="str"/>
      <x:c r="J1480" s="7" t="str">
        <x:v>OPEN</x:v>
      </x:c>
    </x:row>
    <x:row r="1481" ht="36" customHeight="1">
      <x:c r="B1481" s="7" t="str">
        <x:v>RAE-E-47-HP-03</x:v>
      </x:c>
      <x:c r="C1481" s="7" t="str">
        <x:v>RAE-E-47</x:v>
      </x:c>
      <x:c r="D1481" s="7" t="str">
        <x:v>RFP-C2</x:v>
      </x:c>
      <x:c r="E1481" s="7" t="str">
        <x:v>HP-03</x:v>
      </x:c>
      <x:c r="F1481" s="7" t="str">
        <x:v>configuration</x:v>
      </x:c>
      <x:c r="G1481" s="7" t="str">
        <x:v>state</x:v>
      </x:c>
      <x:c r="H1481" s="10" t="str"/>
      <x:c r="I1481" s="7" t="str"/>
      <x:c r="J1481" s="7" t="str">
        <x:v>OPEN</x:v>
      </x:c>
    </x:row>
    <x:row r="1482" ht="36" customHeight="1">
      <x:c r="B1482" s="7" t="str">
        <x:v>RAE-E-47-HP-04</x:v>
      </x:c>
      <x:c r="C1482" s="7" t="str">
        <x:v>RAE-E-47</x:v>
      </x:c>
      <x:c r="D1482" s="7" t="str">
        <x:v>RFP-C2</x:v>
      </x:c>
      <x:c r="E1482" s="7" t="str">
        <x:v>HP-04</x:v>
      </x:c>
      <x:c r="F1482" s="7" t="str">
        <x:v>configuration</x:v>
      </x:c>
      <x:c r="G1482" s="7" t="str">
        <x:v>authority</x:v>
      </x:c>
      <x:c r="H1482" s="10" t="str"/>
      <x:c r="I1482" s="7" t="str"/>
      <x:c r="J1482" s="7" t="str">
        <x:v>OPEN</x:v>
      </x:c>
    </x:row>
    <x:row r="1483" ht="36" customHeight="1">
      <x:c r="B1483" s="7" t="str">
        <x:v>RAE-E-47-HP-05</x:v>
      </x:c>
      <x:c r="C1483" s="7" t="str">
        <x:v>RAE-E-47</x:v>
      </x:c>
      <x:c r="D1483" s="7" t="str">
        <x:v>RFP-C2</x:v>
      </x:c>
      <x:c r="E1483" s="7" t="str">
        <x:v>HP-05</x:v>
      </x:c>
      <x:c r="F1483" s="7" t="str">
        <x:v>source</x:v>
      </x:c>
      <x:c r="G1483" s="7" t="str">
        <x:v>identity</x:v>
      </x:c>
      <x:c r="H1483" s="10" t="str"/>
      <x:c r="I1483" s="7" t="str"/>
      <x:c r="J1483" s="7" t="str">
        <x:v>OPEN</x:v>
      </x:c>
    </x:row>
    <x:row r="1484" ht="36" customHeight="1">
      <x:c r="B1484" s="7" t="str">
        <x:v>RAE-E-47-HP-06</x:v>
      </x:c>
      <x:c r="C1484" s="7" t="str">
        <x:v>RAE-E-47</x:v>
      </x:c>
      <x:c r="D1484" s="7" t="str">
        <x:v>RFP-C2</x:v>
      </x:c>
      <x:c r="E1484" s="7" t="str">
        <x:v>HP-06</x:v>
      </x:c>
      <x:c r="F1484" s="7" t="str">
        <x:v>source</x:v>
      </x:c>
      <x:c r="G1484" s="7" t="str">
        <x:v>capacity</x:v>
      </x:c>
      <x:c r="H1484" s="10" t="str"/>
      <x:c r="I1484" s="7" t="str"/>
      <x:c r="J1484" s="7" t="str">
        <x:v>OPEN</x:v>
      </x:c>
    </x:row>
    <x:row r="1485" ht="36" customHeight="1">
      <x:c r="B1485" s="7" t="str">
        <x:v>RAE-E-47-HP-07</x:v>
      </x:c>
      <x:c r="C1485" s="7" t="str">
        <x:v>RAE-E-47</x:v>
      </x:c>
      <x:c r="D1485" s="7" t="str">
        <x:v>RFP-C2</x:v>
      </x:c>
      <x:c r="E1485" s="7" t="str">
        <x:v>HP-07</x:v>
      </x:c>
      <x:c r="F1485" s="7" t="str">
        <x:v>source</x:v>
      </x:c>
      <x:c r="G1485" s="7" t="str">
        <x:v>state</x:v>
      </x:c>
      <x:c r="H1485" s="10" t="str"/>
      <x:c r="I1485" s="7" t="str"/>
      <x:c r="J1485" s="7" t="str">
        <x:v>OPEN</x:v>
      </x:c>
    </x:row>
    <x:row r="1486" ht="36" customHeight="1">
      <x:c r="B1486" s="7" t="str">
        <x:v>RAE-E-47-HP-08</x:v>
      </x:c>
      <x:c r="C1486" s="7" t="str">
        <x:v>RAE-E-47</x:v>
      </x:c>
      <x:c r="D1486" s="7" t="str">
        <x:v>RFP-C2</x:v>
      </x:c>
      <x:c r="E1486" s="7" t="str">
        <x:v>HP-08</x:v>
      </x:c>
      <x:c r="F1486" s="7" t="str">
        <x:v>source</x:v>
      </x:c>
      <x:c r="G1486" s="7" t="str">
        <x:v>authority</x:v>
      </x:c>
      <x:c r="H1486" s="10" t="str"/>
      <x:c r="I1486" s="7" t="str"/>
      <x:c r="J1486" s="7" t="str">
        <x:v>OPEN</x:v>
      </x:c>
    </x:row>
    <x:row r="1487" ht="36" customHeight="1">
      <x:c r="B1487" s="7" t="str">
        <x:v>RAE-E-47-HP-09</x:v>
      </x:c>
      <x:c r="C1487" s="7" t="str">
        <x:v>RAE-E-47</x:v>
      </x:c>
      <x:c r="D1487" s="7" t="str">
        <x:v>RFP-C2</x:v>
      </x:c>
      <x:c r="E1487" s="7" t="str">
        <x:v>HP-09</x:v>
      </x:c>
      <x:c r="F1487" s="7" t="str">
        <x:v>containment</x:v>
      </x:c>
      <x:c r="G1487" s="7" t="str">
        <x:v>identity</x:v>
      </x:c>
      <x:c r="H1487" s="10" t="str"/>
      <x:c r="I1487" s="7" t="str"/>
      <x:c r="J1487" s="7" t="str">
        <x:v>OPEN</x:v>
      </x:c>
    </x:row>
    <x:row r="1488" ht="36" customHeight="1">
      <x:c r="B1488" s="7" t="str">
        <x:v>RAE-E-47-HP-10</x:v>
      </x:c>
      <x:c r="C1488" s="7" t="str">
        <x:v>RAE-E-47</x:v>
      </x:c>
      <x:c r="D1488" s="7" t="str">
        <x:v>RFP-C2</x:v>
      </x:c>
      <x:c r="E1488" s="7" t="str">
        <x:v>HP-10</x:v>
      </x:c>
      <x:c r="F1488" s="7" t="str">
        <x:v>containment</x:v>
      </x:c>
      <x:c r="G1488" s="7" t="str">
        <x:v>capacity</x:v>
      </x:c>
      <x:c r="H1488" s="10" t="str"/>
      <x:c r="I1488" s="7" t="str"/>
      <x:c r="J1488" s="7" t="str">
        <x:v>OPEN</x:v>
      </x:c>
    </x:row>
    <x:row r="1489" ht="36" customHeight="1">
      <x:c r="B1489" s="7" t="str">
        <x:v>RAE-E-47-HP-11</x:v>
      </x:c>
      <x:c r="C1489" s="7" t="str">
        <x:v>RAE-E-47</x:v>
      </x:c>
      <x:c r="D1489" s="7" t="str">
        <x:v>RFP-C2</x:v>
      </x:c>
      <x:c r="E1489" s="7" t="str">
        <x:v>HP-11</x:v>
      </x:c>
      <x:c r="F1489" s="7" t="str">
        <x:v>containment</x:v>
      </x:c>
      <x:c r="G1489" s="7" t="str">
        <x:v>state</x:v>
      </x:c>
      <x:c r="H1489" s="10" t="str"/>
      <x:c r="I1489" s="7" t="str"/>
      <x:c r="J1489" s="7" t="str">
        <x:v>OPEN</x:v>
      </x:c>
    </x:row>
    <x:row r="1490" ht="36" customHeight="1">
      <x:c r="B1490" s="7" t="str">
        <x:v>RAE-E-47-HP-12</x:v>
      </x:c>
      <x:c r="C1490" s="7" t="str">
        <x:v>RAE-E-47</x:v>
      </x:c>
      <x:c r="D1490" s="7" t="str">
        <x:v>RFP-C2</x:v>
      </x:c>
      <x:c r="E1490" s="7" t="str">
        <x:v>HP-12</x:v>
      </x:c>
      <x:c r="F1490" s="7" t="str">
        <x:v>containment</x:v>
      </x:c>
      <x:c r="G1490" s="7" t="str">
        <x:v>authority</x:v>
      </x:c>
      <x:c r="H1490" s="10" t="str"/>
      <x:c r="I1490" s="7" t="str"/>
      <x:c r="J1490" s="7" t="str">
        <x:v>OPEN</x:v>
      </x:c>
    </x:row>
    <x:row r="1491" ht="36" customHeight="1">
      <x:c r="B1491" s="7" t="str">
        <x:v>RAE-E-47-HP-13</x:v>
      </x:c>
      <x:c r="C1491" s="7" t="str">
        <x:v>RAE-E-47</x:v>
      </x:c>
      <x:c r="D1491" s="7" t="str">
        <x:v>RFP-C2</x:v>
      </x:c>
      <x:c r="E1491" s="7" t="str">
        <x:v>HP-13</x:v>
      </x:c>
      <x:c r="F1491" s="7" t="str">
        <x:v>water</x:v>
      </x:c>
      <x:c r="G1491" s="7" t="str">
        <x:v>identity</x:v>
      </x:c>
      <x:c r="H1491" s="10" t="str"/>
      <x:c r="I1491" s="7" t="str"/>
      <x:c r="J1491" s="7" t="str">
        <x:v>OPEN</x:v>
      </x:c>
    </x:row>
    <x:row r="1492" ht="36" customHeight="1">
      <x:c r="B1492" s="7" t="str">
        <x:v>RAE-E-47-HP-14</x:v>
      </x:c>
      <x:c r="C1492" s="7" t="str">
        <x:v>RAE-E-47</x:v>
      </x:c>
      <x:c r="D1492" s="7" t="str">
        <x:v>RFP-C2</x:v>
      </x:c>
      <x:c r="E1492" s="7" t="str">
        <x:v>HP-14</x:v>
      </x:c>
      <x:c r="F1492" s="7" t="str">
        <x:v>water</x:v>
      </x:c>
      <x:c r="G1492" s="7" t="str">
        <x:v>capacity</x:v>
      </x:c>
      <x:c r="H1492" s="10" t="str"/>
      <x:c r="I1492" s="7" t="str"/>
      <x:c r="J1492" s="7" t="str">
        <x:v>OPEN</x:v>
      </x:c>
    </x:row>
    <x:row r="1493" ht="36" customHeight="1">
      <x:c r="B1493" s="7" t="str">
        <x:v>RAE-E-47-HP-15</x:v>
      </x:c>
      <x:c r="C1493" s="7" t="str">
        <x:v>RAE-E-47</x:v>
      </x:c>
      <x:c r="D1493" s="7" t="str">
        <x:v>RFP-C2</x:v>
      </x:c>
      <x:c r="E1493" s="7" t="str">
        <x:v>HP-15</x:v>
      </x:c>
      <x:c r="F1493" s="7" t="str">
        <x:v>water</x:v>
      </x:c>
      <x:c r="G1493" s="7" t="str">
        <x:v>state</x:v>
      </x:c>
      <x:c r="H1493" s="10" t="str"/>
      <x:c r="I1493" s="7" t="str"/>
      <x:c r="J1493" s="7" t="str">
        <x:v>OPEN</x:v>
      </x:c>
    </x:row>
    <x:row r="1494" ht="36" customHeight="1">
      <x:c r="B1494" s="7" t="str">
        <x:v>RAE-E-47-HP-16</x:v>
      </x:c>
      <x:c r="C1494" s="7" t="str">
        <x:v>RAE-E-47</x:v>
      </x:c>
      <x:c r="D1494" s="7" t="str">
        <x:v>RFP-C2</x:v>
      </x:c>
      <x:c r="E1494" s="7" t="str">
        <x:v>HP-16</x:v>
      </x:c>
      <x:c r="F1494" s="7" t="str">
        <x:v>water</x:v>
      </x:c>
      <x:c r="G1494" s="7" t="str">
        <x:v>authority</x:v>
      </x:c>
      <x:c r="H1494" s="10" t="str"/>
      <x:c r="I1494" s="7" t="str"/>
      <x:c r="J1494" s="7" t="str">
        <x:v>OPEN</x:v>
      </x:c>
    </x:row>
    <x:row r="1495" ht="36" customHeight="1">
      <x:c r="B1495" s="7" t="str">
        <x:v>RAE-E-47-HP-17</x:v>
      </x:c>
      <x:c r="C1495" s="7" t="str">
        <x:v>RAE-E-47</x:v>
      </x:c>
      <x:c r="D1495" s="7" t="str">
        <x:v>RFP-C2</x:v>
      </x:c>
      <x:c r="E1495" s="7" t="str">
        <x:v>HP-17</x:v>
      </x:c>
      <x:c r="F1495" s="7" t="str">
        <x:v>safeing</x:v>
      </x:c>
      <x:c r="G1495" s="7" t="str">
        <x:v>identity</x:v>
      </x:c>
      <x:c r="H1495" s="10" t="str"/>
      <x:c r="I1495" s="7" t="str"/>
      <x:c r="J1495" s="7" t="str">
        <x:v>OPEN</x:v>
      </x:c>
    </x:row>
    <x:row r="1496" ht="36" customHeight="1">
      <x:c r="B1496" s="7" t="str">
        <x:v>RAE-E-47-HP-18</x:v>
      </x:c>
      <x:c r="C1496" s="7" t="str">
        <x:v>RAE-E-47</x:v>
      </x:c>
      <x:c r="D1496" s="7" t="str">
        <x:v>RFP-C2</x:v>
      </x:c>
      <x:c r="E1496" s="7" t="str">
        <x:v>HP-18</x:v>
      </x:c>
      <x:c r="F1496" s="7" t="str">
        <x:v>safeing</x:v>
      </x:c>
      <x:c r="G1496" s="7" t="str">
        <x:v>capacity</x:v>
      </x:c>
      <x:c r="H1496" s="10" t="str"/>
      <x:c r="I1496" s="7" t="str"/>
      <x:c r="J1496" s="7" t="str">
        <x:v>OPEN</x:v>
      </x:c>
    </x:row>
    <x:row r="1497" ht="36" customHeight="1">
      <x:c r="B1497" s="7" t="str">
        <x:v>RAE-E-47-HP-19</x:v>
      </x:c>
      <x:c r="C1497" s="7" t="str">
        <x:v>RAE-E-47</x:v>
      </x:c>
      <x:c r="D1497" s="7" t="str">
        <x:v>RFP-C2</x:v>
      </x:c>
      <x:c r="E1497" s="7" t="str">
        <x:v>HP-19</x:v>
      </x:c>
      <x:c r="F1497" s="7" t="str">
        <x:v>safeing</x:v>
      </x:c>
      <x:c r="G1497" s="7" t="str">
        <x:v>state</x:v>
      </x:c>
      <x:c r="H1497" s="10" t="str"/>
      <x:c r="I1497" s="7" t="str"/>
      <x:c r="J1497" s="7" t="str">
        <x:v>OPEN</x:v>
      </x:c>
    </x:row>
    <x:row r="1498" ht="36" customHeight="1">
      <x:c r="B1498" s="7" t="str">
        <x:v>RAE-E-47-HP-20</x:v>
      </x:c>
      <x:c r="C1498" s="7" t="str">
        <x:v>RAE-E-47</x:v>
      </x:c>
      <x:c r="D1498" s="7" t="str">
        <x:v>RFP-C2</x:v>
      </x:c>
      <x:c r="E1498" s="7" t="str">
        <x:v>HP-20</x:v>
      </x:c>
      <x:c r="F1498" s="7" t="str">
        <x:v>safeing</x:v>
      </x:c>
      <x:c r="G1498" s="7" t="str">
        <x:v>authority</x:v>
      </x:c>
      <x:c r="H1498" s="10" t="str"/>
      <x:c r="I1498" s="7" t="str"/>
      <x:c r="J1498" s="7" t="str">
        <x:v>OPEN</x:v>
      </x:c>
    </x:row>
    <x:row r="1499" ht="36" customHeight="1">
      <x:c r="B1499" s="7" t="str">
        <x:v>RAE-E-47-HP-21</x:v>
      </x:c>
      <x:c r="C1499" s="7" t="str">
        <x:v>RAE-E-47</x:v>
      </x:c>
      <x:c r="D1499" s="7" t="str">
        <x:v>RFP-C2</x:v>
      </x:c>
      <x:c r="E1499" s="7" t="str">
        <x:v>HP-21</x:v>
      </x:c>
      <x:c r="F1499" s="7" t="str">
        <x:v>evidence</x:v>
      </x:c>
      <x:c r="G1499" s="7" t="str">
        <x:v>identity</x:v>
      </x:c>
      <x:c r="H1499" s="10" t="str"/>
      <x:c r="I1499" s="7" t="str"/>
      <x:c r="J1499" s="7" t="str">
        <x:v>OPEN</x:v>
      </x:c>
    </x:row>
    <x:row r="1500" ht="36" customHeight="1">
      <x:c r="B1500" s="7" t="str">
        <x:v>RAE-E-47-HP-22</x:v>
      </x:c>
      <x:c r="C1500" s="7" t="str">
        <x:v>RAE-E-47</x:v>
      </x:c>
      <x:c r="D1500" s="7" t="str">
        <x:v>RFP-C2</x:v>
      </x:c>
      <x:c r="E1500" s="7" t="str">
        <x:v>HP-22</x:v>
      </x:c>
      <x:c r="F1500" s="7" t="str">
        <x:v>evidence</x:v>
      </x:c>
      <x:c r="G1500" s="7" t="str">
        <x:v>capacity</x:v>
      </x:c>
      <x:c r="H1500" s="10" t="str"/>
      <x:c r="I1500" s="7" t="str"/>
      <x:c r="J1500" s="7" t="str">
        <x:v>OPEN</x:v>
      </x:c>
    </x:row>
    <x:row r="1501" ht="36" customHeight="1">
      <x:c r="B1501" s="7" t="str">
        <x:v>RAE-E-47-HP-23</x:v>
      </x:c>
      <x:c r="C1501" s="7" t="str">
        <x:v>RAE-E-47</x:v>
      </x:c>
      <x:c r="D1501" s="7" t="str">
        <x:v>RFP-C2</x:v>
      </x:c>
      <x:c r="E1501" s="7" t="str">
        <x:v>HP-23</x:v>
      </x:c>
      <x:c r="F1501" s="7" t="str">
        <x:v>evidence</x:v>
      </x:c>
      <x:c r="G1501" s="7" t="str">
        <x:v>state</x:v>
      </x:c>
      <x:c r="H1501" s="10" t="str"/>
      <x:c r="I1501" s="7" t="str"/>
      <x:c r="J1501" s="7" t="str">
        <x:v>OPEN</x:v>
      </x:c>
    </x:row>
    <x:row r="1502" ht="36" customHeight="1">
      <x:c r="B1502" s="7" t="str">
        <x:v>RAE-E-47-HP-24</x:v>
      </x:c>
      <x:c r="C1502" s="7" t="str">
        <x:v>RAE-E-47</x:v>
      </x:c>
      <x:c r="D1502" s="7" t="str">
        <x:v>RFP-C2</x:v>
      </x:c>
      <x:c r="E1502" s="7" t="str">
        <x:v>HP-24</x:v>
      </x:c>
      <x:c r="F1502" s="7" t="str">
        <x:v>evidence</x:v>
      </x:c>
      <x:c r="G1502" s="7" t="str">
        <x:v>authority</x:v>
      </x:c>
      <x:c r="H1502" s="10" t="str"/>
      <x:c r="I1502" s="7" t="str"/>
      <x:c r="J1502" s="7" t="str">
        <x:v>OPEN</x:v>
      </x:c>
    </x:row>
    <x:row r="1503" ht="36" customHeight="1">
      <x:c r="B1503" s="7" t="str">
        <x:v>RAE-E-47-HP-25</x:v>
      </x:c>
      <x:c r="C1503" s="7" t="str">
        <x:v>RAE-E-47</x:v>
      </x:c>
      <x:c r="D1503" s="7" t="str">
        <x:v>RFP-C2</x:v>
      </x:c>
      <x:c r="E1503" s="7" t="str">
        <x:v>HP-25</x:v>
      </x:c>
      <x:c r="F1503" s="7" t="str">
        <x:v>environment</x:v>
      </x:c>
      <x:c r="G1503" s="7" t="str">
        <x:v>identity</x:v>
      </x:c>
      <x:c r="H1503" s="10" t="str"/>
      <x:c r="I1503" s="7" t="str"/>
      <x:c r="J1503" s="7" t="str">
        <x:v>OPEN</x:v>
      </x:c>
    </x:row>
    <x:row r="1504" ht="36" customHeight="1">
      <x:c r="B1504" s="7" t="str">
        <x:v>RAE-E-47-HP-26</x:v>
      </x:c>
      <x:c r="C1504" s="7" t="str">
        <x:v>RAE-E-47</x:v>
      </x:c>
      <x:c r="D1504" s="7" t="str">
        <x:v>RFP-C2</x:v>
      </x:c>
      <x:c r="E1504" s="7" t="str">
        <x:v>HP-26</x:v>
      </x:c>
      <x:c r="F1504" s="7" t="str">
        <x:v>environment</x:v>
      </x:c>
      <x:c r="G1504" s="7" t="str">
        <x:v>capacity</x:v>
      </x:c>
      <x:c r="H1504" s="10" t="str"/>
      <x:c r="I1504" s="7" t="str"/>
      <x:c r="J1504" s="7" t="str">
        <x:v>OPEN</x:v>
      </x:c>
    </x:row>
    <x:row r="1505" ht="36" customHeight="1">
      <x:c r="B1505" s="7" t="str">
        <x:v>RAE-E-47-HP-27</x:v>
      </x:c>
      <x:c r="C1505" s="7" t="str">
        <x:v>RAE-E-47</x:v>
      </x:c>
      <x:c r="D1505" s="7" t="str">
        <x:v>RFP-C2</x:v>
      </x:c>
      <x:c r="E1505" s="7" t="str">
        <x:v>HP-27</x:v>
      </x:c>
      <x:c r="F1505" s="7" t="str">
        <x:v>environment</x:v>
      </x:c>
      <x:c r="G1505" s="7" t="str">
        <x:v>state</x:v>
      </x:c>
      <x:c r="H1505" s="10" t="str"/>
      <x:c r="I1505" s="7" t="str"/>
      <x:c r="J1505" s="7" t="str">
        <x:v>OPEN</x:v>
      </x:c>
    </x:row>
    <x:row r="1506" ht="36" customHeight="1">
      <x:c r="B1506" s="7" t="str">
        <x:v>RAE-E-47-HP-28</x:v>
      </x:c>
      <x:c r="C1506" s="7" t="str">
        <x:v>RAE-E-47</x:v>
      </x:c>
      <x:c r="D1506" s="7" t="str">
        <x:v>RFP-C2</x:v>
      </x:c>
      <x:c r="E1506" s="7" t="str">
        <x:v>HP-28</x:v>
      </x:c>
      <x:c r="F1506" s="7" t="str">
        <x:v>environment</x:v>
      </x:c>
      <x:c r="G1506" s="7" t="str">
        <x:v>authority</x:v>
      </x:c>
      <x:c r="H1506" s="10" t="str"/>
      <x:c r="I1506" s="7" t="str"/>
      <x:c r="J1506" s="7" t="str">
        <x:v>OPEN</x:v>
      </x:c>
    </x:row>
    <x:row r="1507" ht="36" customHeight="1">
      <x:c r="B1507" s="7" t="str">
        <x:v>RAE-E-47-HP-29</x:v>
      </x:c>
      <x:c r="C1507" s="7" t="str">
        <x:v>RAE-E-47</x:v>
      </x:c>
      <x:c r="D1507" s="7" t="str">
        <x:v>RFP-C2</x:v>
      </x:c>
      <x:c r="E1507" s="7" t="str">
        <x:v>HP-29</x:v>
      </x:c>
      <x:c r="F1507" s="7" t="str">
        <x:v>authority</x:v>
      </x:c>
      <x:c r="G1507" s="7" t="str">
        <x:v>identity</x:v>
      </x:c>
      <x:c r="H1507" s="10" t="str"/>
      <x:c r="I1507" s="7" t="str"/>
      <x:c r="J1507" s="7" t="str">
        <x:v>OPEN</x:v>
      </x:c>
    </x:row>
    <x:row r="1508" ht="36" customHeight="1">
      <x:c r="B1508" s="7" t="str">
        <x:v>RAE-E-47-HP-30</x:v>
      </x:c>
      <x:c r="C1508" s="7" t="str">
        <x:v>RAE-E-47</x:v>
      </x:c>
      <x:c r="D1508" s="7" t="str">
        <x:v>RFP-C2</x:v>
      </x:c>
      <x:c r="E1508" s="7" t="str">
        <x:v>HP-30</x:v>
      </x:c>
      <x:c r="F1508" s="7" t="str">
        <x:v>authority</x:v>
      </x:c>
      <x:c r="G1508" s="7" t="str">
        <x:v>capacity</x:v>
      </x:c>
      <x:c r="H1508" s="10" t="str"/>
      <x:c r="I1508" s="7" t="str"/>
      <x:c r="J1508" s="7" t="str">
        <x:v>OPEN</x:v>
      </x:c>
    </x:row>
    <x:row r="1509" ht="36" customHeight="1">
      <x:c r="B1509" s="7" t="str">
        <x:v>RAE-E-47-HP-31</x:v>
      </x:c>
      <x:c r="C1509" s="7" t="str">
        <x:v>RAE-E-47</x:v>
      </x:c>
      <x:c r="D1509" s="7" t="str">
        <x:v>RFP-C2</x:v>
      </x:c>
      <x:c r="E1509" s="7" t="str">
        <x:v>HP-31</x:v>
      </x:c>
      <x:c r="F1509" s="7" t="str">
        <x:v>authority</x:v>
      </x:c>
      <x:c r="G1509" s="7" t="str">
        <x:v>state</x:v>
      </x:c>
      <x:c r="H1509" s="10" t="str"/>
      <x:c r="I1509" s="7" t="str"/>
      <x:c r="J1509" s="7" t="str">
        <x:v>OPEN</x:v>
      </x:c>
    </x:row>
    <x:row r="1510" ht="36" customHeight="1">
      <x:c r="B1510" s="7" t="str">
        <x:v>RAE-E-47-HP-32</x:v>
      </x:c>
      <x:c r="C1510" s="7" t="str">
        <x:v>RAE-E-47</x:v>
      </x:c>
      <x:c r="D1510" s="7" t="str">
        <x:v>RFP-C2</x:v>
      </x:c>
      <x:c r="E1510" s="7" t="str">
        <x:v>HP-32</x:v>
      </x:c>
      <x:c r="F1510" s="7" t="str">
        <x:v>authority</x:v>
      </x:c>
      <x:c r="G1510" s="7" t="str">
        <x:v>authority</x:v>
      </x:c>
      <x:c r="H1510" s="10" t="str"/>
      <x:c r="I1510" s="7" t="str"/>
      <x:c r="J1510" s="7" t="str">
        <x:v>OPEN</x:v>
      </x:c>
    </x:row>
    <x:row r="1511" ht="36" customHeight="1">
      <x:c r="B1511" s="7" t="str">
        <x:v>RAE-E-48-HP-01</x:v>
      </x:c>
      <x:c r="C1511" s="7" t="str">
        <x:v>RAE-E-48</x:v>
      </x:c>
      <x:c r="D1511" s="7" t="str">
        <x:v>RFP-C2</x:v>
      </x:c>
      <x:c r="E1511" s="7" t="str">
        <x:v>HP-01</x:v>
      </x:c>
      <x:c r="F1511" s="7" t="str">
        <x:v>configuration</x:v>
      </x:c>
      <x:c r="G1511" s="7" t="str">
        <x:v>identity</x:v>
      </x:c>
      <x:c r="H1511" s="10" t="str"/>
      <x:c r="I1511" s="7" t="str"/>
      <x:c r="J1511" s="7" t="str">
        <x:v>OPEN</x:v>
      </x:c>
    </x:row>
    <x:row r="1512" ht="36" customHeight="1">
      <x:c r="B1512" s="7" t="str">
        <x:v>RAE-E-48-HP-02</x:v>
      </x:c>
      <x:c r="C1512" s="7" t="str">
        <x:v>RAE-E-48</x:v>
      </x:c>
      <x:c r="D1512" s="7" t="str">
        <x:v>RFP-C2</x:v>
      </x:c>
      <x:c r="E1512" s="7" t="str">
        <x:v>HP-02</x:v>
      </x:c>
      <x:c r="F1512" s="7" t="str">
        <x:v>configuration</x:v>
      </x:c>
      <x:c r="G1512" s="7" t="str">
        <x:v>capacity</x:v>
      </x:c>
      <x:c r="H1512" s="10" t="str"/>
      <x:c r="I1512" s="7" t="str"/>
      <x:c r="J1512" s="7" t="str">
        <x:v>OPEN</x:v>
      </x:c>
    </x:row>
    <x:row r="1513" ht="36" customHeight="1">
      <x:c r="B1513" s="7" t="str">
        <x:v>RAE-E-48-HP-03</x:v>
      </x:c>
      <x:c r="C1513" s="7" t="str">
        <x:v>RAE-E-48</x:v>
      </x:c>
      <x:c r="D1513" s="7" t="str">
        <x:v>RFP-C2</x:v>
      </x:c>
      <x:c r="E1513" s="7" t="str">
        <x:v>HP-03</x:v>
      </x:c>
      <x:c r="F1513" s="7" t="str">
        <x:v>configuration</x:v>
      </x:c>
      <x:c r="G1513" s="7" t="str">
        <x:v>state</x:v>
      </x:c>
      <x:c r="H1513" s="10" t="str"/>
      <x:c r="I1513" s="7" t="str"/>
      <x:c r="J1513" s="7" t="str">
        <x:v>OPEN</x:v>
      </x:c>
    </x:row>
    <x:row r="1514" ht="36" customHeight="1">
      <x:c r="B1514" s="7" t="str">
        <x:v>RAE-E-48-HP-04</x:v>
      </x:c>
      <x:c r="C1514" s="7" t="str">
        <x:v>RAE-E-48</x:v>
      </x:c>
      <x:c r="D1514" s="7" t="str">
        <x:v>RFP-C2</x:v>
      </x:c>
      <x:c r="E1514" s="7" t="str">
        <x:v>HP-04</x:v>
      </x:c>
      <x:c r="F1514" s="7" t="str">
        <x:v>configuration</x:v>
      </x:c>
      <x:c r="G1514" s="7" t="str">
        <x:v>authority</x:v>
      </x:c>
      <x:c r="H1514" s="10" t="str"/>
      <x:c r="I1514" s="7" t="str"/>
      <x:c r="J1514" s="7" t="str">
        <x:v>OPEN</x:v>
      </x:c>
    </x:row>
    <x:row r="1515" ht="36" customHeight="1">
      <x:c r="B1515" s="7" t="str">
        <x:v>RAE-E-48-HP-05</x:v>
      </x:c>
      <x:c r="C1515" s="7" t="str">
        <x:v>RAE-E-48</x:v>
      </x:c>
      <x:c r="D1515" s="7" t="str">
        <x:v>RFP-C2</x:v>
      </x:c>
      <x:c r="E1515" s="7" t="str">
        <x:v>HP-05</x:v>
      </x:c>
      <x:c r="F1515" s="7" t="str">
        <x:v>source</x:v>
      </x:c>
      <x:c r="G1515" s="7" t="str">
        <x:v>identity</x:v>
      </x:c>
      <x:c r="H1515" s="10" t="str"/>
      <x:c r="I1515" s="7" t="str"/>
      <x:c r="J1515" s="7" t="str">
        <x:v>OPEN</x:v>
      </x:c>
    </x:row>
    <x:row r="1516" ht="36" customHeight="1">
      <x:c r="B1516" s="7" t="str">
        <x:v>RAE-E-48-HP-06</x:v>
      </x:c>
      <x:c r="C1516" s="7" t="str">
        <x:v>RAE-E-48</x:v>
      </x:c>
      <x:c r="D1516" s="7" t="str">
        <x:v>RFP-C2</x:v>
      </x:c>
      <x:c r="E1516" s="7" t="str">
        <x:v>HP-06</x:v>
      </x:c>
      <x:c r="F1516" s="7" t="str">
        <x:v>source</x:v>
      </x:c>
      <x:c r="G1516" s="7" t="str">
        <x:v>capacity</x:v>
      </x:c>
      <x:c r="H1516" s="10" t="str"/>
      <x:c r="I1516" s="7" t="str"/>
      <x:c r="J1516" s="7" t="str">
        <x:v>OPEN</x:v>
      </x:c>
    </x:row>
    <x:row r="1517" ht="36" customHeight="1">
      <x:c r="B1517" s="7" t="str">
        <x:v>RAE-E-48-HP-07</x:v>
      </x:c>
      <x:c r="C1517" s="7" t="str">
        <x:v>RAE-E-48</x:v>
      </x:c>
      <x:c r="D1517" s="7" t="str">
        <x:v>RFP-C2</x:v>
      </x:c>
      <x:c r="E1517" s="7" t="str">
        <x:v>HP-07</x:v>
      </x:c>
      <x:c r="F1517" s="7" t="str">
        <x:v>source</x:v>
      </x:c>
      <x:c r="G1517" s="7" t="str">
        <x:v>state</x:v>
      </x:c>
      <x:c r="H1517" s="10" t="str"/>
      <x:c r="I1517" s="7" t="str"/>
      <x:c r="J1517" s="7" t="str">
        <x:v>OPEN</x:v>
      </x:c>
    </x:row>
    <x:row r="1518" ht="36" customHeight="1">
      <x:c r="B1518" s="7" t="str">
        <x:v>RAE-E-48-HP-08</x:v>
      </x:c>
      <x:c r="C1518" s="7" t="str">
        <x:v>RAE-E-48</x:v>
      </x:c>
      <x:c r="D1518" s="7" t="str">
        <x:v>RFP-C2</x:v>
      </x:c>
      <x:c r="E1518" s="7" t="str">
        <x:v>HP-08</x:v>
      </x:c>
      <x:c r="F1518" s="7" t="str">
        <x:v>source</x:v>
      </x:c>
      <x:c r="G1518" s="7" t="str">
        <x:v>authority</x:v>
      </x:c>
      <x:c r="H1518" s="10" t="str"/>
      <x:c r="I1518" s="7" t="str"/>
      <x:c r="J1518" s="7" t="str">
        <x:v>OPEN</x:v>
      </x:c>
    </x:row>
    <x:row r="1519" ht="36" customHeight="1">
      <x:c r="B1519" s="7" t="str">
        <x:v>RAE-E-48-HP-09</x:v>
      </x:c>
      <x:c r="C1519" s="7" t="str">
        <x:v>RAE-E-48</x:v>
      </x:c>
      <x:c r="D1519" s="7" t="str">
        <x:v>RFP-C2</x:v>
      </x:c>
      <x:c r="E1519" s="7" t="str">
        <x:v>HP-09</x:v>
      </x:c>
      <x:c r="F1519" s="7" t="str">
        <x:v>containment</x:v>
      </x:c>
      <x:c r="G1519" s="7" t="str">
        <x:v>identity</x:v>
      </x:c>
      <x:c r="H1519" s="10" t="str"/>
      <x:c r="I1519" s="7" t="str"/>
      <x:c r="J1519" s="7" t="str">
        <x:v>OPEN</x:v>
      </x:c>
    </x:row>
    <x:row r="1520" ht="36" customHeight="1">
      <x:c r="B1520" s="7" t="str">
        <x:v>RAE-E-48-HP-10</x:v>
      </x:c>
      <x:c r="C1520" s="7" t="str">
        <x:v>RAE-E-48</x:v>
      </x:c>
      <x:c r="D1520" s="7" t="str">
        <x:v>RFP-C2</x:v>
      </x:c>
      <x:c r="E1520" s="7" t="str">
        <x:v>HP-10</x:v>
      </x:c>
      <x:c r="F1520" s="7" t="str">
        <x:v>containment</x:v>
      </x:c>
      <x:c r="G1520" s="7" t="str">
        <x:v>capacity</x:v>
      </x:c>
      <x:c r="H1520" s="10" t="str"/>
      <x:c r="I1520" s="7" t="str"/>
      <x:c r="J1520" s="7" t="str">
        <x:v>OPEN</x:v>
      </x:c>
    </x:row>
    <x:row r="1521" ht="36" customHeight="1">
      <x:c r="B1521" s="7" t="str">
        <x:v>RAE-E-48-HP-11</x:v>
      </x:c>
      <x:c r="C1521" s="7" t="str">
        <x:v>RAE-E-48</x:v>
      </x:c>
      <x:c r="D1521" s="7" t="str">
        <x:v>RFP-C2</x:v>
      </x:c>
      <x:c r="E1521" s="7" t="str">
        <x:v>HP-11</x:v>
      </x:c>
      <x:c r="F1521" s="7" t="str">
        <x:v>containment</x:v>
      </x:c>
      <x:c r="G1521" s="7" t="str">
        <x:v>state</x:v>
      </x:c>
      <x:c r="H1521" s="10" t="str"/>
      <x:c r="I1521" s="7" t="str"/>
      <x:c r="J1521" s="7" t="str">
        <x:v>OPEN</x:v>
      </x:c>
    </x:row>
    <x:row r="1522" ht="36" customHeight="1">
      <x:c r="B1522" s="7" t="str">
        <x:v>RAE-E-48-HP-12</x:v>
      </x:c>
      <x:c r="C1522" s="7" t="str">
        <x:v>RAE-E-48</x:v>
      </x:c>
      <x:c r="D1522" s="7" t="str">
        <x:v>RFP-C2</x:v>
      </x:c>
      <x:c r="E1522" s="7" t="str">
        <x:v>HP-12</x:v>
      </x:c>
      <x:c r="F1522" s="7" t="str">
        <x:v>containment</x:v>
      </x:c>
      <x:c r="G1522" s="7" t="str">
        <x:v>authority</x:v>
      </x:c>
      <x:c r="H1522" s="10" t="str"/>
      <x:c r="I1522" s="7" t="str"/>
      <x:c r="J1522" s="7" t="str">
        <x:v>OPEN</x:v>
      </x:c>
    </x:row>
    <x:row r="1523" ht="36" customHeight="1">
      <x:c r="B1523" s="7" t="str">
        <x:v>RAE-E-48-HP-13</x:v>
      </x:c>
      <x:c r="C1523" s="7" t="str">
        <x:v>RAE-E-48</x:v>
      </x:c>
      <x:c r="D1523" s="7" t="str">
        <x:v>RFP-C2</x:v>
      </x:c>
      <x:c r="E1523" s="7" t="str">
        <x:v>HP-13</x:v>
      </x:c>
      <x:c r="F1523" s="7" t="str">
        <x:v>water</x:v>
      </x:c>
      <x:c r="G1523" s="7" t="str">
        <x:v>identity</x:v>
      </x:c>
      <x:c r="H1523" s="10" t="str"/>
      <x:c r="I1523" s="7" t="str"/>
      <x:c r="J1523" s="7" t="str">
        <x:v>OPEN</x:v>
      </x:c>
    </x:row>
    <x:row r="1524" ht="36" customHeight="1">
      <x:c r="B1524" s="7" t="str">
        <x:v>RAE-E-48-HP-14</x:v>
      </x:c>
      <x:c r="C1524" s="7" t="str">
        <x:v>RAE-E-48</x:v>
      </x:c>
      <x:c r="D1524" s="7" t="str">
        <x:v>RFP-C2</x:v>
      </x:c>
      <x:c r="E1524" s="7" t="str">
        <x:v>HP-14</x:v>
      </x:c>
      <x:c r="F1524" s="7" t="str">
        <x:v>water</x:v>
      </x:c>
      <x:c r="G1524" s="7" t="str">
        <x:v>capacity</x:v>
      </x:c>
      <x:c r="H1524" s="10" t="str"/>
      <x:c r="I1524" s="7" t="str"/>
      <x:c r="J1524" s="7" t="str">
        <x:v>OPEN</x:v>
      </x:c>
    </x:row>
    <x:row r="1525" ht="36" customHeight="1">
      <x:c r="B1525" s="7" t="str">
        <x:v>RAE-E-48-HP-15</x:v>
      </x:c>
      <x:c r="C1525" s="7" t="str">
        <x:v>RAE-E-48</x:v>
      </x:c>
      <x:c r="D1525" s="7" t="str">
        <x:v>RFP-C2</x:v>
      </x:c>
      <x:c r="E1525" s="7" t="str">
        <x:v>HP-15</x:v>
      </x:c>
      <x:c r="F1525" s="7" t="str">
        <x:v>water</x:v>
      </x:c>
      <x:c r="G1525" s="7" t="str">
        <x:v>state</x:v>
      </x:c>
      <x:c r="H1525" s="10" t="str"/>
      <x:c r="I1525" s="7" t="str"/>
      <x:c r="J1525" s="7" t="str">
        <x:v>OPEN</x:v>
      </x:c>
    </x:row>
    <x:row r="1526" ht="36" customHeight="1">
      <x:c r="B1526" s="7" t="str">
        <x:v>RAE-E-48-HP-16</x:v>
      </x:c>
      <x:c r="C1526" s="7" t="str">
        <x:v>RAE-E-48</x:v>
      </x:c>
      <x:c r="D1526" s="7" t="str">
        <x:v>RFP-C2</x:v>
      </x:c>
      <x:c r="E1526" s="7" t="str">
        <x:v>HP-16</x:v>
      </x:c>
      <x:c r="F1526" s="7" t="str">
        <x:v>water</x:v>
      </x:c>
      <x:c r="G1526" s="7" t="str">
        <x:v>authority</x:v>
      </x:c>
      <x:c r="H1526" s="10" t="str"/>
      <x:c r="I1526" s="7" t="str"/>
      <x:c r="J1526" s="7" t="str">
        <x:v>OPEN</x:v>
      </x:c>
    </x:row>
    <x:row r="1527" ht="36" customHeight="1">
      <x:c r="B1527" s="7" t="str">
        <x:v>RAE-E-48-HP-17</x:v>
      </x:c>
      <x:c r="C1527" s="7" t="str">
        <x:v>RAE-E-48</x:v>
      </x:c>
      <x:c r="D1527" s="7" t="str">
        <x:v>RFP-C2</x:v>
      </x:c>
      <x:c r="E1527" s="7" t="str">
        <x:v>HP-17</x:v>
      </x:c>
      <x:c r="F1527" s="7" t="str">
        <x:v>safeing</x:v>
      </x:c>
      <x:c r="G1527" s="7" t="str">
        <x:v>identity</x:v>
      </x:c>
      <x:c r="H1527" s="10" t="str"/>
      <x:c r="I1527" s="7" t="str"/>
      <x:c r="J1527" s="7" t="str">
        <x:v>OPEN</x:v>
      </x:c>
    </x:row>
    <x:row r="1528" ht="36" customHeight="1">
      <x:c r="B1528" s="7" t="str">
        <x:v>RAE-E-48-HP-18</x:v>
      </x:c>
      <x:c r="C1528" s="7" t="str">
        <x:v>RAE-E-48</x:v>
      </x:c>
      <x:c r="D1528" s="7" t="str">
        <x:v>RFP-C2</x:v>
      </x:c>
      <x:c r="E1528" s="7" t="str">
        <x:v>HP-18</x:v>
      </x:c>
      <x:c r="F1528" s="7" t="str">
        <x:v>safeing</x:v>
      </x:c>
      <x:c r="G1528" s="7" t="str">
        <x:v>capacity</x:v>
      </x:c>
      <x:c r="H1528" s="10" t="str"/>
      <x:c r="I1528" s="7" t="str"/>
      <x:c r="J1528" s="7" t="str">
        <x:v>OPEN</x:v>
      </x:c>
    </x:row>
    <x:row r="1529" ht="36" customHeight="1">
      <x:c r="B1529" s="7" t="str">
        <x:v>RAE-E-48-HP-19</x:v>
      </x:c>
      <x:c r="C1529" s="7" t="str">
        <x:v>RAE-E-48</x:v>
      </x:c>
      <x:c r="D1529" s="7" t="str">
        <x:v>RFP-C2</x:v>
      </x:c>
      <x:c r="E1529" s="7" t="str">
        <x:v>HP-19</x:v>
      </x:c>
      <x:c r="F1529" s="7" t="str">
        <x:v>safeing</x:v>
      </x:c>
      <x:c r="G1529" s="7" t="str">
        <x:v>state</x:v>
      </x:c>
      <x:c r="H1529" s="10" t="str"/>
      <x:c r="I1529" s="7" t="str"/>
      <x:c r="J1529" s="7" t="str">
        <x:v>OPEN</x:v>
      </x:c>
    </x:row>
    <x:row r="1530" ht="36" customHeight="1">
      <x:c r="B1530" s="7" t="str">
        <x:v>RAE-E-48-HP-20</x:v>
      </x:c>
      <x:c r="C1530" s="7" t="str">
        <x:v>RAE-E-48</x:v>
      </x:c>
      <x:c r="D1530" s="7" t="str">
        <x:v>RFP-C2</x:v>
      </x:c>
      <x:c r="E1530" s="7" t="str">
        <x:v>HP-20</x:v>
      </x:c>
      <x:c r="F1530" s="7" t="str">
        <x:v>safeing</x:v>
      </x:c>
      <x:c r="G1530" s="7" t="str">
        <x:v>authority</x:v>
      </x:c>
      <x:c r="H1530" s="10" t="str"/>
      <x:c r="I1530" s="7" t="str"/>
      <x:c r="J1530" s="7" t="str">
        <x:v>OPEN</x:v>
      </x:c>
    </x:row>
    <x:row r="1531" ht="36" customHeight="1">
      <x:c r="B1531" s="7" t="str">
        <x:v>RAE-E-48-HP-21</x:v>
      </x:c>
      <x:c r="C1531" s="7" t="str">
        <x:v>RAE-E-48</x:v>
      </x:c>
      <x:c r="D1531" s="7" t="str">
        <x:v>RFP-C2</x:v>
      </x:c>
      <x:c r="E1531" s="7" t="str">
        <x:v>HP-21</x:v>
      </x:c>
      <x:c r="F1531" s="7" t="str">
        <x:v>evidence</x:v>
      </x:c>
      <x:c r="G1531" s="7" t="str">
        <x:v>identity</x:v>
      </x:c>
      <x:c r="H1531" s="10" t="str"/>
      <x:c r="I1531" s="7" t="str"/>
      <x:c r="J1531" s="7" t="str">
        <x:v>OPEN</x:v>
      </x:c>
    </x:row>
    <x:row r="1532" ht="36" customHeight="1">
      <x:c r="B1532" s="7" t="str">
        <x:v>RAE-E-48-HP-22</x:v>
      </x:c>
      <x:c r="C1532" s="7" t="str">
        <x:v>RAE-E-48</x:v>
      </x:c>
      <x:c r="D1532" s="7" t="str">
        <x:v>RFP-C2</x:v>
      </x:c>
      <x:c r="E1532" s="7" t="str">
        <x:v>HP-22</x:v>
      </x:c>
      <x:c r="F1532" s="7" t="str">
        <x:v>evidence</x:v>
      </x:c>
      <x:c r="G1532" s="7" t="str">
        <x:v>capacity</x:v>
      </x:c>
      <x:c r="H1532" s="10" t="str"/>
      <x:c r="I1532" s="7" t="str"/>
      <x:c r="J1532" s="7" t="str">
        <x:v>OPEN</x:v>
      </x:c>
    </x:row>
    <x:row r="1533" ht="36" customHeight="1">
      <x:c r="B1533" s="7" t="str">
        <x:v>RAE-E-48-HP-23</x:v>
      </x:c>
      <x:c r="C1533" s="7" t="str">
        <x:v>RAE-E-48</x:v>
      </x:c>
      <x:c r="D1533" s="7" t="str">
        <x:v>RFP-C2</x:v>
      </x:c>
      <x:c r="E1533" s="7" t="str">
        <x:v>HP-23</x:v>
      </x:c>
      <x:c r="F1533" s="7" t="str">
        <x:v>evidence</x:v>
      </x:c>
      <x:c r="G1533" s="7" t="str">
        <x:v>state</x:v>
      </x:c>
      <x:c r="H1533" s="10" t="str"/>
      <x:c r="I1533" s="7" t="str"/>
      <x:c r="J1533" s="7" t="str">
        <x:v>OPEN</x:v>
      </x:c>
    </x:row>
    <x:row r="1534" ht="36" customHeight="1">
      <x:c r="B1534" s="7" t="str">
        <x:v>RAE-E-48-HP-24</x:v>
      </x:c>
      <x:c r="C1534" s="7" t="str">
        <x:v>RAE-E-48</x:v>
      </x:c>
      <x:c r="D1534" s="7" t="str">
        <x:v>RFP-C2</x:v>
      </x:c>
      <x:c r="E1534" s="7" t="str">
        <x:v>HP-24</x:v>
      </x:c>
      <x:c r="F1534" s="7" t="str">
        <x:v>evidence</x:v>
      </x:c>
      <x:c r="G1534" s="7" t="str">
        <x:v>authority</x:v>
      </x:c>
      <x:c r="H1534" s="10" t="str"/>
      <x:c r="I1534" s="7" t="str"/>
      <x:c r="J1534" s="7" t="str">
        <x:v>OPEN</x:v>
      </x:c>
    </x:row>
    <x:row r="1535" ht="36" customHeight="1">
      <x:c r="B1535" s="7" t="str">
        <x:v>RAE-E-48-HP-25</x:v>
      </x:c>
      <x:c r="C1535" s="7" t="str">
        <x:v>RAE-E-48</x:v>
      </x:c>
      <x:c r="D1535" s="7" t="str">
        <x:v>RFP-C2</x:v>
      </x:c>
      <x:c r="E1535" s="7" t="str">
        <x:v>HP-25</x:v>
      </x:c>
      <x:c r="F1535" s="7" t="str">
        <x:v>environment</x:v>
      </x:c>
      <x:c r="G1535" s="7" t="str">
        <x:v>identity</x:v>
      </x:c>
      <x:c r="H1535" s="10" t="str"/>
      <x:c r="I1535" s="7" t="str"/>
      <x:c r="J1535" s="7" t="str">
        <x:v>OPEN</x:v>
      </x:c>
    </x:row>
    <x:row r="1536" ht="36" customHeight="1">
      <x:c r="B1536" s="7" t="str">
        <x:v>RAE-E-48-HP-26</x:v>
      </x:c>
      <x:c r="C1536" s="7" t="str">
        <x:v>RAE-E-48</x:v>
      </x:c>
      <x:c r="D1536" s="7" t="str">
        <x:v>RFP-C2</x:v>
      </x:c>
      <x:c r="E1536" s="7" t="str">
        <x:v>HP-26</x:v>
      </x:c>
      <x:c r="F1536" s="7" t="str">
        <x:v>environment</x:v>
      </x:c>
      <x:c r="G1536" s="7" t="str">
        <x:v>capacity</x:v>
      </x:c>
      <x:c r="H1536" s="10" t="str"/>
      <x:c r="I1536" s="7" t="str"/>
      <x:c r="J1536" s="7" t="str">
        <x:v>OPEN</x:v>
      </x:c>
    </x:row>
    <x:row r="1537" ht="36" customHeight="1">
      <x:c r="B1537" s="7" t="str">
        <x:v>RAE-E-48-HP-27</x:v>
      </x:c>
      <x:c r="C1537" s="7" t="str">
        <x:v>RAE-E-48</x:v>
      </x:c>
      <x:c r="D1537" s="7" t="str">
        <x:v>RFP-C2</x:v>
      </x:c>
      <x:c r="E1537" s="7" t="str">
        <x:v>HP-27</x:v>
      </x:c>
      <x:c r="F1537" s="7" t="str">
        <x:v>environment</x:v>
      </x:c>
      <x:c r="G1537" s="7" t="str">
        <x:v>state</x:v>
      </x:c>
      <x:c r="H1537" s="10" t="str"/>
      <x:c r="I1537" s="7" t="str"/>
      <x:c r="J1537" s="7" t="str">
        <x:v>OPEN</x:v>
      </x:c>
    </x:row>
    <x:row r="1538" ht="36" customHeight="1">
      <x:c r="B1538" s="7" t="str">
        <x:v>RAE-E-48-HP-28</x:v>
      </x:c>
      <x:c r="C1538" s="7" t="str">
        <x:v>RAE-E-48</x:v>
      </x:c>
      <x:c r="D1538" s="7" t="str">
        <x:v>RFP-C2</x:v>
      </x:c>
      <x:c r="E1538" s="7" t="str">
        <x:v>HP-28</x:v>
      </x:c>
      <x:c r="F1538" s="7" t="str">
        <x:v>environment</x:v>
      </x:c>
      <x:c r="G1538" s="7" t="str">
        <x:v>authority</x:v>
      </x:c>
      <x:c r="H1538" s="10" t="str"/>
      <x:c r="I1538" s="7" t="str"/>
      <x:c r="J1538" s="7" t="str">
        <x:v>OPEN</x:v>
      </x:c>
    </x:row>
    <x:row r="1539" ht="36" customHeight="1">
      <x:c r="B1539" s="7" t="str">
        <x:v>RAE-E-48-HP-29</x:v>
      </x:c>
      <x:c r="C1539" s="7" t="str">
        <x:v>RAE-E-48</x:v>
      </x:c>
      <x:c r="D1539" s="7" t="str">
        <x:v>RFP-C2</x:v>
      </x:c>
      <x:c r="E1539" s="7" t="str">
        <x:v>HP-29</x:v>
      </x:c>
      <x:c r="F1539" s="7" t="str">
        <x:v>authority</x:v>
      </x:c>
      <x:c r="G1539" s="7" t="str">
        <x:v>identity</x:v>
      </x:c>
      <x:c r="H1539" s="10" t="str"/>
      <x:c r="I1539" s="7" t="str"/>
      <x:c r="J1539" s="7" t="str">
        <x:v>OPEN</x:v>
      </x:c>
    </x:row>
    <x:row r="1540" ht="36" customHeight="1">
      <x:c r="B1540" s="7" t="str">
        <x:v>RAE-E-48-HP-30</x:v>
      </x:c>
      <x:c r="C1540" s="7" t="str">
        <x:v>RAE-E-48</x:v>
      </x:c>
      <x:c r="D1540" s="7" t="str">
        <x:v>RFP-C2</x:v>
      </x:c>
      <x:c r="E1540" s="7" t="str">
        <x:v>HP-30</x:v>
      </x:c>
      <x:c r="F1540" s="7" t="str">
        <x:v>authority</x:v>
      </x:c>
      <x:c r="G1540" s="7" t="str">
        <x:v>capacity</x:v>
      </x:c>
      <x:c r="H1540" s="10" t="str"/>
      <x:c r="I1540" s="7" t="str"/>
      <x:c r="J1540" s="7" t="str">
        <x:v>OPEN</x:v>
      </x:c>
    </x:row>
    <x:row r="1541" ht="36" customHeight="1">
      <x:c r="B1541" s="7" t="str">
        <x:v>RAE-E-48-HP-31</x:v>
      </x:c>
      <x:c r="C1541" s="7" t="str">
        <x:v>RAE-E-48</x:v>
      </x:c>
      <x:c r="D1541" s="7" t="str">
        <x:v>RFP-C2</x:v>
      </x:c>
      <x:c r="E1541" s="7" t="str">
        <x:v>HP-31</x:v>
      </x:c>
      <x:c r="F1541" s="7" t="str">
        <x:v>authority</x:v>
      </x:c>
      <x:c r="G1541" s="7" t="str">
        <x:v>state</x:v>
      </x:c>
      <x:c r="H1541" s="10" t="str"/>
      <x:c r="I1541" s="7" t="str"/>
      <x:c r="J1541" s="7" t="str">
        <x:v>OPEN</x:v>
      </x:c>
    </x:row>
    <x:row r="1542" ht="36" customHeight="1">
      <x:c r="B1542" s="7" t="str">
        <x:v>RAE-E-48-HP-32</x:v>
      </x:c>
      <x:c r="C1542" s="7" t="str">
        <x:v>RAE-E-48</x:v>
      </x:c>
      <x:c r="D1542" s="7" t="str">
        <x:v>RFP-C2</x:v>
      </x:c>
      <x:c r="E1542" s="7" t="str">
        <x:v>HP-32</x:v>
      </x:c>
      <x:c r="F1542" s="7" t="str">
        <x:v>authority</x:v>
      </x:c>
      <x:c r="G1542" s="7" t="str">
        <x:v>authority</x:v>
      </x:c>
      <x:c r="H1542" s="10" t="str"/>
      <x:c r="I1542" s="7" t="str"/>
      <x:c r="J1542" s="7" t="str">
        <x:v>OPEN</x:v>
      </x:c>
    </x:row>
  </x:sheetData>
  <x:conditionalFormatting sqref="J7:J1542">
    <x:cfRule type="containsText" dxfId="135" priority="1" operator="containsText" text="FAIL"/>
    <x:cfRule type="containsText" dxfId="136" priority="2" operator="containsText" text="INVALID"/>
    <x:cfRule type="containsText" dxfId="137" priority="3" operator="containsText" text="BLOCKED"/>
    <x:cfRule type="containsText" dxfId="138" priority="4" operator="containsText" text="OPEN"/>
    <x:cfRule type="containsText" dxfId="139" priority="5" operator="containsText" text="HELD"/>
    <x:cfRule type="containsText" dxfId="140" priority="6" operator="containsText" text="DORMANT"/>
    <x:cfRule type="containsText" dxfId="141" priority="7" operator="containsText" text="PASS"/>
    <x:cfRule type="containsText" dxfId="142" priority="8" operator="containsText" text="VALID"/>
    <x:cfRule type="containsText" dxfId="143" priority="9" operator="containsText" text="ISSUED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4" hidden="0" customWidth="1"/>
    <x:col min="3" max="3" width="16" hidden="0" customWidth="1"/>
    <x:col min="4" max="4" width="14" hidden="0" customWidth="1"/>
    <x:col min="5" max="5" width="13" hidden="0" customWidth="1"/>
    <x:col min="6" max="6" width="12" hidden="0" customWidth="1"/>
    <x:col min="7" max="7" width="12" hidden="0" customWidth="1"/>
    <x:col min="8" max="8" width="13" hidden="0" customWidth="1"/>
    <x:col min="9" max="9" width="28" hidden="0" customWidth="1"/>
    <x:col min="10" max="10" width="62" hidden="0" customWidth="1"/>
    <x:col min="11" max="11" width="21" hidden="0" customWidth="1"/>
    <x:col min="12" max="12" width="14" hidden="0" customWidth="1"/>
  </x:cols>
  <x:sheetData>
    <x:row r="2">
      <x:c r="B2" s="1" t="str">
        <x:v>Five hundred seventy-six event evidence obligations</x:v>
      </x:c>
    </x:row>
    <x:row r="3">
      <x:c r="B3" s="2" t="str">
        <x:v>A derived dashboard may aid review but never replaces native originals, physical samples or the causal record.</x:v>
      </x:c>
    </x:row>
    <x:row r="6" ht="24" customHeight="1">
      <x:c r="B6" s="6" t="str">
        <x:v>Obligation</x:v>
      </x:c>
      <x:c r="C6" s="6" t="str">
        <x:v>Event</x:v>
      </x:c>
      <x:c r="D6" s="6" t="str">
        <x:v>Rig</x:v>
      </x:c>
      <x:c r="E6" s="6" t="str">
        <x:v>Method</x:v>
      </x:c>
      <x:c r="F6" s="6" t="str">
        <x:v>Root</x:v>
      </x:c>
      <x:c r="G6" s="6" t="str">
        <x:v>Class</x:v>
      </x:c>
      <x:c r="H6" s="6" t="str">
        <x:v>Evidence</x:v>
      </x:c>
      <x:c r="I6" s="6" t="str">
        <x:v>Object</x:v>
      </x:c>
      <x:c r="J6" s="6" t="str">
        <x:v>Minimum basis</x:v>
      </x:c>
      <x:c r="K6" s="6" t="str">
        <x:v>Accepted UTC</x:v>
      </x:c>
      <x:c r="L6" s="6" t="str">
        <x:v>State</x:v>
      </x:c>
    </x:row>
    <x:row r="7" ht="40" customHeight="1">
      <x:c r="B7" s="7" t="str">
        <x:v>RAE-E-01-EV-01</x:v>
      </x:c>
      <x:c r="C7" s="7" t="str">
        <x:v>RAE-E-01</x:v>
      </x:c>
      <x:c r="D7" s="7" t="str">
        <x:v>RFP-A1</x:v>
      </x:c>
      <x:c r="E7" s="7" t="str">
        <x:v>AM-05</x:v>
      </x:c>
      <x:c r="F7" s="7" t="str">
        <x:v>TR-A</x:v>
      </x:c>
      <x:c r="G7" s="7" t="str">
        <x:v>QE-01</x:v>
      </x:c>
      <x:c r="H7" s="7" t="str">
        <x:v>EV-01</x:v>
      </x:c>
      <x:c r="I7" s="10" t="str">
        <x:v>registered event baseline</x:v>
      </x:c>
      <x:c r="J7" s="10" t="str">
        <x:v>configuration master plus event register</x:v>
      </x:c>
      <x:c r="K7" s="7" t="str"/>
      <x:c r="L7" s="7" t="str">
        <x:v>OPEN</x:v>
      </x:c>
    </x:row>
    <x:row r="8" ht="40" customHeight="1">
      <x:c r="B8" s="7" t="str">
        <x:v>RAE-E-01-EV-02</x:v>
      </x:c>
      <x:c r="C8" s="7" t="str">
        <x:v>RAE-E-01</x:v>
      </x:c>
      <x:c r="D8" s="7" t="str">
        <x:v>RFP-A1</x:v>
      </x:c>
      <x:c r="E8" s="7" t="str">
        <x:v>AM-05</x:v>
      </x:c>
      <x:c r="F8" s="7" t="str">
        <x:v>TR-A</x:v>
      </x:c>
      <x:c r="G8" s="7" t="str">
        <x:v>QE-01</x:v>
      </x:c>
      <x:c r="H8" s="7" t="str">
        <x:v>EV-02</x:v>
      </x:c>
      <x:c r="I8" s="10" t="str">
        <x:v>source command and mass</x:v>
      </x:c>
      <x:c r="J8" s="10" t="str">
        <x:v>native command, load cells and custody ledger</x:v>
      </x:c>
      <x:c r="K8" s="7" t="str"/>
      <x:c r="L8" s="7" t="str">
        <x:v>OPEN</x:v>
      </x:c>
    </x:row>
    <x:row r="9" ht="40" customHeight="1">
      <x:c r="B9" s="7" t="str">
        <x:v>RAE-E-01-EV-03</x:v>
      </x:c>
      <x:c r="C9" s="7" t="str">
        <x:v>RAE-E-01</x:v>
      </x:c>
      <x:c r="D9" s="7" t="str">
        <x:v>RFP-A1</x:v>
      </x:c>
      <x:c r="E9" s="7" t="str">
        <x:v>AM-05</x:v>
      </x:c>
      <x:c r="F9" s="7" t="str">
        <x:v>TR-A</x:v>
      </x:c>
      <x:c r="G9" s="7" t="str">
        <x:v>QE-01</x:v>
      </x:c>
      <x:c r="H9" s="7" t="str">
        <x:v>EV-03</x:v>
      </x:c>
      <x:c r="I9" s="10" t="str">
        <x:v>final control states</x:v>
      </x:c>
      <x:c r="J9" s="10" t="str">
        <x:v>direct element sensors plus local latch</x:v>
      </x:c>
      <x:c r="K9" s="7" t="str"/>
      <x:c r="L9" s="7" t="str">
        <x:v>OPEN</x:v>
      </x:c>
    </x:row>
    <x:row r="10" ht="40" customHeight="1">
      <x:c r="B10" s="7" t="str">
        <x:v>RAE-E-01-EV-04</x:v>
      </x:c>
      <x:c r="C10" s="7" t="str">
        <x:v>RAE-E-01</x:v>
      </x:c>
      <x:c r="D10" s="7" t="str">
        <x:v>RFP-A1</x:v>
      </x:c>
      <x:c r="E10" s="7" t="str">
        <x:v>AM-05</x:v>
      </x:c>
      <x:c r="F10" s="7" t="str">
        <x:v>TR-A</x:v>
      </x:c>
      <x:c r="G10" s="7" t="str">
        <x:v>QE-01</x:v>
      </x:c>
      <x:c r="H10" s="7" t="str">
        <x:v>EV-04</x:v>
      </x:c>
      <x:c r="I10" s="10" t="str">
        <x:v>path action times</x:v>
      </x:c>
      <x:c r="J10" s="10" t="str">
        <x:v>common-epoch trigger and state transitions</x:v>
      </x:c>
      <x:c r="K10" s="7" t="str"/>
      <x:c r="L10" s="7" t="str">
        <x:v>OPEN</x:v>
      </x:c>
    </x:row>
    <x:row r="11" ht="40" customHeight="1">
      <x:c r="B11" s="7" t="str">
        <x:v>RAE-E-01-EV-05</x:v>
      </x:c>
      <x:c r="C11" s="7" t="str">
        <x:v>RAE-E-01</x:v>
      </x:c>
      <x:c r="D11" s="7" t="str">
        <x:v>RFP-A1</x:v>
      </x:c>
      <x:c r="E11" s="7" t="str">
        <x:v>AM-05</x:v>
      </x:c>
      <x:c r="F11" s="7" t="str">
        <x:v>TR-A</x:v>
      </x:c>
      <x:c r="G11" s="7" t="str">
        <x:v>QE-01</x:v>
      </x:c>
      <x:c r="H11" s="7" t="str">
        <x:v>EV-05</x:v>
      </x:c>
      <x:c r="I11" s="10" t="str">
        <x:v>receiver inventories</x:v>
      </x:c>
      <x:c r="J11" s="10" t="str">
        <x:v>before, peak and after volume measurements</x:v>
      </x:c>
      <x:c r="K11" s="7" t="str"/>
      <x:c r="L11" s="7" t="str">
        <x:v>OPEN</x:v>
      </x:c>
    </x:row>
    <x:row r="12" ht="40" customHeight="1">
      <x:c r="B12" s="7" t="str">
        <x:v>RAE-E-01-EV-06</x:v>
      </x:c>
      <x:c r="C12" s="7" t="str">
        <x:v>RAE-E-01</x:v>
      </x:c>
      <x:c r="D12" s="7" t="str">
        <x:v>RFP-A1</x:v>
      </x:c>
      <x:c r="E12" s="7" t="str">
        <x:v>AM-05</x:v>
      </x:c>
      <x:c r="F12" s="7" t="str">
        <x:v>TR-A</x:v>
      </x:c>
      <x:c r="G12" s="7" t="str">
        <x:v>QE-01</x:v>
      </x:c>
      <x:c r="H12" s="7" t="str">
        <x:v>EV-06</x:v>
      </x:c>
      <x:c r="I12" s="10" t="str">
        <x:v>thermal field</x:v>
      </x:c>
      <x:c r="J12" s="10" t="str">
        <x:v>radiometry, heat flux and local weather</x:v>
      </x:c>
      <x:c r="K12" s="7" t="str"/>
      <x:c r="L12" s="7" t="str">
        <x:v>OPEN</x:v>
      </x:c>
    </x:row>
    <x:row r="13" ht="40" customHeight="1">
      <x:c r="B13" s="7" t="str">
        <x:v>RAE-E-01-EV-07</x:v>
      </x:c>
      <x:c r="C13" s="7" t="str">
        <x:v>RAE-E-01</x:v>
      </x:c>
      <x:c r="D13" s="7" t="str">
        <x:v>RFP-A1</x:v>
      </x:c>
      <x:c r="E13" s="7" t="str">
        <x:v>AM-05</x:v>
      </x:c>
      <x:c r="F13" s="7" t="str">
        <x:v>TR-A</x:v>
      </x:c>
      <x:c r="G13" s="7" t="str">
        <x:v>QE-01</x:v>
      </x:c>
      <x:c r="H13" s="7" t="str">
        <x:v>EV-07</x:v>
      </x:c>
      <x:c r="I13" s="10" t="str">
        <x:v>water state</x:v>
      </x:c>
      <x:c r="J13" s="10" t="str">
        <x:v>flow, rain, quench, foam and rinse separation</x:v>
      </x:c>
      <x:c r="K13" s="7" t="str"/>
      <x:c r="L13" s="7" t="str">
        <x:v>OPEN</x:v>
      </x:c>
    </x:row>
    <x:row r="14" ht="40" customHeight="1">
      <x:c r="B14" s="7" t="str">
        <x:v>RAE-E-01-EV-08</x:v>
      </x:c>
      <x:c r="C14" s="7" t="str">
        <x:v>RAE-E-01</x:v>
      </x:c>
      <x:c r="D14" s="7" t="str">
        <x:v>RFP-A1</x:v>
      </x:c>
      <x:c r="E14" s="7" t="str">
        <x:v>AM-05</x:v>
      </x:c>
      <x:c r="F14" s="7" t="str">
        <x:v>TR-A</x:v>
      </x:c>
      <x:c r="G14" s="7" t="str">
        <x:v>QE-01</x:v>
      </x:c>
      <x:c r="H14" s="7" t="str">
        <x:v>EV-08</x:v>
      </x:c>
      <x:c r="I14" s="10" t="str">
        <x:v>ancestry</x:v>
      </x:c>
      <x:c r="J14" s="10" t="str">
        <x:v>source and water root recovery plus cross-talk</x:v>
      </x:c>
      <x:c r="K14" s="7" t="str"/>
      <x:c r="L14" s="7" t="str">
        <x:v>OPEN</x:v>
      </x:c>
    </x:row>
    <x:row r="15" ht="40" customHeight="1">
      <x:c r="B15" s="7" t="str">
        <x:v>RAE-E-01-EV-09</x:v>
      </x:c>
      <x:c r="C15" s="7" t="str">
        <x:v>RAE-E-01</x:v>
      </x:c>
      <x:c r="D15" s="7" t="str">
        <x:v>RFP-A1</x:v>
      </x:c>
      <x:c r="E15" s="7" t="str">
        <x:v>AM-05</x:v>
      </x:c>
      <x:c r="F15" s="7" t="str">
        <x:v>TR-A</x:v>
      </x:c>
      <x:c r="G15" s="7" t="str">
        <x:v>QE-01</x:v>
      </x:c>
      <x:c r="H15" s="7" t="str">
        <x:v>EV-09</x:v>
      </x:c>
      <x:c r="I15" s="10" t="str">
        <x:v>environmental boundary</x:v>
      </x:c>
      <x:c r="J15" s="10" t="str">
        <x:v>background and post-event sample set</x:v>
      </x:c>
      <x:c r="K15" s="7" t="str"/>
      <x:c r="L15" s="7" t="str">
        <x:v>OPEN</x:v>
      </x:c>
    </x:row>
    <x:row r="16" ht="40" customHeight="1">
      <x:c r="B16" s="7" t="str">
        <x:v>RAE-E-01-EV-10</x:v>
      </x:c>
      <x:c r="C16" s="7" t="str">
        <x:v>RAE-E-01</x:v>
      </x:c>
      <x:c r="D16" s="7" t="str">
        <x:v>RFP-A1</x:v>
      </x:c>
      <x:c r="E16" s="7" t="str">
        <x:v>AM-05</x:v>
      </x:c>
      <x:c r="F16" s="7" t="str">
        <x:v>TR-A</x:v>
      </x:c>
      <x:c r="G16" s="7" t="str">
        <x:v>QE-01</x:v>
      </x:c>
      <x:c r="H16" s="7" t="str">
        <x:v>EV-10</x:v>
      </x:c>
      <x:c r="I16" s="10" t="str">
        <x:v>neighbor state</x:v>
      </x:c>
      <x:c r="J16" s="10" t="str">
        <x:v>three independent inert-state records</x:v>
      </x:c>
      <x:c r="K16" s="7" t="str"/>
      <x:c r="L16" s="7" t="str">
        <x:v>OPEN</x:v>
      </x:c>
    </x:row>
    <x:row r="17" ht="40" customHeight="1">
      <x:c r="B17" s="7" t="str">
        <x:v>RAE-E-01-EV-11</x:v>
      </x:c>
      <x:c r="C17" s="7" t="str">
        <x:v>RAE-E-01</x:v>
      </x:c>
      <x:c r="D17" s="7" t="str">
        <x:v>RFP-A1</x:v>
      </x:c>
      <x:c r="E17" s="7" t="str">
        <x:v>AM-05</x:v>
      </x:c>
      <x:c r="F17" s="7" t="str">
        <x:v>TR-A</x:v>
      </x:c>
      <x:c r="G17" s="7" t="str">
        <x:v>QE-01</x:v>
      </x:c>
      <x:c r="H17" s="7" t="str">
        <x:v>EV-11</x:v>
      </x:c>
      <x:c r="I17" s="10" t="str">
        <x:v>intervention state</x:v>
      </x:c>
      <x:c r="J17" s="10" t="str">
        <x:v>human, automatic and rescue actions</x:v>
      </x:c>
      <x:c r="K17" s="7" t="str"/>
      <x:c r="L17" s="7" t="str">
        <x:v>OPEN</x:v>
      </x:c>
    </x:row>
    <x:row r="18" ht="40" customHeight="1">
      <x:c r="B18" s="7" t="str">
        <x:v>RAE-E-01-EV-12</x:v>
      </x:c>
      <x:c r="C18" s="7" t="str">
        <x:v>RAE-E-01</x:v>
      </x:c>
      <x:c r="D18" s="7" t="str">
        <x:v>RFP-A1</x:v>
      </x:c>
      <x:c r="E18" s="7" t="str">
        <x:v>AM-05</x:v>
      </x:c>
      <x:c r="F18" s="7" t="str">
        <x:v>TR-A</x:v>
      </x:c>
      <x:c r="G18" s="7" t="str">
        <x:v>QE-01</x:v>
      </x:c>
      <x:c r="H18" s="7" t="str">
        <x:v>EV-12</x:v>
      </x:c>
      <x:c r="I18" s="10" t="str">
        <x:v>validity packet</x:v>
      </x:c>
      <x:c r="J18" s="10" t="str">
        <x:v>native hashes, causal map and board disposition</x:v>
      </x:c>
      <x:c r="K18" s="7" t="str"/>
      <x:c r="L18" s="7" t="str">
        <x:v>OPEN</x:v>
      </x:c>
    </x:row>
    <x:row r="19" ht="40" customHeight="1">
      <x:c r="B19" s="7" t="str">
        <x:v>RAE-E-02-EV-01</x:v>
      </x:c>
      <x:c r="C19" s="7" t="str">
        <x:v>RAE-E-02</x:v>
      </x:c>
      <x:c r="D19" s="7" t="str">
        <x:v>RFP-A1</x:v>
      </x:c>
      <x:c r="E19" s="7" t="str">
        <x:v>AM-05</x:v>
      </x:c>
      <x:c r="F19" s="7" t="str">
        <x:v>TR-A</x:v>
      </x:c>
      <x:c r="G19" s="7" t="str">
        <x:v>QE-02</x:v>
      </x:c>
      <x:c r="H19" s="7" t="str">
        <x:v>EV-01</x:v>
      </x:c>
      <x:c r="I19" s="10" t="str">
        <x:v>registered event baseline</x:v>
      </x:c>
      <x:c r="J19" s="10" t="str">
        <x:v>configuration master plus event register</x:v>
      </x:c>
      <x:c r="K19" s="7" t="str"/>
      <x:c r="L19" s="7" t="str">
        <x:v>OPEN</x:v>
      </x:c>
    </x:row>
    <x:row r="20" ht="40" customHeight="1">
      <x:c r="B20" s="7" t="str">
        <x:v>RAE-E-02-EV-02</x:v>
      </x:c>
      <x:c r="C20" s="7" t="str">
        <x:v>RAE-E-02</x:v>
      </x:c>
      <x:c r="D20" s="7" t="str">
        <x:v>RFP-A1</x:v>
      </x:c>
      <x:c r="E20" s="7" t="str">
        <x:v>AM-05</x:v>
      </x:c>
      <x:c r="F20" s="7" t="str">
        <x:v>TR-A</x:v>
      </x:c>
      <x:c r="G20" s="7" t="str">
        <x:v>QE-02</x:v>
      </x:c>
      <x:c r="H20" s="7" t="str">
        <x:v>EV-02</x:v>
      </x:c>
      <x:c r="I20" s="10" t="str">
        <x:v>source command and mass</x:v>
      </x:c>
      <x:c r="J20" s="10" t="str">
        <x:v>native command, load cells and custody ledger</x:v>
      </x:c>
      <x:c r="K20" s="7" t="str"/>
      <x:c r="L20" s="7" t="str">
        <x:v>OPEN</x:v>
      </x:c>
    </x:row>
    <x:row r="21" ht="40" customHeight="1">
      <x:c r="B21" s="7" t="str">
        <x:v>RAE-E-02-EV-03</x:v>
      </x:c>
      <x:c r="C21" s="7" t="str">
        <x:v>RAE-E-02</x:v>
      </x:c>
      <x:c r="D21" s="7" t="str">
        <x:v>RFP-A1</x:v>
      </x:c>
      <x:c r="E21" s="7" t="str">
        <x:v>AM-05</x:v>
      </x:c>
      <x:c r="F21" s="7" t="str">
        <x:v>TR-A</x:v>
      </x:c>
      <x:c r="G21" s="7" t="str">
        <x:v>QE-02</x:v>
      </x:c>
      <x:c r="H21" s="7" t="str">
        <x:v>EV-03</x:v>
      </x:c>
      <x:c r="I21" s="10" t="str">
        <x:v>final control states</x:v>
      </x:c>
      <x:c r="J21" s="10" t="str">
        <x:v>direct element sensors plus local latch</x:v>
      </x:c>
      <x:c r="K21" s="7" t="str"/>
      <x:c r="L21" s="7" t="str">
        <x:v>OPEN</x:v>
      </x:c>
    </x:row>
    <x:row r="22" ht="40" customHeight="1">
      <x:c r="B22" s="7" t="str">
        <x:v>RAE-E-02-EV-04</x:v>
      </x:c>
      <x:c r="C22" s="7" t="str">
        <x:v>RAE-E-02</x:v>
      </x:c>
      <x:c r="D22" s="7" t="str">
        <x:v>RFP-A1</x:v>
      </x:c>
      <x:c r="E22" s="7" t="str">
        <x:v>AM-05</x:v>
      </x:c>
      <x:c r="F22" s="7" t="str">
        <x:v>TR-A</x:v>
      </x:c>
      <x:c r="G22" s="7" t="str">
        <x:v>QE-02</x:v>
      </x:c>
      <x:c r="H22" s="7" t="str">
        <x:v>EV-04</x:v>
      </x:c>
      <x:c r="I22" s="10" t="str">
        <x:v>path action times</x:v>
      </x:c>
      <x:c r="J22" s="10" t="str">
        <x:v>common-epoch trigger and state transitions</x:v>
      </x:c>
      <x:c r="K22" s="7" t="str"/>
      <x:c r="L22" s="7" t="str">
        <x:v>OPEN</x:v>
      </x:c>
    </x:row>
    <x:row r="23" ht="40" customHeight="1">
      <x:c r="B23" s="7" t="str">
        <x:v>RAE-E-02-EV-05</x:v>
      </x:c>
      <x:c r="C23" s="7" t="str">
        <x:v>RAE-E-02</x:v>
      </x:c>
      <x:c r="D23" s="7" t="str">
        <x:v>RFP-A1</x:v>
      </x:c>
      <x:c r="E23" s="7" t="str">
        <x:v>AM-05</x:v>
      </x:c>
      <x:c r="F23" s="7" t="str">
        <x:v>TR-A</x:v>
      </x:c>
      <x:c r="G23" s="7" t="str">
        <x:v>QE-02</x:v>
      </x:c>
      <x:c r="H23" s="7" t="str">
        <x:v>EV-05</x:v>
      </x:c>
      <x:c r="I23" s="10" t="str">
        <x:v>receiver inventories</x:v>
      </x:c>
      <x:c r="J23" s="10" t="str">
        <x:v>before, peak and after volume measurements</x:v>
      </x:c>
      <x:c r="K23" s="7" t="str"/>
      <x:c r="L23" s="7" t="str">
        <x:v>OPEN</x:v>
      </x:c>
    </x:row>
    <x:row r="24" ht="40" customHeight="1">
      <x:c r="B24" s="7" t="str">
        <x:v>RAE-E-02-EV-06</x:v>
      </x:c>
      <x:c r="C24" s="7" t="str">
        <x:v>RAE-E-02</x:v>
      </x:c>
      <x:c r="D24" s="7" t="str">
        <x:v>RFP-A1</x:v>
      </x:c>
      <x:c r="E24" s="7" t="str">
        <x:v>AM-05</x:v>
      </x:c>
      <x:c r="F24" s="7" t="str">
        <x:v>TR-A</x:v>
      </x:c>
      <x:c r="G24" s="7" t="str">
        <x:v>QE-02</x:v>
      </x:c>
      <x:c r="H24" s="7" t="str">
        <x:v>EV-06</x:v>
      </x:c>
      <x:c r="I24" s="10" t="str">
        <x:v>thermal field</x:v>
      </x:c>
      <x:c r="J24" s="10" t="str">
        <x:v>radiometry, heat flux and local weather</x:v>
      </x:c>
      <x:c r="K24" s="7" t="str"/>
      <x:c r="L24" s="7" t="str">
        <x:v>OPEN</x:v>
      </x:c>
    </x:row>
    <x:row r="25" ht="40" customHeight="1">
      <x:c r="B25" s="7" t="str">
        <x:v>RAE-E-02-EV-07</x:v>
      </x:c>
      <x:c r="C25" s="7" t="str">
        <x:v>RAE-E-02</x:v>
      </x:c>
      <x:c r="D25" s="7" t="str">
        <x:v>RFP-A1</x:v>
      </x:c>
      <x:c r="E25" s="7" t="str">
        <x:v>AM-05</x:v>
      </x:c>
      <x:c r="F25" s="7" t="str">
        <x:v>TR-A</x:v>
      </x:c>
      <x:c r="G25" s="7" t="str">
        <x:v>QE-02</x:v>
      </x:c>
      <x:c r="H25" s="7" t="str">
        <x:v>EV-07</x:v>
      </x:c>
      <x:c r="I25" s="10" t="str">
        <x:v>water state</x:v>
      </x:c>
      <x:c r="J25" s="10" t="str">
        <x:v>flow, rain, quench, foam and rinse separation</x:v>
      </x:c>
      <x:c r="K25" s="7" t="str"/>
      <x:c r="L25" s="7" t="str">
        <x:v>OPEN</x:v>
      </x:c>
    </x:row>
    <x:row r="26" ht="40" customHeight="1">
      <x:c r="B26" s="7" t="str">
        <x:v>RAE-E-02-EV-08</x:v>
      </x:c>
      <x:c r="C26" s="7" t="str">
        <x:v>RAE-E-02</x:v>
      </x:c>
      <x:c r="D26" s="7" t="str">
        <x:v>RFP-A1</x:v>
      </x:c>
      <x:c r="E26" s="7" t="str">
        <x:v>AM-05</x:v>
      </x:c>
      <x:c r="F26" s="7" t="str">
        <x:v>TR-A</x:v>
      </x:c>
      <x:c r="G26" s="7" t="str">
        <x:v>QE-02</x:v>
      </x:c>
      <x:c r="H26" s="7" t="str">
        <x:v>EV-08</x:v>
      </x:c>
      <x:c r="I26" s="10" t="str">
        <x:v>ancestry</x:v>
      </x:c>
      <x:c r="J26" s="10" t="str">
        <x:v>source and water root recovery plus cross-talk</x:v>
      </x:c>
      <x:c r="K26" s="7" t="str"/>
      <x:c r="L26" s="7" t="str">
        <x:v>OPEN</x:v>
      </x:c>
    </x:row>
    <x:row r="27" ht="40" customHeight="1">
      <x:c r="B27" s="7" t="str">
        <x:v>RAE-E-02-EV-09</x:v>
      </x:c>
      <x:c r="C27" s="7" t="str">
        <x:v>RAE-E-02</x:v>
      </x:c>
      <x:c r="D27" s="7" t="str">
        <x:v>RFP-A1</x:v>
      </x:c>
      <x:c r="E27" s="7" t="str">
        <x:v>AM-05</x:v>
      </x:c>
      <x:c r="F27" s="7" t="str">
        <x:v>TR-A</x:v>
      </x:c>
      <x:c r="G27" s="7" t="str">
        <x:v>QE-02</x:v>
      </x:c>
      <x:c r="H27" s="7" t="str">
        <x:v>EV-09</x:v>
      </x:c>
      <x:c r="I27" s="10" t="str">
        <x:v>environmental boundary</x:v>
      </x:c>
      <x:c r="J27" s="10" t="str">
        <x:v>background and post-event sample set</x:v>
      </x:c>
      <x:c r="K27" s="7" t="str"/>
      <x:c r="L27" s="7" t="str">
        <x:v>OPEN</x:v>
      </x:c>
    </x:row>
    <x:row r="28" ht="40" customHeight="1">
      <x:c r="B28" s="7" t="str">
        <x:v>RAE-E-02-EV-10</x:v>
      </x:c>
      <x:c r="C28" s="7" t="str">
        <x:v>RAE-E-02</x:v>
      </x:c>
      <x:c r="D28" s="7" t="str">
        <x:v>RFP-A1</x:v>
      </x:c>
      <x:c r="E28" s="7" t="str">
        <x:v>AM-05</x:v>
      </x:c>
      <x:c r="F28" s="7" t="str">
        <x:v>TR-A</x:v>
      </x:c>
      <x:c r="G28" s="7" t="str">
        <x:v>QE-02</x:v>
      </x:c>
      <x:c r="H28" s="7" t="str">
        <x:v>EV-10</x:v>
      </x:c>
      <x:c r="I28" s="10" t="str">
        <x:v>neighbor state</x:v>
      </x:c>
      <x:c r="J28" s="10" t="str">
        <x:v>three independent inert-state records</x:v>
      </x:c>
      <x:c r="K28" s="7" t="str"/>
      <x:c r="L28" s="7" t="str">
        <x:v>OPEN</x:v>
      </x:c>
    </x:row>
    <x:row r="29" ht="40" customHeight="1">
      <x:c r="B29" s="7" t="str">
        <x:v>RAE-E-02-EV-11</x:v>
      </x:c>
      <x:c r="C29" s="7" t="str">
        <x:v>RAE-E-02</x:v>
      </x:c>
      <x:c r="D29" s="7" t="str">
        <x:v>RFP-A1</x:v>
      </x:c>
      <x:c r="E29" s="7" t="str">
        <x:v>AM-05</x:v>
      </x:c>
      <x:c r="F29" s="7" t="str">
        <x:v>TR-A</x:v>
      </x:c>
      <x:c r="G29" s="7" t="str">
        <x:v>QE-02</x:v>
      </x:c>
      <x:c r="H29" s="7" t="str">
        <x:v>EV-11</x:v>
      </x:c>
      <x:c r="I29" s="10" t="str">
        <x:v>intervention state</x:v>
      </x:c>
      <x:c r="J29" s="10" t="str">
        <x:v>human, automatic and rescue actions</x:v>
      </x:c>
      <x:c r="K29" s="7" t="str"/>
      <x:c r="L29" s="7" t="str">
        <x:v>OPEN</x:v>
      </x:c>
    </x:row>
    <x:row r="30" ht="40" customHeight="1">
      <x:c r="B30" s="7" t="str">
        <x:v>RAE-E-02-EV-12</x:v>
      </x:c>
      <x:c r="C30" s="7" t="str">
        <x:v>RAE-E-02</x:v>
      </x:c>
      <x:c r="D30" s="7" t="str">
        <x:v>RFP-A1</x:v>
      </x:c>
      <x:c r="E30" s="7" t="str">
        <x:v>AM-05</x:v>
      </x:c>
      <x:c r="F30" s="7" t="str">
        <x:v>TR-A</x:v>
      </x:c>
      <x:c r="G30" s="7" t="str">
        <x:v>QE-02</x:v>
      </x:c>
      <x:c r="H30" s="7" t="str">
        <x:v>EV-12</x:v>
      </x:c>
      <x:c r="I30" s="10" t="str">
        <x:v>validity packet</x:v>
      </x:c>
      <x:c r="J30" s="10" t="str">
        <x:v>native hashes, causal map and board disposition</x:v>
      </x:c>
      <x:c r="K30" s="7" t="str"/>
      <x:c r="L30" s="7" t="str">
        <x:v>OPEN</x:v>
      </x:c>
    </x:row>
    <x:row r="31" ht="40" customHeight="1">
      <x:c r="B31" s="7" t="str">
        <x:v>RAE-E-03-EV-01</x:v>
      </x:c>
      <x:c r="C31" s="7" t="str">
        <x:v>RAE-E-03</x:v>
      </x:c>
      <x:c r="D31" s="7" t="str">
        <x:v>RFP-A1</x:v>
      </x:c>
      <x:c r="E31" s="7" t="str">
        <x:v>AM-05</x:v>
      </x:c>
      <x:c r="F31" s="7" t="str">
        <x:v>TR-B</x:v>
      </x:c>
      <x:c r="G31" s="7" t="str">
        <x:v>QE-01</x:v>
      </x:c>
      <x:c r="H31" s="7" t="str">
        <x:v>EV-01</x:v>
      </x:c>
      <x:c r="I31" s="10" t="str">
        <x:v>registered event baseline</x:v>
      </x:c>
      <x:c r="J31" s="10" t="str">
        <x:v>configuration master plus event register</x:v>
      </x:c>
      <x:c r="K31" s="7" t="str"/>
      <x:c r="L31" s="7" t="str">
        <x:v>OPEN</x:v>
      </x:c>
    </x:row>
    <x:row r="32" ht="40" customHeight="1">
      <x:c r="B32" s="7" t="str">
        <x:v>RAE-E-03-EV-02</x:v>
      </x:c>
      <x:c r="C32" s="7" t="str">
        <x:v>RAE-E-03</x:v>
      </x:c>
      <x:c r="D32" s="7" t="str">
        <x:v>RFP-A1</x:v>
      </x:c>
      <x:c r="E32" s="7" t="str">
        <x:v>AM-05</x:v>
      </x:c>
      <x:c r="F32" s="7" t="str">
        <x:v>TR-B</x:v>
      </x:c>
      <x:c r="G32" s="7" t="str">
        <x:v>QE-01</x:v>
      </x:c>
      <x:c r="H32" s="7" t="str">
        <x:v>EV-02</x:v>
      </x:c>
      <x:c r="I32" s="10" t="str">
        <x:v>source command and mass</x:v>
      </x:c>
      <x:c r="J32" s="10" t="str">
        <x:v>native command, load cells and custody ledger</x:v>
      </x:c>
      <x:c r="K32" s="7" t="str"/>
      <x:c r="L32" s="7" t="str">
        <x:v>OPEN</x:v>
      </x:c>
    </x:row>
    <x:row r="33" ht="40" customHeight="1">
      <x:c r="B33" s="7" t="str">
        <x:v>RAE-E-03-EV-03</x:v>
      </x:c>
      <x:c r="C33" s="7" t="str">
        <x:v>RAE-E-03</x:v>
      </x:c>
      <x:c r="D33" s="7" t="str">
        <x:v>RFP-A1</x:v>
      </x:c>
      <x:c r="E33" s="7" t="str">
        <x:v>AM-05</x:v>
      </x:c>
      <x:c r="F33" s="7" t="str">
        <x:v>TR-B</x:v>
      </x:c>
      <x:c r="G33" s="7" t="str">
        <x:v>QE-01</x:v>
      </x:c>
      <x:c r="H33" s="7" t="str">
        <x:v>EV-03</x:v>
      </x:c>
      <x:c r="I33" s="10" t="str">
        <x:v>final control states</x:v>
      </x:c>
      <x:c r="J33" s="10" t="str">
        <x:v>direct element sensors plus local latch</x:v>
      </x:c>
      <x:c r="K33" s="7" t="str"/>
      <x:c r="L33" s="7" t="str">
        <x:v>OPEN</x:v>
      </x:c>
    </x:row>
    <x:row r="34" ht="40" customHeight="1">
      <x:c r="B34" s="7" t="str">
        <x:v>RAE-E-03-EV-04</x:v>
      </x:c>
      <x:c r="C34" s="7" t="str">
        <x:v>RAE-E-03</x:v>
      </x:c>
      <x:c r="D34" s="7" t="str">
        <x:v>RFP-A1</x:v>
      </x:c>
      <x:c r="E34" s="7" t="str">
        <x:v>AM-05</x:v>
      </x:c>
      <x:c r="F34" s="7" t="str">
        <x:v>TR-B</x:v>
      </x:c>
      <x:c r="G34" s="7" t="str">
        <x:v>QE-01</x:v>
      </x:c>
      <x:c r="H34" s="7" t="str">
        <x:v>EV-04</x:v>
      </x:c>
      <x:c r="I34" s="10" t="str">
        <x:v>path action times</x:v>
      </x:c>
      <x:c r="J34" s="10" t="str">
        <x:v>common-epoch trigger and state transitions</x:v>
      </x:c>
      <x:c r="K34" s="7" t="str"/>
      <x:c r="L34" s="7" t="str">
        <x:v>OPEN</x:v>
      </x:c>
    </x:row>
    <x:row r="35" ht="40" customHeight="1">
      <x:c r="B35" s="7" t="str">
        <x:v>RAE-E-03-EV-05</x:v>
      </x:c>
      <x:c r="C35" s="7" t="str">
        <x:v>RAE-E-03</x:v>
      </x:c>
      <x:c r="D35" s="7" t="str">
        <x:v>RFP-A1</x:v>
      </x:c>
      <x:c r="E35" s="7" t="str">
        <x:v>AM-05</x:v>
      </x:c>
      <x:c r="F35" s="7" t="str">
        <x:v>TR-B</x:v>
      </x:c>
      <x:c r="G35" s="7" t="str">
        <x:v>QE-01</x:v>
      </x:c>
      <x:c r="H35" s="7" t="str">
        <x:v>EV-05</x:v>
      </x:c>
      <x:c r="I35" s="10" t="str">
        <x:v>receiver inventories</x:v>
      </x:c>
      <x:c r="J35" s="10" t="str">
        <x:v>before, peak and after volume measurements</x:v>
      </x:c>
      <x:c r="K35" s="7" t="str"/>
      <x:c r="L35" s="7" t="str">
        <x:v>OPEN</x:v>
      </x:c>
    </x:row>
    <x:row r="36" ht="40" customHeight="1">
      <x:c r="B36" s="7" t="str">
        <x:v>RAE-E-03-EV-06</x:v>
      </x:c>
      <x:c r="C36" s="7" t="str">
        <x:v>RAE-E-03</x:v>
      </x:c>
      <x:c r="D36" s="7" t="str">
        <x:v>RFP-A1</x:v>
      </x:c>
      <x:c r="E36" s="7" t="str">
        <x:v>AM-05</x:v>
      </x:c>
      <x:c r="F36" s="7" t="str">
        <x:v>TR-B</x:v>
      </x:c>
      <x:c r="G36" s="7" t="str">
        <x:v>QE-01</x:v>
      </x:c>
      <x:c r="H36" s="7" t="str">
        <x:v>EV-06</x:v>
      </x:c>
      <x:c r="I36" s="10" t="str">
        <x:v>thermal field</x:v>
      </x:c>
      <x:c r="J36" s="10" t="str">
        <x:v>radiometry, heat flux and local weather</x:v>
      </x:c>
      <x:c r="K36" s="7" t="str"/>
      <x:c r="L36" s="7" t="str">
        <x:v>OPEN</x:v>
      </x:c>
    </x:row>
    <x:row r="37" ht="40" customHeight="1">
      <x:c r="B37" s="7" t="str">
        <x:v>RAE-E-03-EV-07</x:v>
      </x:c>
      <x:c r="C37" s="7" t="str">
        <x:v>RAE-E-03</x:v>
      </x:c>
      <x:c r="D37" s="7" t="str">
        <x:v>RFP-A1</x:v>
      </x:c>
      <x:c r="E37" s="7" t="str">
        <x:v>AM-05</x:v>
      </x:c>
      <x:c r="F37" s="7" t="str">
        <x:v>TR-B</x:v>
      </x:c>
      <x:c r="G37" s="7" t="str">
        <x:v>QE-01</x:v>
      </x:c>
      <x:c r="H37" s="7" t="str">
        <x:v>EV-07</x:v>
      </x:c>
      <x:c r="I37" s="10" t="str">
        <x:v>water state</x:v>
      </x:c>
      <x:c r="J37" s="10" t="str">
        <x:v>flow, rain, quench, foam and rinse separation</x:v>
      </x:c>
      <x:c r="K37" s="7" t="str"/>
      <x:c r="L37" s="7" t="str">
        <x:v>OPEN</x:v>
      </x:c>
    </x:row>
    <x:row r="38" ht="40" customHeight="1">
      <x:c r="B38" s="7" t="str">
        <x:v>RAE-E-03-EV-08</x:v>
      </x:c>
      <x:c r="C38" s="7" t="str">
        <x:v>RAE-E-03</x:v>
      </x:c>
      <x:c r="D38" s="7" t="str">
        <x:v>RFP-A1</x:v>
      </x:c>
      <x:c r="E38" s="7" t="str">
        <x:v>AM-05</x:v>
      </x:c>
      <x:c r="F38" s="7" t="str">
        <x:v>TR-B</x:v>
      </x:c>
      <x:c r="G38" s="7" t="str">
        <x:v>QE-01</x:v>
      </x:c>
      <x:c r="H38" s="7" t="str">
        <x:v>EV-08</x:v>
      </x:c>
      <x:c r="I38" s="10" t="str">
        <x:v>ancestry</x:v>
      </x:c>
      <x:c r="J38" s="10" t="str">
        <x:v>source and water root recovery plus cross-talk</x:v>
      </x:c>
      <x:c r="K38" s="7" t="str"/>
      <x:c r="L38" s="7" t="str">
        <x:v>OPEN</x:v>
      </x:c>
    </x:row>
    <x:row r="39" ht="40" customHeight="1">
      <x:c r="B39" s="7" t="str">
        <x:v>RAE-E-03-EV-09</x:v>
      </x:c>
      <x:c r="C39" s="7" t="str">
        <x:v>RAE-E-03</x:v>
      </x:c>
      <x:c r="D39" s="7" t="str">
        <x:v>RFP-A1</x:v>
      </x:c>
      <x:c r="E39" s="7" t="str">
        <x:v>AM-05</x:v>
      </x:c>
      <x:c r="F39" s="7" t="str">
        <x:v>TR-B</x:v>
      </x:c>
      <x:c r="G39" s="7" t="str">
        <x:v>QE-01</x:v>
      </x:c>
      <x:c r="H39" s="7" t="str">
        <x:v>EV-09</x:v>
      </x:c>
      <x:c r="I39" s="10" t="str">
        <x:v>environmental boundary</x:v>
      </x:c>
      <x:c r="J39" s="10" t="str">
        <x:v>background and post-event sample set</x:v>
      </x:c>
      <x:c r="K39" s="7" t="str"/>
      <x:c r="L39" s="7" t="str">
        <x:v>OPEN</x:v>
      </x:c>
    </x:row>
    <x:row r="40" ht="40" customHeight="1">
      <x:c r="B40" s="7" t="str">
        <x:v>RAE-E-03-EV-10</x:v>
      </x:c>
      <x:c r="C40" s="7" t="str">
        <x:v>RAE-E-03</x:v>
      </x:c>
      <x:c r="D40" s="7" t="str">
        <x:v>RFP-A1</x:v>
      </x:c>
      <x:c r="E40" s="7" t="str">
        <x:v>AM-05</x:v>
      </x:c>
      <x:c r="F40" s="7" t="str">
        <x:v>TR-B</x:v>
      </x:c>
      <x:c r="G40" s="7" t="str">
        <x:v>QE-01</x:v>
      </x:c>
      <x:c r="H40" s="7" t="str">
        <x:v>EV-10</x:v>
      </x:c>
      <x:c r="I40" s="10" t="str">
        <x:v>neighbor state</x:v>
      </x:c>
      <x:c r="J40" s="10" t="str">
        <x:v>three independent inert-state records</x:v>
      </x:c>
      <x:c r="K40" s="7" t="str"/>
      <x:c r="L40" s="7" t="str">
        <x:v>OPEN</x:v>
      </x:c>
    </x:row>
    <x:row r="41" ht="40" customHeight="1">
      <x:c r="B41" s="7" t="str">
        <x:v>RAE-E-03-EV-11</x:v>
      </x:c>
      <x:c r="C41" s="7" t="str">
        <x:v>RAE-E-03</x:v>
      </x:c>
      <x:c r="D41" s="7" t="str">
        <x:v>RFP-A1</x:v>
      </x:c>
      <x:c r="E41" s="7" t="str">
        <x:v>AM-05</x:v>
      </x:c>
      <x:c r="F41" s="7" t="str">
        <x:v>TR-B</x:v>
      </x:c>
      <x:c r="G41" s="7" t="str">
        <x:v>QE-01</x:v>
      </x:c>
      <x:c r="H41" s="7" t="str">
        <x:v>EV-11</x:v>
      </x:c>
      <x:c r="I41" s="10" t="str">
        <x:v>intervention state</x:v>
      </x:c>
      <x:c r="J41" s="10" t="str">
        <x:v>human, automatic and rescue actions</x:v>
      </x:c>
      <x:c r="K41" s="7" t="str"/>
      <x:c r="L41" s="7" t="str">
        <x:v>OPEN</x:v>
      </x:c>
    </x:row>
    <x:row r="42" ht="40" customHeight="1">
      <x:c r="B42" s="7" t="str">
        <x:v>RAE-E-03-EV-12</x:v>
      </x:c>
      <x:c r="C42" s="7" t="str">
        <x:v>RAE-E-03</x:v>
      </x:c>
      <x:c r="D42" s="7" t="str">
        <x:v>RFP-A1</x:v>
      </x:c>
      <x:c r="E42" s="7" t="str">
        <x:v>AM-05</x:v>
      </x:c>
      <x:c r="F42" s="7" t="str">
        <x:v>TR-B</x:v>
      </x:c>
      <x:c r="G42" s="7" t="str">
        <x:v>QE-01</x:v>
      </x:c>
      <x:c r="H42" s="7" t="str">
        <x:v>EV-12</x:v>
      </x:c>
      <x:c r="I42" s="10" t="str">
        <x:v>validity packet</x:v>
      </x:c>
      <x:c r="J42" s="10" t="str">
        <x:v>native hashes, causal map and board disposition</x:v>
      </x:c>
      <x:c r="K42" s="7" t="str"/>
      <x:c r="L42" s="7" t="str">
        <x:v>OPEN</x:v>
      </x:c>
    </x:row>
    <x:row r="43" ht="40" customHeight="1">
      <x:c r="B43" s="7" t="str">
        <x:v>RAE-E-04-EV-01</x:v>
      </x:c>
      <x:c r="C43" s="7" t="str">
        <x:v>RAE-E-04</x:v>
      </x:c>
      <x:c r="D43" s="7" t="str">
        <x:v>RFP-A1</x:v>
      </x:c>
      <x:c r="E43" s="7" t="str">
        <x:v>AM-05</x:v>
      </x:c>
      <x:c r="F43" s="7" t="str">
        <x:v>TR-B</x:v>
      </x:c>
      <x:c r="G43" s="7" t="str">
        <x:v>QE-02</x:v>
      </x:c>
      <x:c r="H43" s="7" t="str">
        <x:v>EV-01</x:v>
      </x:c>
      <x:c r="I43" s="10" t="str">
        <x:v>registered event baseline</x:v>
      </x:c>
      <x:c r="J43" s="10" t="str">
        <x:v>configuration master plus event register</x:v>
      </x:c>
      <x:c r="K43" s="7" t="str"/>
      <x:c r="L43" s="7" t="str">
        <x:v>OPEN</x:v>
      </x:c>
    </x:row>
    <x:row r="44" ht="40" customHeight="1">
      <x:c r="B44" s="7" t="str">
        <x:v>RAE-E-04-EV-02</x:v>
      </x:c>
      <x:c r="C44" s="7" t="str">
        <x:v>RAE-E-04</x:v>
      </x:c>
      <x:c r="D44" s="7" t="str">
        <x:v>RFP-A1</x:v>
      </x:c>
      <x:c r="E44" s="7" t="str">
        <x:v>AM-05</x:v>
      </x:c>
      <x:c r="F44" s="7" t="str">
        <x:v>TR-B</x:v>
      </x:c>
      <x:c r="G44" s="7" t="str">
        <x:v>QE-02</x:v>
      </x:c>
      <x:c r="H44" s="7" t="str">
        <x:v>EV-02</x:v>
      </x:c>
      <x:c r="I44" s="10" t="str">
        <x:v>source command and mass</x:v>
      </x:c>
      <x:c r="J44" s="10" t="str">
        <x:v>native command, load cells and custody ledger</x:v>
      </x:c>
      <x:c r="K44" s="7" t="str"/>
      <x:c r="L44" s="7" t="str">
        <x:v>OPEN</x:v>
      </x:c>
    </x:row>
    <x:row r="45" ht="40" customHeight="1">
      <x:c r="B45" s="7" t="str">
        <x:v>RAE-E-04-EV-03</x:v>
      </x:c>
      <x:c r="C45" s="7" t="str">
        <x:v>RAE-E-04</x:v>
      </x:c>
      <x:c r="D45" s="7" t="str">
        <x:v>RFP-A1</x:v>
      </x:c>
      <x:c r="E45" s="7" t="str">
        <x:v>AM-05</x:v>
      </x:c>
      <x:c r="F45" s="7" t="str">
        <x:v>TR-B</x:v>
      </x:c>
      <x:c r="G45" s="7" t="str">
        <x:v>QE-02</x:v>
      </x:c>
      <x:c r="H45" s="7" t="str">
        <x:v>EV-03</x:v>
      </x:c>
      <x:c r="I45" s="10" t="str">
        <x:v>final control states</x:v>
      </x:c>
      <x:c r="J45" s="10" t="str">
        <x:v>direct element sensors plus local latch</x:v>
      </x:c>
      <x:c r="K45" s="7" t="str"/>
      <x:c r="L45" s="7" t="str">
        <x:v>OPEN</x:v>
      </x:c>
    </x:row>
    <x:row r="46" ht="40" customHeight="1">
      <x:c r="B46" s="7" t="str">
        <x:v>RAE-E-04-EV-04</x:v>
      </x:c>
      <x:c r="C46" s="7" t="str">
        <x:v>RAE-E-04</x:v>
      </x:c>
      <x:c r="D46" s="7" t="str">
        <x:v>RFP-A1</x:v>
      </x:c>
      <x:c r="E46" s="7" t="str">
        <x:v>AM-05</x:v>
      </x:c>
      <x:c r="F46" s="7" t="str">
        <x:v>TR-B</x:v>
      </x:c>
      <x:c r="G46" s="7" t="str">
        <x:v>QE-02</x:v>
      </x:c>
      <x:c r="H46" s="7" t="str">
        <x:v>EV-04</x:v>
      </x:c>
      <x:c r="I46" s="10" t="str">
        <x:v>path action times</x:v>
      </x:c>
      <x:c r="J46" s="10" t="str">
        <x:v>common-epoch trigger and state transitions</x:v>
      </x:c>
      <x:c r="K46" s="7" t="str"/>
      <x:c r="L46" s="7" t="str">
        <x:v>OPEN</x:v>
      </x:c>
    </x:row>
    <x:row r="47" ht="40" customHeight="1">
      <x:c r="B47" s="7" t="str">
        <x:v>RAE-E-04-EV-05</x:v>
      </x:c>
      <x:c r="C47" s="7" t="str">
        <x:v>RAE-E-04</x:v>
      </x:c>
      <x:c r="D47" s="7" t="str">
        <x:v>RFP-A1</x:v>
      </x:c>
      <x:c r="E47" s="7" t="str">
        <x:v>AM-05</x:v>
      </x:c>
      <x:c r="F47" s="7" t="str">
        <x:v>TR-B</x:v>
      </x:c>
      <x:c r="G47" s="7" t="str">
        <x:v>QE-02</x:v>
      </x:c>
      <x:c r="H47" s="7" t="str">
        <x:v>EV-05</x:v>
      </x:c>
      <x:c r="I47" s="10" t="str">
        <x:v>receiver inventories</x:v>
      </x:c>
      <x:c r="J47" s="10" t="str">
        <x:v>before, peak and after volume measurements</x:v>
      </x:c>
      <x:c r="K47" s="7" t="str"/>
      <x:c r="L47" s="7" t="str">
        <x:v>OPEN</x:v>
      </x:c>
    </x:row>
    <x:row r="48" ht="40" customHeight="1">
      <x:c r="B48" s="7" t="str">
        <x:v>RAE-E-04-EV-06</x:v>
      </x:c>
      <x:c r="C48" s="7" t="str">
        <x:v>RAE-E-04</x:v>
      </x:c>
      <x:c r="D48" s="7" t="str">
        <x:v>RFP-A1</x:v>
      </x:c>
      <x:c r="E48" s="7" t="str">
        <x:v>AM-05</x:v>
      </x:c>
      <x:c r="F48" s="7" t="str">
        <x:v>TR-B</x:v>
      </x:c>
      <x:c r="G48" s="7" t="str">
        <x:v>QE-02</x:v>
      </x:c>
      <x:c r="H48" s="7" t="str">
        <x:v>EV-06</x:v>
      </x:c>
      <x:c r="I48" s="10" t="str">
        <x:v>thermal field</x:v>
      </x:c>
      <x:c r="J48" s="10" t="str">
        <x:v>radiometry, heat flux and local weather</x:v>
      </x:c>
      <x:c r="K48" s="7" t="str"/>
      <x:c r="L48" s="7" t="str">
        <x:v>OPEN</x:v>
      </x:c>
    </x:row>
    <x:row r="49" ht="40" customHeight="1">
      <x:c r="B49" s="7" t="str">
        <x:v>RAE-E-04-EV-07</x:v>
      </x:c>
      <x:c r="C49" s="7" t="str">
        <x:v>RAE-E-04</x:v>
      </x:c>
      <x:c r="D49" s="7" t="str">
        <x:v>RFP-A1</x:v>
      </x:c>
      <x:c r="E49" s="7" t="str">
        <x:v>AM-05</x:v>
      </x:c>
      <x:c r="F49" s="7" t="str">
        <x:v>TR-B</x:v>
      </x:c>
      <x:c r="G49" s="7" t="str">
        <x:v>QE-02</x:v>
      </x:c>
      <x:c r="H49" s="7" t="str">
        <x:v>EV-07</x:v>
      </x:c>
      <x:c r="I49" s="10" t="str">
        <x:v>water state</x:v>
      </x:c>
      <x:c r="J49" s="10" t="str">
        <x:v>flow, rain, quench, foam and rinse separation</x:v>
      </x:c>
      <x:c r="K49" s="7" t="str"/>
      <x:c r="L49" s="7" t="str">
        <x:v>OPEN</x:v>
      </x:c>
    </x:row>
    <x:row r="50" ht="40" customHeight="1">
      <x:c r="B50" s="7" t="str">
        <x:v>RAE-E-04-EV-08</x:v>
      </x:c>
      <x:c r="C50" s="7" t="str">
        <x:v>RAE-E-04</x:v>
      </x:c>
      <x:c r="D50" s="7" t="str">
        <x:v>RFP-A1</x:v>
      </x:c>
      <x:c r="E50" s="7" t="str">
        <x:v>AM-05</x:v>
      </x:c>
      <x:c r="F50" s="7" t="str">
        <x:v>TR-B</x:v>
      </x:c>
      <x:c r="G50" s="7" t="str">
        <x:v>QE-02</x:v>
      </x:c>
      <x:c r="H50" s="7" t="str">
        <x:v>EV-08</x:v>
      </x:c>
      <x:c r="I50" s="10" t="str">
        <x:v>ancestry</x:v>
      </x:c>
      <x:c r="J50" s="10" t="str">
        <x:v>source and water root recovery plus cross-talk</x:v>
      </x:c>
      <x:c r="K50" s="7" t="str"/>
      <x:c r="L50" s="7" t="str">
        <x:v>OPEN</x:v>
      </x:c>
    </x:row>
    <x:row r="51" ht="40" customHeight="1">
      <x:c r="B51" s="7" t="str">
        <x:v>RAE-E-04-EV-09</x:v>
      </x:c>
      <x:c r="C51" s="7" t="str">
        <x:v>RAE-E-04</x:v>
      </x:c>
      <x:c r="D51" s="7" t="str">
        <x:v>RFP-A1</x:v>
      </x:c>
      <x:c r="E51" s="7" t="str">
        <x:v>AM-05</x:v>
      </x:c>
      <x:c r="F51" s="7" t="str">
        <x:v>TR-B</x:v>
      </x:c>
      <x:c r="G51" s="7" t="str">
        <x:v>QE-02</x:v>
      </x:c>
      <x:c r="H51" s="7" t="str">
        <x:v>EV-09</x:v>
      </x:c>
      <x:c r="I51" s="10" t="str">
        <x:v>environmental boundary</x:v>
      </x:c>
      <x:c r="J51" s="10" t="str">
        <x:v>background and post-event sample set</x:v>
      </x:c>
      <x:c r="K51" s="7" t="str"/>
      <x:c r="L51" s="7" t="str">
        <x:v>OPEN</x:v>
      </x:c>
    </x:row>
    <x:row r="52" ht="40" customHeight="1">
      <x:c r="B52" s="7" t="str">
        <x:v>RAE-E-04-EV-10</x:v>
      </x:c>
      <x:c r="C52" s="7" t="str">
        <x:v>RAE-E-04</x:v>
      </x:c>
      <x:c r="D52" s="7" t="str">
        <x:v>RFP-A1</x:v>
      </x:c>
      <x:c r="E52" s="7" t="str">
        <x:v>AM-05</x:v>
      </x:c>
      <x:c r="F52" s="7" t="str">
        <x:v>TR-B</x:v>
      </x:c>
      <x:c r="G52" s="7" t="str">
        <x:v>QE-02</x:v>
      </x:c>
      <x:c r="H52" s="7" t="str">
        <x:v>EV-10</x:v>
      </x:c>
      <x:c r="I52" s="10" t="str">
        <x:v>neighbor state</x:v>
      </x:c>
      <x:c r="J52" s="10" t="str">
        <x:v>three independent inert-state records</x:v>
      </x:c>
      <x:c r="K52" s="7" t="str"/>
      <x:c r="L52" s="7" t="str">
        <x:v>OPEN</x:v>
      </x:c>
    </x:row>
    <x:row r="53" ht="40" customHeight="1">
      <x:c r="B53" s="7" t="str">
        <x:v>RAE-E-04-EV-11</x:v>
      </x:c>
      <x:c r="C53" s="7" t="str">
        <x:v>RAE-E-04</x:v>
      </x:c>
      <x:c r="D53" s="7" t="str">
        <x:v>RFP-A1</x:v>
      </x:c>
      <x:c r="E53" s="7" t="str">
        <x:v>AM-05</x:v>
      </x:c>
      <x:c r="F53" s="7" t="str">
        <x:v>TR-B</x:v>
      </x:c>
      <x:c r="G53" s="7" t="str">
        <x:v>QE-02</x:v>
      </x:c>
      <x:c r="H53" s="7" t="str">
        <x:v>EV-11</x:v>
      </x:c>
      <x:c r="I53" s="10" t="str">
        <x:v>intervention state</x:v>
      </x:c>
      <x:c r="J53" s="10" t="str">
        <x:v>human, automatic and rescue actions</x:v>
      </x:c>
      <x:c r="K53" s="7" t="str"/>
      <x:c r="L53" s="7" t="str">
        <x:v>OPEN</x:v>
      </x:c>
    </x:row>
    <x:row r="54" ht="40" customHeight="1">
      <x:c r="B54" s="7" t="str">
        <x:v>RAE-E-04-EV-12</x:v>
      </x:c>
      <x:c r="C54" s="7" t="str">
        <x:v>RAE-E-04</x:v>
      </x:c>
      <x:c r="D54" s="7" t="str">
        <x:v>RFP-A1</x:v>
      </x:c>
      <x:c r="E54" s="7" t="str">
        <x:v>AM-05</x:v>
      </x:c>
      <x:c r="F54" s="7" t="str">
        <x:v>TR-B</x:v>
      </x:c>
      <x:c r="G54" s="7" t="str">
        <x:v>QE-02</x:v>
      </x:c>
      <x:c r="H54" s="7" t="str">
        <x:v>EV-12</x:v>
      </x:c>
      <x:c r="I54" s="10" t="str">
        <x:v>validity packet</x:v>
      </x:c>
      <x:c r="J54" s="10" t="str">
        <x:v>native hashes, causal map and board disposition</x:v>
      </x:c>
      <x:c r="K54" s="7" t="str"/>
      <x:c r="L54" s="7" t="str">
        <x:v>OPEN</x:v>
      </x:c>
    </x:row>
    <x:row r="55" ht="40" customHeight="1">
      <x:c r="B55" s="7" t="str">
        <x:v>RAE-E-05-EV-01</x:v>
      </x:c>
      <x:c r="C55" s="7" t="str">
        <x:v>RAE-E-05</x:v>
      </x:c>
      <x:c r="D55" s="7" t="str">
        <x:v>RFP-A1</x:v>
      </x:c>
      <x:c r="E55" s="7" t="str">
        <x:v>AM-06</x:v>
      </x:c>
      <x:c r="F55" s="7" t="str">
        <x:v>TR-A</x:v>
      </x:c>
      <x:c r="G55" s="7" t="str">
        <x:v>QE-01</x:v>
      </x:c>
      <x:c r="H55" s="7" t="str">
        <x:v>EV-01</x:v>
      </x:c>
      <x:c r="I55" s="10" t="str">
        <x:v>registered event baseline</x:v>
      </x:c>
      <x:c r="J55" s="10" t="str">
        <x:v>configuration master plus event register</x:v>
      </x:c>
      <x:c r="K55" s="7" t="str"/>
      <x:c r="L55" s="7" t="str">
        <x:v>OPEN</x:v>
      </x:c>
    </x:row>
    <x:row r="56" ht="40" customHeight="1">
      <x:c r="B56" s="7" t="str">
        <x:v>RAE-E-05-EV-02</x:v>
      </x:c>
      <x:c r="C56" s="7" t="str">
        <x:v>RAE-E-05</x:v>
      </x:c>
      <x:c r="D56" s="7" t="str">
        <x:v>RFP-A1</x:v>
      </x:c>
      <x:c r="E56" s="7" t="str">
        <x:v>AM-06</x:v>
      </x:c>
      <x:c r="F56" s="7" t="str">
        <x:v>TR-A</x:v>
      </x:c>
      <x:c r="G56" s="7" t="str">
        <x:v>QE-01</x:v>
      </x:c>
      <x:c r="H56" s="7" t="str">
        <x:v>EV-02</x:v>
      </x:c>
      <x:c r="I56" s="10" t="str">
        <x:v>source command and mass</x:v>
      </x:c>
      <x:c r="J56" s="10" t="str">
        <x:v>native command, load cells and custody ledger</x:v>
      </x:c>
      <x:c r="K56" s="7" t="str"/>
      <x:c r="L56" s="7" t="str">
        <x:v>OPEN</x:v>
      </x:c>
    </x:row>
    <x:row r="57" ht="40" customHeight="1">
      <x:c r="B57" s="7" t="str">
        <x:v>RAE-E-05-EV-03</x:v>
      </x:c>
      <x:c r="C57" s="7" t="str">
        <x:v>RAE-E-05</x:v>
      </x:c>
      <x:c r="D57" s="7" t="str">
        <x:v>RFP-A1</x:v>
      </x:c>
      <x:c r="E57" s="7" t="str">
        <x:v>AM-06</x:v>
      </x:c>
      <x:c r="F57" s="7" t="str">
        <x:v>TR-A</x:v>
      </x:c>
      <x:c r="G57" s="7" t="str">
        <x:v>QE-01</x:v>
      </x:c>
      <x:c r="H57" s="7" t="str">
        <x:v>EV-03</x:v>
      </x:c>
      <x:c r="I57" s="10" t="str">
        <x:v>final control states</x:v>
      </x:c>
      <x:c r="J57" s="10" t="str">
        <x:v>direct element sensors plus local latch</x:v>
      </x:c>
      <x:c r="K57" s="7" t="str"/>
      <x:c r="L57" s="7" t="str">
        <x:v>OPEN</x:v>
      </x:c>
    </x:row>
    <x:row r="58" ht="40" customHeight="1">
      <x:c r="B58" s="7" t="str">
        <x:v>RAE-E-05-EV-04</x:v>
      </x:c>
      <x:c r="C58" s="7" t="str">
        <x:v>RAE-E-05</x:v>
      </x:c>
      <x:c r="D58" s="7" t="str">
        <x:v>RFP-A1</x:v>
      </x:c>
      <x:c r="E58" s="7" t="str">
        <x:v>AM-06</x:v>
      </x:c>
      <x:c r="F58" s="7" t="str">
        <x:v>TR-A</x:v>
      </x:c>
      <x:c r="G58" s="7" t="str">
        <x:v>QE-01</x:v>
      </x:c>
      <x:c r="H58" s="7" t="str">
        <x:v>EV-04</x:v>
      </x:c>
      <x:c r="I58" s="10" t="str">
        <x:v>path action times</x:v>
      </x:c>
      <x:c r="J58" s="10" t="str">
        <x:v>common-epoch trigger and state transitions</x:v>
      </x:c>
      <x:c r="K58" s="7" t="str"/>
      <x:c r="L58" s="7" t="str">
        <x:v>OPEN</x:v>
      </x:c>
    </x:row>
    <x:row r="59" ht="40" customHeight="1">
      <x:c r="B59" s="7" t="str">
        <x:v>RAE-E-05-EV-05</x:v>
      </x:c>
      <x:c r="C59" s="7" t="str">
        <x:v>RAE-E-05</x:v>
      </x:c>
      <x:c r="D59" s="7" t="str">
        <x:v>RFP-A1</x:v>
      </x:c>
      <x:c r="E59" s="7" t="str">
        <x:v>AM-06</x:v>
      </x:c>
      <x:c r="F59" s="7" t="str">
        <x:v>TR-A</x:v>
      </x:c>
      <x:c r="G59" s="7" t="str">
        <x:v>QE-01</x:v>
      </x:c>
      <x:c r="H59" s="7" t="str">
        <x:v>EV-05</x:v>
      </x:c>
      <x:c r="I59" s="10" t="str">
        <x:v>receiver inventories</x:v>
      </x:c>
      <x:c r="J59" s="10" t="str">
        <x:v>before, peak and after volume measurements</x:v>
      </x:c>
      <x:c r="K59" s="7" t="str"/>
      <x:c r="L59" s="7" t="str">
        <x:v>OPEN</x:v>
      </x:c>
    </x:row>
    <x:row r="60" ht="40" customHeight="1">
      <x:c r="B60" s="7" t="str">
        <x:v>RAE-E-05-EV-06</x:v>
      </x:c>
      <x:c r="C60" s="7" t="str">
        <x:v>RAE-E-05</x:v>
      </x:c>
      <x:c r="D60" s="7" t="str">
        <x:v>RFP-A1</x:v>
      </x:c>
      <x:c r="E60" s="7" t="str">
        <x:v>AM-06</x:v>
      </x:c>
      <x:c r="F60" s="7" t="str">
        <x:v>TR-A</x:v>
      </x:c>
      <x:c r="G60" s="7" t="str">
        <x:v>QE-01</x:v>
      </x:c>
      <x:c r="H60" s="7" t="str">
        <x:v>EV-06</x:v>
      </x:c>
      <x:c r="I60" s="10" t="str">
        <x:v>thermal field</x:v>
      </x:c>
      <x:c r="J60" s="10" t="str">
        <x:v>radiometry, heat flux and local weather</x:v>
      </x:c>
      <x:c r="K60" s="7" t="str"/>
      <x:c r="L60" s="7" t="str">
        <x:v>OPEN</x:v>
      </x:c>
    </x:row>
    <x:row r="61" ht="40" customHeight="1">
      <x:c r="B61" s="7" t="str">
        <x:v>RAE-E-05-EV-07</x:v>
      </x:c>
      <x:c r="C61" s="7" t="str">
        <x:v>RAE-E-05</x:v>
      </x:c>
      <x:c r="D61" s="7" t="str">
        <x:v>RFP-A1</x:v>
      </x:c>
      <x:c r="E61" s="7" t="str">
        <x:v>AM-06</x:v>
      </x:c>
      <x:c r="F61" s="7" t="str">
        <x:v>TR-A</x:v>
      </x:c>
      <x:c r="G61" s="7" t="str">
        <x:v>QE-01</x:v>
      </x:c>
      <x:c r="H61" s="7" t="str">
        <x:v>EV-07</x:v>
      </x:c>
      <x:c r="I61" s="10" t="str">
        <x:v>water state</x:v>
      </x:c>
      <x:c r="J61" s="10" t="str">
        <x:v>flow, rain, quench, foam and rinse separation</x:v>
      </x:c>
      <x:c r="K61" s="7" t="str"/>
      <x:c r="L61" s="7" t="str">
        <x:v>OPEN</x:v>
      </x:c>
    </x:row>
    <x:row r="62" ht="40" customHeight="1">
      <x:c r="B62" s="7" t="str">
        <x:v>RAE-E-05-EV-08</x:v>
      </x:c>
      <x:c r="C62" s="7" t="str">
        <x:v>RAE-E-05</x:v>
      </x:c>
      <x:c r="D62" s="7" t="str">
        <x:v>RFP-A1</x:v>
      </x:c>
      <x:c r="E62" s="7" t="str">
        <x:v>AM-06</x:v>
      </x:c>
      <x:c r="F62" s="7" t="str">
        <x:v>TR-A</x:v>
      </x:c>
      <x:c r="G62" s="7" t="str">
        <x:v>QE-01</x:v>
      </x:c>
      <x:c r="H62" s="7" t="str">
        <x:v>EV-08</x:v>
      </x:c>
      <x:c r="I62" s="10" t="str">
        <x:v>ancestry</x:v>
      </x:c>
      <x:c r="J62" s="10" t="str">
        <x:v>source and water root recovery plus cross-talk</x:v>
      </x:c>
      <x:c r="K62" s="7" t="str"/>
      <x:c r="L62" s="7" t="str">
        <x:v>OPEN</x:v>
      </x:c>
    </x:row>
    <x:row r="63" ht="40" customHeight="1">
      <x:c r="B63" s="7" t="str">
        <x:v>RAE-E-05-EV-09</x:v>
      </x:c>
      <x:c r="C63" s="7" t="str">
        <x:v>RAE-E-05</x:v>
      </x:c>
      <x:c r="D63" s="7" t="str">
        <x:v>RFP-A1</x:v>
      </x:c>
      <x:c r="E63" s="7" t="str">
        <x:v>AM-06</x:v>
      </x:c>
      <x:c r="F63" s="7" t="str">
        <x:v>TR-A</x:v>
      </x:c>
      <x:c r="G63" s="7" t="str">
        <x:v>QE-01</x:v>
      </x:c>
      <x:c r="H63" s="7" t="str">
        <x:v>EV-09</x:v>
      </x:c>
      <x:c r="I63" s="10" t="str">
        <x:v>environmental boundary</x:v>
      </x:c>
      <x:c r="J63" s="10" t="str">
        <x:v>background and post-event sample set</x:v>
      </x:c>
      <x:c r="K63" s="7" t="str"/>
      <x:c r="L63" s="7" t="str">
        <x:v>OPEN</x:v>
      </x:c>
    </x:row>
    <x:row r="64" ht="40" customHeight="1">
      <x:c r="B64" s="7" t="str">
        <x:v>RAE-E-05-EV-10</x:v>
      </x:c>
      <x:c r="C64" s="7" t="str">
        <x:v>RAE-E-05</x:v>
      </x:c>
      <x:c r="D64" s="7" t="str">
        <x:v>RFP-A1</x:v>
      </x:c>
      <x:c r="E64" s="7" t="str">
        <x:v>AM-06</x:v>
      </x:c>
      <x:c r="F64" s="7" t="str">
        <x:v>TR-A</x:v>
      </x:c>
      <x:c r="G64" s="7" t="str">
        <x:v>QE-01</x:v>
      </x:c>
      <x:c r="H64" s="7" t="str">
        <x:v>EV-10</x:v>
      </x:c>
      <x:c r="I64" s="10" t="str">
        <x:v>neighbor state</x:v>
      </x:c>
      <x:c r="J64" s="10" t="str">
        <x:v>three independent inert-state records</x:v>
      </x:c>
      <x:c r="K64" s="7" t="str"/>
      <x:c r="L64" s="7" t="str">
        <x:v>OPEN</x:v>
      </x:c>
    </x:row>
    <x:row r="65" ht="40" customHeight="1">
      <x:c r="B65" s="7" t="str">
        <x:v>RAE-E-05-EV-11</x:v>
      </x:c>
      <x:c r="C65" s="7" t="str">
        <x:v>RAE-E-05</x:v>
      </x:c>
      <x:c r="D65" s="7" t="str">
        <x:v>RFP-A1</x:v>
      </x:c>
      <x:c r="E65" s="7" t="str">
        <x:v>AM-06</x:v>
      </x:c>
      <x:c r="F65" s="7" t="str">
        <x:v>TR-A</x:v>
      </x:c>
      <x:c r="G65" s="7" t="str">
        <x:v>QE-01</x:v>
      </x:c>
      <x:c r="H65" s="7" t="str">
        <x:v>EV-11</x:v>
      </x:c>
      <x:c r="I65" s="10" t="str">
        <x:v>intervention state</x:v>
      </x:c>
      <x:c r="J65" s="10" t="str">
        <x:v>human, automatic and rescue actions</x:v>
      </x:c>
      <x:c r="K65" s="7" t="str"/>
      <x:c r="L65" s="7" t="str">
        <x:v>OPEN</x:v>
      </x:c>
    </x:row>
    <x:row r="66" ht="40" customHeight="1">
      <x:c r="B66" s="7" t="str">
        <x:v>RAE-E-05-EV-12</x:v>
      </x:c>
      <x:c r="C66" s="7" t="str">
        <x:v>RAE-E-05</x:v>
      </x:c>
      <x:c r="D66" s="7" t="str">
        <x:v>RFP-A1</x:v>
      </x:c>
      <x:c r="E66" s="7" t="str">
        <x:v>AM-06</x:v>
      </x:c>
      <x:c r="F66" s="7" t="str">
        <x:v>TR-A</x:v>
      </x:c>
      <x:c r="G66" s="7" t="str">
        <x:v>QE-01</x:v>
      </x:c>
      <x:c r="H66" s="7" t="str">
        <x:v>EV-12</x:v>
      </x:c>
      <x:c r="I66" s="10" t="str">
        <x:v>validity packet</x:v>
      </x:c>
      <x:c r="J66" s="10" t="str">
        <x:v>native hashes, causal map and board disposition</x:v>
      </x:c>
      <x:c r="K66" s="7" t="str"/>
      <x:c r="L66" s="7" t="str">
        <x:v>OPEN</x:v>
      </x:c>
    </x:row>
    <x:row r="67" ht="40" customHeight="1">
      <x:c r="B67" s="7" t="str">
        <x:v>RAE-E-06-EV-01</x:v>
      </x:c>
      <x:c r="C67" s="7" t="str">
        <x:v>RAE-E-06</x:v>
      </x:c>
      <x:c r="D67" s="7" t="str">
        <x:v>RFP-A1</x:v>
      </x:c>
      <x:c r="E67" s="7" t="str">
        <x:v>AM-06</x:v>
      </x:c>
      <x:c r="F67" s="7" t="str">
        <x:v>TR-A</x:v>
      </x:c>
      <x:c r="G67" s="7" t="str">
        <x:v>QE-02</x:v>
      </x:c>
      <x:c r="H67" s="7" t="str">
        <x:v>EV-01</x:v>
      </x:c>
      <x:c r="I67" s="10" t="str">
        <x:v>registered event baseline</x:v>
      </x:c>
      <x:c r="J67" s="10" t="str">
        <x:v>configuration master plus event register</x:v>
      </x:c>
      <x:c r="K67" s="7" t="str"/>
      <x:c r="L67" s="7" t="str">
        <x:v>OPEN</x:v>
      </x:c>
    </x:row>
    <x:row r="68" ht="40" customHeight="1">
      <x:c r="B68" s="7" t="str">
        <x:v>RAE-E-06-EV-02</x:v>
      </x:c>
      <x:c r="C68" s="7" t="str">
        <x:v>RAE-E-06</x:v>
      </x:c>
      <x:c r="D68" s="7" t="str">
        <x:v>RFP-A1</x:v>
      </x:c>
      <x:c r="E68" s="7" t="str">
        <x:v>AM-06</x:v>
      </x:c>
      <x:c r="F68" s="7" t="str">
        <x:v>TR-A</x:v>
      </x:c>
      <x:c r="G68" s="7" t="str">
        <x:v>QE-02</x:v>
      </x:c>
      <x:c r="H68" s="7" t="str">
        <x:v>EV-02</x:v>
      </x:c>
      <x:c r="I68" s="10" t="str">
        <x:v>source command and mass</x:v>
      </x:c>
      <x:c r="J68" s="10" t="str">
        <x:v>native command, load cells and custody ledger</x:v>
      </x:c>
      <x:c r="K68" s="7" t="str"/>
      <x:c r="L68" s="7" t="str">
        <x:v>OPEN</x:v>
      </x:c>
    </x:row>
    <x:row r="69" ht="40" customHeight="1">
      <x:c r="B69" s="7" t="str">
        <x:v>RAE-E-06-EV-03</x:v>
      </x:c>
      <x:c r="C69" s="7" t="str">
        <x:v>RAE-E-06</x:v>
      </x:c>
      <x:c r="D69" s="7" t="str">
        <x:v>RFP-A1</x:v>
      </x:c>
      <x:c r="E69" s="7" t="str">
        <x:v>AM-06</x:v>
      </x:c>
      <x:c r="F69" s="7" t="str">
        <x:v>TR-A</x:v>
      </x:c>
      <x:c r="G69" s="7" t="str">
        <x:v>QE-02</x:v>
      </x:c>
      <x:c r="H69" s="7" t="str">
        <x:v>EV-03</x:v>
      </x:c>
      <x:c r="I69" s="10" t="str">
        <x:v>final control states</x:v>
      </x:c>
      <x:c r="J69" s="10" t="str">
        <x:v>direct element sensors plus local latch</x:v>
      </x:c>
      <x:c r="K69" s="7" t="str"/>
      <x:c r="L69" s="7" t="str">
        <x:v>OPEN</x:v>
      </x:c>
    </x:row>
    <x:row r="70" ht="40" customHeight="1">
      <x:c r="B70" s="7" t="str">
        <x:v>RAE-E-06-EV-04</x:v>
      </x:c>
      <x:c r="C70" s="7" t="str">
        <x:v>RAE-E-06</x:v>
      </x:c>
      <x:c r="D70" s="7" t="str">
        <x:v>RFP-A1</x:v>
      </x:c>
      <x:c r="E70" s="7" t="str">
        <x:v>AM-06</x:v>
      </x:c>
      <x:c r="F70" s="7" t="str">
        <x:v>TR-A</x:v>
      </x:c>
      <x:c r="G70" s="7" t="str">
        <x:v>QE-02</x:v>
      </x:c>
      <x:c r="H70" s="7" t="str">
        <x:v>EV-04</x:v>
      </x:c>
      <x:c r="I70" s="10" t="str">
        <x:v>path action times</x:v>
      </x:c>
      <x:c r="J70" s="10" t="str">
        <x:v>common-epoch trigger and state transitions</x:v>
      </x:c>
      <x:c r="K70" s="7" t="str"/>
      <x:c r="L70" s="7" t="str">
        <x:v>OPEN</x:v>
      </x:c>
    </x:row>
    <x:row r="71" ht="40" customHeight="1">
      <x:c r="B71" s="7" t="str">
        <x:v>RAE-E-06-EV-05</x:v>
      </x:c>
      <x:c r="C71" s="7" t="str">
        <x:v>RAE-E-06</x:v>
      </x:c>
      <x:c r="D71" s="7" t="str">
        <x:v>RFP-A1</x:v>
      </x:c>
      <x:c r="E71" s="7" t="str">
        <x:v>AM-06</x:v>
      </x:c>
      <x:c r="F71" s="7" t="str">
        <x:v>TR-A</x:v>
      </x:c>
      <x:c r="G71" s="7" t="str">
        <x:v>QE-02</x:v>
      </x:c>
      <x:c r="H71" s="7" t="str">
        <x:v>EV-05</x:v>
      </x:c>
      <x:c r="I71" s="10" t="str">
        <x:v>receiver inventories</x:v>
      </x:c>
      <x:c r="J71" s="10" t="str">
        <x:v>before, peak and after volume measurements</x:v>
      </x:c>
      <x:c r="K71" s="7" t="str"/>
      <x:c r="L71" s="7" t="str">
        <x:v>OPEN</x:v>
      </x:c>
    </x:row>
    <x:row r="72" ht="40" customHeight="1">
      <x:c r="B72" s="7" t="str">
        <x:v>RAE-E-06-EV-06</x:v>
      </x:c>
      <x:c r="C72" s="7" t="str">
        <x:v>RAE-E-06</x:v>
      </x:c>
      <x:c r="D72" s="7" t="str">
        <x:v>RFP-A1</x:v>
      </x:c>
      <x:c r="E72" s="7" t="str">
        <x:v>AM-06</x:v>
      </x:c>
      <x:c r="F72" s="7" t="str">
        <x:v>TR-A</x:v>
      </x:c>
      <x:c r="G72" s="7" t="str">
        <x:v>QE-02</x:v>
      </x:c>
      <x:c r="H72" s="7" t="str">
        <x:v>EV-06</x:v>
      </x:c>
      <x:c r="I72" s="10" t="str">
        <x:v>thermal field</x:v>
      </x:c>
      <x:c r="J72" s="10" t="str">
        <x:v>radiometry, heat flux and local weather</x:v>
      </x:c>
      <x:c r="K72" s="7" t="str"/>
      <x:c r="L72" s="7" t="str">
        <x:v>OPEN</x:v>
      </x:c>
    </x:row>
    <x:row r="73" ht="40" customHeight="1">
      <x:c r="B73" s="7" t="str">
        <x:v>RAE-E-06-EV-07</x:v>
      </x:c>
      <x:c r="C73" s="7" t="str">
        <x:v>RAE-E-06</x:v>
      </x:c>
      <x:c r="D73" s="7" t="str">
        <x:v>RFP-A1</x:v>
      </x:c>
      <x:c r="E73" s="7" t="str">
        <x:v>AM-06</x:v>
      </x:c>
      <x:c r="F73" s="7" t="str">
        <x:v>TR-A</x:v>
      </x:c>
      <x:c r="G73" s="7" t="str">
        <x:v>QE-02</x:v>
      </x:c>
      <x:c r="H73" s="7" t="str">
        <x:v>EV-07</x:v>
      </x:c>
      <x:c r="I73" s="10" t="str">
        <x:v>water state</x:v>
      </x:c>
      <x:c r="J73" s="10" t="str">
        <x:v>flow, rain, quench, foam and rinse separation</x:v>
      </x:c>
      <x:c r="K73" s="7" t="str"/>
      <x:c r="L73" s="7" t="str">
        <x:v>OPEN</x:v>
      </x:c>
    </x:row>
    <x:row r="74" ht="40" customHeight="1">
      <x:c r="B74" s="7" t="str">
        <x:v>RAE-E-06-EV-08</x:v>
      </x:c>
      <x:c r="C74" s="7" t="str">
        <x:v>RAE-E-06</x:v>
      </x:c>
      <x:c r="D74" s="7" t="str">
        <x:v>RFP-A1</x:v>
      </x:c>
      <x:c r="E74" s="7" t="str">
        <x:v>AM-06</x:v>
      </x:c>
      <x:c r="F74" s="7" t="str">
        <x:v>TR-A</x:v>
      </x:c>
      <x:c r="G74" s="7" t="str">
        <x:v>QE-02</x:v>
      </x:c>
      <x:c r="H74" s="7" t="str">
        <x:v>EV-08</x:v>
      </x:c>
      <x:c r="I74" s="10" t="str">
        <x:v>ancestry</x:v>
      </x:c>
      <x:c r="J74" s="10" t="str">
        <x:v>source and water root recovery plus cross-talk</x:v>
      </x:c>
      <x:c r="K74" s="7" t="str"/>
      <x:c r="L74" s="7" t="str">
        <x:v>OPEN</x:v>
      </x:c>
    </x:row>
    <x:row r="75" ht="40" customHeight="1">
      <x:c r="B75" s="7" t="str">
        <x:v>RAE-E-06-EV-09</x:v>
      </x:c>
      <x:c r="C75" s="7" t="str">
        <x:v>RAE-E-06</x:v>
      </x:c>
      <x:c r="D75" s="7" t="str">
        <x:v>RFP-A1</x:v>
      </x:c>
      <x:c r="E75" s="7" t="str">
        <x:v>AM-06</x:v>
      </x:c>
      <x:c r="F75" s="7" t="str">
        <x:v>TR-A</x:v>
      </x:c>
      <x:c r="G75" s="7" t="str">
        <x:v>QE-02</x:v>
      </x:c>
      <x:c r="H75" s="7" t="str">
        <x:v>EV-09</x:v>
      </x:c>
      <x:c r="I75" s="10" t="str">
        <x:v>environmental boundary</x:v>
      </x:c>
      <x:c r="J75" s="10" t="str">
        <x:v>background and post-event sample set</x:v>
      </x:c>
      <x:c r="K75" s="7" t="str"/>
      <x:c r="L75" s="7" t="str">
        <x:v>OPEN</x:v>
      </x:c>
    </x:row>
    <x:row r="76" ht="40" customHeight="1">
      <x:c r="B76" s="7" t="str">
        <x:v>RAE-E-06-EV-10</x:v>
      </x:c>
      <x:c r="C76" s="7" t="str">
        <x:v>RAE-E-06</x:v>
      </x:c>
      <x:c r="D76" s="7" t="str">
        <x:v>RFP-A1</x:v>
      </x:c>
      <x:c r="E76" s="7" t="str">
        <x:v>AM-06</x:v>
      </x:c>
      <x:c r="F76" s="7" t="str">
        <x:v>TR-A</x:v>
      </x:c>
      <x:c r="G76" s="7" t="str">
        <x:v>QE-02</x:v>
      </x:c>
      <x:c r="H76" s="7" t="str">
        <x:v>EV-10</x:v>
      </x:c>
      <x:c r="I76" s="10" t="str">
        <x:v>neighbor state</x:v>
      </x:c>
      <x:c r="J76" s="10" t="str">
        <x:v>three independent inert-state records</x:v>
      </x:c>
      <x:c r="K76" s="7" t="str"/>
      <x:c r="L76" s="7" t="str">
        <x:v>OPEN</x:v>
      </x:c>
    </x:row>
    <x:row r="77" ht="40" customHeight="1">
      <x:c r="B77" s="7" t="str">
        <x:v>RAE-E-06-EV-11</x:v>
      </x:c>
      <x:c r="C77" s="7" t="str">
        <x:v>RAE-E-06</x:v>
      </x:c>
      <x:c r="D77" s="7" t="str">
        <x:v>RFP-A1</x:v>
      </x:c>
      <x:c r="E77" s="7" t="str">
        <x:v>AM-06</x:v>
      </x:c>
      <x:c r="F77" s="7" t="str">
        <x:v>TR-A</x:v>
      </x:c>
      <x:c r="G77" s="7" t="str">
        <x:v>QE-02</x:v>
      </x:c>
      <x:c r="H77" s="7" t="str">
        <x:v>EV-11</x:v>
      </x:c>
      <x:c r="I77" s="10" t="str">
        <x:v>intervention state</x:v>
      </x:c>
      <x:c r="J77" s="10" t="str">
        <x:v>human, automatic and rescue actions</x:v>
      </x:c>
      <x:c r="K77" s="7" t="str"/>
      <x:c r="L77" s="7" t="str">
        <x:v>OPEN</x:v>
      </x:c>
    </x:row>
    <x:row r="78" ht="40" customHeight="1">
      <x:c r="B78" s="7" t="str">
        <x:v>RAE-E-06-EV-12</x:v>
      </x:c>
      <x:c r="C78" s="7" t="str">
        <x:v>RAE-E-06</x:v>
      </x:c>
      <x:c r="D78" s="7" t="str">
        <x:v>RFP-A1</x:v>
      </x:c>
      <x:c r="E78" s="7" t="str">
        <x:v>AM-06</x:v>
      </x:c>
      <x:c r="F78" s="7" t="str">
        <x:v>TR-A</x:v>
      </x:c>
      <x:c r="G78" s="7" t="str">
        <x:v>QE-02</x:v>
      </x:c>
      <x:c r="H78" s="7" t="str">
        <x:v>EV-12</x:v>
      </x:c>
      <x:c r="I78" s="10" t="str">
        <x:v>validity packet</x:v>
      </x:c>
      <x:c r="J78" s="10" t="str">
        <x:v>native hashes, causal map and board disposition</x:v>
      </x:c>
      <x:c r="K78" s="7" t="str"/>
      <x:c r="L78" s="7" t="str">
        <x:v>OPEN</x:v>
      </x:c>
    </x:row>
    <x:row r="79" ht="40" customHeight="1">
      <x:c r="B79" s="7" t="str">
        <x:v>RAE-E-07-EV-01</x:v>
      </x:c>
      <x:c r="C79" s="7" t="str">
        <x:v>RAE-E-07</x:v>
      </x:c>
      <x:c r="D79" s="7" t="str">
        <x:v>RFP-A1</x:v>
      </x:c>
      <x:c r="E79" s="7" t="str">
        <x:v>AM-06</x:v>
      </x:c>
      <x:c r="F79" s="7" t="str">
        <x:v>TR-B</x:v>
      </x:c>
      <x:c r="G79" s="7" t="str">
        <x:v>QE-01</x:v>
      </x:c>
      <x:c r="H79" s="7" t="str">
        <x:v>EV-01</x:v>
      </x:c>
      <x:c r="I79" s="10" t="str">
        <x:v>registered event baseline</x:v>
      </x:c>
      <x:c r="J79" s="10" t="str">
        <x:v>configuration master plus event register</x:v>
      </x:c>
      <x:c r="K79" s="7" t="str"/>
      <x:c r="L79" s="7" t="str">
        <x:v>OPEN</x:v>
      </x:c>
    </x:row>
    <x:row r="80" ht="40" customHeight="1">
      <x:c r="B80" s="7" t="str">
        <x:v>RAE-E-07-EV-02</x:v>
      </x:c>
      <x:c r="C80" s="7" t="str">
        <x:v>RAE-E-07</x:v>
      </x:c>
      <x:c r="D80" s="7" t="str">
        <x:v>RFP-A1</x:v>
      </x:c>
      <x:c r="E80" s="7" t="str">
        <x:v>AM-06</x:v>
      </x:c>
      <x:c r="F80" s="7" t="str">
        <x:v>TR-B</x:v>
      </x:c>
      <x:c r="G80" s="7" t="str">
        <x:v>QE-01</x:v>
      </x:c>
      <x:c r="H80" s="7" t="str">
        <x:v>EV-02</x:v>
      </x:c>
      <x:c r="I80" s="10" t="str">
        <x:v>source command and mass</x:v>
      </x:c>
      <x:c r="J80" s="10" t="str">
        <x:v>native command, load cells and custody ledger</x:v>
      </x:c>
      <x:c r="K80" s="7" t="str"/>
      <x:c r="L80" s="7" t="str">
        <x:v>OPEN</x:v>
      </x:c>
    </x:row>
    <x:row r="81" ht="40" customHeight="1">
      <x:c r="B81" s="7" t="str">
        <x:v>RAE-E-07-EV-03</x:v>
      </x:c>
      <x:c r="C81" s="7" t="str">
        <x:v>RAE-E-07</x:v>
      </x:c>
      <x:c r="D81" s="7" t="str">
        <x:v>RFP-A1</x:v>
      </x:c>
      <x:c r="E81" s="7" t="str">
        <x:v>AM-06</x:v>
      </x:c>
      <x:c r="F81" s="7" t="str">
        <x:v>TR-B</x:v>
      </x:c>
      <x:c r="G81" s="7" t="str">
        <x:v>QE-01</x:v>
      </x:c>
      <x:c r="H81" s="7" t="str">
        <x:v>EV-03</x:v>
      </x:c>
      <x:c r="I81" s="10" t="str">
        <x:v>final control states</x:v>
      </x:c>
      <x:c r="J81" s="10" t="str">
        <x:v>direct element sensors plus local latch</x:v>
      </x:c>
      <x:c r="K81" s="7" t="str"/>
      <x:c r="L81" s="7" t="str">
        <x:v>OPEN</x:v>
      </x:c>
    </x:row>
    <x:row r="82" ht="40" customHeight="1">
      <x:c r="B82" s="7" t="str">
        <x:v>RAE-E-07-EV-04</x:v>
      </x:c>
      <x:c r="C82" s="7" t="str">
        <x:v>RAE-E-07</x:v>
      </x:c>
      <x:c r="D82" s="7" t="str">
        <x:v>RFP-A1</x:v>
      </x:c>
      <x:c r="E82" s="7" t="str">
        <x:v>AM-06</x:v>
      </x:c>
      <x:c r="F82" s="7" t="str">
        <x:v>TR-B</x:v>
      </x:c>
      <x:c r="G82" s="7" t="str">
        <x:v>QE-01</x:v>
      </x:c>
      <x:c r="H82" s="7" t="str">
        <x:v>EV-04</x:v>
      </x:c>
      <x:c r="I82" s="10" t="str">
        <x:v>path action times</x:v>
      </x:c>
      <x:c r="J82" s="10" t="str">
        <x:v>common-epoch trigger and state transitions</x:v>
      </x:c>
      <x:c r="K82" s="7" t="str"/>
      <x:c r="L82" s="7" t="str">
        <x:v>OPEN</x:v>
      </x:c>
    </x:row>
    <x:row r="83" ht="40" customHeight="1">
      <x:c r="B83" s="7" t="str">
        <x:v>RAE-E-07-EV-05</x:v>
      </x:c>
      <x:c r="C83" s="7" t="str">
        <x:v>RAE-E-07</x:v>
      </x:c>
      <x:c r="D83" s="7" t="str">
        <x:v>RFP-A1</x:v>
      </x:c>
      <x:c r="E83" s="7" t="str">
        <x:v>AM-06</x:v>
      </x:c>
      <x:c r="F83" s="7" t="str">
        <x:v>TR-B</x:v>
      </x:c>
      <x:c r="G83" s="7" t="str">
        <x:v>QE-01</x:v>
      </x:c>
      <x:c r="H83" s="7" t="str">
        <x:v>EV-05</x:v>
      </x:c>
      <x:c r="I83" s="10" t="str">
        <x:v>receiver inventories</x:v>
      </x:c>
      <x:c r="J83" s="10" t="str">
        <x:v>before, peak and after volume measurements</x:v>
      </x:c>
      <x:c r="K83" s="7" t="str"/>
      <x:c r="L83" s="7" t="str">
        <x:v>OPEN</x:v>
      </x:c>
    </x:row>
    <x:row r="84" ht="40" customHeight="1">
      <x:c r="B84" s="7" t="str">
        <x:v>RAE-E-07-EV-06</x:v>
      </x:c>
      <x:c r="C84" s="7" t="str">
        <x:v>RAE-E-07</x:v>
      </x:c>
      <x:c r="D84" s="7" t="str">
        <x:v>RFP-A1</x:v>
      </x:c>
      <x:c r="E84" s="7" t="str">
        <x:v>AM-06</x:v>
      </x:c>
      <x:c r="F84" s="7" t="str">
        <x:v>TR-B</x:v>
      </x:c>
      <x:c r="G84" s="7" t="str">
        <x:v>QE-01</x:v>
      </x:c>
      <x:c r="H84" s="7" t="str">
        <x:v>EV-06</x:v>
      </x:c>
      <x:c r="I84" s="10" t="str">
        <x:v>thermal field</x:v>
      </x:c>
      <x:c r="J84" s="10" t="str">
        <x:v>radiometry, heat flux and local weather</x:v>
      </x:c>
      <x:c r="K84" s="7" t="str"/>
      <x:c r="L84" s="7" t="str">
        <x:v>OPEN</x:v>
      </x:c>
    </x:row>
    <x:row r="85" ht="40" customHeight="1">
      <x:c r="B85" s="7" t="str">
        <x:v>RAE-E-07-EV-07</x:v>
      </x:c>
      <x:c r="C85" s="7" t="str">
        <x:v>RAE-E-07</x:v>
      </x:c>
      <x:c r="D85" s="7" t="str">
        <x:v>RFP-A1</x:v>
      </x:c>
      <x:c r="E85" s="7" t="str">
        <x:v>AM-06</x:v>
      </x:c>
      <x:c r="F85" s="7" t="str">
        <x:v>TR-B</x:v>
      </x:c>
      <x:c r="G85" s="7" t="str">
        <x:v>QE-01</x:v>
      </x:c>
      <x:c r="H85" s="7" t="str">
        <x:v>EV-07</x:v>
      </x:c>
      <x:c r="I85" s="10" t="str">
        <x:v>water state</x:v>
      </x:c>
      <x:c r="J85" s="10" t="str">
        <x:v>flow, rain, quench, foam and rinse separation</x:v>
      </x:c>
      <x:c r="K85" s="7" t="str"/>
      <x:c r="L85" s="7" t="str">
        <x:v>OPEN</x:v>
      </x:c>
    </x:row>
    <x:row r="86" ht="40" customHeight="1">
      <x:c r="B86" s="7" t="str">
        <x:v>RAE-E-07-EV-08</x:v>
      </x:c>
      <x:c r="C86" s="7" t="str">
        <x:v>RAE-E-07</x:v>
      </x:c>
      <x:c r="D86" s="7" t="str">
        <x:v>RFP-A1</x:v>
      </x:c>
      <x:c r="E86" s="7" t="str">
        <x:v>AM-06</x:v>
      </x:c>
      <x:c r="F86" s="7" t="str">
        <x:v>TR-B</x:v>
      </x:c>
      <x:c r="G86" s="7" t="str">
        <x:v>QE-01</x:v>
      </x:c>
      <x:c r="H86" s="7" t="str">
        <x:v>EV-08</x:v>
      </x:c>
      <x:c r="I86" s="10" t="str">
        <x:v>ancestry</x:v>
      </x:c>
      <x:c r="J86" s="10" t="str">
        <x:v>source and water root recovery plus cross-talk</x:v>
      </x:c>
      <x:c r="K86" s="7" t="str"/>
      <x:c r="L86" s="7" t="str">
        <x:v>OPEN</x:v>
      </x:c>
    </x:row>
    <x:row r="87" ht="40" customHeight="1">
      <x:c r="B87" s="7" t="str">
        <x:v>RAE-E-07-EV-09</x:v>
      </x:c>
      <x:c r="C87" s="7" t="str">
        <x:v>RAE-E-07</x:v>
      </x:c>
      <x:c r="D87" s="7" t="str">
        <x:v>RFP-A1</x:v>
      </x:c>
      <x:c r="E87" s="7" t="str">
        <x:v>AM-06</x:v>
      </x:c>
      <x:c r="F87" s="7" t="str">
        <x:v>TR-B</x:v>
      </x:c>
      <x:c r="G87" s="7" t="str">
        <x:v>QE-01</x:v>
      </x:c>
      <x:c r="H87" s="7" t="str">
        <x:v>EV-09</x:v>
      </x:c>
      <x:c r="I87" s="10" t="str">
        <x:v>environmental boundary</x:v>
      </x:c>
      <x:c r="J87" s="10" t="str">
        <x:v>background and post-event sample set</x:v>
      </x:c>
      <x:c r="K87" s="7" t="str"/>
      <x:c r="L87" s="7" t="str">
        <x:v>OPEN</x:v>
      </x:c>
    </x:row>
    <x:row r="88" ht="40" customHeight="1">
      <x:c r="B88" s="7" t="str">
        <x:v>RAE-E-07-EV-10</x:v>
      </x:c>
      <x:c r="C88" s="7" t="str">
        <x:v>RAE-E-07</x:v>
      </x:c>
      <x:c r="D88" s="7" t="str">
        <x:v>RFP-A1</x:v>
      </x:c>
      <x:c r="E88" s="7" t="str">
        <x:v>AM-06</x:v>
      </x:c>
      <x:c r="F88" s="7" t="str">
        <x:v>TR-B</x:v>
      </x:c>
      <x:c r="G88" s="7" t="str">
        <x:v>QE-01</x:v>
      </x:c>
      <x:c r="H88" s="7" t="str">
        <x:v>EV-10</x:v>
      </x:c>
      <x:c r="I88" s="10" t="str">
        <x:v>neighbor state</x:v>
      </x:c>
      <x:c r="J88" s="10" t="str">
        <x:v>three independent inert-state records</x:v>
      </x:c>
      <x:c r="K88" s="7" t="str"/>
      <x:c r="L88" s="7" t="str">
        <x:v>OPEN</x:v>
      </x:c>
    </x:row>
    <x:row r="89" ht="40" customHeight="1">
      <x:c r="B89" s="7" t="str">
        <x:v>RAE-E-07-EV-11</x:v>
      </x:c>
      <x:c r="C89" s="7" t="str">
        <x:v>RAE-E-07</x:v>
      </x:c>
      <x:c r="D89" s="7" t="str">
        <x:v>RFP-A1</x:v>
      </x:c>
      <x:c r="E89" s="7" t="str">
        <x:v>AM-06</x:v>
      </x:c>
      <x:c r="F89" s="7" t="str">
        <x:v>TR-B</x:v>
      </x:c>
      <x:c r="G89" s="7" t="str">
        <x:v>QE-01</x:v>
      </x:c>
      <x:c r="H89" s="7" t="str">
        <x:v>EV-11</x:v>
      </x:c>
      <x:c r="I89" s="10" t="str">
        <x:v>intervention state</x:v>
      </x:c>
      <x:c r="J89" s="10" t="str">
        <x:v>human, automatic and rescue actions</x:v>
      </x:c>
      <x:c r="K89" s="7" t="str"/>
      <x:c r="L89" s="7" t="str">
        <x:v>OPEN</x:v>
      </x:c>
    </x:row>
    <x:row r="90" ht="40" customHeight="1">
      <x:c r="B90" s="7" t="str">
        <x:v>RAE-E-07-EV-12</x:v>
      </x:c>
      <x:c r="C90" s="7" t="str">
        <x:v>RAE-E-07</x:v>
      </x:c>
      <x:c r="D90" s="7" t="str">
        <x:v>RFP-A1</x:v>
      </x:c>
      <x:c r="E90" s="7" t="str">
        <x:v>AM-06</x:v>
      </x:c>
      <x:c r="F90" s="7" t="str">
        <x:v>TR-B</x:v>
      </x:c>
      <x:c r="G90" s="7" t="str">
        <x:v>QE-01</x:v>
      </x:c>
      <x:c r="H90" s="7" t="str">
        <x:v>EV-12</x:v>
      </x:c>
      <x:c r="I90" s="10" t="str">
        <x:v>validity packet</x:v>
      </x:c>
      <x:c r="J90" s="10" t="str">
        <x:v>native hashes, causal map and board disposition</x:v>
      </x:c>
      <x:c r="K90" s="7" t="str"/>
      <x:c r="L90" s="7" t="str">
        <x:v>OPEN</x:v>
      </x:c>
    </x:row>
    <x:row r="91" ht="40" customHeight="1">
      <x:c r="B91" s="7" t="str">
        <x:v>RAE-E-08-EV-01</x:v>
      </x:c>
      <x:c r="C91" s="7" t="str">
        <x:v>RAE-E-08</x:v>
      </x:c>
      <x:c r="D91" s="7" t="str">
        <x:v>RFP-A1</x:v>
      </x:c>
      <x:c r="E91" s="7" t="str">
        <x:v>AM-06</x:v>
      </x:c>
      <x:c r="F91" s="7" t="str">
        <x:v>TR-B</x:v>
      </x:c>
      <x:c r="G91" s="7" t="str">
        <x:v>QE-02</x:v>
      </x:c>
      <x:c r="H91" s="7" t="str">
        <x:v>EV-01</x:v>
      </x:c>
      <x:c r="I91" s="10" t="str">
        <x:v>registered event baseline</x:v>
      </x:c>
      <x:c r="J91" s="10" t="str">
        <x:v>configuration master plus event register</x:v>
      </x:c>
      <x:c r="K91" s="7" t="str"/>
      <x:c r="L91" s="7" t="str">
        <x:v>OPEN</x:v>
      </x:c>
    </x:row>
    <x:row r="92" ht="40" customHeight="1">
      <x:c r="B92" s="7" t="str">
        <x:v>RAE-E-08-EV-02</x:v>
      </x:c>
      <x:c r="C92" s="7" t="str">
        <x:v>RAE-E-08</x:v>
      </x:c>
      <x:c r="D92" s="7" t="str">
        <x:v>RFP-A1</x:v>
      </x:c>
      <x:c r="E92" s="7" t="str">
        <x:v>AM-06</x:v>
      </x:c>
      <x:c r="F92" s="7" t="str">
        <x:v>TR-B</x:v>
      </x:c>
      <x:c r="G92" s="7" t="str">
        <x:v>QE-02</x:v>
      </x:c>
      <x:c r="H92" s="7" t="str">
        <x:v>EV-02</x:v>
      </x:c>
      <x:c r="I92" s="10" t="str">
        <x:v>source command and mass</x:v>
      </x:c>
      <x:c r="J92" s="10" t="str">
        <x:v>native command, load cells and custody ledger</x:v>
      </x:c>
      <x:c r="K92" s="7" t="str"/>
      <x:c r="L92" s="7" t="str">
        <x:v>OPEN</x:v>
      </x:c>
    </x:row>
    <x:row r="93" ht="40" customHeight="1">
      <x:c r="B93" s="7" t="str">
        <x:v>RAE-E-08-EV-03</x:v>
      </x:c>
      <x:c r="C93" s="7" t="str">
        <x:v>RAE-E-08</x:v>
      </x:c>
      <x:c r="D93" s="7" t="str">
        <x:v>RFP-A1</x:v>
      </x:c>
      <x:c r="E93" s="7" t="str">
        <x:v>AM-06</x:v>
      </x:c>
      <x:c r="F93" s="7" t="str">
        <x:v>TR-B</x:v>
      </x:c>
      <x:c r="G93" s="7" t="str">
        <x:v>QE-02</x:v>
      </x:c>
      <x:c r="H93" s="7" t="str">
        <x:v>EV-03</x:v>
      </x:c>
      <x:c r="I93" s="10" t="str">
        <x:v>final control states</x:v>
      </x:c>
      <x:c r="J93" s="10" t="str">
        <x:v>direct element sensors plus local latch</x:v>
      </x:c>
      <x:c r="K93" s="7" t="str"/>
      <x:c r="L93" s="7" t="str">
        <x:v>OPEN</x:v>
      </x:c>
    </x:row>
    <x:row r="94" ht="40" customHeight="1">
      <x:c r="B94" s="7" t="str">
        <x:v>RAE-E-08-EV-04</x:v>
      </x:c>
      <x:c r="C94" s="7" t="str">
        <x:v>RAE-E-08</x:v>
      </x:c>
      <x:c r="D94" s="7" t="str">
        <x:v>RFP-A1</x:v>
      </x:c>
      <x:c r="E94" s="7" t="str">
        <x:v>AM-06</x:v>
      </x:c>
      <x:c r="F94" s="7" t="str">
        <x:v>TR-B</x:v>
      </x:c>
      <x:c r="G94" s="7" t="str">
        <x:v>QE-02</x:v>
      </x:c>
      <x:c r="H94" s="7" t="str">
        <x:v>EV-04</x:v>
      </x:c>
      <x:c r="I94" s="10" t="str">
        <x:v>path action times</x:v>
      </x:c>
      <x:c r="J94" s="10" t="str">
        <x:v>common-epoch trigger and state transitions</x:v>
      </x:c>
      <x:c r="K94" s="7" t="str"/>
      <x:c r="L94" s="7" t="str">
        <x:v>OPEN</x:v>
      </x:c>
    </x:row>
    <x:row r="95" ht="40" customHeight="1">
      <x:c r="B95" s="7" t="str">
        <x:v>RAE-E-08-EV-05</x:v>
      </x:c>
      <x:c r="C95" s="7" t="str">
        <x:v>RAE-E-08</x:v>
      </x:c>
      <x:c r="D95" s="7" t="str">
        <x:v>RFP-A1</x:v>
      </x:c>
      <x:c r="E95" s="7" t="str">
        <x:v>AM-06</x:v>
      </x:c>
      <x:c r="F95" s="7" t="str">
        <x:v>TR-B</x:v>
      </x:c>
      <x:c r="G95" s="7" t="str">
        <x:v>QE-02</x:v>
      </x:c>
      <x:c r="H95" s="7" t="str">
        <x:v>EV-05</x:v>
      </x:c>
      <x:c r="I95" s="10" t="str">
        <x:v>receiver inventories</x:v>
      </x:c>
      <x:c r="J95" s="10" t="str">
        <x:v>before, peak and after volume measurements</x:v>
      </x:c>
      <x:c r="K95" s="7" t="str"/>
      <x:c r="L95" s="7" t="str">
        <x:v>OPEN</x:v>
      </x:c>
    </x:row>
    <x:row r="96" ht="40" customHeight="1">
      <x:c r="B96" s="7" t="str">
        <x:v>RAE-E-08-EV-06</x:v>
      </x:c>
      <x:c r="C96" s="7" t="str">
        <x:v>RAE-E-08</x:v>
      </x:c>
      <x:c r="D96" s="7" t="str">
        <x:v>RFP-A1</x:v>
      </x:c>
      <x:c r="E96" s="7" t="str">
        <x:v>AM-06</x:v>
      </x:c>
      <x:c r="F96" s="7" t="str">
        <x:v>TR-B</x:v>
      </x:c>
      <x:c r="G96" s="7" t="str">
        <x:v>QE-02</x:v>
      </x:c>
      <x:c r="H96" s="7" t="str">
        <x:v>EV-06</x:v>
      </x:c>
      <x:c r="I96" s="10" t="str">
        <x:v>thermal field</x:v>
      </x:c>
      <x:c r="J96" s="10" t="str">
        <x:v>radiometry, heat flux and local weather</x:v>
      </x:c>
      <x:c r="K96" s="7" t="str"/>
      <x:c r="L96" s="7" t="str">
        <x:v>OPEN</x:v>
      </x:c>
    </x:row>
    <x:row r="97" ht="40" customHeight="1">
      <x:c r="B97" s="7" t="str">
        <x:v>RAE-E-08-EV-07</x:v>
      </x:c>
      <x:c r="C97" s="7" t="str">
        <x:v>RAE-E-08</x:v>
      </x:c>
      <x:c r="D97" s="7" t="str">
        <x:v>RFP-A1</x:v>
      </x:c>
      <x:c r="E97" s="7" t="str">
        <x:v>AM-06</x:v>
      </x:c>
      <x:c r="F97" s="7" t="str">
        <x:v>TR-B</x:v>
      </x:c>
      <x:c r="G97" s="7" t="str">
        <x:v>QE-02</x:v>
      </x:c>
      <x:c r="H97" s="7" t="str">
        <x:v>EV-07</x:v>
      </x:c>
      <x:c r="I97" s="10" t="str">
        <x:v>water state</x:v>
      </x:c>
      <x:c r="J97" s="10" t="str">
        <x:v>flow, rain, quench, foam and rinse separation</x:v>
      </x:c>
      <x:c r="K97" s="7" t="str"/>
      <x:c r="L97" s="7" t="str">
        <x:v>OPEN</x:v>
      </x:c>
    </x:row>
    <x:row r="98" ht="40" customHeight="1">
      <x:c r="B98" s="7" t="str">
        <x:v>RAE-E-08-EV-08</x:v>
      </x:c>
      <x:c r="C98" s="7" t="str">
        <x:v>RAE-E-08</x:v>
      </x:c>
      <x:c r="D98" s="7" t="str">
        <x:v>RFP-A1</x:v>
      </x:c>
      <x:c r="E98" s="7" t="str">
        <x:v>AM-06</x:v>
      </x:c>
      <x:c r="F98" s="7" t="str">
        <x:v>TR-B</x:v>
      </x:c>
      <x:c r="G98" s="7" t="str">
        <x:v>QE-02</x:v>
      </x:c>
      <x:c r="H98" s="7" t="str">
        <x:v>EV-08</x:v>
      </x:c>
      <x:c r="I98" s="10" t="str">
        <x:v>ancestry</x:v>
      </x:c>
      <x:c r="J98" s="10" t="str">
        <x:v>source and water root recovery plus cross-talk</x:v>
      </x:c>
      <x:c r="K98" s="7" t="str"/>
      <x:c r="L98" s="7" t="str">
        <x:v>OPEN</x:v>
      </x:c>
    </x:row>
    <x:row r="99" ht="40" customHeight="1">
      <x:c r="B99" s="7" t="str">
        <x:v>RAE-E-08-EV-09</x:v>
      </x:c>
      <x:c r="C99" s="7" t="str">
        <x:v>RAE-E-08</x:v>
      </x:c>
      <x:c r="D99" s="7" t="str">
        <x:v>RFP-A1</x:v>
      </x:c>
      <x:c r="E99" s="7" t="str">
        <x:v>AM-06</x:v>
      </x:c>
      <x:c r="F99" s="7" t="str">
        <x:v>TR-B</x:v>
      </x:c>
      <x:c r="G99" s="7" t="str">
        <x:v>QE-02</x:v>
      </x:c>
      <x:c r="H99" s="7" t="str">
        <x:v>EV-09</x:v>
      </x:c>
      <x:c r="I99" s="10" t="str">
        <x:v>environmental boundary</x:v>
      </x:c>
      <x:c r="J99" s="10" t="str">
        <x:v>background and post-event sample set</x:v>
      </x:c>
      <x:c r="K99" s="7" t="str"/>
      <x:c r="L99" s="7" t="str">
        <x:v>OPEN</x:v>
      </x:c>
    </x:row>
    <x:row r="100" ht="40" customHeight="1">
      <x:c r="B100" s="7" t="str">
        <x:v>RAE-E-08-EV-10</x:v>
      </x:c>
      <x:c r="C100" s="7" t="str">
        <x:v>RAE-E-08</x:v>
      </x:c>
      <x:c r="D100" s="7" t="str">
        <x:v>RFP-A1</x:v>
      </x:c>
      <x:c r="E100" s="7" t="str">
        <x:v>AM-06</x:v>
      </x:c>
      <x:c r="F100" s="7" t="str">
        <x:v>TR-B</x:v>
      </x:c>
      <x:c r="G100" s="7" t="str">
        <x:v>QE-02</x:v>
      </x:c>
      <x:c r="H100" s="7" t="str">
        <x:v>EV-10</x:v>
      </x:c>
      <x:c r="I100" s="10" t="str">
        <x:v>neighbor state</x:v>
      </x:c>
      <x:c r="J100" s="10" t="str">
        <x:v>three independent inert-state records</x:v>
      </x:c>
      <x:c r="K100" s="7" t="str"/>
      <x:c r="L100" s="7" t="str">
        <x:v>OPEN</x:v>
      </x:c>
    </x:row>
    <x:row r="101" ht="40" customHeight="1">
      <x:c r="B101" s="7" t="str">
        <x:v>RAE-E-08-EV-11</x:v>
      </x:c>
      <x:c r="C101" s="7" t="str">
        <x:v>RAE-E-08</x:v>
      </x:c>
      <x:c r="D101" s="7" t="str">
        <x:v>RFP-A1</x:v>
      </x:c>
      <x:c r="E101" s="7" t="str">
        <x:v>AM-06</x:v>
      </x:c>
      <x:c r="F101" s="7" t="str">
        <x:v>TR-B</x:v>
      </x:c>
      <x:c r="G101" s="7" t="str">
        <x:v>QE-02</x:v>
      </x:c>
      <x:c r="H101" s="7" t="str">
        <x:v>EV-11</x:v>
      </x:c>
      <x:c r="I101" s="10" t="str">
        <x:v>intervention state</x:v>
      </x:c>
      <x:c r="J101" s="10" t="str">
        <x:v>human, automatic and rescue actions</x:v>
      </x:c>
      <x:c r="K101" s="7" t="str"/>
      <x:c r="L101" s="7" t="str">
        <x:v>OPEN</x:v>
      </x:c>
    </x:row>
    <x:row r="102" ht="40" customHeight="1">
      <x:c r="B102" s="7" t="str">
        <x:v>RAE-E-08-EV-12</x:v>
      </x:c>
      <x:c r="C102" s="7" t="str">
        <x:v>RAE-E-08</x:v>
      </x:c>
      <x:c r="D102" s="7" t="str">
        <x:v>RFP-A1</x:v>
      </x:c>
      <x:c r="E102" s="7" t="str">
        <x:v>AM-06</x:v>
      </x:c>
      <x:c r="F102" s="7" t="str">
        <x:v>TR-B</x:v>
      </x:c>
      <x:c r="G102" s="7" t="str">
        <x:v>QE-02</x:v>
      </x:c>
      <x:c r="H102" s="7" t="str">
        <x:v>EV-12</x:v>
      </x:c>
      <x:c r="I102" s="10" t="str">
        <x:v>validity packet</x:v>
      </x:c>
      <x:c r="J102" s="10" t="str">
        <x:v>native hashes, causal map and board disposition</x:v>
      </x:c>
      <x:c r="K102" s="7" t="str"/>
      <x:c r="L102" s="7" t="str">
        <x:v>OPEN</x:v>
      </x:c>
    </x:row>
    <x:row r="103" ht="40" customHeight="1">
      <x:c r="B103" s="7" t="str">
        <x:v>RAE-E-09-EV-01</x:v>
      </x:c>
      <x:c r="C103" s="7" t="str">
        <x:v>RAE-E-09</x:v>
      </x:c>
      <x:c r="D103" s="7" t="str">
        <x:v>RFP-A2</x:v>
      </x:c>
      <x:c r="E103" s="7" t="str">
        <x:v>AM-05</x:v>
      </x:c>
      <x:c r="F103" s="7" t="str">
        <x:v>TR-A</x:v>
      </x:c>
      <x:c r="G103" s="7" t="str">
        <x:v>QE-01</x:v>
      </x:c>
      <x:c r="H103" s="7" t="str">
        <x:v>EV-01</x:v>
      </x:c>
      <x:c r="I103" s="10" t="str">
        <x:v>registered event baseline</x:v>
      </x:c>
      <x:c r="J103" s="10" t="str">
        <x:v>configuration master plus event register</x:v>
      </x:c>
      <x:c r="K103" s="7" t="str"/>
      <x:c r="L103" s="7" t="str">
        <x:v>OPEN</x:v>
      </x:c>
    </x:row>
    <x:row r="104" ht="40" customHeight="1">
      <x:c r="B104" s="7" t="str">
        <x:v>RAE-E-09-EV-02</x:v>
      </x:c>
      <x:c r="C104" s="7" t="str">
        <x:v>RAE-E-09</x:v>
      </x:c>
      <x:c r="D104" s="7" t="str">
        <x:v>RFP-A2</x:v>
      </x:c>
      <x:c r="E104" s="7" t="str">
        <x:v>AM-05</x:v>
      </x:c>
      <x:c r="F104" s="7" t="str">
        <x:v>TR-A</x:v>
      </x:c>
      <x:c r="G104" s="7" t="str">
        <x:v>QE-01</x:v>
      </x:c>
      <x:c r="H104" s="7" t="str">
        <x:v>EV-02</x:v>
      </x:c>
      <x:c r="I104" s="10" t="str">
        <x:v>source command and mass</x:v>
      </x:c>
      <x:c r="J104" s="10" t="str">
        <x:v>native command, load cells and custody ledger</x:v>
      </x:c>
      <x:c r="K104" s="7" t="str"/>
      <x:c r="L104" s="7" t="str">
        <x:v>OPEN</x:v>
      </x:c>
    </x:row>
    <x:row r="105" ht="40" customHeight="1">
      <x:c r="B105" s="7" t="str">
        <x:v>RAE-E-09-EV-03</x:v>
      </x:c>
      <x:c r="C105" s="7" t="str">
        <x:v>RAE-E-09</x:v>
      </x:c>
      <x:c r="D105" s="7" t="str">
        <x:v>RFP-A2</x:v>
      </x:c>
      <x:c r="E105" s="7" t="str">
        <x:v>AM-05</x:v>
      </x:c>
      <x:c r="F105" s="7" t="str">
        <x:v>TR-A</x:v>
      </x:c>
      <x:c r="G105" s="7" t="str">
        <x:v>QE-01</x:v>
      </x:c>
      <x:c r="H105" s="7" t="str">
        <x:v>EV-03</x:v>
      </x:c>
      <x:c r="I105" s="10" t="str">
        <x:v>final control states</x:v>
      </x:c>
      <x:c r="J105" s="10" t="str">
        <x:v>direct element sensors plus local latch</x:v>
      </x:c>
      <x:c r="K105" s="7" t="str"/>
      <x:c r="L105" s="7" t="str">
        <x:v>OPEN</x:v>
      </x:c>
    </x:row>
    <x:row r="106" ht="40" customHeight="1">
      <x:c r="B106" s="7" t="str">
        <x:v>RAE-E-09-EV-04</x:v>
      </x:c>
      <x:c r="C106" s="7" t="str">
        <x:v>RAE-E-09</x:v>
      </x:c>
      <x:c r="D106" s="7" t="str">
        <x:v>RFP-A2</x:v>
      </x:c>
      <x:c r="E106" s="7" t="str">
        <x:v>AM-05</x:v>
      </x:c>
      <x:c r="F106" s="7" t="str">
        <x:v>TR-A</x:v>
      </x:c>
      <x:c r="G106" s="7" t="str">
        <x:v>QE-01</x:v>
      </x:c>
      <x:c r="H106" s="7" t="str">
        <x:v>EV-04</x:v>
      </x:c>
      <x:c r="I106" s="10" t="str">
        <x:v>path action times</x:v>
      </x:c>
      <x:c r="J106" s="10" t="str">
        <x:v>common-epoch trigger and state transitions</x:v>
      </x:c>
      <x:c r="K106" s="7" t="str"/>
      <x:c r="L106" s="7" t="str">
        <x:v>OPEN</x:v>
      </x:c>
    </x:row>
    <x:row r="107" ht="40" customHeight="1">
      <x:c r="B107" s="7" t="str">
        <x:v>RAE-E-09-EV-05</x:v>
      </x:c>
      <x:c r="C107" s="7" t="str">
        <x:v>RAE-E-09</x:v>
      </x:c>
      <x:c r="D107" s="7" t="str">
        <x:v>RFP-A2</x:v>
      </x:c>
      <x:c r="E107" s="7" t="str">
        <x:v>AM-05</x:v>
      </x:c>
      <x:c r="F107" s="7" t="str">
        <x:v>TR-A</x:v>
      </x:c>
      <x:c r="G107" s="7" t="str">
        <x:v>QE-01</x:v>
      </x:c>
      <x:c r="H107" s="7" t="str">
        <x:v>EV-05</x:v>
      </x:c>
      <x:c r="I107" s="10" t="str">
        <x:v>receiver inventories</x:v>
      </x:c>
      <x:c r="J107" s="10" t="str">
        <x:v>before, peak and after volume measurements</x:v>
      </x:c>
      <x:c r="K107" s="7" t="str"/>
      <x:c r="L107" s="7" t="str">
        <x:v>OPEN</x:v>
      </x:c>
    </x:row>
    <x:row r="108" ht="40" customHeight="1">
      <x:c r="B108" s="7" t="str">
        <x:v>RAE-E-09-EV-06</x:v>
      </x:c>
      <x:c r="C108" s="7" t="str">
        <x:v>RAE-E-09</x:v>
      </x:c>
      <x:c r="D108" s="7" t="str">
        <x:v>RFP-A2</x:v>
      </x:c>
      <x:c r="E108" s="7" t="str">
        <x:v>AM-05</x:v>
      </x:c>
      <x:c r="F108" s="7" t="str">
        <x:v>TR-A</x:v>
      </x:c>
      <x:c r="G108" s="7" t="str">
        <x:v>QE-01</x:v>
      </x:c>
      <x:c r="H108" s="7" t="str">
        <x:v>EV-06</x:v>
      </x:c>
      <x:c r="I108" s="10" t="str">
        <x:v>thermal field</x:v>
      </x:c>
      <x:c r="J108" s="10" t="str">
        <x:v>radiometry, heat flux and local weather</x:v>
      </x:c>
      <x:c r="K108" s="7" t="str"/>
      <x:c r="L108" s="7" t="str">
        <x:v>OPEN</x:v>
      </x:c>
    </x:row>
    <x:row r="109" ht="40" customHeight="1">
      <x:c r="B109" s="7" t="str">
        <x:v>RAE-E-09-EV-07</x:v>
      </x:c>
      <x:c r="C109" s="7" t="str">
        <x:v>RAE-E-09</x:v>
      </x:c>
      <x:c r="D109" s="7" t="str">
        <x:v>RFP-A2</x:v>
      </x:c>
      <x:c r="E109" s="7" t="str">
        <x:v>AM-05</x:v>
      </x:c>
      <x:c r="F109" s="7" t="str">
        <x:v>TR-A</x:v>
      </x:c>
      <x:c r="G109" s="7" t="str">
        <x:v>QE-01</x:v>
      </x:c>
      <x:c r="H109" s="7" t="str">
        <x:v>EV-07</x:v>
      </x:c>
      <x:c r="I109" s="10" t="str">
        <x:v>water state</x:v>
      </x:c>
      <x:c r="J109" s="10" t="str">
        <x:v>flow, rain, quench, foam and rinse separation</x:v>
      </x:c>
      <x:c r="K109" s="7" t="str"/>
      <x:c r="L109" s="7" t="str">
        <x:v>OPEN</x:v>
      </x:c>
    </x:row>
    <x:row r="110" ht="40" customHeight="1">
      <x:c r="B110" s="7" t="str">
        <x:v>RAE-E-09-EV-08</x:v>
      </x:c>
      <x:c r="C110" s="7" t="str">
        <x:v>RAE-E-09</x:v>
      </x:c>
      <x:c r="D110" s="7" t="str">
        <x:v>RFP-A2</x:v>
      </x:c>
      <x:c r="E110" s="7" t="str">
        <x:v>AM-05</x:v>
      </x:c>
      <x:c r="F110" s="7" t="str">
        <x:v>TR-A</x:v>
      </x:c>
      <x:c r="G110" s="7" t="str">
        <x:v>QE-01</x:v>
      </x:c>
      <x:c r="H110" s="7" t="str">
        <x:v>EV-08</x:v>
      </x:c>
      <x:c r="I110" s="10" t="str">
        <x:v>ancestry</x:v>
      </x:c>
      <x:c r="J110" s="10" t="str">
        <x:v>source and water root recovery plus cross-talk</x:v>
      </x:c>
      <x:c r="K110" s="7" t="str"/>
      <x:c r="L110" s="7" t="str">
        <x:v>OPEN</x:v>
      </x:c>
    </x:row>
    <x:row r="111" ht="40" customHeight="1">
      <x:c r="B111" s="7" t="str">
        <x:v>RAE-E-09-EV-09</x:v>
      </x:c>
      <x:c r="C111" s="7" t="str">
        <x:v>RAE-E-09</x:v>
      </x:c>
      <x:c r="D111" s="7" t="str">
        <x:v>RFP-A2</x:v>
      </x:c>
      <x:c r="E111" s="7" t="str">
        <x:v>AM-05</x:v>
      </x:c>
      <x:c r="F111" s="7" t="str">
        <x:v>TR-A</x:v>
      </x:c>
      <x:c r="G111" s="7" t="str">
        <x:v>QE-01</x:v>
      </x:c>
      <x:c r="H111" s="7" t="str">
        <x:v>EV-09</x:v>
      </x:c>
      <x:c r="I111" s="10" t="str">
        <x:v>environmental boundary</x:v>
      </x:c>
      <x:c r="J111" s="10" t="str">
        <x:v>background and post-event sample set</x:v>
      </x:c>
      <x:c r="K111" s="7" t="str"/>
      <x:c r="L111" s="7" t="str">
        <x:v>OPEN</x:v>
      </x:c>
    </x:row>
    <x:row r="112" ht="40" customHeight="1">
      <x:c r="B112" s="7" t="str">
        <x:v>RAE-E-09-EV-10</x:v>
      </x:c>
      <x:c r="C112" s="7" t="str">
        <x:v>RAE-E-09</x:v>
      </x:c>
      <x:c r="D112" s="7" t="str">
        <x:v>RFP-A2</x:v>
      </x:c>
      <x:c r="E112" s="7" t="str">
        <x:v>AM-05</x:v>
      </x:c>
      <x:c r="F112" s="7" t="str">
        <x:v>TR-A</x:v>
      </x:c>
      <x:c r="G112" s="7" t="str">
        <x:v>QE-01</x:v>
      </x:c>
      <x:c r="H112" s="7" t="str">
        <x:v>EV-10</x:v>
      </x:c>
      <x:c r="I112" s="10" t="str">
        <x:v>neighbor state</x:v>
      </x:c>
      <x:c r="J112" s="10" t="str">
        <x:v>three independent inert-state records</x:v>
      </x:c>
      <x:c r="K112" s="7" t="str"/>
      <x:c r="L112" s="7" t="str">
        <x:v>OPEN</x:v>
      </x:c>
    </x:row>
    <x:row r="113" ht="40" customHeight="1">
      <x:c r="B113" s="7" t="str">
        <x:v>RAE-E-09-EV-11</x:v>
      </x:c>
      <x:c r="C113" s="7" t="str">
        <x:v>RAE-E-09</x:v>
      </x:c>
      <x:c r="D113" s="7" t="str">
        <x:v>RFP-A2</x:v>
      </x:c>
      <x:c r="E113" s="7" t="str">
        <x:v>AM-05</x:v>
      </x:c>
      <x:c r="F113" s="7" t="str">
        <x:v>TR-A</x:v>
      </x:c>
      <x:c r="G113" s="7" t="str">
        <x:v>QE-01</x:v>
      </x:c>
      <x:c r="H113" s="7" t="str">
        <x:v>EV-11</x:v>
      </x:c>
      <x:c r="I113" s="10" t="str">
        <x:v>intervention state</x:v>
      </x:c>
      <x:c r="J113" s="10" t="str">
        <x:v>human, automatic and rescue actions</x:v>
      </x:c>
      <x:c r="K113" s="7" t="str"/>
      <x:c r="L113" s="7" t="str">
        <x:v>OPEN</x:v>
      </x:c>
    </x:row>
    <x:row r="114" ht="40" customHeight="1">
      <x:c r="B114" s="7" t="str">
        <x:v>RAE-E-09-EV-12</x:v>
      </x:c>
      <x:c r="C114" s="7" t="str">
        <x:v>RAE-E-09</x:v>
      </x:c>
      <x:c r="D114" s="7" t="str">
        <x:v>RFP-A2</x:v>
      </x:c>
      <x:c r="E114" s="7" t="str">
        <x:v>AM-05</x:v>
      </x:c>
      <x:c r="F114" s="7" t="str">
        <x:v>TR-A</x:v>
      </x:c>
      <x:c r="G114" s="7" t="str">
        <x:v>QE-01</x:v>
      </x:c>
      <x:c r="H114" s="7" t="str">
        <x:v>EV-12</x:v>
      </x:c>
      <x:c r="I114" s="10" t="str">
        <x:v>validity packet</x:v>
      </x:c>
      <x:c r="J114" s="10" t="str">
        <x:v>native hashes, causal map and board disposition</x:v>
      </x:c>
      <x:c r="K114" s="7" t="str"/>
      <x:c r="L114" s="7" t="str">
        <x:v>OPEN</x:v>
      </x:c>
    </x:row>
    <x:row r="115" ht="40" customHeight="1">
      <x:c r="B115" s="7" t="str">
        <x:v>RAE-E-10-EV-01</x:v>
      </x:c>
      <x:c r="C115" s="7" t="str">
        <x:v>RAE-E-10</x:v>
      </x:c>
      <x:c r="D115" s="7" t="str">
        <x:v>RFP-A2</x:v>
      </x:c>
      <x:c r="E115" s="7" t="str">
        <x:v>AM-05</x:v>
      </x:c>
      <x:c r="F115" s="7" t="str">
        <x:v>TR-A</x:v>
      </x:c>
      <x:c r="G115" s="7" t="str">
        <x:v>QE-02</x:v>
      </x:c>
      <x:c r="H115" s="7" t="str">
        <x:v>EV-01</x:v>
      </x:c>
      <x:c r="I115" s="10" t="str">
        <x:v>registered event baseline</x:v>
      </x:c>
      <x:c r="J115" s="10" t="str">
        <x:v>configuration master plus event register</x:v>
      </x:c>
      <x:c r="K115" s="7" t="str"/>
      <x:c r="L115" s="7" t="str">
        <x:v>OPEN</x:v>
      </x:c>
    </x:row>
    <x:row r="116" ht="40" customHeight="1">
      <x:c r="B116" s="7" t="str">
        <x:v>RAE-E-10-EV-02</x:v>
      </x:c>
      <x:c r="C116" s="7" t="str">
        <x:v>RAE-E-10</x:v>
      </x:c>
      <x:c r="D116" s="7" t="str">
        <x:v>RFP-A2</x:v>
      </x:c>
      <x:c r="E116" s="7" t="str">
        <x:v>AM-05</x:v>
      </x:c>
      <x:c r="F116" s="7" t="str">
        <x:v>TR-A</x:v>
      </x:c>
      <x:c r="G116" s="7" t="str">
        <x:v>QE-02</x:v>
      </x:c>
      <x:c r="H116" s="7" t="str">
        <x:v>EV-02</x:v>
      </x:c>
      <x:c r="I116" s="10" t="str">
        <x:v>source command and mass</x:v>
      </x:c>
      <x:c r="J116" s="10" t="str">
        <x:v>native command, load cells and custody ledger</x:v>
      </x:c>
      <x:c r="K116" s="7" t="str"/>
      <x:c r="L116" s="7" t="str">
        <x:v>OPEN</x:v>
      </x:c>
    </x:row>
    <x:row r="117" ht="40" customHeight="1">
      <x:c r="B117" s="7" t="str">
        <x:v>RAE-E-10-EV-03</x:v>
      </x:c>
      <x:c r="C117" s="7" t="str">
        <x:v>RAE-E-10</x:v>
      </x:c>
      <x:c r="D117" s="7" t="str">
        <x:v>RFP-A2</x:v>
      </x:c>
      <x:c r="E117" s="7" t="str">
        <x:v>AM-05</x:v>
      </x:c>
      <x:c r="F117" s="7" t="str">
        <x:v>TR-A</x:v>
      </x:c>
      <x:c r="G117" s="7" t="str">
        <x:v>QE-02</x:v>
      </x:c>
      <x:c r="H117" s="7" t="str">
        <x:v>EV-03</x:v>
      </x:c>
      <x:c r="I117" s="10" t="str">
        <x:v>final control states</x:v>
      </x:c>
      <x:c r="J117" s="10" t="str">
        <x:v>direct element sensors plus local latch</x:v>
      </x:c>
      <x:c r="K117" s="7" t="str"/>
      <x:c r="L117" s="7" t="str">
        <x:v>OPEN</x:v>
      </x:c>
    </x:row>
    <x:row r="118" ht="40" customHeight="1">
      <x:c r="B118" s="7" t="str">
        <x:v>RAE-E-10-EV-04</x:v>
      </x:c>
      <x:c r="C118" s="7" t="str">
        <x:v>RAE-E-10</x:v>
      </x:c>
      <x:c r="D118" s="7" t="str">
        <x:v>RFP-A2</x:v>
      </x:c>
      <x:c r="E118" s="7" t="str">
        <x:v>AM-05</x:v>
      </x:c>
      <x:c r="F118" s="7" t="str">
        <x:v>TR-A</x:v>
      </x:c>
      <x:c r="G118" s="7" t="str">
        <x:v>QE-02</x:v>
      </x:c>
      <x:c r="H118" s="7" t="str">
        <x:v>EV-04</x:v>
      </x:c>
      <x:c r="I118" s="10" t="str">
        <x:v>path action times</x:v>
      </x:c>
      <x:c r="J118" s="10" t="str">
        <x:v>common-epoch trigger and state transitions</x:v>
      </x:c>
      <x:c r="K118" s="7" t="str"/>
      <x:c r="L118" s="7" t="str">
        <x:v>OPEN</x:v>
      </x:c>
    </x:row>
    <x:row r="119" ht="40" customHeight="1">
      <x:c r="B119" s="7" t="str">
        <x:v>RAE-E-10-EV-05</x:v>
      </x:c>
      <x:c r="C119" s="7" t="str">
        <x:v>RAE-E-10</x:v>
      </x:c>
      <x:c r="D119" s="7" t="str">
        <x:v>RFP-A2</x:v>
      </x:c>
      <x:c r="E119" s="7" t="str">
        <x:v>AM-05</x:v>
      </x:c>
      <x:c r="F119" s="7" t="str">
        <x:v>TR-A</x:v>
      </x:c>
      <x:c r="G119" s="7" t="str">
        <x:v>QE-02</x:v>
      </x:c>
      <x:c r="H119" s="7" t="str">
        <x:v>EV-05</x:v>
      </x:c>
      <x:c r="I119" s="10" t="str">
        <x:v>receiver inventories</x:v>
      </x:c>
      <x:c r="J119" s="10" t="str">
        <x:v>before, peak and after volume measurements</x:v>
      </x:c>
      <x:c r="K119" s="7" t="str"/>
      <x:c r="L119" s="7" t="str">
        <x:v>OPEN</x:v>
      </x:c>
    </x:row>
    <x:row r="120" ht="40" customHeight="1">
      <x:c r="B120" s="7" t="str">
        <x:v>RAE-E-10-EV-06</x:v>
      </x:c>
      <x:c r="C120" s="7" t="str">
        <x:v>RAE-E-10</x:v>
      </x:c>
      <x:c r="D120" s="7" t="str">
        <x:v>RFP-A2</x:v>
      </x:c>
      <x:c r="E120" s="7" t="str">
        <x:v>AM-05</x:v>
      </x:c>
      <x:c r="F120" s="7" t="str">
        <x:v>TR-A</x:v>
      </x:c>
      <x:c r="G120" s="7" t="str">
        <x:v>QE-02</x:v>
      </x:c>
      <x:c r="H120" s="7" t="str">
        <x:v>EV-06</x:v>
      </x:c>
      <x:c r="I120" s="10" t="str">
        <x:v>thermal field</x:v>
      </x:c>
      <x:c r="J120" s="10" t="str">
        <x:v>radiometry, heat flux and local weather</x:v>
      </x:c>
      <x:c r="K120" s="7" t="str"/>
      <x:c r="L120" s="7" t="str">
        <x:v>OPEN</x:v>
      </x:c>
    </x:row>
    <x:row r="121" ht="40" customHeight="1">
      <x:c r="B121" s="7" t="str">
        <x:v>RAE-E-10-EV-07</x:v>
      </x:c>
      <x:c r="C121" s="7" t="str">
        <x:v>RAE-E-10</x:v>
      </x:c>
      <x:c r="D121" s="7" t="str">
        <x:v>RFP-A2</x:v>
      </x:c>
      <x:c r="E121" s="7" t="str">
        <x:v>AM-05</x:v>
      </x:c>
      <x:c r="F121" s="7" t="str">
        <x:v>TR-A</x:v>
      </x:c>
      <x:c r="G121" s="7" t="str">
        <x:v>QE-02</x:v>
      </x:c>
      <x:c r="H121" s="7" t="str">
        <x:v>EV-07</x:v>
      </x:c>
      <x:c r="I121" s="10" t="str">
        <x:v>water state</x:v>
      </x:c>
      <x:c r="J121" s="10" t="str">
        <x:v>flow, rain, quench, foam and rinse separation</x:v>
      </x:c>
      <x:c r="K121" s="7" t="str"/>
      <x:c r="L121" s="7" t="str">
        <x:v>OPEN</x:v>
      </x:c>
    </x:row>
    <x:row r="122" ht="40" customHeight="1">
      <x:c r="B122" s="7" t="str">
        <x:v>RAE-E-10-EV-08</x:v>
      </x:c>
      <x:c r="C122" s="7" t="str">
        <x:v>RAE-E-10</x:v>
      </x:c>
      <x:c r="D122" s="7" t="str">
        <x:v>RFP-A2</x:v>
      </x:c>
      <x:c r="E122" s="7" t="str">
        <x:v>AM-05</x:v>
      </x:c>
      <x:c r="F122" s="7" t="str">
        <x:v>TR-A</x:v>
      </x:c>
      <x:c r="G122" s="7" t="str">
        <x:v>QE-02</x:v>
      </x:c>
      <x:c r="H122" s="7" t="str">
        <x:v>EV-08</x:v>
      </x:c>
      <x:c r="I122" s="10" t="str">
        <x:v>ancestry</x:v>
      </x:c>
      <x:c r="J122" s="10" t="str">
        <x:v>source and water root recovery plus cross-talk</x:v>
      </x:c>
      <x:c r="K122" s="7" t="str"/>
      <x:c r="L122" s="7" t="str">
        <x:v>OPEN</x:v>
      </x:c>
    </x:row>
    <x:row r="123" ht="40" customHeight="1">
      <x:c r="B123" s="7" t="str">
        <x:v>RAE-E-10-EV-09</x:v>
      </x:c>
      <x:c r="C123" s="7" t="str">
        <x:v>RAE-E-10</x:v>
      </x:c>
      <x:c r="D123" s="7" t="str">
        <x:v>RFP-A2</x:v>
      </x:c>
      <x:c r="E123" s="7" t="str">
        <x:v>AM-05</x:v>
      </x:c>
      <x:c r="F123" s="7" t="str">
        <x:v>TR-A</x:v>
      </x:c>
      <x:c r="G123" s="7" t="str">
        <x:v>QE-02</x:v>
      </x:c>
      <x:c r="H123" s="7" t="str">
        <x:v>EV-09</x:v>
      </x:c>
      <x:c r="I123" s="10" t="str">
        <x:v>environmental boundary</x:v>
      </x:c>
      <x:c r="J123" s="10" t="str">
        <x:v>background and post-event sample set</x:v>
      </x:c>
      <x:c r="K123" s="7" t="str"/>
      <x:c r="L123" s="7" t="str">
        <x:v>OPEN</x:v>
      </x:c>
    </x:row>
    <x:row r="124" ht="40" customHeight="1">
      <x:c r="B124" s="7" t="str">
        <x:v>RAE-E-10-EV-10</x:v>
      </x:c>
      <x:c r="C124" s="7" t="str">
        <x:v>RAE-E-10</x:v>
      </x:c>
      <x:c r="D124" s="7" t="str">
        <x:v>RFP-A2</x:v>
      </x:c>
      <x:c r="E124" s="7" t="str">
        <x:v>AM-05</x:v>
      </x:c>
      <x:c r="F124" s="7" t="str">
        <x:v>TR-A</x:v>
      </x:c>
      <x:c r="G124" s="7" t="str">
        <x:v>QE-02</x:v>
      </x:c>
      <x:c r="H124" s="7" t="str">
        <x:v>EV-10</x:v>
      </x:c>
      <x:c r="I124" s="10" t="str">
        <x:v>neighbor state</x:v>
      </x:c>
      <x:c r="J124" s="10" t="str">
        <x:v>three independent inert-state records</x:v>
      </x:c>
      <x:c r="K124" s="7" t="str"/>
      <x:c r="L124" s="7" t="str">
        <x:v>OPEN</x:v>
      </x:c>
    </x:row>
    <x:row r="125" ht="40" customHeight="1">
      <x:c r="B125" s="7" t="str">
        <x:v>RAE-E-10-EV-11</x:v>
      </x:c>
      <x:c r="C125" s="7" t="str">
        <x:v>RAE-E-10</x:v>
      </x:c>
      <x:c r="D125" s="7" t="str">
        <x:v>RFP-A2</x:v>
      </x:c>
      <x:c r="E125" s="7" t="str">
        <x:v>AM-05</x:v>
      </x:c>
      <x:c r="F125" s="7" t="str">
        <x:v>TR-A</x:v>
      </x:c>
      <x:c r="G125" s="7" t="str">
        <x:v>QE-02</x:v>
      </x:c>
      <x:c r="H125" s="7" t="str">
        <x:v>EV-11</x:v>
      </x:c>
      <x:c r="I125" s="10" t="str">
        <x:v>intervention state</x:v>
      </x:c>
      <x:c r="J125" s="10" t="str">
        <x:v>human, automatic and rescue actions</x:v>
      </x:c>
      <x:c r="K125" s="7" t="str"/>
      <x:c r="L125" s="7" t="str">
        <x:v>OPEN</x:v>
      </x:c>
    </x:row>
    <x:row r="126" ht="40" customHeight="1">
      <x:c r="B126" s="7" t="str">
        <x:v>RAE-E-10-EV-12</x:v>
      </x:c>
      <x:c r="C126" s="7" t="str">
        <x:v>RAE-E-10</x:v>
      </x:c>
      <x:c r="D126" s="7" t="str">
        <x:v>RFP-A2</x:v>
      </x:c>
      <x:c r="E126" s="7" t="str">
        <x:v>AM-05</x:v>
      </x:c>
      <x:c r="F126" s="7" t="str">
        <x:v>TR-A</x:v>
      </x:c>
      <x:c r="G126" s="7" t="str">
        <x:v>QE-02</x:v>
      </x:c>
      <x:c r="H126" s="7" t="str">
        <x:v>EV-12</x:v>
      </x:c>
      <x:c r="I126" s="10" t="str">
        <x:v>validity packet</x:v>
      </x:c>
      <x:c r="J126" s="10" t="str">
        <x:v>native hashes, causal map and board disposition</x:v>
      </x:c>
      <x:c r="K126" s="7" t="str"/>
      <x:c r="L126" s="7" t="str">
        <x:v>OPEN</x:v>
      </x:c>
    </x:row>
    <x:row r="127" ht="40" customHeight="1">
      <x:c r="B127" s="7" t="str">
        <x:v>RAE-E-11-EV-01</x:v>
      </x:c>
      <x:c r="C127" s="7" t="str">
        <x:v>RAE-E-11</x:v>
      </x:c>
      <x:c r="D127" s="7" t="str">
        <x:v>RFP-A2</x:v>
      </x:c>
      <x:c r="E127" s="7" t="str">
        <x:v>AM-05</x:v>
      </x:c>
      <x:c r="F127" s="7" t="str">
        <x:v>TR-B</x:v>
      </x:c>
      <x:c r="G127" s="7" t="str">
        <x:v>QE-01</x:v>
      </x:c>
      <x:c r="H127" s="7" t="str">
        <x:v>EV-01</x:v>
      </x:c>
      <x:c r="I127" s="10" t="str">
        <x:v>registered event baseline</x:v>
      </x:c>
      <x:c r="J127" s="10" t="str">
        <x:v>configuration master plus event register</x:v>
      </x:c>
      <x:c r="K127" s="7" t="str"/>
      <x:c r="L127" s="7" t="str">
        <x:v>OPEN</x:v>
      </x:c>
    </x:row>
    <x:row r="128" ht="40" customHeight="1">
      <x:c r="B128" s="7" t="str">
        <x:v>RAE-E-11-EV-02</x:v>
      </x:c>
      <x:c r="C128" s="7" t="str">
        <x:v>RAE-E-11</x:v>
      </x:c>
      <x:c r="D128" s="7" t="str">
        <x:v>RFP-A2</x:v>
      </x:c>
      <x:c r="E128" s="7" t="str">
        <x:v>AM-05</x:v>
      </x:c>
      <x:c r="F128" s="7" t="str">
        <x:v>TR-B</x:v>
      </x:c>
      <x:c r="G128" s="7" t="str">
        <x:v>QE-01</x:v>
      </x:c>
      <x:c r="H128" s="7" t="str">
        <x:v>EV-02</x:v>
      </x:c>
      <x:c r="I128" s="10" t="str">
        <x:v>source command and mass</x:v>
      </x:c>
      <x:c r="J128" s="10" t="str">
        <x:v>native command, load cells and custody ledger</x:v>
      </x:c>
      <x:c r="K128" s="7" t="str"/>
      <x:c r="L128" s="7" t="str">
        <x:v>OPEN</x:v>
      </x:c>
    </x:row>
    <x:row r="129" ht="40" customHeight="1">
      <x:c r="B129" s="7" t="str">
        <x:v>RAE-E-11-EV-03</x:v>
      </x:c>
      <x:c r="C129" s="7" t="str">
        <x:v>RAE-E-11</x:v>
      </x:c>
      <x:c r="D129" s="7" t="str">
        <x:v>RFP-A2</x:v>
      </x:c>
      <x:c r="E129" s="7" t="str">
        <x:v>AM-05</x:v>
      </x:c>
      <x:c r="F129" s="7" t="str">
        <x:v>TR-B</x:v>
      </x:c>
      <x:c r="G129" s="7" t="str">
        <x:v>QE-01</x:v>
      </x:c>
      <x:c r="H129" s="7" t="str">
        <x:v>EV-03</x:v>
      </x:c>
      <x:c r="I129" s="10" t="str">
        <x:v>final control states</x:v>
      </x:c>
      <x:c r="J129" s="10" t="str">
        <x:v>direct element sensors plus local latch</x:v>
      </x:c>
      <x:c r="K129" s="7" t="str"/>
      <x:c r="L129" s="7" t="str">
        <x:v>OPEN</x:v>
      </x:c>
    </x:row>
    <x:row r="130" ht="40" customHeight="1">
      <x:c r="B130" s="7" t="str">
        <x:v>RAE-E-11-EV-04</x:v>
      </x:c>
      <x:c r="C130" s="7" t="str">
        <x:v>RAE-E-11</x:v>
      </x:c>
      <x:c r="D130" s="7" t="str">
        <x:v>RFP-A2</x:v>
      </x:c>
      <x:c r="E130" s="7" t="str">
        <x:v>AM-05</x:v>
      </x:c>
      <x:c r="F130" s="7" t="str">
        <x:v>TR-B</x:v>
      </x:c>
      <x:c r="G130" s="7" t="str">
        <x:v>QE-01</x:v>
      </x:c>
      <x:c r="H130" s="7" t="str">
        <x:v>EV-04</x:v>
      </x:c>
      <x:c r="I130" s="10" t="str">
        <x:v>path action times</x:v>
      </x:c>
      <x:c r="J130" s="10" t="str">
        <x:v>common-epoch trigger and state transitions</x:v>
      </x:c>
      <x:c r="K130" s="7" t="str"/>
      <x:c r="L130" s="7" t="str">
        <x:v>OPEN</x:v>
      </x:c>
    </x:row>
    <x:row r="131" ht="40" customHeight="1">
      <x:c r="B131" s="7" t="str">
        <x:v>RAE-E-11-EV-05</x:v>
      </x:c>
      <x:c r="C131" s="7" t="str">
        <x:v>RAE-E-11</x:v>
      </x:c>
      <x:c r="D131" s="7" t="str">
        <x:v>RFP-A2</x:v>
      </x:c>
      <x:c r="E131" s="7" t="str">
        <x:v>AM-05</x:v>
      </x:c>
      <x:c r="F131" s="7" t="str">
        <x:v>TR-B</x:v>
      </x:c>
      <x:c r="G131" s="7" t="str">
        <x:v>QE-01</x:v>
      </x:c>
      <x:c r="H131" s="7" t="str">
        <x:v>EV-05</x:v>
      </x:c>
      <x:c r="I131" s="10" t="str">
        <x:v>receiver inventories</x:v>
      </x:c>
      <x:c r="J131" s="10" t="str">
        <x:v>before, peak and after volume measurements</x:v>
      </x:c>
      <x:c r="K131" s="7" t="str"/>
      <x:c r="L131" s="7" t="str">
        <x:v>OPEN</x:v>
      </x:c>
    </x:row>
    <x:row r="132" ht="40" customHeight="1">
      <x:c r="B132" s="7" t="str">
        <x:v>RAE-E-11-EV-06</x:v>
      </x:c>
      <x:c r="C132" s="7" t="str">
        <x:v>RAE-E-11</x:v>
      </x:c>
      <x:c r="D132" s="7" t="str">
        <x:v>RFP-A2</x:v>
      </x:c>
      <x:c r="E132" s="7" t="str">
        <x:v>AM-05</x:v>
      </x:c>
      <x:c r="F132" s="7" t="str">
        <x:v>TR-B</x:v>
      </x:c>
      <x:c r="G132" s="7" t="str">
        <x:v>QE-01</x:v>
      </x:c>
      <x:c r="H132" s="7" t="str">
        <x:v>EV-06</x:v>
      </x:c>
      <x:c r="I132" s="10" t="str">
        <x:v>thermal field</x:v>
      </x:c>
      <x:c r="J132" s="10" t="str">
        <x:v>radiometry, heat flux and local weather</x:v>
      </x:c>
      <x:c r="K132" s="7" t="str"/>
      <x:c r="L132" s="7" t="str">
        <x:v>OPEN</x:v>
      </x:c>
    </x:row>
    <x:row r="133" ht="40" customHeight="1">
      <x:c r="B133" s="7" t="str">
        <x:v>RAE-E-11-EV-07</x:v>
      </x:c>
      <x:c r="C133" s="7" t="str">
        <x:v>RAE-E-11</x:v>
      </x:c>
      <x:c r="D133" s="7" t="str">
        <x:v>RFP-A2</x:v>
      </x:c>
      <x:c r="E133" s="7" t="str">
        <x:v>AM-05</x:v>
      </x:c>
      <x:c r="F133" s="7" t="str">
        <x:v>TR-B</x:v>
      </x:c>
      <x:c r="G133" s="7" t="str">
        <x:v>QE-01</x:v>
      </x:c>
      <x:c r="H133" s="7" t="str">
        <x:v>EV-07</x:v>
      </x:c>
      <x:c r="I133" s="10" t="str">
        <x:v>water state</x:v>
      </x:c>
      <x:c r="J133" s="10" t="str">
        <x:v>flow, rain, quench, foam and rinse separation</x:v>
      </x:c>
      <x:c r="K133" s="7" t="str"/>
      <x:c r="L133" s="7" t="str">
        <x:v>OPEN</x:v>
      </x:c>
    </x:row>
    <x:row r="134" ht="40" customHeight="1">
      <x:c r="B134" s="7" t="str">
        <x:v>RAE-E-11-EV-08</x:v>
      </x:c>
      <x:c r="C134" s="7" t="str">
        <x:v>RAE-E-11</x:v>
      </x:c>
      <x:c r="D134" s="7" t="str">
        <x:v>RFP-A2</x:v>
      </x:c>
      <x:c r="E134" s="7" t="str">
        <x:v>AM-05</x:v>
      </x:c>
      <x:c r="F134" s="7" t="str">
        <x:v>TR-B</x:v>
      </x:c>
      <x:c r="G134" s="7" t="str">
        <x:v>QE-01</x:v>
      </x:c>
      <x:c r="H134" s="7" t="str">
        <x:v>EV-08</x:v>
      </x:c>
      <x:c r="I134" s="10" t="str">
        <x:v>ancestry</x:v>
      </x:c>
      <x:c r="J134" s="10" t="str">
        <x:v>source and water root recovery plus cross-talk</x:v>
      </x:c>
      <x:c r="K134" s="7" t="str"/>
      <x:c r="L134" s="7" t="str">
        <x:v>OPEN</x:v>
      </x:c>
    </x:row>
    <x:row r="135" ht="40" customHeight="1">
      <x:c r="B135" s="7" t="str">
        <x:v>RAE-E-11-EV-09</x:v>
      </x:c>
      <x:c r="C135" s="7" t="str">
        <x:v>RAE-E-11</x:v>
      </x:c>
      <x:c r="D135" s="7" t="str">
        <x:v>RFP-A2</x:v>
      </x:c>
      <x:c r="E135" s="7" t="str">
        <x:v>AM-05</x:v>
      </x:c>
      <x:c r="F135" s="7" t="str">
        <x:v>TR-B</x:v>
      </x:c>
      <x:c r="G135" s="7" t="str">
        <x:v>QE-01</x:v>
      </x:c>
      <x:c r="H135" s="7" t="str">
        <x:v>EV-09</x:v>
      </x:c>
      <x:c r="I135" s="10" t="str">
        <x:v>environmental boundary</x:v>
      </x:c>
      <x:c r="J135" s="10" t="str">
        <x:v>background and post-event sample set</x:v>
      </x:c>
      <x:c r="K135" s="7" t="str"/>
      <x:c r="L135" s="7" t="str">
        <x:v>OPEN</x:v>
      </x:c>
    </x:row>
    <x:row r="136" ht="40" customHeight="1">
      <x:c r="B136" s="7" t="str">
        <x:v>RAE-E-11-EV-10</x:v>
      </x:c>
      <x:c r="C136" s="7" t="str">
        <x:v>RAE-E-11</x:v>
      </x:c>
      <x:c r="D136" s="7" t="str">
        <x:v>RFP-A2</x:v>
      </x:c>
      <x:c r="E136" s="7" t="str">
        <x:v>AM-05</x:v>
      </x:c>
      <x:c r="F136" s="7" t="str">
        <x:v>TR-B</x:v>
      </x:c>
      <x:c r="G136" s="7" t="str">
        <x:v>QE-01</x:v>
      </x:c>
      <x:c r="H136" s="7" t="str">
        <x:v>EV-10</x:v>
      </x:c>
      <x:c r="I136" s="10" t="str">
        <x:v>neighbor state</x:v>
      </x:c>
      <x:c r="J136" s="10" t="str">
        <x:v>three independent inert-state records</x:v>
      </x:c>
      <x:c r="K136" s="7" t="str"/>
      <x:c r="L136" s="7" t="str">
        <x:v>OPEN</x:v>
      </x:c>
    </x:row>
    <x:row r="137" ht="40" customHeight="1">
      <x:c r="B137" s="7" t="str">
        <x:v>RAE-E-11-EV-11</x:v>
      </x:c>
      <x:c r="C137" s="7" t="str">
        <x:v>RAE-E-11</x:v>
      </x:c>
      <x:c r="D137" s="7" t="str">
        <x:v>RFP-A2</x:v>
      </x:c>
      <x:c r="E137" s="7" t="str">
        <x:v>AM-05</x:v>
      </x:c>
      <x:c r="F137" s="7" t="str">
        <x:v>TR-B</x:v>
      </x:c>
      <x:c r="G137" s="7" t="str">
        <x:v>QE-01</x:v>
      </x:c>
      <x:c r="H137" s="7" t="str">
        <x:v>EV-11</x:v>
      </x:c>
      <x:c r="I137" s="10" t="str">
        <x:v>intervention state</x:v>
      </x:c>
      <x:c r="J137" s="10" t="str">
        <x:v>human, automatic and rescue actions</x:v>
      </x:c>
      <x:c r="K137" s="7" t="str"/>
      <x:c r="L137" s="7" t="str">
        <x:v>OPEN</x:v>
      </x:c>
    </x:row>
    <x:row r="138" ht="40" customHeight="1">
      <x:c r="B138" s="7" t="str">
        <x:v>RAE-E-11-EV-12</x:v>
      </x:c>
      <x:c r="C138" s="7" t="str">
        <x:v>RAE-E-11</x:v>
      </x:c>
      <x:c r="D138" s="7" t="str">
        <x:v>RFP-A2</x:v>
      </x:c>
      <x:c r="E138" s="7" t="str">
        <x:v>AM-05</x:v>
      </x:c>
      <x:c r="F138" s="7" t="str">
        <x:v>TR-B</x:v>
      </x:c>
      <x:c r="G138" s="7" t="str">
        <x:v>QE-01</x:v>
      </x:c>
      <x:c r="H138" s="7" t="str">
        <x:v>EV-12</x:v>
      </x:c>
      <x:c r="I138" s="10" t="str">
        <x:v>validity packet</x:v>
      </x:c>
      <x:c r="J138" s="10" t="str">
        <x:v>native hashes, causal map and board disposition</x:v>
      </x:c>
      <x:c r="K138" s="7" t="str"/>
      <x:c r="L138" s="7" t="str">
        <x:v>OPEN</x:v>
      </x:c>
    </x:row>
    <x:row r="139" ht="40" customHeight="1">
      <x:c r="B139" s="7" t="str">
        <x:v>RAE-E-12-EV-01</x:v>
      </x:c>
      <x:c r="C139" s="7" t="str">
        <x:v>RAE-E-12</x:v>
      </x:c>
      <x:c r="D139" s="7" t="str">
        <x:v>RFP-A2</x:v>
      </x:c>
      <x:c r="E139" s="7" t="str">
        <x:v>AM-05</x:v>
      </x:c>
      <x:c r="F139" s="7" t="str">
        <x:v>TR-B</x:v>
      </x:c>
      <x:c r="G139" s="7" t="str">
        <x:v>QE-02</x:v>
      </x:c>
      <x:c r="H139" s="7" t="str">
        <x:v>EV-01</x:v>
      </x:c>
      <x:c r="I139" s="10" t="str">
        <x:v>registered event baseline</x:v>
      </x:c>
      <x:c r="J139" s="10" t="str">
        <x:v>configuration master plus event register</x:v>
      </x:c>
      <x:c r="K139" s="7" t="str"/>
      <x:c r="L139" s="7" t="str">
        <x:v>OPEN</x:v>
      </x:c>
    </x:row>
    <x:row r="140" ht="40" customHeight="1">
      <x:c r="B140" s="7" t="str">
        <x:v>RAE-E-12-EV-02</x:v>
      </x:c>
      <x:c r="C140" s="7" t="str">
        <x:v>RAE-E-12</x:v>
      </x:c>
      <x:c r="D140" s="7" t="str">
        <x:v>RFP-A2</x:v>
      </x:c>
      <x:c r="E140" s="7" t="str">
        <x:v>AM-05</x:v>
      </x:c>
      <x:c r="F140" s="7" t="str">
        <x:v>TR-B</x:v>
      </x:c>
      <x:c r="G140" s="7" t="str">
        <x:v>QE-02</x:v>
      </x:c>
      <x:c r="H140" s="7" t="str">
        <x:v>EV-02</x:v>
      </x:c>
      <x:c r="I140" s="10" t="str">
        <x:v>source command and mass</x:v>
      </x:c>
      <x:c r="J140" s="10" t="str">
        <x:v>native command, load cells and custody ledger</x:v>
      </x:c>
      <x:c r="K140" s="7" t="str"/>
      <x:c r="L140" s="7" t="str">
        <x:v>OPEN</x:v>
      </x:c>
    </x:row>
    <x:row r="141" ht="40" customHeight="1">
      <x:c r="B141" s="7" t="str">
        <x:v>RAE-E-12-EV-03</x:v>
      </x:c>
      <x:c r="C141" s="7" t="str">
        <x:v>RAE-E-12</x:v>
      </x:c>
      <x:c r="D141" s="7" t="str">
        <x:v>RFP-A2</x:v>
      </x:c>
      <x:c r="E141" s="7" t="str">
        <x:v>AM-05</x:v>
      </x:c>
      <x:c r="F141" s="7" t="str">
        <x:v>TR-B</x:v>
      </x:c>
      <x:c r="G141" s="7" t="str">
        <x:v>QE-02</x:v>
      </x:c>
      <x:c r="H141" s="7" t="str">
        <x:v>EV-03</x:v>
      </x:c>
      <x:c r="I141" s="10" t="str">
        <x:v>final control states</x:v>
      </x:c>
      <x:c r="J141" s="10" t="str">
        <x:v>direct element sensors plus local latch</x:v>
      </x:c>
      <x:c r="K141" s="7" t="str"/>
      <x:c r="L141" s="7" t="str">
        <x:v>OPEN</x:v>
      </x:c>
    </x:row>
    <x:row r="142" ht="40" customHeight="1">
      <x:c r="B142" s="7" t="str">
        <x:v>RAE-E-12-EV-04</x:v>
      </x:c>
      <x:c r="C142" s="7" t="str">
        <x:v>RAE-E-12</x:v>
      </x:c>
      <x:c r="D142" s="7" t="str">
        <x:v>RFP-A2</x:v>
      </x:c>
      <x:c r="E142" s="7" t="str">
        <x:v>AM-05</x:v>
      </x:c>
      <x:c r="F142" s="7" t="str">
        <x:v>TR-B</x:v>
      </x:c>
      <x:c r="G142" s="7" t="str">
        <x:v>QE-02</x:v>
      </x:c>
      <x:c r="H142" s="7" t="str">
        <x:v>EV-04</x:v>
      </x:c>
      <x:c r="I142" s="10" t="str">
        <x:v>path action times</x:v>
      </x:c>
      <x:c r="J142" s="10" t="str">
        <x:v>common-epoch trigger and state transitions</x:v>
      </x:c>
      <x:c r="K142" s="7" t="str"/>
      <x:c r="L142" s="7" t="str">
        <x:v>OPEN</x:v>
      </x:c>
    </x:row>
    <x:row r="143" ht="40" customHeight="1">
      <x:c r="B143" s="7" t="str">
        <x:v>RAE-E-12-EV-05</x:v>
      </x:c>
      <x:c r="C143" s="7" t="str">
        <x:v>RAE-E-12</x:v>
      </x:c>
      <x:c r="D143" s="7" t="str">
        <x:v>RFP-A2</x:v>
      </x:c>
      <x:c r="E143" s="7" t="str">
        <x:v>AM-05</x:v>
      </x:c>
      <x:c r="F143" s="7" t="str">
        <x:v>TR-B</x:v>
      </x:c>
      <x:c r="G143" s="7" t="str">
        <x:v>QE-02</x:v>
      </x:c>
      <x:c r="H143" s="7" t="str">
        <x:v>EV-05</x:v>
      </x:c>
      <x:c r="I143" s="10" t="str">
        <x:v>receiver inventories</x:v>
      </x:c>
      <x:c r="J143" s="10" t="str">
        <x:v>before, peak and after volume measurements</x:v>
      </x:c>
      <x:c r="K143" s="7" t="str"/>
      <x:c r="L143" s="7" t="str">
        <x:v>OPEN</x:v>
      </x:c>
    </x:row>
    <x:row r="144" ht="40" customHeight="1">
      <x:c r="B144" s="7" t="str">
        <x:v>RAE-E-12-EV-06</x:v>
      </x:c>
      <x:c r="C144" s="7" t="str">
        <x:v>RAE-E-12</x:v>
      </x:c>
      <x:c r="D144" s="7" t="str">
        <x:v>RFP-A2</x:v>
      </x:c>
      <x:c r="E144" s="7" t="str">
        <x:v>AM-05</x:v>
      </x:c>
      <x:c r="F144" s="7" t="str">
        <x:v>TR-B</x:v>
      </x:c>
      <x:c r="G144" s="7" t="str">
        <x:v>QE-02</x:v>
      </x:c>
      <x:c r="H144" s="7" t="str">
        <x:v>EV-06</x:v>
      </x:c>
      <x:c r="I144" s="10" t="str">
        <x:v>thermal field</x:v>
      </x:c>
      <x:c r="J144" s="10" t="str">
        <x:v>radiometry, heat flux and local weather</x:v>
      </x:c>
      <x:c r="K144" s="7" t="str"/>
      <x:c r="L144" s="7" t="str">
        <x:v>OPEN</x:v>
      </x:c>
    </x:row>
    <x:row r="145" ht="40" customHeight="1">
      <x:c r="B145" s="7" t="str">
        <x:v>RAE-E-12-EV-07</x:v>
      </x:c>
      <x:c r="C145" s="7" t="str">
        <x:v>RAE-E-12</x:v>
      </x:c>
      <x:c r="D145" s="7" t="str">
        <x:v>RFP-A2</x:v>
      </x:c>
      <x:c r="E145" s="7" t="str">
        <x:v>AM-05</x:v>
      </x:c>
      <x:c r="F145" s="7" t="str">
        <x:v>TR-B</x:v>
      </x:c>
      <x:c r="G145" s="7" t="str">
        <x:v>QE-02</x:v>
      </x:c>
      <x:c r="H145" s="7" t="str">
        <x:v>EV-07</x:v>
      </x:c>
      <x:c r="I145" s="10" t="str">
        <x:v>water state</x:v>
      </x:c>
      <x:c r="J145" s="10" t="str">
        <x:v>flow, rain, quench, foam and rinse separation</x:v>
      </x:c>
      <x:c r="K145" s="7" t="str"/>
      <x:c r="L145" s="7" t="str">
        <x:v>OPEN</x:v>
      </x:c>
    </x:row>
    <x:row r="146" ht="40" customHeight="1">
      <x:c r="B146" s="7" t="str">
        <x:v>RAE-E-12-EV-08</x:v>
      </x:c>
      <x:c r="C146" s="7" t="str">
        <x:v>RAE-E-12</x:v>
      </x:c>
      <x:c r="D146" s="7" t="str">
        <x:v>RFP-A2</x:v>
      </x:c>
      <x:c r="E146" s="7" t="str">
        <x:v>AM-05</x:v>
      </x:c>
      <x:c r="F146" s="7" t="str">
        <x:v>TR-B</x:v>
      </x:c>
      <x:c r="G146" s="7" t="str">
        <x:v>QE-02</x:v>
      </x:c>
      <x:c r="H146" s="7" t="str">
        <x:v>EV-08</x:v>
      </x:c>
      <x:c r="I146" s="10" t="str">
        <x:v>ancestry</x:v>
      </x:c>
      <x:c r="J146" s="10" t="str">
        <x:v>source and water root recovery plus cross-talk</x:v>
      </x:c>
      <x:c r="K146" s="7" t="str"/>
      <x:c r="L146" s="7" t="str">
        <x:v>OPEN</x:v>
      </x:c>
    </x:row>
    <x:row r="147" ht="40" customHeight="1">
      <x:c r="B147" s="7" t="str">
        <x:v>RAE-E-12-EV-09</x:v>
      </x:c>
      <x:c r="C147" s="7" t="str">
        <x:v>RAE-E-12</x:v>
      </x:c>
      <x:c r="D147" s="7" t="str">
        <x:v>RFP-A2</x:v>
      </x:c>
      <x:c r="E147" s="7" t="str">
        <x:v>AM-05</x:v>
      </x:c>
      <x:c r="F147" s="7" t="str">
        <x:v>TR-B</x:v>
      </x:c>
      <x:c r="G147" s="7" t="str">
        <x:v>QE-02</x:v>
      </x:c>
      <x:c r="H147" s="7" t="str">
        <x:v>EV-09</x:v>
      </x:c>
      <x:c r="I147" s="10" t="str">
        <x:v>environmental boundary</x:v>
      </x:c>
      <x:c r="J147" s="10" t="str">
        <x:v>background and post-event sample set</x:v>
      </x:c>
      <x:c r="K147" s="7" t="str"/>
      <x:c r="L147" s="7" t="str">
        <x:v>OPEN</x:v>
      </x:c>
    </x:row>
    <x:row r="148" ht="40" customHeight="1">
      <x:c r="B148" s="7" t="str">
        <x:v>RAE-E-12-EV-10</x:v>
      </x:c>
      <x:c r="C148" s="7" t="str">
        <x:v>RAE-E-12</x:v>
      </x:c>
      <x:c r="D148" s="7" t="str">
        <x:v>RFP-A2</x:v>
      </x:c>
      <x:c r="E148" s="7" t="str">
        <x:v>AM-05</x:v>
      </x:c>
      <x:c r="F148" s="7" t="str">
        <x:v>TR-B</x:v>
      </x:c>
      <x:c r="G148" s="7" t="str">
        <x:v>QE-02</x:v>
      </x:c>
      <x:c r="H148" s="7" t="str">
        <x:v>EV-10</x:v>
      </x:c>
      <x:c r="I148" s="10" t="str">
        <x:v>neighbor state</x:v>
      </x:c>
      <x:c r="J148" s="10" t="str">
        <x:v>three independent inert-state records</x:v>
      </x:c>
      <x:c r="K148" s="7" t="str"/>
      <x:c r="L148" s="7" t="str">
        <x:v>OPEN</x:v>
      </x:c>
    </x:row>
    <x:row r="149" ht="40" customHeight="1">
      <x:c r="B149" s="7" t="str">
        <x:v>RAE-E-12-EV-11</x:v>
      </x:c>
      <x:c r="C149" s="7" t="str">
        <x:v>RAE-E-12</x:v>
      </x:c>
      <x:c r="D149" s="7" t="str">
        <x:v>RFP-A2</x:v>
      </x:c>
      <x:c r="E149" s="7" t="str">
        <x:v>AM-05</x:v>
      </x:c>
      <x:c r="F149" s="7" t="str">
        <x:v>TR-B</x:v>
      </x:c>
      <x:c r="G149" s="7" t="str">
        <x:v>QE-02</x:v>
      </x:c>
      <x:c r="H149" s="7" t="str">
        <x:v>EV-11</x:v>
      </x:c>
      <x:c r="I149" s="10" t="str">
        <x:v>intervention state</x:v>
      </x:c>
      <x:c r="J149" s="10" t="str">
        <x:v>human, automatic and rescue actions</x:v>
      </x:c>
      <x:c r="K149" s="7" t="str"/>
      <x:c r="L149" s="7" t="str">
        <x:v>OPEN</x:v>
      </x:c>
    </x:row>
    <x:row r="150" ht="40" customHeight="1">
      <x:c r="B150" s="7" t="str">
        <x:v>RAE-E-12-EV-12</x:v>
      </x:c>
      <x:c r="C150" s="7" t="str">
        <x:v>RAE-E-12</x:v>
      </x:c>
      <x:c r="D150" s="7" t="str">
        <x:v>RFP-A2</x:v>
      </x:c>
      <x:c r="E150" s="7" t="str">
        <x:v>AM-05</x:v>
      </x:c>
      <x:c r="F150" s="7" t="str">
        <x:v>TR-B</x:v>
      </x:c>
      <x:c r="G150" s="7" t="str">
        <x:v>QE-02</x:v>
      </x:c>
      <x:c r="H150" s="7" t="str">
        <x:v>EV-12</x:v>
      </x:c>
      <x:c r="I150" s="10" t="str">
        <x:v>validity packet</x:v>
      </x:c>
      <x:c r="J150" s="10" t="str">
        <x:v>native hashes, causal map and board disposition</x:v>
      </x:c>
      <x:c r="K150" s="7" t="str"/>
      <x:c r="L150" s="7" t="str">
        <x:v>OPEN</x:v>
      </x:c>
    </x:row>
    <x:row r="151" ht="40" customHeight="1">
      <x:c r="B151" s="7" t="str">
        <x:v>RAE-E-13-EV-01</x:v>
      </x:c>
      <x:c r="C151" s="7" t="str">
        <x:v>RAE-E-13</x:v>
      </x:c>
      <x:c r="D151" s="7" t="str">
        <x:v>RFP-A2</x:v>
      </x:c>
      <x:c r="E151" s="7" t="str">
        <x:v>AM-06</x:v>
      </x:c>
      <x:c r="F151" s="7" t="str">
        <x:v>TR-A</x:v>
      </x:c>
      <x:c r="G151" s="7" t="str">
        <x:v>QE-01</x:v>
      </x:c>
      <x:c r="H151" s="7" t="str">
        <x:v>EV-01</x:v>
      </x:c>
      <x:c r="I151" s="10" t="str">
        <x:v>registered event baseline</x:v>
      </x:c>
      <x:c r="J151" s="10" t="str">
        <x:v>configuration master plus event register</x:v>
      </x:c>
      <x:c r="K151" s="7" t="str"/>
      <x:c r="L151" s="7" t="str">
        <x:v>OPEN</x:v>
      </x:c>
    </x:row>
    <x:row r="152" ht="40" customHeight="1">
      <x:c r="B152" s="7" t="str">
        <x:v>RAE-E-13-EV-02</x:v>
      </x:c>
      <x:c r="C152" s="7" t="str">
        <x:v>RAE-E-13</x:v>
      </x:c>
      <x:c r="D152" s="7" t="str">
        <x:v>RFP-A2</x:v>
      </x:c>
      <x:c r="E152" s="7" t="str">
        <x:v>AM-06</x:v>
      </x:c>
      <x:c r="F152" s="7" t="str">
        <x:v>TR-A</x:v>
      </x:c>
      <x:c r="G152" s="7" t="str">
        <x:v>QE-01</x:v>
      </x:c>
      <x:c r="H152" s="7" t="str">
        <x:v>EV-02</x:v>
      </x:c>
      <x:c r="I152" s="10" t="str">
        <x:v>source command and mass</x:v>
      </x:c>
      <x:c r="J152" s="10" t="str">
        <x:v>native command, load cells and custody ledger</x:v>
      </x:c>
      <x:c r="K152" s="7" t="str"/>
      <x:c r="L152" s="7" t="str">
        <x:v>OPEN</x:v>
      </x:c>
    </x:row>
    <x:row r="153" ht="40" customHeight="1">
      <x:c r="B153" s="7" t="str">
        <x:v>RAE-E-13-EV-03</x:v>
      </x:c>
      <x:c r="C153" s="7" t="str">
        <x:v>RAE-E-13</x:v>
      </x:c>
      <x:c r="D153" s="7" t="str">
        <x:v>RFP-A2</x:v>
      </x:c>
      <x:c r="E153" s="7" t="str">
        <x:v>AM-06</x:v>
      </x:c>
      <x:c r="F153" s="7" t="str">
        <x:v>TR-A</x:v>
      </x:c>
      <x:c r="G153" s="7" t="str">
        <x:v>QE-01</x:v>
      </x:c>
      <x:c r="H153" s="7" t="str">
        <x:v>EV-03</x:v>
      </x:c>
      <x:c r="I153" s="10" t="str">
        <x:v>final control states</x:v>
      </x:c>
      <x:c r="J153" s="10" t="str">
        <x:v>direct element sensors plus local latch</x:v>
      </x:c>
      <x:c r="K153" s="7" t="str"/>
      <x:c r="L153" s="7" t="str">
        <x:v>OPEN</x:v>
      </x:c>
    </x:row>
    <x:row r="154" ht="40" customHeight="1">
      <x:c r="B154" s="7" t="str">
        <x:v>RAE-E-13-EV-04</x:v>
      </x:c>
      <x:c r="C154" s="7" t="str">
        <x:v>RAE-E-13</x:v>
      </x:c>
      <x:c r="D154" s="7" t="str">
        <x:v>RFP-A2</x:v>
      </x:c>
      <x:c r="E154" s="7" t="str">
        <x:v>AM-06</x:v>
      </x:c>
      <x:c r="F154" s="7" t="str">
        <x:v>TR-A</x:v>
      </x:c>
      <x:c r="G154" s="7" t="str">
        <x:v>QE-01</x:v>
      </x:c>
      <x:c r="H154" s="7" t="str">
        <x:v>EV-04</x:v>
      </x:c>
      <x:c r="I154" s="10" t="str">
        <x:v>path action times</x:v>
      </x:c>
      <x:c r="J154" s="10" t="str">
        <x:v>common-epoch trigger and state transitions</x:v>
      </x:c>
      <x:c r="K154" s="7" t="str"/>
      <x:c r="L154" s="7" t="str">
        <x:v>OPEN</x:v>
      </x:c>
    </x:row>
    <x:row r="155" ht="40" customHeight="1">
      <x:c r="B155" s="7" t="str">
        <x:v>RAE-E-13-EV-05</x:v>
      </x:c>
      <x:c r="C155" s="7" t="str">
        <x:v>RAE-E-13</x:v>
      </x:c>
      <x:c r="D155" s="7" t="str">
        <x:v>RFP-A2</x:v>
      </x:c>
      <x:c r="E155" s="7" t="str">
        <x:v>AM-06</x:v>
      </x:c>
      <x:c r="F155" s="7" t="str">
        <x:v>TR-A</x:v>
      </x:c>
      <x:c r="G155" s="7" t="str">
        <x:v>QE-01</x:v>
      </x:c>
      <x:c r="H155" s="7" t="str">
        <x:v>EV-05</x:v>
      </x:c>
      <x:c r="I155" s="10" t="str">
        <x:v>receiver inventories</x:v>
      </x:c>
      <x:c r="J155" s="10" t="str">
        <x:v>before, peak and after volume measurements</x:v>
      </x:c>
      <x:c r="K155" s="7" t="str"/>
      <x:c r="L155" s="7" t="str">
        <x:v>OPEN</x:v>
      </x:c>
    </x:row>
    <x:row r="156" ht="40" customHeight="1">
      <x:c r="B156" s="7" t="str">
        <x:v>RAE-E-13-EV-06</x:v>
      </x:c>
      <x:c r="C156" s="7" t="str">
        <x:v>RAE-E-13</x:v>
      </x:c>
      <x:c r="D156" s="7" t="str">
        <x:v>RFP-A2</x:v>
      </x:c>
      <x:c r="E156" s="7" t="str">
        <x:v>AM-06</x:v>
      </x:c>
      <x:c r="F156" s="7" t="str">
        <x:v>TR-A</x:v>
      </x:c>
      <x:c r="G156" s="7" t="str">
        <x:v>QE-01</x:v>
      </x:c>
      <x:c r="H156" s="7" t="str">
        <x:v>EV-06</x:v>
      </x:c>
      <x:c r="I156" s="10" t="str">
        <x:v>thermal field</x:v>
      </x:c>
      <x:c r="J156" s="10" t="str">
        <x:v>radiometry, heat flux and local weather</x:v>
      </x:c>
      <x:c r="K156" s="7" t="str"/>
      <x:c r="L156" s="7" t="str">
        <x:v>OPEN</x:v>
      </x:c>
    </x:row>
    <x:row r="157" ht="40" customHeight="1">
      <x:c r="B157" s="7" t="str">
        <x:v>RAE-E-13-EV-07</x:v>
      </x:c>
      <x:c r="C157" s="7" t="str">
        <x:v>RAE-E-13</x:v>
      </x:c>
      <x:c r="D157" s="7" t="str">
        <x:v>RFP-A2</x:v>
      </x:c>
      <x:c r="E157" s="7" t="str">
        <x:v>AM-06</x:v>
      </x:c>
      <x:c r="F157" s="7" t="str">
        <x:v>TR-A</x:v>
      </x:c>
      <x:c r="G157" s="7" t="str">
        <x:v>QE-01</x:v>
      </x:c>
      <x:c r="H157" s="7" t="str">
        <x:v>EV-07</x:v>
      </x:c>
      <x:c r="I157" s="10" t="str">
        <x:v>water state</x:v>
      </x:c>
      <x:c r="J157" s="10" t="str">
        <x:v>flow, rain, quench, foam and rinse separation</x:v>
      </x:c>
      <x:c r="K157" s="7" t="str"/>
      <x:c r="L157" s="7" t="str">
        <x:v>OPEN</x:v>
      </x:c>
    </x:row>
    <x:row r="158" ht="40" customHeight="1">
      <x:c r="B158" s="7" t="str">
        <x:v>RAE-E-13-EV-08</x:v>
      </x:c>
      <x:c r="C158" s="7" t="str">
        <x:v>RAE-E-13</x:v>
      </x:c>
      <x:c r="D158" s="7" t="str">
        <x:v>RFP-A2</x:v>
      </x:c>
      <x:c r="E158" s="7" t="str">
        <x:v>AM-06</x:v>
      </x:c>
      <x:c r="F158" s="7" t="str">
        <x:v>TR-A</x:v>
      </x:c>
      <x:c r="G158" s="7" t="str">
        <x:v>QE-01</x:v>
      </x:c>
      <x:c r="H158" s="7" t="str">
        <x:v>EV-08</x:v>
      </x:c>
      <x:c r="I158" s="10" t="str">
        <x:v>ancestry</x:v>
      </x:c>
      <x:c r="J158" s="10" t="str">
        <x:v>source and water root recovery plus cross-talk</x:v>
      </x:c>
      <x:c r="K158" s="7" t="str"/>
      <x:c r="L158" s="7" t="str">
        <x:v>OPEN</x:v>
      </x:c>
    </x:row>
    <x:row r="159" ht="40" customHeight="1">
      <x:c r="B159" s="7" t="str">
        <x:v>RAE-E-13-EV-09</x:v>
      </x:c>
      <x:c r="C159" s="7" t="str">
        <x:v>RAE-E-13</x:v>
      </x:c>
      <x:c r="D159" s="7" t="str">
        <x:v>RFP-A2</x:v>
      </x:c>
      <x:c r="E159" s="7" t="str">
        <x:v>AM-06</x:v>
      </x:c>
      <x:c r="F159" s="7" t="str">
        <x:v>TR-A</x:v>
      </x:c>
      <x:c r="G159" s="7" t="str">
        <x:v>QE-01</x:v>
      </x:c>
      <x:c r="H159" s="7" t="str">
        <x:v>EV-09</x:v>
      </x:c>
      <x:c r="I159" s="10" t="str">
        <x:v>environmental boundary</x:v>
      </x:c>
      <x:c r="J159" s="10" t="str">
        <x:v>background and post-event sample set</x:v>
      </x:c>
      <x:c r="K159" s="7" t="str"/>
      <x:c r="L159" s="7" t="str">
        <x:v>OPEN</x:v>
      </x:c>
    </x:row>
    <x:row r="160" ht="40" customHeight="1">
      <x:c r="B160" s="7" t="str">
        <x:v>RAE-E-13-EV-10</x:v>
      </x:c>
      <x:c r="C160" s="7" t="str">
        <x:v>RAE-E-13</x:v>
      </x:c>
      <x:c r="D160" s="7" t="str">
        <x:v>RFP-A2</x:v>
      </x:c>
      <x:c r="E160" s="7" t="str">
        <x:v>AM-06</x:v>
      </x:c>
      <x:c r="F160" s="7" t="str">
        <x:v>TR-A</x:v>
      </x:c>
      <x:c r="G160" s="7" t="str">
        <x:v>QE-01</x:v>
      </x:c>
      <x:c r="H160" s="7" t="str">
        <x:v>EV-10</x:v>
      </x:c>
      <x:c r="I160" s="10" t="str">
        <x:v>neighbor state</x:v>
      </x:c>
      <x:c r="J160" s="10" t="str">
        <x:v>three independent inert-state records</x:v>
      </x:c>
      <x:c r="K160" s="7" t="str"/>
      <x:c r="L160" s="7" t="str">
        <x:v>OPEN</x:v>
      </x:c>
    </x:row>
    <x:row r="161" ht="40" customHeight="1">
      <x:c r="B161" s="7" t="str">
        <x:v>RAE-E-13-EV-11</x:v>
      </x:c>
      <x:c r="C161" s="7" t="str">
        <x:v>RAE-E-13</x:v>
      </x:c>
      <x:c r="D161" s="7" t="str">
        <x:v>RFP-A2</x:v>
      </x:c>
      <x:c r="E161" s="7" t="str">
        <x:v>AM-06</x:v>
      </x:c>
      <x:c r="F161" s="7" t="str">
        <x:v>TR-A</x:v>
      </x:c>
      <x:c r="G161" s="7" t="str">
        <x:v>QE-01</x:v>
      </x:c>
      <x:c r="H161" s="7" t="str">
        <x:v>EV-11</x:v>
      </x:c>
      <x:c r="I161" s="10" t="str">
        <x:v>intervention state</x:v>
      </x:c>
      <x:c r="J161" s="10" t="str">
        <x:v>human, automatic and rescue actions</x:v>
      </x:c>
      <x:c r="K161" s="7" t="str"/>
      <x:c r="L161" s="7" t="str">
        <x:v>OPEN</x:v>
      </x:c>
    </x:row>
    <x:row r="162" ht="40" customHeight="1">
      <x:c r="B162" s="7" t="str">
        <x:v>RAE-E-13-EV-12</x:v>
      </x:c>
      <x:c r="C162" s="7" t="str">
        <x:v>RAE-E-13</x:v>
      </x:c>
      <x:c r="D162" s="7" t="str">
        <x:v>RFP-A2</x:v>
      </x:c>
      <x:c r="E162" s="7" t="str">
        <x:v>AM-06</x:v>
      </x:c>
      <x:c r="F162" s="7" t="str">
        <x:v>TR-A</x:v>
      </x:c>
      <x:c r="G162" s="7" t="str">
        <x:v>QE-01</x:v>
      </x:c>
      <x:c r="H162" s="7" t="str">
        <x:v>EV-12</x:v>
      </x:c>
      <x:c r="I162" s="10" t="str">
        <x:v>validity packet</x:v>
      </x:c>
      <x:c r="J162" s="10" t="str">
        <x:v>native hashes, causal map and board disposition</x:v>
      </x:c>
      <x:c r="K162" s="7" t="str"/>
      <x:c r="L162" s="7" t="str">
        <x:v>OPEN</x:v>
      </x:c>
    </x:row>
    <x:row r="163" ht="40" customHeight="1">
      <x:c r="B163" s="7" t="str">
        <x:v>RAE-E-14-EV-01</x:v>
      </x:c>
      <x:c r="C163" s="7" t="str">
        <x:v>RAE-E-14</x:v>
      </x:c>
      <x:c r="D163" s="7" t="str">
        <x:v>RFP-A2</x:v>
      </x:c>
      <x:c r="E163" s="7" t="str">
        <x:v>AM-06</x:v>
      </x:c>
      <x:c r="F163" s="7" t="str">
        <x:v>TR-A</x:v>
      </x:c>
      <x:c r="G163" s="7" t="str">
        <x:v>QE-02</x:v>
      </x:c>
      <x:c r="H163" s="7" t="str">
        <x:v>EV-01</x:v>
      </x:c>
      <x:c r="I163" s="10" t="str">
        <x:v>registered event baseline</x:v>
      </x:c>
      <x:c r="J163" s="10" t="str">
        <x:v>configuration master plus event register</x:v>
      </x:c>
      <x:c r="K163" s="7" t="str"/>
      <x:c r="L163" s="7" t="str">
        <x:v>OPEN</x:v>
      </x:c>
    </x:row>
    <x:row r="164" ht="40" customHeight="1">
      <x:c r="B164" s="7" t="str">
        <x:v>RAE-E-14-EV-02</x:v>
      </x:c>
      <x:c r="C164" s="7" t="str">
        <x:v>RAE-E-14</x:v>
      </x:c>
      <x:c r="D164" s="7" t="str">
        <x:v>RFP-A2</x:v>
      </x:c>
      <x:c r="E164" s="7" t="str">
        <x:v>AM-06</x:v>
      </x:c>
      <x:c r="F164" s="7" t="str">
        <x:v>TR-A</x:v>
      </x:c>
      <x:c r="G164" s="7" t="str">
        <x:v>QE-02</x:v>
      </x:c>
      <x:c r="H164" s="7" t="str">
        <x:v>EV-02</x:v>
      </x:c>
      <x:c r="I164" s="10" t="str">
        <x:v>source command and mass</x:v>
      </x:c>
      <x:c r="J164" s="10" t="str">
        <x:v>native command, load cells and custody ledger</x:v>
      </x:c>
      <x:c r="K164" s="7" t="str"/>
      <x:c r="L164" s="7" t="str">
        <x:v>OPEN</x:v>
      </x:c>
    </x:row>
    <x:row r="165" ht="40" customHeight="1">
      <x:c r="B165" s="7" t="str">
        <x:v>RAE-E-14-EV-03</x:v>
      </x:c>
      <x:c r="C165" s="7" t="str">
        <x:v>RAE-E-14</x:v>
      </x:c>
      <x:c r="D165" s="7" t="str">
        <x:v>RFP-A2</x:v>
      </x:c>
      <x:c r="E165" s="7" t="str">
        <x:v>AM-06</x:v>
      </x:c>
      <x:c r="F165" s="7" t="str">
        <x:v>TR-A</x:v>
      </x:c>
      <x:c r="G165" s="7" t="str">
        <x:v>QE-02</x:v>
      </x:c>
      <x:c r="H165" s="7" t="str">
        <x:v>EV-03</x:v>
      </x:c>
      <x:c r="I165" s="10" t="str">
        <x:v>final control states</x:v>
      </x:c>
      <x:c r="J165" s="10" t="str">
        <x:v>direct element sensors plus local latch</x:v>
      </x:c>
      <x:c r="K165" s="7" t="str"/>
      <x:c r="L165" s="7" t="str">
        <x:v>OPEN</x:v>
      </x:c>
    </x:row>
    <x:row r="166" ht="40" customHeight="1">
      <x:c r="B166" s="7" t="str">
        <x:v>RAE-E-14-EV-04</x:v>
      </x:c>
      <x:c r="C166" s="7" t="str">
        <x:v>RAE-E-14</x:v>
      </x:c>
      <x:c r="D166" s="7" t="str">
        <x:v>RFP-A2</x:v>
      </x:c>
      <x:c r="E166" s="7" t="str">
        <x:v>AM-06</x:v>
      </x:c>
      <x:c r="F166" s="7" t="str">
        <x:v>TR-A</x:v>
      </x:c>
      <x:c r="G166" s="7" t="str">
        <x:v>QE-02</x:v>
      </x:c>
      <x:c r="H166" s="7" t="str">
        <x:v>EV-04</x:v>
      </x:c>
      <x:c r="I166" s="10" t="str">
        <x:v>path action times</x:v>
      </x:c>
      <x:c r="J166" s="10" t="str">
        <x:v>common-epoch trigger and state transitions</x:v>
      </x:c>
      <x:c r="K166" s="7" t="str"/>
      <x:c r="L166" s="7" t="str">
        <x:v>OPEN</x:v>
      </x:c>
    </x:row>
    <x:row r="167" ht="40" customHeight="1">
      <x:c r="B167" s="7" t="str">
        <x:v>RAE-E-14-EV-05</x:v>
      </x:c>
      <x:c r="C167" s="7" t="str">
        <x:v>RAE-E-14</x:v>
      </x:c>
      <x:c r="D167" s="7" t="str">
        <x:v>RFP-A2</x:v>
      </x:c>
      <x:c r="E167" s="7" t="str">
        <x:v>AM-06</x:v>
      </x:c>
      <x:c r="F167" s="7" t="str">
        <x:v>TR-A</x:v>
      </x:c>
      <x:c r="G167" s="7" t="str">
        <x:v>QE-02</x:v>
      </x:c>
      <x:c r="H167" s="7" t="str">
        <x:v>EV-05</x:v>
      </x:c>
      <x:c r="I167" s="10" t="str">
        <x:v>receiver inventories</x:v>
      </x:c>
      <x:c r="J167" s="10" t="str">
        <x:v>before, peak and after volume measurements</x:v>
      </x:c>
      <x:c r="K167" s="7" t="str"/>
      <x:c r="L167" s="7" t="str">
        <x:v>OPEN</x:v>
      </x:c>
    </x:row>
    <x:row r="168" ht="40" customHeight="1">
      <x:c r="B168" s="7" t="str">
        <x:v>RAE-E-14-EV-06</x:v>
      </x:c>
      <x:c r="C168" s="7" t="str">
        <x:v>RAE-E-14</x:v>
      </x:c>
      <x:c r="D168" s="7" t="str">
        <x:v>RFP-A2</x:v>
      </x:c>
      <x:c r="E168" s="7" t="str">
        <x:v>AM-06</x:v>
      </x:c>
      <x:c r="F168" s="7" t="str">
        <x:v>TR-A</x:v>
      </x:c>
      <x:c r="G168" s="7" t="str">
        <x:v>QE-02</x:v>
      </x:c>
      <x:c r="H168" s="7" t="str">
        <x:v>EV-06</x:v>
      </x:c>
      <x:c r="I168" s="10" t="str">
        <x:v>thermal field</x:v>
      </x:c>
      <x:c r="J168" s="10" t="str">
        <x:v>radiometry, heat flux and local weather</x:v>
      </x:c>
      <x:c r="K168" s="7" t="str"/>
      <x:c r="L168" s="7" t="str">
        <x:v>OPEN</x:v>
      </x:c>
    </x:row>
    <x:row r="169" ht="40" customHeight="1">
      <x:c r="B169" s="7" t="str">
        <x:v>RAE-E-14-EV-07</x:v>
      </x:c>
      <x:c r="C169" s="7" t="str">
        <x:v>RAE-E-14</x:v>
      </x:c>
      <x:c r="D169" s="7" t="str">
        <x:v>RFP-A2</x:v>
      </x:c>
      <x:c r="E169" s="7" t="str">
        <x:v>AM-06</x:v>
      </x:c>
      <x:c r="F169" s="7" t="str">
        <x:v>TR-A</x:v>
      </x:c>
      <x:c r="G169" s="7" t="str">
        <x:v>QE-02</x:v>
      </x:c>
      <x:c r="H169" s="7" t="str">
        <x:v>EV-07</x:v>
      </x:c>
      <x:c r="I169" s="10" t="str">
        <x:v>water state</x:v>
      </x:c>
      <x:c r="J169" s="10" t="str">
        <x:v>flow, rain, quench, foam and rinse separation</x:v>
      </x:c>
      <x:c r="K169" s="7" t="str"/>
      <x:c r="L169" s="7" t="str">
        <x:v>OPEN</x:v>
      </x:c>
    </x:row>
    <x:row r="170" ht="40" customHeight="1">
      <x:c r="B170" s="7" t="str">
        <x:v>RAE-E-14-EV-08</x:v>
      </x:c>
      <x:c r="C170" s="7" t="str">
        <x:v>RAE-E-14</x:v>
      </x:c>
      <x:c r="D170" s="7" t="str">
        <x:v>RFP-A2</x:v>
      </x:c>
      <x:c r="E170" s="7" t="str">
        <x:v>AM-06</x:v>
      </x:c>
      <x:c r="F170" s="7" t="str">
        <x:v>TR-A</x:v>
      </x:c>
      <x:c r="G170" s="7" t="str">
        <x:v>QE-02</x:v>
      </x:c>
      <x:c r="H170" s="7" t="str">
        <x:v>EV-08</x:v>
      </x:c>
      <x:c r="I170" s="10" t="str">
        <x:v>ancestry</x:v>
      </x:c>
      <x:c r="J170" s="10" t="str">
        <x:v>source and water root recovery plus cross-talk</x:v>
      </x:c>
      <x:c r="K170" s="7" t="str"/>
      <x:c r="L170" s="7" t="str">
        <x:v>OPEN</x:v>
      </x:c>
    </x:row>
    <x:row r="171" ht="40" customHeight="1">
      <x:c r="B171" s="7" t="str">
        <x:v>RAE-E-14-EV-09</x:v>
      </x:c>
      <x:c r="C171" s="7" t="str">
        <x:v>RAE-E-14</x:v>
      </x:c>
      <x:c r="D171" s="7" t="str">
        <x:v>RFP-A2</x:v>
      </x:c>
      <x:c r="E171" s="7" t="str">
        <x:v>AM-06</x:v>
      </x:c>
      <x:c r="F171" s="7" t="str">
        <x:v>TR-A</x:v>
      </x:c>
      <x:c r="G171" s="7" t="str">
        <x:v>QE-02</x:v>
      </x:c>
      <x:c r="H171" s="7" t="str">
        <x:v>EV-09</x:v>
      </x:c>
      <x:c r="I171" s="10" t="str">
        <x:v>environmental boundary</x:v>
      </x:c>
      <x:c r="J171" s="10" t="str">
        <x:v>background and post-event sample set</x:v>
      </x:c>
      <x:c r="K171" s="7" t="str"/>
      <x:c r="L171" s="7" t="str">
        <x:v>OPEN</x:v>
      </x:c>
    </x:row>
    <x:row r="172" ht="40" customHeight="1">
      <x:c r="B172" s="7" t="str">
        <x:v>RAE-E-14-EV-10</x:v>
      </x:c>
      <x:c r="C172" s="7" t="str">
        <x:v>RAE-E-14</x:v>
      </x:c>
      <x:c r="D172" s="7" t="str">
        <x:v>RFP-A2</x:v>
      </x:c>
      <x:c r="E172" s="7" t="str">
        <x:v>AM-06</x:v>
      </x:c>
      <x:c r="F172" s="7" t="str">
        <x:v>TR-A</x:v>
      </x:c>
      <x:c r="G172" s="7" t="str">
        <x:v>QE-02</x:v>
      </x:c>
      <x:c r="H172" s="7" t="str">
        <x:v>EV-10</x:v>
      </x:c>
      <x:c r="I172" s="10" t="str">
        <x:v>neighbor state</x:v>
      </x:c>
      <x:c r="J172" s="10" t="str">
        <x:v>three independent inert-state records</x:v>
      </x:c>
      <x:c r="K172" s="7" t="str"/>
      <x:c r="L172" s="7" t="str">
        <x:v>OPEN</x:v>
      </x:c>
    </x:row>
    <x:row r="173" ht="40" customHeight="1">
      <x:c r="B173" s="7" t="str">
        <x:v>RAE-E-14-EV-11</x:v>
      </x:c>
      <x:c r="C173" s="7" t="str">
        <x:v>RAE-E-14</x:v>
      </x:c>
      <x:c r="D173" s="7" t="str">
        <x:v>RFP-A2</x:v>
      </x:c>
      <x:c r="E173" s="7" t="str">
        <x:v>AM-06</x:v>
      </x:c>
      <x:c r="F173" s="7" t="str">
        <x:v>TR-A</x:v>
      </x:c>
      <x:c r="G173" s="7" t="str">
        <x:v>QE-02</x:v>
      </x:c>
      <x:c r="H173" s="7" t="str">
        <x:v>EV-11</x:v>
      </x:c>
      <x:c r="I173" s="10" t="str">
        <x:v>intervention state</x:v>
      </x:c>
      <x:c r="J173" s="10" t="str">
        <x:v>human, automatic and rescue actions</x:v>
      </x:c>
      <x:c r="K173" s="7" t="str"/>
      <x:c r="L173" s="7" t="str">
        <x:v>OPEN</x:v>
      </x:c>
    </x:row>
    <x:row r="174" ht="40" customHeight="1">
      <x:c r="B174" s="7" t="str">
        <x:v>RAE-E-14-EV-12</x:v>
      </x:c>
      <x:c r="C174" s="7" t="str">
        <x:v>RAE-E-14</x:v>
      </x:c>
      <x:c r="D174" s="7" t="str">
        <x:v>RFP-A2</x:v>
      </x:c>
      <x:c r="E174" s="7" t="str">
        <x:v>AM-06</x:v>
      </x:c>
      <x:c r="F174" s="7" t="str">
        <x:v>TR-A</x:v>
      </x:c>
      <x:c r="G174" s="7" t="str">
        <x:v>QE-02</x:v>
      </x:c>
      <x:c r="H174" s="7" t="str">
        <x:v>EV-12</x:v>
      </x:c>
      <x:c r="I174" s="10" t="str">
        <x:v>validity packet</x:v>
      </x:c>
      <x:c r="J174" s="10" t="str">
        <x:v>native hashes, causal map and board disposition</x:v>
      </x:c>
      <x:c r="K174" s="7" t="str"/>
      <x:c r="L174" s="7" t="str">
        <x:v>OPEN</x:v>
      </x:c>
    </x:row>
    <x:row r="175" ht="40" customHeight="1">
      <x:c r="B175" s="7" t="str">
        <x:v>RAE-E-15-EV-01</x:v>
      </x:c>
      <x:c r="C175" s="7" t="str">
        <x:v>RAE-E-15</x:v>
      </x:c>
      <x:c r="D175" s="7" t="str">
        <x:v>RFP-A2</x:v>
      </x:c>
      <x:c r="E175" s="7" t="str">
        <x:v>AM-06</x:v>
      </x:c>
      <x:c r="F175" s="7" t="str">
        <x:v>TR-B</x:v>
      </x:c>
      <x:c r="G175" s="7" t="str">
        <x:v>QE-01</x:v>
      </x:c>
      <x:c r="H175" s="7" t="str">
        <x:v>EV-01</x:v>
      </x:c>
      <x:c r="I175" s="10" t="str">
        <x:v>registered event baseline</x:v>
      </x:c>
      <x:c r="J175" s="10" t="str">
        <x:v>configuration master plus event register</x:v>
      </x:c>
      <x:c r="K175" s="7" t="str"/>
      <x:c r="L175" s="7" t="str">
        <x:v>OPEN</x:v>
      </x:c>
    </x:row>
    <x:row r="176" ht="40" customHeight="1">
      <x:c r="B176" s="7" t="str">
        <x:v>RAE-E-15-EV-02</x:v>
      </x:c>
      <x:c r="C176" s="7" t="str">
        <x:v>RAE-E-15</x:v>
      </x:c>
      <x:c r="D176" s="7" t="str">
        <x:v>RFP-A2</x:v>
      </x:c>
      <x:c r="E176" s="7" t="str">
        <x:v>AM-06</x:v>
      </x:c>
      <x:c r="F176" s="7" t="str">
        <x:v>TR-B</x:v>
      </x:c>
      <x:c r="G176" s="7" t="str">
        <x:v>QE-01</x:v>
      </x:c>
      <x:c r="H176" s="7" t="str">
        <x:v>EV-02</x:v>
      </x:c>
      <x:c r="I176" s="10" t="str">
        <x:v>source command and mass</x:v>
      </x:c>
      <x:c r="J176" s="10" t="str">
        <x:v>native command, load cells and custody ledger</x:v>
      </x:c>
      <x:c r="K176" s="7" t="str"/>
      <x:c r="L176" s="7" t="str">
        <x:v>OPEN</x:v>
      </x:c>
    </x:row>
    <x:row r="177" ht="40" customHeight="1">
      <x:c r="B177" s="7" t="str">
        <x:v>RAE-E-15-EV-03</x:v>
      </x:c>
      <x:c r="C177" s="7" t="str">
        <x:v>RAE-E-15</x:v>
      </x:c>
      <x:c r="D177" s="7" t="str">
        <x:v>RFP-A2</x:v>
      </x:c>
      <x:c r="E177" s="7" t="str">
        <x:v>AM-06</x:v>
      </x:c>
      <x:c r="F177" s="7" t="str">
        <x:v>TR-B</x:v>
      </x:c>
      <x:c r="G177" s="7" t="str">
        <x:v>QE-01</x:v>
      </x:c>
      <x:c r="H177" s="7" t="str">
        <x:v>EV-03</x:v>
      </x:c>
      <x:c r="I177" s="10" t="str">
        <x:v>final control states</x:v>
      </x:c>
      <x:c r="J177" s="10" t="str">
        <x:v>direct element sensors plus local latch</x:v>
      </x:c>
      <x:c r="K177" s="7" t="str"/>
      <x:c r="L177" s="7" t="str">
        <x:v>OPEN</x:v>
      </x:c>
    </x:row>
    <x:row r="178" ht="40" customHeight="1">
      <x:c r="B178" s="7" t="str">
        <x:v>RAE-E-15-EV-04</x:v>
      </x:c>
      <x:c r="C178" s="7" t="str">
        <x:v>RAE-E-15</x:v>
      </x:c>
      <x:c r="D178" s="7" t="str">
        <x:v>RFP-A2</x:v>
      </x:c>
      <x:c r="E178" s="7" t="str">
        <x:v>AM-06</x:v>
      </x:c>
      <x:c r="F178" s="7" t="str">
        <x:v>TR-B</x:v>
      </x:c>
      <x:c r="G178" s="7" t="str">
        <x:v>QE-01</x:v>
      </x:c>
      <x:c r="H178" s="7" t="str">
        <x:v>EV-04</x:v>
      </x:c>
      <x:c r="I178" s="10" t="str">
        <x:v>path action times</x:v>
      </x:c>
      <x:c r="J178" s="10" t="str">
        <x:v>common-epoch trigger and state transitions</x:v>
      </x:c>
      <x:c r="K178" s="7" t="str"/>
      <x:c r="L178" s="7" t="str">
        <x:v>OPEN</x:v>
      </x:c>
    </x:row>
    <x:row r="179" ht="40" customHeight="1">
      <x:c r="B179" s="7" t="str">
        <x:v>RAE-E-15-EV-05</x:v>
      </x:c>
      <x:c r="C179" s="7" t="str">
        <x:v>RAE-E-15</x:v>
      </x:c>
      <x:c r="D179" s="7" t="str">
        <x:v>RFP-A2</x:v>
      </x:c>
      <x:c r="E179" s="7" t="str">
        <x:v>AM-06</x:v>
      </x:c>
      <x:c r="F179" s="7" t="str">
        <x:v>TR-B</x:v>
      </x:c>
      <x:c r="G179" s="7" t="str">
        <x:v>QE-01</x:v>
      </x:c>
      <x:c r="H179" s="7" t="str">
        <x:v>EV-05</x:v>
      </x:c>
      <x:c r="I179" s="10" t="str">
        <x:v>receiver inventories</x:v>
      </x:c>
      <x:c r="J179" s="10" t="str">
        <x:v>before, peak and after volume measurements</x:v>
      </x:c>
      <x:c r="K179" s="7" t="str"/>
      <x:c r="L179" s="7" t="str">
        <x:v>OPEN</x:v>
      </x:c>
    </x:row>
    <x:row r="180" ht="40" customHeight="1">
      <x:c r="B180" s="7" t="str">
        <x:v>RAE-E-15-EV-06</x:v>
      </x:c>
      <x:c r="C180" s="7" t="str">
        <x:v>RAE-E-15</x:v>
      </x:c>
      <x:c r="D180" s="7" t="str">
        <x:v>RFP-A2</x:v>
      </x:c>
      <x:c r="E180" s="7" t="str">
        <x:v>AM-06</x:v>
      </x:c>
      <x:c r="F180" s="7" t="str">
        <x:v>TR-B</x:v>
      </x:c>
      <x:c r="G180" s="7" t="str">
        <x:v>QE-01</x:v>
      </x:c>
      <x:c r="H180" s="7" t="str">
        <x:v>EV-06</x:v>
      </x:c>
      <x:c r="I180" s="10" t="str">
        <x:v>thermal field</x:v>
      </x:c>
      <x:c r="J180" s="10" t="str">
        <x:v>radiometry, heat flux and local weather</x:v>
      </x:c>
      <x:c r="K180" s="7" t="str"/>
      <x:c r="L180" s="7" t="str">
        <x:v>OPEN</x:v>
      </x:c>
    </x:row>
    <x:row r="181" ht="40" customHeight="1">
      <x:c r="B181" s="7" t="str">
        <x:v>RAE-E-15-EV-07</x:v>
      </x:c>
      <x:c r="C181" s="7" t="str">
        <x:v>RAE-E-15</x:v>
      </x:c>
      <x:c r="D181" s="7" t="str">
        <x:v>RFP-A2</x:v>
      </x:c>
      <x:c r="E181" s="7" t="str">
        <x:v>AM-06</x:v>
      </x:c>
      <x:c r="F181" s="7" t="str">
        <x:v>TR-B</x:v>
      </x:c>
      <x:c r="G181" s="7" t="str">
        <x:v>QE-01</x:v>
      </x:c>
      <x:c r="H181" s="7" t="str">
        <x:v>EV-07</x:v>
      </x:c>
      <x:c r="I181" s="10" t="str">
        <x:v>water state</x:v>
      </x:c>
      <x:c r="J181" s="10" t="str">
        <x:v>flow, rain, quench, foam and rinse separation</x:v>
      </x:c>
      <x:c r="K181" s="7" t="str"/>
      <x:c r="L181" s="7" t="str">
        <x:v>OPEN</x:v>
      </x:c>
    </x:row>
    <x:row r="182" ht="40" customHeight="1">
      <x:c r="B182" s="7" t="str">
        <x:v>RAE-E-15-EV-08</x:v>
      </x:c>
      <x:c r="C182" s="7" t="str">
        <x:v>RAE-E-15</x:v>
      </x:c>
      <x:c r="D182" s="7" t="str">
        <x:v>RFP-A2</x:v>
      </x:c>
      <x:c r="E182" s="7" t="str">
        <x:v>AM-06</x:v>
      </x:c>
      <x:c r="F182" s="7" t="str">
        <x:v>TR-B</x:v>
      </x:c>
      <x:c r="G182" s="7" t="str">
        <x:v>QE-01</x:v>
      </x:c>
      <x:c r="H182" s="7" t="str">
        <x:v>EV-08</x:v>
      </x:c>
      <x:c r="I182" s="10" t="str">
        <x:v>ancestry</x:v>
      </x:c>
      <x:c r="J182" s="10" t="str">
        <x:v>source and water root recovery plus cross-talk</x:v>
      </x:c>
      <x:c r="K182" s="7" t="str"/>
      <x:c r="L182" s="7" t="str">
        <x:v>OPEN</x:v>
      </x:c>
    </x:row>
    <x:row r="183" ht="40" customHeight="1">
      <x:c r="B183" s="7" t="str">
        <x:v>RAE-E-15-EV-09</x:v>
      </x:c>
      <x:c r="C183" s="7" t="str">
        <x:v>RAE-E-15</x:v>
      </x:c>
      <x:c r="D183" s="7" t="str">
        <x:v>RFP-A2</x:v>
      </x:c>
      <x:c r="E183" s="7" t="str">
        <x:v>AM-06</x:v>
      </x:c>
      <x:c r="F183" s="7" t="str">
        <x:v>TR-B</x:v>
      </x:c>
      <x:c r="G183" s="7" t="str">
        <x:v>QE-01</x:v>
      </x:c>
      <x:c r="H183" s="7" t="str">
        <x:v>EV-09</x:v>
      </x:c>
      <x:c r="I183" s="10" t="str">
        <x:v>environmental boundary</x:v>
      </x:c>
      <x:c r="J183" s="10" t="str">
        <x:v>background and post-event sample set</x:v>
      </x:c>
      <x:c r="K183" s="7" t="str"/>
      <x:c r="L183" s="7" t="str">
        <x:v>OPEN</x:v>
      </x:c>
    </x:row>
    <x:row r="184" ht="40" customHeight="1">
      <x:c r="B184" s="7" t="str">
        <x:v>RAE-E-15-EV-10</x:v>
      </x:c>
      <x:c r="C184" s="7" t="str">
        <x:v>RAE-E-15</x:v>
      </x:c>
      <x:c r="D184" s="7" t="str">
        <x:v>RFP-A2</x:v>
      </x:c>
      <x:c r="E184" s="7" t="str">
        <x:v>AM-06</x:v>
      </x:c>
      <x:c r="F184" s="7" t="str">
        <x:v>TR-B</x:v>
      </x:c>
      <x:c r="G184" s="7" t="str">
        <x:v>QE-01</x:v>
      </x:c>
      <x:c r="H184" s="7" t="str">
        <x:v>EV-10</x:v>
      </x:c>
      <x:c r="I184" s="10" t="str">
        <x:v>neighbor state</x:v>
      </x:c>
      <x:c r="J184" s="10" t="str">
        <x:v>three independent inert-state records</x:v>
      </x:c>
      <x:c r="K184" s="7" t="str"/>
      <x:c r="L184" s="7" t="str">
        <x:v>OPEN</x:v>
      </x:c>
    </x:row>
    <x:row r="185" ht="40" customHeight="1">
      <x:c r="B185" s="7" t="str">
        <x:v>RAE-E-15-EV-11</x:v>
      </x:c>
      <x:c r="C185" s="7" t="str">
        <x:v>RAE-E-15</x:v>
      </x:c>
      <x:c r="D185" s="7" t="str">
        <x:v>RFP-A2</x:v>
      </x:c>
      <x:c r="E185" s="7" t="str">
        <x:v>AM-06</x:v>
      </x:c>
      <x:c r="F185" s="7" t="str">
        <x:v>TR-B</x:v>
      </x:c>
      <x:c r="G185" s="7" t="str">
        <x:v>QE-01</x:v>
      </x:c>
      <x:c r="H185" s="7" t="str">
        <x:v>EV-11</x:v>
      </x:c>
      <x:c r="I185" s="10" t="str">
        <x:v>intervention state</x:v>
      </x:c>
      <x:c r="J185" s="10" t="str">
        <x:v>human, automatic and rescue actions</x:v>
      </x:c>
      <x:c r="K185" s="7" t="str"/>
      <x:c r="L185" s="7" t="str">
        <x:v>OPEN</x:v>
      </x:c>
    </x:row>
    <x:row r="186" ht="40" customHeight="1">
      <x:c r="B186" s="7" t="str">
        <x:v>RAE-E-15-EV-12</x:v>
      </x:c>
      <x:c r="C186" s="7" t="str">
        <x:v>RAE-E-15</x:v>
      </x:c>
      <x:c r="D186" s="7" t="str">
        <x:v>RFP-A2</x:v>
      </x:c>
      <x:c r="E186" s="7" t="str">
        <x:v>AM-06</x:v>
      </x:c>
      <x:c r="F186" s="7" t="str">
        <x:v>TR-B</x:v>
      </x:c>
      <x:c r="G186" s="7" t="str">
        <x:v>QE-01</x:v>
      </x:c>
      <x:c r="H186" s="7" t="str">
        <x:v>EV-12</x:v>
      </x:c>
      <x:c r="I186" s="10" t="str">
        <x:v>validity packet</x:v>
      </x:c>
      <x:c r="J186" s="10" t="str">
        <x:v>native hashes, causal map and board disposition</x:v>
      </x:c>
      <x:c r="K186" s="7" t="str"/>
      <x:c r="L186" s="7" t="str">
        <x:v>OPEN</x:v>
      </x:c>
    </x:row>
    <x:row r="187" ht="40" customHeight="1">
      <x:c r="B187" s="7" t="str">
        <x:v>RAE-E-16-EV-01</x:v>
      </x:c>
      <x:c r="C187" s="7" t="str">
        <x:v>RAE-E-16</x:v>
      </x:c>
      <x:c r="D187" s="7" t="str">
        <x:v>RFP-A2</x:v>
      </x:c>
      <x:c r="E187" s="7" t="str">
        <x:v>AM-06</x:v>
      </x:c>
      <x:c r="F187" s="7" t="str">
        <x:v>TR-B</x:v>
      </x:c>
      <x:c r="G187" s="7" t="str">
        <x:v>QE-02</x:v>
      </x:c>
      <x:c r="H187" s="7" t="str">
        <x:v>EV-01</x:v>
      </x:c>
      <x:c r="I187" s="10" t="str">
        <x:v>registered event baseline</x:v>
      </x:c>
      <x:c r="J187" s="10" t="str">
        <x:v>configuration master plus event register</x:v>
      </x:c>
      <x:c r="K187" s="7" t="str"/>
      <x:c r="L187" s="7" t="str">
        <x:v>OPEN</x:v>
      </x:c>
    </x:row>
    <x:row r="188" ht="40" customHeight="1">
      <x:c r="B188" s="7" t="str">
        <x:v>RAE-E-16-EV-02</x:v>
      </x:c>
      <x:c r="C188" s="7" t="str">
        <x:v>RAE-E-16</x:v>
      </x:c>
      <x:c r="D188" s="7" t="str">
        <x:v>RFP-A2</x:v>
      </x:c>
      <x:c r="E188" s="7" t="str">
        <x:v>AM-06</x:v>
      </x:c>
      <x:c r="F188" s="7" t="str">
        <x:v>TR-B</x:v>
      </x:c>
      <x:c r="G188" s="7" t="str">
        <x:v>QE-02</x:v>
      </x:c>
      <x:c r="H188" s="7" t="str">
        <x:v>EV-02</x:v>
      </x:c>
      <x:c r="I188" s="10" t="str">
        <x:v>source command and mass</x:v>
      </x:c>
      <x:c r="J188" s="10" t="str">
        <x:v>native command, load cells and custody ledger</x:v>
      </x:c>
      <x:c r="K188" s="7" t="str"/>
      <x:c r="L188" s="7" t="str">
        <x:v>OPEN</x:v>
      </x:c>
    </x:row>
    <x:row r="189" ht="40" customHeight="1">
      <x:c r="B189" s="7" t="str">
        <x:v>RAE-E-16-EV-03</x:v>
      </x:c>
      <x:c r="C189" s="7" t="str">
        <x:v>RAE-E-16</x:v>
      </x:c>
      <x:c r="D189" s="7" t="str">
        <x:v>RFP-A2</x:v>
      </x:c>
      <x:c r="E189" s="7" t="str">
        <x:v>AM-06</x:v>
      </x:c>
      <x:c r="F189" s="7" t="str">
        <x:v>TR-B</x:v>
      </x:c>
      <x:c r="G189" s="7" t="str">
        <x:v>QE-02</x:v>
      </x:c>
      <x:c r="H189" s="7" t="str">
        <x:v>EV-03</x:v>
      </x:c>
      <x:c r="I189" s="10" t="str">
        <x:v>final control states</x:v>
      </x:c>
      <x:c r="J189" s="10" t="str">
        <x:v>direct element sensors plus local latch</x:v>
      </x:c>
      <x:c r="K189" s="7" t="str"/>
      <x:c r="L189" s="7" t="str">
        <x:v>OPEN</x:v>
      </x:c>
    </x:row>
    <x:row r="190" ht="40" customHeight="1">
      <x:c r="B190" s="7" t="str">
        <x:v>RAE-E-16-EV-04</x:v>
      </x:c>
      <x:c r="C190" s="7" t="str">
        <x:v>RAE-E-16</x:v>
      </x:c>
      <x:c r="D190" s="7" t="str">
        <x:v>RFP-A2</x:v>
      </x:c>
      <x:c r="E190" s="7" t="str">
        <x:v>AM-06</x:v>
      </x:c>
      <x:c r="F190" s="7" t="str">
        <x:v>TR-B</x:v>
      </x:c>
      <x:c r="G190" s="7" t="str">
        <x:v>QE-02</x:v>
      </x:c>
      <x:c r="H190" s="7" t="str">
        <x:v>EV-04</x:v>
      </x:c>
      <x:c r="I190" s="10" t="str">
        <x:v>path action times</x:v>
      </x:c>
      <x:c r="J190" s="10" t="str">
        <x:v>common-epoch trigger and state transitions</x:v>
      </x:c>
      <x:c r="K190" s="7" t="str"/>
      <x:c r="L190" s="7" t="str">
        <x:v>OPEN</x:v>
      </x:c>
    </x:row>
    <x:row r="191" ht="40" customHeight="1">
      <x:c r="B191" s="7" t="str">
        <x:v>RAE-E-16-EV-05</x:v>
      </x:c>
      <x:c r="C191" s="7" t="str">
        <x:v>RAE-E-16</x:v>
      </x:c>
      <x:c r="D191" s="7" t="str">
        <x:v>RFP-A2</x:v>
      </x:c>
      <x:c r="E191" s="7" t="str">
        <x:v>AM-06</x:v>
      </x:c>
      <x:c r="F191" s="7" t="str">
        <x:v>TR-B</x:v>
      </x:c>
      <x:c r="G191" s="7" t="str">
        <x:v>QE-02</x:v>
      </x:c>
      <x:c r="H191" s="7" t="str">
        <x:v>EV-05</x:v>
      </x:c>
      <x:c r="I191" s="10" t="str">
        <x:v>receiver inventories</x:v>
      </x:c>
      <x:c r="J191" s="10" t="str">
        <x:v>before, peak and after volume measurements</x:v>
      </x:c>
      <x:c r="K191" s="7" t="str"/>
      <x:c r="L191" s="7" t="str">
        <x:v>OPEN</x:v>
      </x:c>
    </x:row>
    <x:row r="192" ht="40" customHeight="1">
      <x:c r="B192" s="7" t="str">
        <x:v>RAE-E-16-EV-06</x:v>
      </x:c>
      <x:c r="C192" s="7" t="str">
        <x:v>RAE-E-16</x:v>
      </x:c>
      <x:c r="D192" s="7" t="str">
        <x:v>RFP-A2</x:v>
      </x:c>
      <x:c r="E192" s="7" t="str">
        <x:v>AM-06</x:v>
      </x:c>
      <x:c r="F192" s="7" t="str">
        <x:v>TR-B</x:v>
      </x:c>
      <x:c r="G192" s="7" t="str">
        <x:v>QE-02</x:v>
      </x:c>
      <x:c r="H192" s="7" t="str">
        <x:v>EV-06</x:v>
      </x:c>
      <x:c r="I192" s="10" t="str">
        <x:v>thermal field</x:v>
      </x:c>
      <x:c r="J192" s="10" t="str">
        <x:v>radiometry, heat flux and local weather</x:v>
      </x:c>
      <x:c r="K192" s="7" t="str"/>
      <x:c r="L192" s="7" t="str">
        <x:v>OPEN</x:v>
      </x:c>
    </x:row>
    <x:row r="193" ht="40" customHeight="1">
      <x:c r="B193" s="7" t="str">
        <x:v>RAE-E-16-EV-07</x:v>
      </x:c>
      <x:c r="C193" s="7" t="str">
        <x:v>RAE-E-16</x:v>
      </x:c>
      <x:c r="D193" s="7" t="str">
        <x:v>RFP-A2</x:v>
      </x:c>
      <x:c r="E193" s="7" t="str">
        <x:v>AM-06</x:v>
      </x:c>
      <x:c r="F193" s="7" t="str">
        <x:v>TR-B</x:v>
      </x:c>
      <x:c r="G193" s="7" t="str">
        <x:v>QE-02</x:v>
      </x:c>
      <x:c r="H193" s="7" t="str">
        <x:v>EV-07</x:v>
      </x:c>
      <x:c r="I193" s="10" t="str">
        <x:v>water state</x:v>
      </x:c>
      <x:c r="J193" s="10" t="str">
        <x:v>flow, rain, quench, foam and rinse separation</x:v>
      </x:c>
      <x:c r="K193" s="7" t="str"/>
      <x:c r="L193" s="7" t="str">
        <x:v>OPEN</x:v>
      </x:c>
    </x:row>
    <x:row r="194" ht="40" customHeight="1">
      <x:c r="B194" s="7" t="str">
        <x:v>RAE-E-16-EV-08</x:v>
      </x:c>
      <x:c r="C194" s="7" t="str">
        <x:v>RAE-E-16</x:v>
      </x:c>
      <x:c r="D194" s="7" t="str">
        <x:v>RFP-A2</x:v>
      </x:c>
      <x:c r="E194" s="7" t="str">
        <x:v>AM-06</x:v>
      </x:c>
      <x:c r="F194" s="7" t="str">
        <x:v>TR-B</x:v>
      </x:c>
      <x:c r="G194" s="7" t="str">
        <x:v>QE-02</x:v>
      </x:c>
      <x:c r="H194" s="7" t="str">
        <x:v>EV-08</x:v>
      </x:c>
      <x:c r="I194" s="10" t="str">
        <x:v>ancestry</x:v>
      </x:c>
      <x:c r="J194" s="10" t="str">
        <x:v>source and water root recovery plus cross-talk</x:v>
      </x:c>
      <x:c r="K194" s="7" t="str"/>
      <x:c r="L194" s="7" t="str">
        <x:v>OPEN</x:v>
      </x:c>
    </x:row>
    <x:row r="195" ht="40" customHeight="1">
      <x:c r="B195" s="7" t="str">
        <x:v>RAE-E-16-EV-09</x:v>
      </x:c>
      <x:c r="C195" s="7" t="str">
        <x:v>RAE-E-16</x:v>
      </x:c>
      <x:c r="D195" s="7" t="str">
        <x:v>RFP-A2</x:v>
      </x:c>
      <x:c r="E195" s="7" t="str">
        <x:v>AM-06</x:v>
      </x:c>
      <x:c r="F195" s="7" t="str">
        <x:v>TR-B</x:v>
      </x:c>
      <x:c r="G195" s="7" t="str">
        <x:v>QE-02</x:v>
      </x:c>
      <x:c r="H195" s="7" t="str">
        <x:v>EV-09</x:v>
      </x:c>
      <x:c r="I195" s="10" t="str">
        <x:v>environmental boundary</x:v>
      </x:c>
      <x:c r="J195" s="10" t="str">
        <x:v>background and post-event sample set</x:v>
      </x:c>
      <x:c r="K195" s="7" t="str"/>
      <x:c r="L195" s="7" t="str">
        <x:v>OPEN</x:v>
      </x:c>
    </x:row>
    <x:row r="196" ht="40" customHeight="1">
      <x:c r="B196" s="7" t="str">
        <x:v>RAE-E-16-EV-10</x:v>
      </x:c>
      <x:c r="C196" s="7" t="str">
        <x:v>RAE-E-16</x:v>
      </x:c>
      <x:c r="D196" s="7" t="str">
        <x:v>RFP-A2</x:v>
      </x:c>
      <x:c r="E196" s="7" t="str">
        <x:v>AM-06</x:v>
      </x:c>
      <x:c r="F196" s="7" t="str">
        <x:v>TR-B</x:v>
      </x:c>
      <x:c r="G196" s="7" t="str">
        <x:v>QE-02</x:v>
      </x:c>
      <x:c r="H196" s="7" t="str">
        <x:v>EV-10</x:v>
      </x:c>
      <x:c r="I196" s="10" t="str">
        <x:v>neighbor state</x:v>
      </x:c>
      <x:c r="J196" s="10" t="str">
        <x:v>three independent inert-state records</x:v>
      </x:c>
      <x:c r="K196" s="7" t="str"/>
      <x:c r="L196" s="7" t="str">
        <x:v>OPEN</x:v>
      </x:c>
    </x:row>
    <x:row r="197" ht="40" customHeight="1">
      <x:c r="B197" s="7" t="str">
        <x:v>RAE-E-16-EV-11</x:v>
      </x:c>
      <x:c r="C197" s="7" t="str">
        <x:v>RAE-E-16</x:v>
      </x:c>
      <x:c r="D197" s="7" t="str">
        <x:v>RFP-A2</x:v>
      </x:c>
      <x:c r="E197" s="7" t="str">
        <x:v>AM-06</x:v>
      </x:c>
      <x:c r="F197" s="7" t="str">
        <x:v>TR-B</x:v>
      </x:c>
      <x:c r="G197" s="7" t="str">
        <x:v>QE-02</x:v>
      </x:c>
      <x:c r="H197" s="7" t="str">
        <x:v>EV-11</x:v>
      </x:c>
      <x:c r="I197" s="10" t="str">
        <x:v>intervention state</x:v>
      </x:c>
      <x:c r="J197" s="10" t="str">
        <x:v>human, automatic and rescue actions</x:v>
      </x:c>
      <x:c r="K197" s="7" t="str"/>
      <x:c r="L197" s="7" t="str">
        <x:v>OPEN</x:v>
      </x:c>
    </x:row>
    <x:row r="198" ht="40" customHeight="1">
      <x:c r="B198" s="7" t="str">
        <x:v>RAE-E-16-EV-12</x:v>
      </x:c>
      <x:c r="C198" s="7" t="str">
        <x:v>RAE-E-16</x:v>
      </x:c>
      <x:c r="D198" s="7" t="str">
        <x:v>RFP-A2</x:v>
      </x:c>
      <x:c r="E198" s="7" t="str">
        <x:v>AM-06</x:v>
      </x:c>
      <x:c r="F198" s="7" t="str">
        <x:v>TR-B</x:v>
      </x:c>
      <x:c r="G198" s="7" t="str">
        <x:v>QE-02</x:v>
      </x:c>
      <x:c r="H198" s="7" t="str">
        <x:v>EV-12</x:v>
      </x:c>
      <x:c r="I198" s="10" t="str">
        <x:v>validity packet</x:v>
      </x:c>
      <x:c r="J198" s="10" t="str">
        <x:v>native hashes, causal map and board disposition</x:v>
      </x:c>
      <x:c r="K198" s="7" t="str"/>
      <x:c r="L198" s="7" t="str">
        <x:v>OPEN</x:v>
      </x:c>
    </x:row>
    <x:row r="199" ht="40" customHeight="1">
      <x:c r="B199" s="7" t="str">
        <x:v>RAE-E-17-EV-01</x:v>
      </x:c>
      <x:c r="C199" s="7" t="str">
        <x:v>RAE-E-17</x:v>
      </x:c>
      <x:c r="D199" s="7" t="str">
        <x:v>RFP-B1</x:v>
      </x:c>
      <x:c r="E199" s="7" t="str">
        <x:v>AM-05</x:v>
      </x:c>
      <x:c r="F199" s="7" t="str">
        <x:v>TR-A</x:v>
      </x:c>
      <x:c r="G199" s="7" t="str">
        <x:v>QE-01</x:v>
      </x:c>
      <x:c r="H199" s="7" t="str">
        <x:v>EV-01</x:v>
      </x:c>
      <x:c r="I199" s="10" t="str">
        <x:v>registered event baseline</x:v>
      </x:c>
      <x:c r="J199" s="10" t="str">
        <x:v>configuration master plus event register</x:v>
      </x:c>
      <x:c r="K199" s="7" t="str"/>
      <x:c r="L199" s="7" t="str">
        <x:v>OPEN</x:v>
      </x:c>
    </x:row>
    <x:row r="200" ht="40" customHeight="1">
      <x:c r="B200" s="7" t="str">
        <x:v>RAE-E-17-EV-02</x:v>
      </x:c>
      <x:c r="C200" s="7" t="str">
        <x:v>RAE-E-17</x:v>
      </x:c>
      <x:c r="D200" s="7" t="str">
        <x:v>RFP-B1</x:v>
      </x:c>
      <x:c r="E200" s="7" t="str">
        <x:v>AM-05</x:v>
      </x:c>
      <x:c r="F200" s="7" t="str">
        <x:v>TR-A</x:v>
      </x:c>
      <x:c r="G200" s="7" t="str">
        <x:v>QE-01</x:v>
      </x:c>
      <x:c r="H200" s="7" t="str">
        <x:v>EV-02</x:v>
      </x:c>
      <x:c r="I200" s="10" t="str">
        <x:v>source command and mass</x:v>
      </x:c>
      <x:c r="J200" s="10" t="str">
        <x:v>native command, load cells and custody ledger</x:v>
      </x:c>
      <x:c r="K200" s="7" t="str"/>
      <x:c r="L200" s="7" t="str">
        <x:v>OPEN</x:v>
      </x:c>
    </x:row>
    <x:row r="201" ht="40" customHeight="1">
      <x:c r="B201" s="7" t="str">
        <x:v>RAE-E-17-EV-03</x:v>
      </x:c>
      <x:c r="C201" s="7" t="str">
        <x:v>RAE-E-17</x:v>
      </x:c>
      <x:c r="D201" s="7" t="str">
        <x:v>RFP-B1</x:v>
      </x:c>
      <x:c r="E201" s="7" t="str">
        <x:v>AM-05</x:v>
      </x:c>
      <x:c r="F201" s="7" t="str">
        <x:v>TR-A</x:v>
      </x:c>
      <x:c r="G201" s="7" t="str">
        <x:v>QE-01</x:v>
      </x:c>
      <x:c r="H201" s="7" t="str">
        <x:v>EV-03</x:v>
      </x:c>
      <x:c r="I201" s="10" t="str">
        <x:v>final control states</x:v>
      </x:c>
      <x:c r="J201" s="10" t="str">
        <x:v>direct element sensors plus local latch</x:v>
      </x:c>
      <x:c r="K201" s="7" t="str"/>
      <x:c r="L201" s="7" t="str">
        <x:v>OPEN</x:v>
      </x:c>
    </x:row>
    <x:row r="202" ht="40" customHeight="1">
      <x:c r="B202" s="7" t="str">
        <x:v>RAE-E-17-EV-04</x:v>
      </x:c>
      <x:c r="C202" s="7" t="str">
        <x:v>RAE-E-17</x:v>
      </x:c>
      <x:c r="D202" s="7" t="str">
        <x:v>RFP-B1</x:v>
      </x:c>
      <x:c r="E202" s="7" t="str">
        <x:v>AM-05</x:v>
      </x:c>
      <x:c r="F202" s="7" t="str">
        <x:v>TR-A</x:v>
      </x:c>
      <x:c r="G202" s="7" t="str">
        <x:v>QE-01</x:v>
      </x:c>
      <x:c r="H202" s="7" t="str">
        <x:v>EV-04</x:v>
      </x:c>
      <x:c r="I202" s="10" t="str">
        <x:v>path action times</x:v>
      </x:c>
      <x:c r="J202" s="10" t="str">
        <x:v>common-epoch trigger and state transitions</x:v>
      </x:c>
      <x:c r="K202" s="7" t="str"/>
      <x:c r="L202" s="7" t="str">
        <x:v>OPEN</x:v>
      </x:c>
    </x:row>
    <x:row r="203" ht="40" customHeight="1">
      <x:c r="B203" s="7" t="str">
        <x:v>RAE-E-17-EV-05</x:v>
      </x:c>
      <x:c r="C203" s="7" t="str">
        <x:v>RAE-E-17</x:v>
      </x:c>
      <x:c r="D203" s="7" t="str">
        <x:v>RFP-B1</x:v>
      </x:c>
      <x:c r="E203" s="7" t="str">
        <x:v>AM-05</x:v>
      </x:c>
      <x:c r="F203" s="7" t="str">
        <x:v>TR-A</x:v>
      </x:c>
      <x:c r="G203" s="7" t="str">
        <x:v>QE-01</x:v>
      </x:c>
      <x:c r="H203" s="7" t="str">
        <x:v>EV-05</x:v>
      </x:c>
      <x:c r="I203" s="10" t="str">
        <x:v>receiver inventories</x:v>
      </x:c>
      <x:c r="J203" s="10" t="str">
        <x:v>before, peak and after volume measurements</x:v>
      </x:c>
      <x:c r="K203" s="7" t="str"/>
      <x:c r="L203" s="7" t="str">
        <x:v>OPEN</x:v>
      </x:c>
    </x:row>
    <x:row r="204" ht="40" customHeight="1">
      <x:c r="B204" s="7" t="str">
        <x:v>RAE-E-17-EV-06</x:v>
      </x:c>
      <x:c r="C204" s="7" t="str">
        <x:v>RAE-E-17</x:v>
      </x:c>
      <x:c r="D204" s="7" t="str">
        <x:v>RFP-B1</x:v>
      </x:c>
      <x:c r="E204" s="7" t="str">
        <x:v>AM-05</x:v>
      </x:c>
      <x:c r="F204" s="7" t="str">
        <x:v>TR-A</x:v>
      </x:c>
      <x:c r="G204" s="7" t="str">
        <x:v>QE-01</x:v>
      </x:c>
      <x:c r="H204" s="7" t="str">
        <x:v>EV-06</x:v>
      </x:c>
      <x:c r="I204" s="10" t="str">
        <x:v>thermal field</x:v>
      </x:c>
      <x:c r="J204" s="10" t="str">
        <x:v>radiometry, heat flux and local weather</x:v>
      </x:c>
      <x:c r="K204" s="7" t="str"/>
      <x:c r="L204" s="7" t="str">
        <x:v>OPEN</x:v>
      </x:c>
    </x:row>
    <x:row r="205" ht="40" customHeight="1">
      <x:c r="B205" s="7" t="str">
        <x:v>RAE-E-17-EV-07</x:v>
      </x:c>
      <x:c r="C205" s="7" t="str">
        <x:v>RAE-E-17</x:v>
      </x:c>
      <x:c r="D205" s="7" t="str">
        <x:v>RFP-B1</x:v>
      </x:c>
      <x:c r="E205" s="7" t="str">
        <x:v>AM-05</x:v>
      </x:c>
      <x:c r="F205" s="7" t="str">
        <x:v>TR-A</x:v>
      </x:c>
      <x:c r="G205" s="7" t="str">
        <x:v>QE-01</x:v>
      </x:c>
      <x:c r="H205" s="7" t="str">
        <x:v>EV-07</x:v>
      </x:c>
      <x:c r="I205" s="10" t="str">
        <x:v>water state</x:v>
      </x:c>
      <x:c r="J205" s="10" t="str">
        <x:v>flow, rain, quench, foam and rinse separation</x:v>
      </x:c>
      <x:c r="K205" s="7" t="str"/>
      <x:c r="L205" s="7" t="str">
        <x:v>OPEN</x:v>
      </x:c>
    </x:row>
    <x:row r="206" ht="40" customHeight="1">
      <x:c r="B206" s="7" t="str">
        <x:v>RAE-E-17-EV-08</x:v>
      </x:c>
      <x:c r="C206" s="7" t="str">
        <x:v>RAE-E-17</x:v>
      </x:c>
      <x:c r="D206" s="7" t="str">
        <x:v>RFP-B1</x:v>
      </x:c>
      <x:c r="E206" s="7" t="str">
        <x:v>AM-05</x:v>
      </x:c>
      <x:c r="F206" s="7" t="str">
        <x:v>TR-A</x:v>
      </x:c>
      <x:c r="G206" s="7" t="str">
        <x:v>QE-01</x:v>
      </x:c>
      <x:c r="H206" s="7" t="str">
        <x:v>EV-08</x:v>
      </x:c>
      <x:c r="I206" s="10" t="str">
        <x:v>ancestry</x:v>
      </x:c>
      <x:c r="J206" s="10" t="str">
        <x:v>source and water root recovery plus cross-talk</x:v>
      </x:c>
      <x:c r="K206" s="7" t="str"/>
      <x:c r="L206" s="7" t="str">
        <x:v>OPEN</x:v>
      </x:c>
    </x:row>
    <x:row r="207" ht="40" customHeight="1">
      <x:c r="B207" s="7" t="str">
        <x:v>RAE-E-17-EV-09</x:v>
      </x:c>
      <x:c r="C207" s="7" t="str">
        <x:v>RAE-E-17</x:v>
      </x:c>
      <x:c r="D207" s="7" t="str">
        <x:v>RFP-B1</x:v>
      </x:c>
      <x:c r="E207" s="7" t="str">
        <x:v>AM-05</x:v>
      </x:c>
      <x:c r="F207" s="7" t="str">
        <x:v>TR-A</x:v>
      </x:c>
      <x:c r="G207" s="7" t="str">
        <x:v>QE-01</x:v>
      </x:c>
      <x:c r="H207" s="7" t="str">
        <x:v>EV-09</x:v>
      </x:c>
      <x:c r="I207" s="10" t="str">
        <x:v>environmental boundary</x:v>
      </x:c>
      <x:c r="J207" s="10" t="str">
        <x:v>background and post-event sample set</x:v>
      </x:c>
      <x:c r="K207" s="7" t="str"/>
      <x:c r="L207" s="7" t="str">
        <x:v>OPEN</x:v>
      </x:c>
    </x:row>
    <x:row r="208" ht="40" customHeight="1">
      <x:c r="B208" s="7" t="str">
        <x:v>RAE-E-17-EV-10</x:v>
      </x:c>
      <x:c r="C208" s="7" t="str">
        <x:v>RAE-E-17</x:v>
      </x:c>
      <x:c r="D208" s="7" t="str">
        <x:v>RFP-B1</x:v>
      </x:c>
      <x:c r="E208" s="7" t="str">
        <x:v>AM-05</x:v>
      </x:c>
      <x:c r="F208" s="7" t="str">
        <x:v>TR-A</x:v>
      </x:c>
      <x:c r="G208" s="7" t="str">
        <x:v>QE-01</x:v>
      </x:c>
      <x:c r="H208" s="7" t="str">
        <x:v>EV-10</x:v>
      </x:c>
      <x:c r="I208" s="10" t="str">
        <x:v>neighbor state</x:v>
      </x:c>
      <x:c r="J208" s="10" t="str">
        <x:v>three independent inert-state records</x:v>
      </x:c>
      <x:c r="K208" s="7" t="str"/>
      <x:c r="L208" s="7" t="str">
        <x:v>OPEN</x:v>
      </x:c>
    </x:row>
    <x:row r="209" ht="40" customHeight="1">
      <x:c r="B209" s="7" t="str">
        <x:v>RAE-E-17-EV-11</x:v>
      </x:c>
      <x:c r="C209" s="7" t="str">
        <x:v>RAE-E-17</x:v>
      </x:c>
      <x:c r="D209" s="7" t="str">
        <x:v>RFP-B1</x:v>
      </x:c>
      <x:c r="E209" s="7" t="str">
        <x:v>AM-05</x:v>
      </x:c>
      <x:c r="F209" s="7" t="str">
        <x:v>TR-A</x:v>
      </x:c>
      <x:c r="G209" s="7" t="str">
        <x:v>QE-01</x:v>
      </x:c>
      <x:c r="H209" s="7" t="str">
        <x:v>EV-11</x:v>
      </x:c>
      <x:c r="I209" s="10" t="str">
        <x:v>intervention state</x:v>
      </x:c>
      <x:c r="J209" s="10" t="str">
        <x:v>human, automatic and rescue actions</x:v>
      </x:c>
      <x:c r="K209" s="7" t="str"/>
      <x:c r="L209" s="7" t="str">
        <x:v>OPEN</x:v>
      </x:c>
    </x:row>
    <x:row r="210" ht="40" customHeight="1">
      <x:c r="B210" s="7" t="str">
        <x:v>RAE-E-17-EV-12</x:v>
      </x:c>
      <x:c r="C210" s="7" t="str">
        <x:v>RAE-E-17</x:v>
      </x:c>
      <x:c r="D210" s="7" t="str">
        <x:v>RFP-B1</x:v>
      </x:c>
      <x:c r="E210" s="7" t="str">
        <x:v>AM-05</x:v>
      </x:c>
      <x:c r="F210" s="7" t="str">
        <x:v>TR-A</x:v>
      </x:c>
      <x:c r="G210" s="7" t="str">
        <x:v>QE-01</x:v>
      </x:c>
      <x:c r="H210" s="7" t="str">
        <x:v>EV-12</x:v>
      </x:c>
      <x:c r="I210" s="10" t="str">
        <x:v>validity packet</x:v>
      </x:c>
      <x:c r="J210" s="10" t="str">
        <x:v>native hashes, causal map and board disposition</x:v>
      </x:c>
      <x:c r="K210" s="7" t="str"/>
      <x:c r="L210" s="7" t="str">
        <x:v>OPEN</x:v>
      </x:c>
    </x:row>
    <x:row r="211" ht="40" customHeight="1">
      <x:c r="B211" s="7" t="str">
        <x:v>RAE-E-18-EV-01</x:v>
      </x:c>
      <x:c r="C211" s="7" t="str">
        <x:v>RAE-E-18</x:v>
      </x:c>
      <x:c r="D211" s="7" t="str">
        <x:v>RFP-B1</x:v>
      </x:c>
      <x:c r="E211" s="7" t="str">
        <x:v>AM-05</x:v>
      </x:c>
      <x:c r="F211" s="7" t="str">
        <x:v>TR-A</x:v>
      </x:c>
      <x:c r="G211" s="7" t="str">
        <x:v>QE-02</x:v>
      </x:c>
      <x:c r="H211" s="7" t="str">
        <x:v>EV-01</x:v>
      </x:c>
      <x:c r="I211" s="10" t="str">
        <x:v>registered event baseline</x:v>
      </x:c>
      <x:c r="J211" s="10" t="str">
        <x:v>configuration master plus event register</x:v>
      </x:c>
      <x:c r="K211" s="7" t="str"/>
      <x:c r="L211" s="7" t="str">
        <x:v>OPEN</x:v>
      </x:c>
    </x:row>
    <x:row r="212" ht="40" customHeight="1">
      <x:c r="B212" s="7" t="str">
        <x:v>RAE-E-18-EV-02</x:v>
      </x:c>
      <x:c r="C212" s="7" t="str">
        <x:v>RAE-E-18</x:v>
      </x:c>
      <x:c r="D212" s="7" t="str">
        <x:v>RFP-B1</x:v>
      </x:c>
      <x:c r="E212" s="7" t="str">
        <x:v>AM-05</x:v>
      </x:c>
      <x:c r="F212" s="7" t="str">
        <x:v>TR-A</x:v>
      </x:c>
      <x:c r="G212" s="7" t="str">
        <x:v>QE-02</x:v>
      </x:c>
      <x:c r="H212" s="7" t="str">
        <x:v>EV-02</x:v>
      </x:c>
      <x:c r="I212" s="10" t="str">
        <x:v>source command and mass</x:v>
      </x:c>
      <x:c r="J212" s="10" t="str">
        <x:v>native command, load cells and custody ledger</x:v>
      </x:c>
      <x:c r="K212" s="7" t="str"/>
      <x:c r="L212" s="7" t="str">
        <x:v>OPEN</x:v>
      </x:c>
    </x:row>
    <x:row r="213" ht="40" customHeight="1">
      <x:c r="B213" s="7" t="str">
        <x:v>RAE-E-18-EV-03</x:v>
      </x:c>
      <x:c r="C213" s="7" t="str">
        <x:v>RAE-E-18</x:v>
      </x:c>
      <x:c r="D213" s="7" t="str">
        <x:v>RFP-B1</x:v>
      </x:c>
      <x:c r="E213" s="7" t="str">
        <x:v>AM-05</x:v>
      </x:c>
      <x:c r="F213" s="7" t="str">
        <x:v>TR-A</x:v>
      </x:c>
      <x:c r="G213" s="7" t="str">
        <x:v>QE-02</x:v>
      </x:c>
      <x:c r="H213" s="7" t="str">
        <x:v>EV-03</x:v>
      </x:c>
      <x:c r="I213" s="10" t="str">
        <x:v>final control states</x:v>
      </x:c>
      <x:c r="J213" s="10" t="str">
        <x:v>direct element sensors plus local latch</x:v>
      </x:c>
      <x:c r="K213" s="7" t="str"/>
      <x:c r="L213" s="7" t="str">
        <x:v>OPEN</x:v>
      </x:c>
    </x:row>
    <x:row r="214" ht="40" customHeight="1">
      <x:c r="B214" s="7" t="str">
        <x:v>RAE-E-18-EV-04</x:v>
      </x:c>
      <x:c r="C214" s="7" t="str">
        <x:v>RAE-E-18</x:v>
      </x:c>
      <x:c r="D214" s="7" t="str">
        <x:v>RFP-B1</x:v>
      </x:c>
      <x:c r="E214" s="7" t="str">
        <x:v>AM-05</x:v>
      </x:c>
      <x:c r="F214" s="7" t="str">
        <x:v>TR-A</x:v>
      </x:c>
      <x:c r="G214" s="7" t="str">
        <x:v>QE-02</x:v>
      </x:c>
      <x:c r="H214" s="7" t="str">
        <x:v>EV-04</x:v>
      </x:c>
      <x:c r="I214" s="10" t="str">
        <x:v>path action times</x:v>
      </x:c>
      <x:c r="J214" s="10" t="str">
        <x:v>common-epoch trigger and state transitions</x:v>
      </x:c>
      <x:c r="K214" s="7" t="str"/>
      <x:c r="L214" s="7" t="str">
        <x:v>OPEN</x:v>
      </x:c>
    </x:row>
    <x:row r="215" ht="40" customHeight="1">
      <x:c r="B215" s="7" t="str">
        <x:v>RAE-E-18-EV-05</x:v>
      </x:c>
      <x:c r="C215" s="7" t="str">
        <x:v>RAE-E-18</x:v>
      </x:c>
      <x:c r="D215" s="7" t="str">
        <x:v>RFP-B1</x:v>
      </x:c>
      <x:c r="E215" s="7" t="str">
        <x:v>AM-05</x:v>
      </x:c>
      <x:c r="F215" s="7" t="str">
        <x:v>TR-A</x:v>
      </x:c>
      <x:c r="G215" s="7" t="str">
        <x:v>QE-02</x:v>
      </x:c>
      <x:c r="H215" s="7" t="str">
        <x:v>EV-05</x:v>
      </x:c>
      <x:c r="I215" s="10" t="str">
        <x:v>receiver inventories</x:v>
      </x:c>
      <x:c r="J215" s="10" t="str">
        <x:v>before, peak and after volume measurements</x:v>
      </x:c>
      <x:c r="K215" s="7" t="str"/>
      <x:c r="L215" s="7" t="str">
        <x:v>OPEN</x:v>
      </x:c>
    </x:row>
    <x:row r="216" ht="40" customHeight="1">
      <x:c r="B216" s="7" t="str">
        <x:v>RAE-E-18-EV-06</x:v>
      </x:c>
      <x:c r="C216" s="7" t="str">
        <x:v>RAE-E-18</x:v>
      </x:c>
      <x:c r="D216" s="7" t="str">
        <x:v>RFP-B1</x:v>
      </x:c>
      <x:c r="E216" s="7" t="str">
        <x:v>AM-05</x:v>
      </x:c>
      <x:c r="F216" s="7" t="str">
        <x:v>TR-A</x:v>
      </x:c>
      <x:c r="G216" s="7" t="str">
        <x:v>QE-02</x:v>
      </x:c>
      <x:c r="H216" s="7" t="str">
        <x:v>EV-06</x:v>
      </x:c>
      <x:c r="I216" s="10" t="str">
        <x:v>thermal field</x:v>
      </x:c>
      <x:c r="J216" s="10" t="str">
        <x:v>radiometry, heat flux and local weather</x:v>
      </x:c>
      <x:c r="K216" s="7" t="str"/>
      <x:c r="L216" s="7" t="str">
        <x:v>OPEN</x:v>
      </x:c>
    </x:row>
    <x:row r="217" ht="40" customHeight="1">
      <x:c r="B217" s="7" t="str">
        <x:v>RAE-E-18-EV-07</x:v>
      </x:c>
      <x:c r="C217" s="7" t="str">
        <x:v>RAE-E-18</x:v>
      </x:c>
      <x:c r="D217" s="7" t="str">
        <x:v>RFP-B1</x:v>
      </x:c>
      <x:c r="E217" s="7" t="str">
        <x:v>AM-05</x:v>
      </x:c>
      <x:c r="F217" s="7" t="str">
        <x:v>TR-A</x:v>
      </x:c>
      <x:c r="G217" s="7" t="str">
        <x:v>QE-02</x:v>
      </x:c>
      <x:c r="H217" s="7" t="str">
        <x:v>EV-07</x:v>
      </x:c>
      <x:c r="I217" s="10" t="str">
        <x:v>water state</x:v>
      </x:c>
      <x:c r="J217" s="10" t="str">
        <x:v>flow, rain, quench, foam and rinse separation</x:v>
      </x:c>
      <x:c r="K217" s="7" t="str"/>
      <x:c r="L217" s="7" t="str">
        <x:v>OPEN</x:v>
      </x:c>
    </x:row>
    <x:row r="218" ht="40" customHeight="1">
      <x:c r="B218" s="7" t="str">
        <x:v>RAE-E-18-EV-08</x:v>
      </x:c>
      <x:c r="C218" s="7" t="str">
        <x:v>RAE-E-18</x:v>
      </x:c>
      <x:c r="D218" s="7" t="str">
        <x:v>RFP-B1</x:v>
      </x:c>
      <x:c r="E218" s="7" t="str">
        <x:v>AM-05</x:v>
      </x:c>
      <x:c r="F218" s="7" t="str">
        <x:v>TR-A</x:v>
      </x:c>
      <x:c r="G218" s="7" t="str">
        <x:v>QE-02</x:v>
      </x:c>
      <x:c r="H218" s="7" t="str">
        <x:v>EV-08</x:v>
      </x:c>
      <x:c r="I218" s="10" t="str">
        <x:v>ancestry</x:v>
      </x:c>
      <x:c r="J218" s="10" t="str">
        <x:v>source and water root recovery plus cross-talk</x:v>
      </x:c>
      <x:c r="K218" s="7" t="str"/>
      <x:c r="L218" s="7" t="str">
        <x:v>OPEN</x:v>
      </x:c>
    </x:row>
    <x:row r="219" ht="40" customHeight="1">
      <x:c r="B219" s="7" t="str">
        <x:v>RAE-E-18-EV-09</x:v>
      </x:c>
      <x:c r="C219" s="7" t="str">
        <x:v>RAE-E-18</x:v>
      </x:c>
      <x:c r="D219" s="7" t="str">
        <x:v>RFP-B1</x:v>
      </x:c>
      <x:c r="E219" s="7" t="str">
        <x:v>AM-05</x:v>
      </x:c>
      <x:c r="F219" s="7" t="str">
        <x:v>TR-A</x:v>
      </x:c>
      <x:c r="G219" s="7" t="str">
        <x:v>QE-02</x:v>
      </x:c>
      <x:c r="H219" s="7" t="str">
        <x:v>EV-09</x:v>
      </x:c>
      <x:c r="I219" s="10" t="str">
        <x:v>environmental boundary</x:v>
      </x:c>
      <x:c r="J219" s="10" t="str">
        <x:v>background and post-event sample set</x:v>
      </x:c>
      <x:c r="K219" s="7" t="str"/>
      <x:c r="L219" s="7" t="str">
        <x:v>OPEN</x:v>
      </x:c>
    </x:row>
    <x:row r="220" ht="40" customHeight="1">
      <x:c r="B220" s="7" t="str">
        <x:v>RAE-E-18-EV-10</x:v>
      </x:c>
      <x:c r="C220" s="7" t="str">
        <x:v>RAE-E-18</x:v>
      </x:c>
      <x:c r="D220" s="7" t="str">
        <x:v>RFP-B1</x:v>
      </x:c>
      <x:c r="E220" s="7" t="str">
        <x:v>AM-05</x:v>
      </x:c>
      <x:c r="F220" s="7" t="str">
        <x:v>TR-A</x:v>
      </x:c>
      <x:c r="G220" s="7" t="str">
        <x:v>QE-02</x:v>
      </x:c>
      <x:c r="H220" s="7" t="str">
        <x:v>EV-10</x:v>
      </x:c>
      <x:c r="I220" s="10" t="str">
        <x:v>neighbor state</x:v>
      </x:c>
      <x:c r="J220" s="10" t="str">
        <x:v>three independent inert-state records</x:v>
      </x:c>
      <x:c r="K220" s="7" t="str"/>
      <x:c r="L220" s="7" t="str">
        <x:v>OPEN</x:v>
      </x:c>
    </x:row>
    <x:row r="221" ht="40" customHeight="1">
      <x:c r="B221" s="7" t="str">
        <x:v>RAE-E-18-EV-11</x:v>
      </x:c>
      <x:c r="C221" s="7" t="str">
        <x:v>RAE-E-18</x:v>
      </x:c>
      <x:c r="D221" s="7" t="str">
        <x:v>RFP-B1</x:v>
      </x:c>
      <x:c r="E221" s="7" t="str">
        <x:v>AM-05</x:v>
      </x:c>
      <x:c r="F221" s="7" t="str">
        <x:v>TR-A</x:v>
      </x:c>
      <x:c r="G221" s="7" t="str">
        <x:v>QE-02</x:v>
      </x:c>
      <x:c r="H221" s="7" t="str">
        <x:v>EV-11</x:v>
      </x:c>
      <x:c r="I221" s="10" t="str">
        <x:v>intervention state</x:v>
      </x:c>
      <x:c r="J221" s="10" t="str">
        <x:v>human, automatic and rescue actions</x:v>
      </x:c>
      <x:c r="K221" s="7" t="str"/>
      <x:c r="L221" s="7" t="str">
        <x:v>OPEN</x:v>
      </x:c>
    </x:row>
    <x:row r="222" ht="40" customHeight="1">
      <x:c r="B222" s="7" t="str">
        <x:v>RAE-E-18-EV-12</x:v>
      </x:c>
      <x:c r="C222" s="7" t="str">
        <x:v>RAE-E-18</x:v>
      </x:c>
      <x:c r="D222" s="7" t="str">
        <x:v>RFP-B1</x:v>
      </x:c>
      <x:c r="E222" s="7" t="str">
        <x:v>AM-05</x:v>
      </x:c>
      <x:c r="F222" s="7" t="str">
        <x:v>TR-A</x:v>
      </x:c>
      <x:c r="G222" s="7" t="str">
        <x:v>QE-02</x:v>
      </x:c>
      <x:c r="H222" s="7" t="str">
        <x:v>EV-12</x:v>
      </x:c>
      <x:c r="I222" s="10" t="str">
        <x:v>validity packet</x:v>
      </x:c>
      <x:c r="J222" s="10" t="str">
        <x:v>native hashes, causal map and board disposition</x:v>
      </x:c>
      <x:c r="K222" s="7" t="str"/>
      <x:c r="L222" s="7" t="str">
        <x:v>OPEN</x:v>
      </x:c>
    </x:row>
    <x:row r="223" ht="40" customHeight="1">
      <x:c r="B223" s="7" t="str">
        <x:v>RAE-E-19-EV-01</x:v>
      </x:c>
      <x:c r="C223" s="7" t="str">
        <x:v>RAE-E-19</x:v>
      </x:c>
      <x:c r="D223" s="7" t="str">
        <x:v>RFP-B1</x:v>
      </x:c>
      <x:c r="E223" s="7" t="str">
        <x:v>AM-05</x:v>
      </x:c>
      <x:c r="F223" s="7" t="str">
        <x:v>TR-B</x:v>
      </x:c>
      <x:c r="G223" s="7" t="str">
        <x:v>QE-01</x:v>
      </x:c>
      <x:c r="H223" s="7" t="str">
        <x:v>EV-01</x:v>
      </x:c>
      <x:c r="I223" s="10" t="str">
        <x:v>registered event baseline</x:v>
      </x:c>
      <x:c r="J223" s="10" t="str">
        <x:v>configuration master plus event register</x:v>
      </x:c>
      <x:c r="K223" s="7" t="str"/>
      <x:c r="L223" s="7" t="str">
        <x:v>OPEN</x:v>
      </x:c>
    </x:row>
    <x:row r="224" ht="40" customHeight="1">
      <x:c r="B224" s="7" t="str">
        <x:v>RAE-E-19-EV-02</x:v>
      </x:c>
      <x:c r="C224" s="7" t="str">
        <x:v>RAE-E-19</x:v>
      </x:c>
      <x:c r="D224" s="7" t="str">
        <x:v>RFP-B1</x:v>
      </x:c>
      <x:c r="E224" s="7" t="str">
        <x:v>AM-05</x:v>
      </x:c>
      <x:c r="F224" s="7" t="str">
        <x:v>TR-B</x:v>
      </x:c>
      <x:c r="G224" s="7" t="str">
        <x:v>QE-01</x:v>
      </x:c>
      <x:c r="H224" s="7" t="str">
        <x:v>EV-02</x:v>
      </x:c>
      <x:c r="I224" s="10" t="str">
        <x:v>source command and mass</x:v>
      </x:c>
      <x:c r="J224" s="10" t="str">
        <x:v>native command, load cells and custody ledger</x:v>
      </x:c>
      <x:c r="K224" s="7" t="str"/>
      <x:c r="L224" s="7" t="str">
        <x:v>OPEN</x:v>
      </x:c>
    </x:row>
    <x:row r="225" ht="40" customHeight="1">
      <x:c r="B225" s="7" t="str">
        <x:v>RAE-E-19-EV-03</x:v>
      </x:c>
      <x:c r="C225" s="7" t="str">
        <x:v>RAE-E-19</x:v>
      </x:c>
      <x:c r="D225" s="7" t="str">
        <x:v>RFP-B1</x:v>
      </x:c>
      <x:c r="E225" s="7" t="str">
        <x:v>AM-05</x:v>
      </x:c>
      <x:c r="F225" s="7" t="str">
        <x:v>TR-B</x:v>
      </x:c>
      <x:c r="G225" s="7" t="str">
        <x:v>QE-01</x:v>
      </x:c>
      <x:c r="H225" s="7" t="str">
        <x:v>EV-03</x:v>
      </x:c>
      <x:c r="I225" s="10" t="str">
        <x:v>final control states</x:v>
      </x:c>
      <x:c r="J225" s="10" t="str">
        <x:v>direct element sensors plus local latch</x:v>
      </x:c>
      <x:c r="K225" s="7" t="str"/>
      <x:c r="L225" s="7" t="str">
        <x:v>OPEN</x:v>
      </x:c>
    </x:row>
    <x:row r="226" ht="40" customHeight="1">
      <x:c r="B226" s="7" t="str">
        <x:v>RAE-E-19-EV-04</x:v>
      </x:c>
      <x:c r="C226" s="7" t="str">
        <x:v>RAE-E-19</x:v>
      </x:c>
      <x:c r="D226" s="7" t="str">
        <x:v>RFP-B1</x:v>
      </x:c>
      <x:c r="E226" s="7" t="str">
        <x:v>AM-05</x:v>
      </x:c>
      <x:c r="F226" s="7" t="str">
        <x:v>TR-B</x:v>
      </x:c>
      <x:c r="G226" s="7" t="str">
        <x:v>QE-01</x:v>
      </x:c>
      <x:c r="H226" s="7" t="str">
        <x:v>EV-04</x:v>
      </x:c>
      <x:c r="I226" s="10" t="str">
        <x:v>path action times</x:v>
      </x:c>
      <x:c r="J226" s="10" t="str">
        <x:v>common-epoch trigger and state transitions</x:v>
      </x:c>
      <x:c r="K226" s="7" t="str"/>
      <x:c r="L226" s="7" t="str">
        <x:v>OPEN</x:v>
      </x:c>
    </x:row>
    <x:row r="227" ht="40" customHeight="1">
      <x:c r="B227" s="7" t="str">
        <x:v>RAE-E-19-EV-05</x:v>
      </x:c>
      <x:c r="C227" s="7" t="str">
        <x:v>RAE-E-19</x:v>
      </x:c>
      <x:c r="D227" s="7" t="str">
        <x:v>RFP-B1</x:v>
      </x:c>
      <x:c r="E227" s="7" t="str">
        <x:v>AM-05</x:v>
      </x:c>
      <x:c r="F227" s="7" t="str">
        <x:v>TR-B</x:v>
      </x:c>
      <x:c r="G227" s="7" t="str">
        <x:v>QE-01</x:v>
      </x:c>
      <x:c r="H227" s="7" t="str">
        <x:v>EV-05</x:v>
      </x:c>
      <x:c r="I227" s="10" t="str">
        <x:v>receiver inventories</x:v>
      </x:c>
      <x:c r="J227" s="10" t="str">
        <x:v>before, peak and after volume measurements</x:v>
      </x:c>
      <x:c r="K227" s="7" t="str"/>
      <x:c r="L227" s="7" t="str">
        <x:v>OPEN</x:v>
      </x:c>
    </x:row>
    <x:row r="228" ht="40" customHeight="1">
      <x:c r="B228" s="7" t="str">
        <x:v>RAE-E-19-EV-06</x:v>
      </x:c>
      <x:c r="C228" s="7" t="str">
        <x:v>RAE-E-19</x:v>
      </x:c>
      <x:c r="D228" s="7" t="str">
        <x:v>RFP-B1</x:v>
      </x:c>
      <x:c r="E228" s="7" t="str">
        <x:v>AM-05</x:v>
      </x:c>
      <x:c r="F228" s="7" t="str">
        <x:v>TR-B</x:v>
      </x:c>
      <x:c r="G228" s="7" t="str">
        <x:v>QE-01</x:v>
      </x:c>
      <x:c r="H228" s="7" t="str">
        <x:v>EV-06</x:v>
      </x:c>
      <x:c r="I228" s="10" t="str">
        <x:v>thermal field</x:v>
      </x:c>
      <x:c r="J228" s="10" t="str">
        <x:v>radiometry, heat flux and local weather</x:v>
      </x:c>
      <x:c r="K228" s="7" t="str"/>
      <x:c r="L228" s="7" t="str">
        <x:v>OPEN</x:v>
      </x:c>
    </x:row>
    <x:row r="229" ht="40" customHeight="1">
      <x:c r="B229" s="7" t="str">
        <x:v>RAE-E-19-EV-07</x:v>
      </x:c>
      <x:c r="C229" s="7" t="str">
        <x:v>RAE-E-19</x:v>
      </x:c>
      <x:c r="D229" s="7" t="str">
        <x:v>RFP-B1</x:v>
      </x:c>
      <x:c r="E229" s="7" t="str">
        <x:v>AM-05</x:v>
      </x:c>
      <x:c r="F229" s="7" t="str">
        <x:v>TR-B</x:v>
      </x:c>
      <x:c r="G229" s="7" t="str">
        <x:v>QE-01</x:v>
      </x:c>
      <x:c r="H229" s="7" t="str">
        <x:v>EV-07</x:v>
      </x:c>
      <x:c r="I229" s="10" t="str">
        <x:v>water state</x:v>
      </x:c>
      <x:c r="J229" s="10" t="str">
        <x:v>flow, rain, quench, foam and rinse separation</x:v>
      </x:c>
      <x:c r="K229" s="7" t="str"/>
      <x:c r="L229" s="7" t="str">
        <x:v>OPEN</x:v>
      </x:c>
    </x:row>
    <x:row r="230" ht="40" customHeight="1">
      <x:c r="B230" s="7" t="str">
        <x:v>RAE-E-19-EV-08</x:v>
      </x:c>
      <x:c r="C230" s="7" t="str">
        <x:v>RAE-E-19</x:v>
      </x:c>
      <x:c r="D230" s="7" t="str">
        <x:v>RFP-B1</x:v>
      </x:c>
      <x:c r="E230" s="7" t="str">
        <x:v>AM-05</x:v>
      </x:c>
      <x:c r="F230" s="7" t="str">
        <x:v>TR-B</x:v>
      </x:c>
      <x:c r="G230" s="7" t="str">
        <x:v>QE-01</x:v>
      </x:c>
      <x:c r="H230" s="7" t="str">
        <x:v>EV-08</x:v>
      </x:c>
      <x:c r="I230" s="10" t="str">
        <x:v>ancestry</x:v>
      </x:c>
      <x:c r="J230" s="10" t="str">
        <x:v>source and water root recovery plus cross-talk</x:v>
      </x:c>
      <x:c r="K230" s="7" t="str"/>
      <x:c r="L230" s="7" t="str">
        <x:v>OPEN</x:v>
      </x:c>
    </x:row>
    <x:row r="231" ht="40" customHeight="1">
      <x:c r="B231" s="7" t="str">
        <x:v>RAE-E-19-EV-09</x:v>
      </x:c>
      <x:c r="C231" s="7" t="str">
        <x:v>RAE-E-19</x:v>
      </x:c>
      <x:c r="D231" s="7" t="str">
        <x:v>RFP-B1</x:v>
      </x:c>
      <x:c r="E231" s="7" t="str">
        <x:v>AM-05</x:v>
      </x:c>
      <x:c r="F231" s="7" t="str">
        <x:v>TR-B</x:v>
      </x:c>
      <x:c r="G231" s="7" t="str">
        <x:v>QE-01</x:v>
      </x:c>
      <x:c r="H231" s="7" t="str">
        <x:v>EV-09</x:v>
      </x:c>
      <x:c r="I231" s="10" t="str">
        <x:v>environmental boundary</x:v>
      </x:c>
      <x:c r="J231" s="10" t="str">
        <x:v>background and post-event sample set</x:v>
      </x:c>
      <x:c r="K231" s="7" t="str"/>
      <x:c r="L231" s="7" t="str">
        <x:v>OPEN</x:v>
      </x:c>
    </x:row>
    <x:row r="232" ht="40" customHeight="1">
      <x:c r="B232" s="7" t="str">
        <x:v>RAE-E-19-EV-10</x:v>
      </x:c>
      <x:c r="C232" s="7" t="str">
        <x:v>RAE-E-19</x:v>
      </x:c>
      <x:c r="D232" s="7" t="str">
        <x:v>RFP-B1</x:v>
      </x:c>
      <x:c r="E232" s="7" t="str">
        <x:v>AM-05</x:v>
      </x:c>
      <x:c r="F232" s="7" t="str">
        <x:v>TR-B</x:v>
      </x:c>
      <x:c r="G232" s="7" t="str">
        <x:v>QE-01</x:v>
      </x:c>
      <x:c r="H232" s="7" t="str">
        <x:v>EV-10</x:v>
      </x:c>
      <x:c r="I232" s="10" t="str">
        <x:v>neighbor state</x:v>
      </x:c>
      <x:c r="J232" s="10" t="str">
        <x:v>three independent inert-state records</x:v>
      </x:c>
      <x:c r="K232" s="7" t="str"/>
      <x:c r="L232" s="7" t="str">
        <x:v>OPEN</x:v>
      </x:c>
    </x:row>
    <x:row r="233" ht="40" customHeight="1">
      <x:c r="B233" s="7" t="str">
        <x:v>RAE-E-19-EV-11</x:v>
      </x:c>
      <x:c r="C233" s="7" t="str">
        <x:v>RAE-E-19</x:v>
      </x:c>
      <x:c r="D233" s="7" t="str">
        <x:v>RFP-B1</x:v>
      </x:c>
      <x:c r="E233" s="7" t="str">
        <x:v>AM-05</x:v>
      </x:c>
      <x:c r="F233" s="7" t="str">
        <x:v>TR-B</x:v>
      </x:c>
      <x:c r="G233" s="7" t="str">
        <x:v>QE-01</x:v>
      </x:c>
      <x:c r="H233" s="7" t="str">
        <x:v>EV-11</x:v>
      </x:c>
      <x:c r="I233" s="10" t="str">
        <x:v>intervention state</x:v>
      </x:c>
      <x:c r="J233" s="10" t="str">
        <x:v>human, automatic and rescue actions</x:v>
      </x:c>
      <x:c r="K233" s="7" t="str"/>
      <x:c r="L233" s="7" t="str">
        <x:v>OPEN</x:v>
      </x:c>
    </x:row>
    <x:row r="234" ht="40" customHeight="1">
      <x:c r="B234" s="7" t="str">
        <x:v>RAE-E-19-EV-12</x:v>
      </x:c>
      <x:c r="C234" s="7" t="str">
        <x:v>RAE-E-19</x:v>
      </x:c>
      <x:c r="D234" s="7" t="str">
        <x:v>RFP-B1</x:v>
      </x:c>
      <x:c r="E234" s="7" t="str">
        <x:v>AM-05</x:v>
      </x:c>
      <x:c r="F234" s="7" t="str">
        <x:v>TR-B</x:v>
      </x:c>
      <x:c r="G234" s="7" t="str">
        <x:v>QE-01</x:v>
      </x:c>
      <x:c r="H234" s="7" t="str">
        <x:v>EV-12</x:v>
      </x:c>
      <x:c r="I234" s="10" t="str">
        <x:v>validity packet</x:v>
      </x:c>
      <x:c r="J234" s="10" t="str">
        <x:v>native hashes, causal map and board disposition</x:v>
      </x:c>
      <x:c r="K234" s="7" t="str"/>
      <x:c r="L234" s="7" t="str">
        <x:v>OPEN</x:v>
      </x:c>
    </x:row>
    <x:row r="235" ht="40" customHeight="1">
      <x:c r="B235" s="7" t="str">
        <x:v>RAE-E-20-EV-01</x:v>
      </x:c>
      <x:c r="C235" s="7" t="str">
        <x:v>RAE-E-20</x:v>
      </x:c>
      <x:c r="D235" s="7" t="str">
        <x:v>RFP-B1</x:v>
      </x:c>
      <x:c r="E235" s="7" t="str">
        <x:v>AM-05</x:v>
      </x:c>
      <x:c r="F235" s="7" t="str">
        <x:v>TR-B</x:v>
      </x:c>
      <x:c r="G235" s="7" t="str">
        <x:v>QE-02</x:v>
      </x:c>
      <x:c r="H235" s="7" t="str">
        <x:v>EV-01</x:v>
      </x:c>
      <x:c r="I235" s="10" t="str">
        <x:v>registered event baseline</x:v>
      </x:c>
      <x:c r="J235" s="10" t="str">
        <x:v>configuration master plus event register</x:v>
      </x:c>
      <x:c r="K235" s="7" t="str"/>
      <x:c r="L235" s="7" t="str">
        <x:v>OPEN</x:v>
      </x:c>
    </x:row>
    <x:row r="236" ht="40" customHeight="1">
      <x:c r="B236" s="7" t="str">
        <x:v>RAE-E-20-EV-02</x:v>
      </x:c>
      <x:c r="C236" s="7" t="str">
        <x:v>RAE-E-20</x:v>
      </x:c>
      <x:c r="D236" s="7" t="str">
        <x:v>RFP-B1</x:v>
      </x:c>
      <x:c r="E236" s="7" t="str">
        <x:v>AM-05</x:v>
      </x:c>
      <x:c r="F236" s="7" t="str">
        <x:v>TR-B</x:v>
      </x:c>
      <x:c r="G236" s="7" t="str">
        <x:v>QE-02</x:v>
      </x:c>
      <x:c r="H236" s="7" t="str">
        <x:v>EV-02</x:v>
      </x:c>
      <x:c r="I236" s="10" t="str">
        <x:v>source command and mass</x:v>
      </x:c>
      <x:c r="J236" s="10" t="str">
        <x:v>native command, load cells and custody ledger</x:v>
      </x:c>
      <x:c r="K236" s="7" t="str"/>
      <x:c r="L236" s="7" t="str">
        <x:v>OPEN</x:v>
      </x:c>
    </x:row>
    <x:row r="237" ht="40" customHeight="1">
      <x:c r="B237" s="7" t="str">
        <x:v>RAE-E-20-EV-03</x:v>
      </x:c>
      <x:c r="C237" s="7" t="str">
        <x:v>RAE-E-20</x:v>
      </x:c>
      <x:c r="D237" s="7" t="str">
        <x:v>RFP-B1</x:v>
      </x:c>
      <x:c r="E237" s="7" t="str">
        <x:v>AM-05</x:v>
      </x:c>
      <x:c r="F237" s="7" t="str">
        <x:v>TR-B</x:v>
      </x:c>
      <x:c r="G237" s="7" t="str">
        <x:v>QE-02</x:v>
      </x:c>
      <x:c r="H237" s="7" t="str">
        <x:v>EV-03</x:v>
      </x:c>
      <x:c r="I237" s="10" t="str">
        <x:v>final control states</x:v>
      </x:c>
      <x:c r="J237" s="10" t="str">
        <x:v>direct element sensors plus local latch</x:v>
      </x:c>
      <x:c r="K237" s="7" t="str"/>
      <x:c r="L237" s="7" t="str">
        <x:v>OPEN</x:v>
      </x:c>
    </x:row>
    <x:row r="238" ht="40" customHeight="1">
      <x:c r="B238" s="7" t="str">
        <x:v>RAE-E-20-EV-04</x:v>
      </x:c>
      <x:c r="C238" s="7" t="str">
        <x:v>RAE-E-20</x:v>
      </x:c>
      <x:c r="D238" s="7" t="str">
        <x:v>RFP-B1</x:v>
      </x:c>
      <x:c r="E238" s="7" t="str">
        <x:v>AM-05</x:v>
      </x:c>
      <x:c r="F238" s="7" t="str">
        <x:v>TR-B</x:v>
      </x:c>
      <x:c r="G238" s="7" t="str">
        <x:v>QE-02</x:v>
      </x:c>
      <x:c r="H238" s="7" t="str">
        <x:v>EV-04</x:v>
      </x:c>
      <x:c r="I238" s="10" t="str">
        <x:v>path action times</x:v>
      </x:c>
      <x:c r="J238" s="10" t="str">
        <x:v>common-epoch trigger and state transitions</x:v>
      </x:c>
      <x:c r="K238" s="7" t="str"/>
      <x:c r="L238" s="7" t="str">
        <x:v>OPEN</x:v>
      </x:c>
    </x:row>
    <x:row r="239" ht="40" customHeight="1">
      <x:c r="B239" s="7" t="str">
        <x:v>RAE-E-20-EV-05</x:v>
      </x:c>
      <x:c r="C239" s="7" t="str">
        <x:v>RAE-E-20</x:v>
      </x:c>
      <x:c r="D239" s="7" t="str">
        <x:v>RFP-B1</x:v>
      </x:c>
      <x:c r="E239" s="7" t="str">
        <x:v>AM-05</x:v>
      </x:c>
      <x:c r="F239" s="7" t="str">
        <x:v>TR-B</x:v>
      </x:c>
      <x:c r="G239" s="7" t="str">
        <x:v>QE-02</x:v>
      </x:c>
      <x:c r="H239" s="7" t="str">
        <x:v>EV-05</x:v>
      </x:c>
      <x:c r="I239" s="10" t="str">
        <x:v>receiver inventories</x:v>
      </x:c>
      <x:c r="J239" s="10" t="str">
        <x:v>before, peak and after volume measurements</x:v>
      </x:c>
      <x:c r="K239" s="7" t="str"/>
      <x:c r="L239" s="7" t="str">
        <x:v>OPEN</x:v>
      </x:c>
    </x:row>
    <x:row r="240" ht="40" customHeight="1">
      <x:c r="B240" s="7" t="str">
        <x:v>RAE-E-20-EV-06</x:v>
      </x:c>
      <x:c r="C240" s="7" t="str">
        <x:v>RAE-E-20</x:v>
      </x:c>
      <x:c r="D240" s="7" t="str">
        <x:v>RFP-B1</x:v>
      </x:c>
      <x:c r="E240" s="7" t="str">
        <x:v>AM-05</x:v>
      </x:c>
      <x:c r="F240" s="7" t="str">
        <x:v>TR-B</x:v>
      </x:c>
      <x:c r="G240" s="7" t="str">
        <x:v>QE-02</x:v>
      </x:c>
      <x:c r="H240" s="7" t="str">
        <x:v>EV-06</x:v>
      </x:c>
      <x:c r="I240" s="10" t="str">
        <x:v>thermal field</x:v>
      </x:c>
      <x:c r="J240" s="10" t="str">
        <x:v>radiometry, heat flux and local weather</x:v>
      </x:c>
      <x:c r="K240" s="7" t="str"/>
      <x:c r="L240" s="7" t="str">
        <x:v>OPEN</x:v>
      </x:c>
    </x:row>
    <x:row r="241" ht="40" customHeight="1">
      <x:c r="B241" s="7" t="str">
        <x:v>RAE-E-20-EV-07</x:v>
      </x:c>
      <x:c r="C241" s="7" t="str">
        <x:v>RAE-E-20</x:v>
      </x:c>
      <x:c r="D241" s="7" t="str">
        <x:v>RFP-B1</x:v>
      </x:c>
      <x:c r="E241" s="7" t="str">
        <x:v>AM-05</x:v>
      </x:c>
      <x:c r="F241" s="7" t="str">
        <x:v>TR-B</x:v>
      </x:c>
      <x:c r="G241" s="7" t="str">
        <x:v>QE-02</x:v>
      </x:c>
      <x:c r="H241" s="7" t="str">
        <x:v>EV-07</x:v>
      </x:c>
      <x:c r="I241" s="10" t="str">
        <x:v>water state</x:v>
      </x:c>
      <x:c r="J241" s="10" t="str">
        <x:v>flow, rain, quench, foam and rinse separation</x:v>
      </x:c>
      <x:c r="K241" s="7" t="str"/>
      <x:c r="L241" s="7" t="str">
        <x:v>OPEN</x:v>
      </x:c>
    </x:row>
    <x:row r="242" ht="40" customHeight="1">
      <x:c r="B242" s="7" t="str">
        <x:v>RAE-E-20-EV-08</x:v>
      </x:c>
      <x:c r="C242" s="7" t="str">
        <x:v>RAE-E-20</x:v>
      </x:c>
      <x:c r="D242" s="7" t="str">
        <x:v>RFP-B1</x:v>
      </x:c>
      <x:c r="E242" s="7" t="str">
        <x:v>AM-05</x:v>
      </x:c>
      <x:c r="F242" s="7" t="str">
        <x:v>TR-B</x:v>
      </x:c>
      <x:c r="G242" s="7" t="str">
        <x:v>QE-02</x:v>
      </x:c>
      <x:c r="H242" s="7" t="str">
        <x:v>EV-08</x:v>
      </x:c>
      <x:c r="I242" s="10" t="str">
        <x:v>ancestry</x:v>
      </x:c>
      <x:c r="J242" s="10" t="str">
        <x:v>source and water root recovery plus cross-talk</x:v>
      </x:c>
      <x:c r="K242" s="7" t="str"/>
      <x:c r="L242" s="7" t="str">
        <x:v>OPEN</x:v>
      </x:c>
    </x:row>
    <x:row r="243" ht="40" customHeight="1">
      <x:c r="B243" s="7" t="str">
        <x:v>RAE-E-20-EV-09</x:v>
      </x:c>
      <x:c r="C243" s="7" t="str">
        <x:v>RAE-E-20</x:v>
      </x:c>
      <x:c r="D243" s="7" t="str">
        <x:v>RFP-B1</x:v>
      </x:c>
      <x:c r="E243" s="7" t="str">
        <x:v>AM-05</x:v>
      </x:c>
      <x:c r="F243" s="7" t="str">
        <x:v>TR-B</x:v>
      </x:c>
      <x:c r="G243" s="7" t="str">
        <x:v>QE-02</x:v>
      </x:c>
      <x:c r="H243" s="7" t="str">
        <x:v>EV-09</x:v>
      </x:c>
      <x:c r="I243" s="10" t="str">
        <x:v>environmental boundary</x:v>
      </x:c>
      <x:c r="J243" s="10" t="str">
        <x:v>background and post-event sample set</x:v>
      </x:c>
      <x:c r="K243" s="7" t="str"/>
      <x:c r="L243" s="7" t="str">
        <x:v>OPEN</x:v>
      </x:c>
    </x:row>
    <x:row r="244" ht="40" customHeight="1">
      <x:c r="B244" s="7" t="str">
        <x:v>RAE-E-20-EV-10</x:v>
      </x:c>
      <x:c r="C244" s="7" t="str">
        <x:v>RAE-E-20</x:v>
      </x:c>
      <x:c r="D244" s="7" t="str">
        <x:v>RFP-B1</x:v>
      </x:c>
      <x:c r="E244" s="7" t="str">
        <x:v>AM-05</x:v>
      </x:c>
      <x:c r="F244" s="7" t="str">
        <x:v>TR-B</x:v>
      </x:c>
      <x:c r="G244" s="7" t="str">
        <x:v>QE-02</x:v>
      </x:c>
      <x:c r="H244" s="7" t="str">
        <x:v>EV-10</x:v>
      </x:c>
      <x:c r="I244" s="10" t="str">
        <x:v>neighbor state</x:v>
      </x:c>
      <x:c r="J244" s="10" t="str">
        <x:v>three independent inert-state records</x:v>
      </x:c>
      <x:c r="K244" s="7" t="str"/>
      <x:c r="L244" s="7" t="str">
        <x:v>OPEN</x:v>
      </x:c>
    </x:row>
    <x:row r="245" ht="40" customHeight="1">
      <x:c r="B245" s="7" t="str">
        <x:v>RAE-E-20-EV-11</x:v>
      </x:c>
      <x:c r="C245" s="7" t="str">
        <x:v>RAE-E-20</x:v>
      </x:c>
      <x:c r="D245" s="7" t="str">
        <x:v>RFP-B1</x:v>
      </x:c>
      <x:c r="E245" s="7" t="str">
        <x:v>AM-05</x:v>
      </x:c>
      <x:c r="F245" s="7" t="str">
        <x:v>TR-B</x:v>
      </x:c>
      <x:c r="G245" s="7" t="str">
        <x:v>QE-02</x:v>
      </x:c>
      <x:c r="H245" s="7" t="str">
        <x:v>EV-11</x:v>
      </x:c>
      <x:c r="I245" s="10" t="str">
        <x:v>intervention state</x:v>
      </x:c>
      <x:c r="J245" s="10" t="str">
        <x:v>human, automatic and rescue actions</x:v>
      </x:c>
      <x:c r="K245" s="7" t="str"/>
      <x:c r="L245" s="7" t="str">
        <x:v>OPEN</x:v>
      </x:c>
    </x:row>
    <x:row r="246" ht="40" customHeight="1">
      <x:c r="B246" s="7" t="str">
        <x:v>RAE-E-20-EV-12</x:v>
      </x:c>
      <x:c r="C246" s="7" t="str">
        <x:v>RAE-E-20</x:v>
      </x:c>
      <x:c r="D246" s="7" t="str">
        <x:v>RFP-B1</x:v>
      </x:c>
      <x:c r="E246" s="7" t="str">
        <x:v>AM-05</x:v>
      </x:c>
      <x:c r="F246" s="7" t="str">
        <x:v>TR-B</x:v>
      </x:c>
      <x:c r="G246" s="7" t="str">
        <x:v>QE-02</x:v>
      </x:c>
      <x:c r="H246" s="7" t="str">
        <x:v>EV-12</x:v>
      </x:c>
      <x:c r="I246" s="10" t="str">
        <x:v>validity packet</x:v>
      </x:c>
      <x:c r="J246" s="10" t="str">
        <x:v>native hashes, causal map and board disposition</x:v>
      </x:c>
      <x:c r="K246" s="7" t="str"/>
      <x:c r="L246" s="7" t="str">
        <x:v>OPEN</x:v>
      </x:c>
    </x:row>
    <x:row r="247" ht="40" customHeight="1">
      <x:c r="B247" s="7" t="str">
        <x:v>RAE-E-21-EV-01</x:v>
      </x:c>
      <x:c r="C247" s="7" t="str">
        <x:v>RAE-E-21</x:v>
      </x:c>
      <x:c r="D247" s="7" t="str">
        <x:v>RFP-B1</x:v>
      </x:c>
      <x:c r="E247" s="7" t="str">
        <x:v>AM-06</x:v>
      </x:c>
      <x:c r="F247" s="7" t="str">
        <x:v>TR-A</x:v>
      </x:c>
      <x:c r="G247" s="7" t="str">
        <x:v>QE-01</x:v>
      </x:c>
      <x:c r="H247" s="7" t="str">
        <x:v>EV-01</x:v>
      </x:c>
      <x:c r="I247" s="10" t="str">
        <x:v>registered event baseline</x:v>
      </x:c>
      <x:c r="J247" s="10" t="str">
        <x:v>configuration master plus event register</x:v>
      </x:c>
      <x:c r="K247" s="7" t="str"/>
      <x:c r="L247" s="7" t="str">
        <x:v>OPEN</x:v>
      </x:c>
    </x:row>
    <x:row r="248" ht="40" customHeight="1">
      <x:c r="B248" s="7" t="str">
        <x:v>RAE-E-21-EV-02</x:v>
      </x:c>
      <x:c r="C248" s="7" t="str">
        <x:v>RAE-E-21</x:v>
      </x:c>
      <x:c r="D248" s="7" t="str">
        <x:v>RFP-B1</x:v>
      </x:c>
      <x:c r="E248" s="7" t="str">
        <x:v>AM-06</x:v>
      </x:c>
      <x:c r="F248" s="7" t="str">
        <x:v>TR-A</x:v>
      </x:c>
      <x:c r="G248" s="7" t="str">
        <x:v>QE-01</x:v>
      </x:c>
      <x:c r="H248" s="7" t="str">
        <x:v>EV-02</x:v>
      </x:c>
      <x:c r="I248" s="10" t="str">
        <x:v>source command and mass</x:v>
      </x:c>
      <x:c r="J248" s="10" t="str">
        <x:v>native command, load cells and custody ledger</x:v>
      </x:c>
      <x:c r="K248" s="7" t="str"/>
      <x:c r="L248" s="7" t="str">
        <x:v>OPEN</x:v>
      </x:c>
    </x:row>
    <x:row r="249" ht="40" customHeight="1">
      <x:c r="B249" s="7" t="str">
        <x:v>RAE-E-21-EV-03</x:v>
      </x:c>
      <x:c r="C249" s="7" t="str">
        <x:v>RAE-E-21</x:v>
      </x:c>
      <x:c r="D249" s="7" t="str">
        <x:v>RFP-B1</x:v>
      </x:c>
      <x:c r="E249" s="7" t="str">
        <x:v>AM-06</x:v>
      </x:c>
      <x:c r="F249" s="7" t="str">
        <x:v>TR-A</x:v>
      </x:c>
      <x:c r="G249" s="7" t="str">
        <x:v>QE-01</x:v>
      </x:c>
      <x:c r="H249" s="7" t="str">
        <x:v>EV-03</x:v>
      </x:c>
      <x:c r="I249" s="10" t="str">
        <x:v>final control states</x:v>
      </x:c>
      <x:c r="J249" s="10" t="str">
        <x:v>direct element sensors plus local latch</x:v>
      </x:c>
      <x:c r="K249" s="7" t="str"/>
      <x:c r="L249" s="7" t="str">
        <x:v>OPEN</x:v>
      </x:c>
    </x:row>
    <x:row r="250" ht="40" customHeight="1">
      <x:c r="B250" s="7" t="str">
        <x:v>RAE-E-21-EV-04</x:v>
      </x:c>
      <x:c r="C250" s="7" t="str">
        <x:v>RAE-E-21</x:v>
      </x:c>
      <x:c r="D250" s="7" t="str">
        <x:v>RFP-B1</x:v>
      </x:c>
      <x:c r="E250" s="7" t="str">
        <x:v>AM-06</x:v>
      </x:c>
      <x:c r="F250" s="7" t="str">
        <x:v>TR-A</x:v>
      </x:c>
      <x:c r="G250" s="7" t="str">
        <x:v>QE-01</x:v>
      </x:c>
      <x:c r="H250" s="7" t="str">
        <x:v>EV-04</x:v>
      </x:c>
      <x:c r="I250" s="10" t="str">
        <x:v>path action times</x:v>
      </x:c>
      <x:c r="J250" s="10" t="str">
        <x:v>common-epoch trigger and state transitions</x:v>
      </x:c>
      <x:c r="K250" s="7" t="str"/>
      <x:c r="L250" s="7" t="str">
        <x:v>OPEN</x:v>
      </x:c>
    </x:row>
    <x:row r="251" ht="40" customHeight="1">
      <x:c r="B251" s="7" t="str">
        <x:v>RAE-E-21-EV-05</x:v>
      </x:c>
      <x:c r="C251" s="7" t="str">
        <x:v>RAE-E-21</x:v>
      </x:c>
      <x:c r="D251" s="7" t="str">
        <x:v>RFP-B1</x:v>
      </x:c>
      <x:c r="E251" s="7" t="str">
        <x:v>AM-06</x:v>
      </x:c>
      <x:c r="F251" s="7" t="str">
        <x:v>TR-A</x:v>
      </x:c>
      <x:c r="G251" s="7" t="str">
        <x:v>QE-01</x:v>
      </x:c>
      <x:c r="H251" s="7" t="str">
        <x:v>EV-05</x:v>
      </x:c>
      <x:c r="I251" s="10" t="str">
        <x:v>receiver inventories</x:v>
      </x:c>
      <x:c r="J251" s="10" t="str">
        <x:v>before, peak and after volume measurements</x:v>
      </x:c>
      <x:c r="K251" s="7" t="str"/>
      <x:c r="L251" s="7" t="str">
        <x:v>OPEN</x:v>
      </x:c>
    </x:row>
    <x:row r="252" ht="40" customHeight="1">
      <x:c r="B252" s="7" t="str">
        <x:v>RAE-E-21-EV-06</x:v>
      </x:c>
      <x:c r="C252" s="7" t="str">
        <x:v>RAE-E-21</x:v>
      </x:c>
      <x:c r="D252" s="7" t="str">
        <x:v>RFP-B1</x:v>
      </x:c>
      <x:c r="E252" s="7" t="str">
        <x:v>AM-06</x:v>
      </x:c>
      <x:c r="F252" s="7" t="str">
        <x:v>TR-A</x:v>
      </x:c>
      <x:c r="G252" s="7" t="str">
        <x:v>QE-01</x:v>
      </x:c>
      <x:c r="H252" s="7" t="str">
        <x:v>EV-06</x:v>
      </x:c>
      <x:c r="I252" s="10" t="str">
        <x:v>thermal field</x:v>
      </x:c>
      <x:c r="J252" s="10" t="str">
        <x:v>radiometry, heat flux and local weather</x:v>
      </x:c>
      <x:c r="K252" s="7" t="str"/>
      <x:c r="L252" s="7" t="str">
        <x:v>OPEN</x:v>
      </x:c>
    </x:row>
    <x:row r="253" ht="40" customHeight="1">
      <x:c r="B253" s="7" t="str">
        <x:v>RAE-E-21-EV-07</x:v>
      </x:c>
      <x:c r="C253" s="7" t="str">
        <x:v>RAE-E-21</x:v>
      </x:c>
      <x:c r="D253" s="7" t="str">
        <x:v>RFP-B1</x:v>
      </x:c>
      <x:c r="E253" s="7" t="str">
        <x:v>AM-06</x:v>
      </x:c>
      <x:c r="F253" s="7" t="str">
        <x:v>TR-A</x:v>
      </x:c>
      <x:c r="G253" s="7" t="str">
        <x:v>QE-01</x:v>
      </x:c>
      <x:c r="H253" s="7" t="str">
        <x:v>EV-07</x:v>
      </x:c>
      <x:c r="I253" s="10" t="str">
        <x:v>water state</x:v>
      </x:c>
      <x:c r="J253" s="10" t="str">
        <x:v>flow, rain, quench, foam and rinse separation</x:v>
      </x:c>
      <x:c r="K253" s="7" t="str"/>
      <x:c r="L253" s="7" t="str">
        <x:v>OPEN</x:v>
      </x:c>
    </x:row>
    <x:row r="254" ht="40" customHeight="1">
      <x:c r="B254" s="7" t="str">
        <x:v>RAE-E-21-EV-08</x:v>
      </x:c>
      <x:c r="C254" s="7" t="str">
        <x:v>RAE-E-21</x:v>
      </x:c>
      <x:c r="D254" s="7" t="str">
        <x:v>RFP-B1</x:v>
      </x:c>
      <x:c r="E254" s="7" t="str">
        <x:v>AM-06</x:v>
      </x:c>
      <x:c r="F254" s="7" t="str">
        <x:v>TR-A</x:v>
      </x:c>
      <x:c r="G254" s="7" t="str">
        <x:v>QE-01</x:v>
      </x:c>
      <x:c r="H254" s="7" t="str">
        <x:v>EV-08</x:v>
      </x:c>
      <x:c r="I254" s="10" t="str">
        <x:v>ancestry</x:v>
      </x:c>
      <x:c r="J254" s="10" t="str">
        <x:v>source and water root recovery plus cross-talk</x:v>
      </x:c>
      <x:c r="K254" s="7" t="str"/>
      <x:c r="L254" s="7" t="str">
        <x:v>OPEN</x:v>
      </x:c>
    </x:row>
    <x:row r="255" ht="40" customHeight="1">
      <x:c r="B255" s="7" t="str">
        <x:v>RAE-E-21-EV-09</x:v>
      </x:c>
      <x:c r="C255" s="7" t="str">
        <x:v>RAE-E-21</x:v>
      </x:c>
      <x:c r="D255" s="7" t="str">
        <x:v>RFP-B1</x:v>
      </x:c>
      <x:c r="E255" s="7" t="str">
        <x:v>AM-06</x:v>
      </x:c>
      <x:c r="F255" s="7" t="str">
        <x:v>TR-A</x:v>
      </x:c>
      <x:c r="G255" s="7" t="str">
        <x:v>QE-01</x:v>
      </x:c>
      <x:c r="H255" s="7" t="str">
        <x:v>EV-09</x:v>
      </x:c>
      <x:c r="I255" s="10" t="str">
        <x:v>environmental boundary</x:v>
      </x:c>
      <x:c r="J255" s="10" t="str">
        <x:v>background and post-event sample set</x:v>
      </x:c>
      <x:c r="K255" s="7" t="str"/>
      <x:c r="L255" s="7" t="str">
        <x:v>OPEN</x:v>
      </x:c>
    </x:row>
    <x:row r="256" ht="40" customHeight="1">
      <x:c r="B256" s="7" t="str">
        <x:v>RAE-E-21-EV-10</x:v>
      </x:c>
      <x:c r="C256" s="7" t="str">
        <x:v>RAE-E-21</x:v>
      </x:c>
      <x:c r="D256" s="7" t="str">
        <x:v>RFP-B1</x:v>
      </x:c>
      <x:c r="E256" s="7" t="str">
        <x:v>AM-06</x:v>
      </x:c>
      <x:c r="F256" s="7" t="str">
        <x:v>TR-A</x:v>
      </x:c>
      <x:c r="G256" s="7" t="str">
        <x:v>QE-01</x:v>
      </x:c>
      <x:c r="H256" s="7" t="str">
        <x:v>EV-10</x:v>
      </x:c>
      <x:c r="I256" s="10" t="str">
        <x:v>neighbor state</x:v>
      </x:c>
      <x:c r="J256" s="10" t="str">
        <x:v>three independent inert-state records</x:v>
      </x:c>
      <x:c r="K256" s="7" t="str"/>
      <x:c r="L256" s="7" t="str">
        <x:v>OPEN</x:v>
      </x:c>
    </x:row>
    <x:row r="257" ht="40" customHeight="1">
      <x:c r="B257" s="7" t="str">
        <x:v>RAE-E-21-EV-11</x:v>
      </x:c>
      <x:c r="C257" s="7" t="str">
        <x:v>RAE-E-21</x:v>
      </x:c>
      <x:c r="D257" s="7" t="str">
        <x:v>RFP-B1</x:v>
      </x:c>
      <x:c r="E257" s="7" t="str">
        <x:v>AM-06</x:v>
      </x:c>
      <x:c r="F257" s="7" t="str">
        <x:v>TR-A</x:v>
      </x:c>
      <x:c r="G257" s="7" t="str">
        <x:v>QE-01</x:v>
      </x:c>
      <x:c r="H257" s="7" t="str">
        <x:v>EV-11</x:v>
      </x:c>
      <x:c r="I257" s="10" t="str">
        <x:v>intervention state</x:v>
      </x:c>
      <x:c r="J257" s="10" t="str">
        <x:v>human, automatic and rescue actions</x:v>
      </x:c>
      <x:c r="K257" s="7" t="str"/>
      <x:c r="L257" s="7" t="str">
        <x:v>OPEN</x:v>
      </x:c>
    </x:row>
    <x:row r="258" ht="40" customHeight="1">
      <x:c r="B258" s="7" t="str">
        <x:v>RAE-E-21-EV-12</x:v>
      </x:c>
      <x:c r="C258" s="7" t="str">
        <x:v>RAE-E-21</x:v>
      </x:c>
      <x:c r="D258" s="7" t="str">
        <x:v>RFP-B1</x:v>
      </x:c>
      <x:c r="E258" s="7" t="str">
        <x:v>AM-06</x:v>
      </x:c>
      <x:c r="F258" s="7" t="str">
        <x:v>TR-A</x:v>
      </x:c>
      <x:c r="G258" s="7" t="str">
        <x:v>QE-01</x:v>
      </x:c>
      <x:c r="H258" s="7" t="str">
        <x:v>EV-12</x:v>
      </x:c>
      <x:c r="I258" s="10" t="str">
        <x:v>validity packet</x:v>
      </x:c>
      <x:c r="J258" s="10" t="str">
        <x:v>native hashes, causal map and board disposition</x:v>
      </x:c>
      <x:c r="K258" s="7" t="str"/>
      <x:c r="L258" s="7" t="str">
        <x:v>OPEN</x:v>
      </x:c>
    </x:row>
    <x:row r="259" ht="40" customHeight="1">
      <x:c r="B259" s="7" t="str">
        <x:v>RAE-E-22-EV-01</x:v>
      </x:c>
      <x:c r="C259" s="7" t="str">
        <x:v>RAE-E-22</x:v>
      </x:c>
      <x:c r="D259" s="7" t="str">
        <x:v>RFP-B1</x:v>
      </x:c>
      <x:c r="E259" s="7" t="str">
        <x:v>AM-06</x:v>
      </x:c>
      <x:c r="F259" s="7" t="str">
        <x:v>TR-A</x:v>
      </x:c>
      <x:c r="G259" s="7" t="str">
        <x:v>QE-02</x:v>
      </x:c>
      <x:c r="H259" s="7" t="str">
        <x:v>EV-01</x:v>
      </x:c>
      <x:c r="I259" s="10" t="str">
        <x:v>registered event baseline</x:v>
      </x:c>
      <x:c r="J259" s="10" t="str">
        <x:v>configuration master plus event register</x:v>
      </x:c>
      <x:c r="K259" s="7" t="str"/>
      <x:c r="L259" s="7" t="str">
        <x:v>OPEN</x:v>
      </x:c>
    </x:row>
    <x:row r="260" ht="40" customHeight="1">
      <x:c r="B260" s="7" t="str">
        <x:v>RAE-E-22-EV-02</x:v>
      </x:c>
      <x:c r="C260" s="7" t="str">
        <x:v>RAE-E-22</x:v>
      </x:c>
      <x:c r="D260" s="7" t="str">
        <x:v>RFP-B1</x:v>
      </x:c>
      <x:c r="E260" s="7" t="str">
        <x:v>AM-06</x:v>
      </x:c>
      <x:c r="F260" s="7" t="str">
        <x:v>TR-A</x:v>
      </x:c>
      <x:c r="G260" s="7" t="str">
        <x:v>QE-02</x:v>
      </x:c>
      <x:c r="H260" s="7" t="str">
        <x:v>EV-02</x:v>
      </x:c>
      <x:c r="I260" s="10" t="str">
        <x:v>source command and mass</x:v>
      </x:c>
      <x:c r="J260" s="10" t="str">
        <x:v>native command, load cells and custody ledger</x:v>
      </x:c>
      <x:c r="K260" s="7" t="str"/>
      <x:c r="L260" s="7" t="str">
        <x:v>OPEN</x:v>
      </x:c>
    </x:row>
    <x:row r="261" ht="40" customHeight="1">
      <x:c r="B261" s="7" t="str">
        <x:v>RAE-E-22-EV-03</x:v>
      </x:c>
      <x:c r="C261" s="7" t="str">
        <x:v>RAE-E-22</x:v>
      </x:c>
      <x:c r="D261" s="7" t="str">
        <x:v>RFP-B1</x:v>
      </x:c>
      <x:c r="E261" s="7" t="str">
        <x:v>AM-06</x:v>
      </x:c>
      <x:c r="F261" s="7" t="str">
        <x:v>TR-A</x:v>
      </x:c>
      <x:c r="G261" s="7" t="str">
        <x:v>QE-02</x:v>
      </x:c>
      <x:c r="H261" s="7" t="str">
        <x:v>EV-03</x:v>
      </x:c>
      <x:c r="I261" s="10" t="str">
        <x:v>final control states</x:v>
      </x:c>
      <x:c r="J261" s="10" t="str">
        <x:v>direct element sensors plus local latch</x:v>
      </x:c>
      <x:c r="K261" s="7" t="str"/>
      <x:c r="L261" s="7" t="str">
        <x:v>OPEN</x:v>
      </x:c>
    </x:row>
    <x:row r="262" ht="40" customHeight="1">
      <x:c r="B262" s="7" t="str">
        <x:v>RAE-E-22-EV-04</x:v>
      </x:c>
      <x:c r="C262" s="7" t="str">
        <x:v>RAE-E-22</x:v>
      </x:c>
      <x:c r="D262" s="7" t="str">
        <x:v>RFP-B1</x:v>
      </x:c>
      <x:c r="E262" s="7" t="str">
        <x:v>AM-06</x:v>
      </x:c>
      <x:c r="F262" s="7" t="str">
        <x:v>TR-A</x:v>
      </x:c>
      <x:c r="G262" s="7" t="str">
        <x:v>QE-02</x:v>
      </x:c>
      <x:c r="H262" s="7" t="str">
        <x:v>EV-04</x:v>
      </x:c>
      <x:c r="I262" s="10" t="str">
        <x:v>path action times</x:v>
      </x:c>
      <x:c r="J262" s="10" t="str">
        <x:v>common-epoch trigger and state transitions</x:v>
      </x:c>
      <x:c r="K262" s="7" t="str"/>
      <x:c r="L262" s="7" t="str">
        <x:v>OPEN</x:v>
      </x:c>
    </x:row>
    <x:row r="263" ht="40" customHeight="1">
      <x:c r="B263" s="7" t="str">
        <x:v>RAE-E-22-EV-05</x:v>
      </x:c>
      <x:c r="C263" s="7" t="str">
        <x:v>RAE-E-22</x:v>
      </x:c>
      <x:c r="D263" s="7" t="str">
        <x:v>RFP-B1</x:v>
      </x:c>
      <x:c r="E263" s="7" t="str">
        <x:v>AM-06</x:v>
      </x:c>
      <x:c r="F263" s="7" t="str">
        <x:v>TR-A</x:v>
      </x:c>
      <x:c r="G263" s="7" t="str">
        <x:v>QE-02</x:v>
      </x:c>
      <x:c r="H263" s="7" t="str">
        <x:v>EV-05</x:v>
      </x:c>
      <x:c r="I263" s="10" t="str">
        <x:v>receiver inventories</x:v>
      </x:c>
      <x:c r="J263" s="10" t="str">
        <x:v>before, peak and after volume measurements</x:v>
      </x:c>
      <x:c r="K263" s="7" t="str"/>
      <x:c r="L263" s="7" t="str">
        <x:v>OPEN</x:v>
      </x:c>
    </x:row>
    <x:row r="264" ht="40" customHeight="1">
      <x:c r="B264" s="7" t="str">
        <x:v>RAE-E-22-EV-06</x:v>
      </x:c>
      <x:c r="C264" s="7" t="str">
        <x:v>RAE-E-22</x:v>
      </x:c>
      <x:c r="D264" s="7" t="str">
        <x:v>RFP-B1</x:v>
      </x:c>
      <x:c r="E264" s="7" t="str">
        <x:v>AM-06</x:v>
      </x:c>
      <x:c r="F264" s="7" t="str">
        <x:v>TR-A</x:v>
      </x:c>
      <x:c r="G264" s="7" t="str">
        <x:v>QE-02</x:v>
      </x:c>
      <x:c r="H264" s="7" t="str">
        <x:v>EV-06</x:v>
      </x:c>
      <x:c r="I264" s="10" t="str">
        <x:v>thermal field</x:v>
      </x:c>
      <x:c r="J264" s="10" t="str">
        <x:v>radiometry, heat flux and local weather</x:v>
      </x:c>
      <x:c r="K264" s="7" t="str"/>
      <x:c r="L264" s="7" t="str">
        <x:v>OPEN</x:v>
      </x:c>
    </x:row>
    <x:row r="265" ht="40" customHeight="1">
      <x:c r="B265" s="7" t="str">
        <x:v>RAE-E-22-EV-07</x:v>
      </x:c>
      <x:c r="C265" s="7" t="str">
        <x:v>RAE-E-22</x:v>
      </x:c>
      <x:c r="D265" s="7" t="str">
        <x:v>RFP-B1</x:v>
      </x:c>
      <x:c r="E265" s="7" t="str">
        <x:v>AM-06</x:v>
      </x:c>
      <x:c r="F265" s="7" t="str">
        <x:v>TR-A</x:v>
      </x:c>
      <x:c r="G265" s="7" t="str">
        <x:v>QE-02</x:v>
      </x:c>
      <x:c r="H265" s="7" t="str">
        <x:v>EV-07</x:v>
      </x:c>
      <x:c r="I265" s="10" t="str">
        <x:v>water state</x:v>
      </x:c>
      <x:c r="J265" s="10" t="str">
        <x:v>flow, rain, quench, foam and rinse separation</x:v>
      </x:c>
      <x:c r="K265" s="7" t="str"/>
      <x:c r="L265" s="7" t="str">
        <x:v>OPEN</x:v>
      </x:c>
    </x:row>
    <x:row r="266" ht="40" customHeight="1">
      <x:c r="B266" s="7" t="str">
        <x:v>RAE-E-22-EV-08</x:v>
      </x:c>
      <x:c r="C266" s="7" t="str">
        <x:v>RAE-E-22</x:v>
      </x:c>
      <x:c r="D266" s="7" t="str">
        <x:v>RFP-B1</x:v>
      </x:c>
      <x:c r="E266" s="7" t="str">
        <x:v>AM-06</x:v>
      </x:c>
      <x:c r="F266" s="7" t="str">
        <x:v>TR-A</x:v>
      </x:c>
      <x:c r="G266" s="7" t="str">
        <x:v>QE-02</x:v>
      </x:c>
      <x:c r="H266" s="7" t="str">
        <x:v>EV-08</x:v>
      </x:c>
      <x:c r="I266" s="10" t="str">
        <x:v>ancestry</x:v>
      </x:c>
      <x:c r="J266" s="10" t="str">
        <x:v>source and water root recovery plus cross-talk</x:v>
      </x:c>
      <x:c r="K266" s="7" t="str"/>
      <x:c r="L266" s="7" t="str">
        <x:v>OPEN</x:v>
      </x:c>
    </x:row>
    <x:row r="267" ht="40" customHeight="1">
      <x:c r="B267" s="7" t="str">
        <x:v>RAE-E-22-EV-09</x:v>
      </x:c>
      <x:c r="C267" s="7" t="str">
        <x:v>RAE-E-22</x:v>
      </x:c>
      <x:c r="D267" s="7" t="str">
        <x:v>RFP-B1</x:v>
      </x:c>
      <x:c r="E267" s="7" t="str">
        <x:v>AM-06</x:v>
      </x:c>
      <x:c r="F267" s="7" t="str">
        <x:v>TR-A</x:v>
      </x:c>
      <x:c r="G267" s="7" t="str">
        <x:v>QE-02</x:v>
      </x:c>
      <x:c r="H267" s="7" t="str">
        <x:v>EV-09</x:v>
      </x:c>
      <x:c r="I267" s="10" t="str">
        <x:v>environmental boundary</x:v>
      </x:c>
      <x:c r="J267" s="10" t="str">
        <x:v>background and post-event sample set</x:v>
      </x:c>
      <x:c r="K267" s="7" t="str"/>
      <x:c r="L267" s="7" t="str">
        <x:v>OPEN</x:v>
      </x:c>
    </x:row>
    <x:row r="268" ht="40" customHeight="1">
      <x:c r="B268" s="7" t="str">
        <x:v>RAE-E-22-EV-10</x:v>
      </x:c>
      <x:c r="C268" s="7" t="str">
        <x:v>RAE-E-22</x:v>
      </x:c>
      <x:c r="D268" s="7" t="str">
        <x:v>RFP-B1</x:v>
      </x:c>
      <x:c r="E268" s="7" t="str">
        <x:v>AM-06</x:v>
      </x:c>
      <x:c r="F268" s="7" t="str">
        <x:v>TR-A</x:v>
      </x:c>
      <x:c r="G268" s="7" t="str">
        <x:v>QE-02</x:v>
      </x:c>
      <x:c r="H268" s="7" t="str">
        <x:v>EV-10</x:v>
      </x:c>
      <x:c r="I268" s="10" t="str">
        <x:v>neighbor state</x:v>
      </x:c>
      <x:c r="J268" s="10" t="str">
        <x:v>three independent inert-state records</x:v>
      </x:c>
      <x:c r="K268" s="7" t="str"/>
      <x:c r="L268" s="7" t="str">
        <x:v>OPEN</x:v>
      </x:c>
    </x:row>
    <x:row r="269" ht="40" customHeight="1">
      <x:c r="B269" s="7" t="str">
        <x:v>RAE-E-22-EV-11</x:v>
      </x:c>
      <x:c r="C269" s="7" t="str">
        <x:v>RAE-E-22</x:v>
      </x:c>
      <x:c r="D269" s="7" t="str">
        <x:v>RFP-B1</x:v>
      </x:c>
      <x:c r="E269" s="7" t="str">
        <x:v>AM-06</x:v>
      </x:c>
      <x:c r="F269" s="7" t="str">
        <x:v>TR-A</x:v>
      </x:c>
      <x:c r="G269" s="7" t="str">
        <x:v>QE-02</x:v>
      </x:c>
      <x:c r="H269" s="7" t="str">
        <x:v>EV-11</x:v>
      </x:c>
      <x:c r="I269" s="10" t="str">
        <x:v>intervention state</x:v>
      </x:c>
      <x:c r="J269" s="10" t="str">
        <x:v>human, automatic and rescue actions</x:v>
      </x:c>
      <x:c r="K269" s="7" t="str"/>
      <x:c r="L269" s="7" t="str">
        <x:v>OPEN</x:v>
      </x:c>
    </x:row>
    <x:row r="270" ht="40" customHeight="1">
      <x:c r="B270" s="7" t="str">
        <x:v>RAE-E-22-EV-12</x:v>
      </x:c>
      <x:c r="C270" s="7" t="str">
        <x:v>RAE-E-22</x:v>
      </x:c>
      <x:c r="D270" s="7" t="str">
        <x:v>RFP-B1</x:v>
      </x:c>
      <x:c r="E270" s="7" t="str">
        <x:v>AM-06</x:v>
      </x:c>
      <x:c r="F270" s="7" t="str">
        <x:v>TR-A</x:v>
      </x:c>
      <x:c r="G270" s="7" t="str">
        <x:v>QE-02</x:v>
      </x:c>
      <x:c r="H270" s="7" t="str">
        <x:v>EV-12</x:v>
      </x:c>
      <x:c r="I270" s="10" t="str">
        <x:v>validity packet</x:v>
      </x:c>
      <x:c r="J270" s="10" t="str">
        <x:v>native hashes, causal map and board disposition</x:v>
      </x:c>
      <x:c r="K270" s="7" t="str"/>
      <x:c r="L270" s="7" t="str">
        <x:v>OPEN</x:v>
      </x:c>
    </x:row>
    <x:row r="271" ht="40" customHeight="1">
      <x:c r="B271" s="7" t="str">
        <x:v>RAE-E-23-EV-01</x:v>
      </x:c>
      <x:c r="C271" s="7" t="str">
        <x:v>RAE-E-23</x:v>
      </x:c>
      <x:c r="D271" s="7" t="str">
        <x:v>RFP-B1</x:v>
      </x:c>
      <x:c r="E271" s="7" t="str">
        <x:v>AM-06</x:v>
      </x:c>
      <x:c r="F271" s="7" t="str">
        <x:v>TR-B</x:v>
      </x:c>
      <x:c r="G271" s="7" t="str">
        <x:v>QE-01</x:v>
      </x:c>
      <x:c r="H271" s="7" t="str">
        <x:v>EV-01</x:v>
      </x:c>
      <x:c r="I271" s="10" t="str">
        <x:v>registered event baseline</x:v>
      </x:c>
      <x:c r="J271" s="10" t="str">
        <x:v>configuration master plus event register</x:v>
      </x:c>
      <x:c r="K271" s="7" t="str"/>
      <x:c r="L271" s="7" t="str">
        <x:v>OPEN</x:v>
      </x:c>
    </x:row>
    <x:row r="272" ht="40" customHeight="1">
      <x:c r="B272" s="7" t="str">
        <x:v>RAE-E-23-EV-02</x:v>
      </x:c>
      <x:c r="C272" s="7" t="str">
        <x:v>RAE-E-23</x:v>
      </x:c>
      <x:c r="D272" s="7" t="str">
        <x:v>RFP-B1</x:v>
      </x:c>
      <x:c r="E272" s="7" t="str">
        <x:v>AM-06</x:v>
      </x:c>
      <x:c r="F272" s="7" t="str">
        <x:v>TR-B</x:v>
      </x:c>
      <x:c r="G272" s="7" t="str">
        <x:v>QE-01</x:v>
      </x:c>
      <x:c r="H272" s="7" t="str">
        <x:v>EV-02</x:v>
      </x:c>
      <x:c r="I272" s="10" t="str">
        <x:v>source command and mass</x:v>
      </x:c>
      <x:c r="J272" s="10" t="str">
        <x:v>native command, load cells and custody ledger</x:v>
      </x:c>
      <x:c r="K272" s="7" t="str"/>
      <x:c r="L272" s="7" t="str">
        <x:v>OPEN</x:v>
      </x:c>
    </x:row>
    <x:row r="273" ht="40" customHeight="1">
      <x:c r="B273" s="7" t="str">
        <x:v>RAE-E-23-EV-03</x:v>
      </x:c>
      <x:c r="C273" s="7" t="str">
        <x:v>RAE-E-23</x:v>
      </x:c>
      <x:c r="D273" s="7" t="str">
        <x:v>RFP-B1</x:v>
      </x:c>
      <x:c r="E273" s="7" t="str">
        <x:v>AM-06</x:v>
      </x:c>
      <x:c r="F273" s="7" t="str">
        <x:v>TR-B</x:v>
      </x:c>
      <x:c r="G273" s="7" t="str">
        <x:v>QE-01</x:v>
      </x:c>
      <x:c r="H273" s="7" t="str">
        <x:v>EV-03</x:v>
      </x:c>
      <x:c r="I273" s="10" t="str">
        <x:v>final control states</x:v>
      </x:c>
      <x:c r="J273" s="10" t="str">
        <x:v>direct element sensors plus local latch</x:v>
      </x:c>
      <x:c r="K273" s="7" t="str"/>
      <x:c r="L273" s="7" t="str">
        <x:v>OPEN</x:v>
      </x:c>
    </x:row>
    <x:row r="274" ht="40" customHeight="1">
      <x:c r="B274" s="7" t="str">
        <x:v>RAE-E-23-EV-04</x:v>
      </x:c>
      <x:c r="C274" s="7" t="str">
        <x:v>RAE-E-23</x:v>
      </x:c>
      <x:c r="D274" s="7" t="str">
        <x:v>RFP-B1</x:v>
      </x:c>
      <x:c r="E274" s="7" t="str">
        <x:v>AM-06</x:v>
      </x:c>
      <x:c r="F274" s="7" t="str">
        <x:v>TR-B</x:v>
      </x:c>
      <x:c r="G274" s="7" t="str">
        <x:v>QE-01</x:v>
      </x:c>
      <x:c r="H274" s="7" t="str">
        <x:v>EV-04</x:v>
      </x:c>
      <x:c r="I274" s="10" t="str">
        <x:v>path action times</x:v>
      </x:c>
      <x:c r="J274" s="10" t="str">
        <x:v>common-epoch trigger and state transitions</x:v>
      </x:c>
      <x:c r="K274" s="7" t="str"/>
      <x:c r="L274" s="7" t="str">
        <x:v>OPEN</x:v>
      </x:c>
    </x:row>
    <x:row r="275" ht="40" customHeight="1">
      <x:c r="B275" s="7" t="str">
        <x:v>RAE-E-23-EV-05</x:v>
      </x:c>
      <x:c r="C275" s="7" t="str">
        <x:v>RAE-E-23</x:v>
      </x:c>
      <x:c r="D275" s="7" t="str">
        <x:v>RFP-B1</x:v>
      </x:c>
      <x:c r="E275" s="7" t="str">
        <x:v>AM-06</x:v>
      </x:c>
      <x:c r="F275" s="7" t="str">
        <x:v>TR-B</x:v>
      </x:c>
      <x:c r="G275" s="7" t="str">
        <x:v>QE-01</x:v>
      </x:c>
      <x:c r="H275" s="7" t="str">
        <x:v>EV-05</x:v>
      </x:c>
      <x:c r="I275" s="10" t="str">
        <x:v>receiver inventories</x:v>
      </x:c>
      <x:c r="J275" s="10" t="str">
        <x:v>before, peak and after volume measurements</x:v>
      </x:c>
      <x:c r="K275" s="7" t="str"/>
      <x:c r="L275" s="7" t="str">
        <x:v>OPEN</x:v>
      </x:c>
    </x:row>
    <x:row r="276" ht="40" customHeight="1">
      <x:c r="B276" s="7" t="str">
        <x:v>RAE-E-23-EV-06</x:v>
      </x:c>
      <x:c r="C276" s="7" t="str">
        <x:v>RAE-E-23</x:v>
      </x:c>
      <x:c r="D276" s="7" t="str">
        <x:v>RFP-B1</x:v>
      </x:c>
      <x:c r="E276" s="7" t="str">
        <x:v>AM-06</x:v>
      </x:c>
      <x:c r="F276" s="7" t="str">
        <x:v>TR-B</x:v>
      </x:c>
      <x:c r="G276" s="7" t="str">
        <x:v>QE-01</x:v>
      </x:c>
      <x:c r="H276" s="7" t="str">
        <x:v>EV-06</x:v>
      </x:c>
      <x:c r="I276" s="10" t="str">
        <x:v>thermal field</x:v>
      </x:c>
      <x:c r="J276" s="10" t="str">
        <x:v>radiometry, heat flux and local weather</x:v>
      </x:c>
      <x:c r="K276" s="7" t="str"/>
      <x:c r="L276" s="7" t="str">
        <x:v>OPEN</x:v>
      </x:c>
    </x:row>
    <x:row r="277" ht="40" customHeight="1">
      <x:c r="B277" s="7" t="str">
        <x:v>RAE-E-23-EV-07</x:v>
      </x:c>
      <x:c r="C277" s="7" t="str">
        <x:v>RAE-E-23</x:v>
      </x:c>
      <x:c r="D277" s="7" t="str">
        <x:v>RFP-B1</x:v>
      </x:c>
      <x:c r="E277" s="7" t="str">
        <x:v>AM-06</x:v>
      </x:c>
      <x:c r="F277" s="7" t="str">
        <x:v>TR-B</x:v>
      </x:c>
      <x:c r="G277" s="7" t="str">
        <x:v>QE-01</x:v>
      </x:c>
      <x:c r="H277" s="7" t="str">
        <x:v>EV-07</x:v>
      </x:c>
      <x:c r="I277" s="10" t="str">
        <x:v>water state</x:v>
      </x:c>
      <x:c r="J277" s="10" t="str">
        <x:v>flow, rain, quench, foam and rinse separation</x:v>
      </x:c>
      <x:c r="K277" s="7" t="str"/>
      <x:c r="L277" s="7" t="str">
        <x:v>OPEN</x:v>
      </x:c>
    </x:row>
    <x:row r="278" ht="40" customHeight="1">
      <x:c r="B278" s="7" t="str">
        <x:v>RAE-E-23-EV-08</x:v>
      </x:c>
      <x:c r="C278" s="7" t="str">
        <x:v>RAE-E-23</x:v>
      </x:c>
      <x:c r="D278" s="7" t="str">
        <x:v>RFP-B1</x:v>
      </x:c>
      <x:c r="E278" s="7" t="str">
        <x:v>AM-06</x:v>
      </x:c>
      <x:c r="F278" s="7" t="str">
        <x:v>TR-B</x:v>
      </x:c>
      <x:c r="G278" s="7" t="str">
        <x:v>QE-01</x:v>
      </x:c>
      <x:c r="H278" s="7" t="str">
        <x:v>EV-08</x:v>
      </x:c>
      <x:c r="I278" s="10" t="str">
        <x:v>ancestry</x:v>
      </x:c>
      <x:c r="J278" s="10" t="str">
        <x:v>source and water root recovery plus cross-talk</x:v>
      </x:c>
      <x:c r="K278" s="7" t="str"/>
      <x:c r="L278" s="7" t="str">
        <x:v>OPEN</x:v>
      </x:c>
    </x:row>
    <x:row r="279" ht="40" customHeight="1">
      <x:c r="B279" s="7" t="str">
        <x:v>RAE-E-23-EV-09</x:v>
      </x:c>
      <x:c r="C279" s="7" t="str">
        <x:v>RAE-E-23</x:v>
      </x:c>
      <x:c r="D279" s="7" t="str">
        <x:v>RFP-B1</x:v>
      </x:c>
      <x:c r="E279" s="7" t="str">
        <x:v>AM-06</x:v>
      </x:c>
      <x:c r="F279" s="7" t="str">
        <x:v>TR-B</x:v>
      </x:c>
      <x:c r="G279" s="7" t="str">
        <x:v>QE-01</x:v>
      </x:c>
      <x:c r="H279" s="7" t="str">
        <x:v>EV-09</x:v>
      </x:c>
      <x:c r="I279" s="10" t="str">
        <x:v>environmental boundary</x:v>
      </x:c>
      <x:c r="J279" s="10" t="str">
        <x:v>background and post-event sample set</x:v>
      </x:c>
      <x:c r="K279" s="7" t="str"/>
      <x:c r="L279" s="7" t="str">
        <x:v>OPEN</x:v>
      </x:c>
    </x:row>
    <x:row r="280" ht="40" customHeight="1">
      <x:c r="B280" s="7" t="str">
        <x:v>RAE-E-23-EV-10</x:v>
      </x:c>
      <x:c r="C280" s="7" t="str">
        <x:v>RAE-E-23</x:v>
      </x:c>
      <x:c r="D280" s="7" t="str">
        <x:v>RFP-B1</x:v>
      </x:c>
      <x:c r="E280" s="7" t="str">
        <x:v>AM-06</x:v>
      </x:c>
      <x:c r="F280" s="7" t="str">
        <x:v>TR-B</x:v>
      </x:c>
      <x:c r="G280" s="7" t="str">
        <x:v>QE-01</x:v>
      </x:c>
      <x:c r="H280" s="7" t="str">
        <x:v>EV-10</x:v>
      </x:c>
      <x:c r="I280" s="10" t="str">
        <x:v>neighbor state</x:v>
      </x:c>
      <x:c r="J280" s="10" t="str">
        <x:v>three independent inert-state records</x:v>
      </x:c>
      <x:c r="K280" s="7" t="str"/>
      <x:c r="L280" s="7" t="str">
        <x:v>OPEN</x:v>
      </x:c>
    </x:row>
    <x:row r="281" ht="40" customHeight="1">
      <x:c r="B281" s="7" t="str">
        <x:v>RAE-E-23-EV-11</x:v>
      </x:c>
      <x:c r="C281" s="7" t="str">
        <x:v>RAE-E-23</x:v>
      </x:c>
      <x:c r="D281" s="7" t="str">
        <x:v>RFP-B1</x:v>
      </x:c>
      <x:c r="E281" s="7" t="str">
        <x:v>AM-06</x:v>
      </x:c>
      <x:c r="F281" s="7" t="str">
        <x:v>TR-B</x:v>
      </x:c>
      <x:c r="G281" s="7" t="str">
        <x:v>QE-01</x:v>
      </x:c>
      <x:c r="H281" s="7" t="str">
        <x:v>EV-11</x:v>
      </x:c>
      <x:c r="I281" s="10" t="str">
        <x:v>intervention state</x:v>
      </x:c>
      <x:c r="J281" s="10" t="str">
        <x:v>human, automatic and rescue actions</x:v>
      </x:c>
      <x:c r="K281" s="7" t="str"/>
      <x:c r="L281" s="7" t="str">
        <x:v>OPEN</x:v>
      </x:c>
    </x:row>
    <x:row r="282" ht="40" customHeight="1">
      <x:c r="B282" s="7" t="str">
        <x:v>RAE-E-23-EV-12</x:v>
      </x:c>
      <x:c r="C282" s="7" t="str">
        <x:v>RAE-E-23</x:v>
      </x:c>
      <x:c r="D282" s="7" t="str">
        <x:v>RFP-B1</x:v>
      </x:c>
      <x:c r="E282" s="7" t="str">
        <x:v>AM-06</x:v>
      </x:c>
      <x:c r="F282" s="7" t="str">
        <x:v>TR-B</x:v>
      </x:c>
      <x:c r="G282" s="7" t="str">
        <x:v>QE-01</x:v>
      </x:c>
      <x:c r="H282" s="7" t="str">
        <x:v>EV-12</x:v>
      </x:c>
      <x:c r="I282" s="10" t="str">
        <x:v>validity packet</x:v>
      </x:c>
      <x:c r="J282" s="10" t="str">
        <x:v>native hashes, causal map and board disposition</x:v>
      </x:c>
      <x:c r="K282" s="7" t="str"/>
      <x:c r="L282" s="7" t="str">
        <x:v>OPEN</x:v>
      </x:c>
    </x:row>
    <x:row r="283" ht="40" customHeight="1">
      <x:c r="B283" s="7" t="str">
        <x:v>RAE-E-24-EV-01</x:v>
      </x:c>
      <x:c r="C283" s="7" t="str">
        <x:v>RAE-E-24</x:v>
      </x:c>
      <x:c r="D283" s="7" t="str">
        <x:v>RFP-B1</x:v>
      </x:c>
      <x:c r="E283" s="7" t="str">
        <x:v>AM-06</x:v>
      </x:c>
      <x:c r="F283" s="7" t="str">
        <x:v>TR-B</x:v>
      </x:c>
      <x:c r="G283" s="7" t="str">
        <x:v>QE-02</x:v>
      </x:c>
      <x:c r="H283" s="7" t="str">
        <x:v>EV-01</x:v>
      </x:c>
      <x:c r="I283" s="10" t="str">
        <x:v>registered event baseline</x:v>
      </x:c>
      <x:c r="J283" s="10" t="str">
        <x:v>configuration master plus event register</x:v>
      </x:c>
      <x:c r="K283" s="7" t="str"/>
      <x:c r="L283" s="7" t="str">
        <x:v>OPEN</x:v>
      </x:c>
    </x:row>
    <x:row r="284" ht="40" customHeight="1">
      <x:c r="B284" s="7" t="str">
        <x:v>RAE-E-24-EV-02</x:v>
      </x:c>
      <x:c r="C284" s="7" t="str">
        <x:v>RAE-E-24</x:v>
      </x:c>
      <x:c r="D284" s="7" t="str">
        <x:v>RFP-B1</x:v>
      </x:c>
      <x:c r="E284" s="7" t="str">
        <x:v>AM-06</x:v>
      </x:c>
      <x:c r="F284" s="7" t="str">
        <x:v>TR-B</x:v>
      </x:c>
      <x:c r="G284" s="7" t="str">
        <x:v>QE-02</x:v>
      </x:c>
      <x:c r="H284" s="7" t="str">
        <x:v>EV-02</x:v>
      </x:c>
      <x:c r="I284" s="10" t="str">
        <x:v>source command and mass</x:v>
      </x:c>
      <x:c r="J284" s="10" t="str">
        <x:v>native command, load cells and custody ledger</x:v>
      </x:c>
      <x:c r="K284" s="7" t="str"/>
      <x:c r="L284" s="7" t="str">
        <x:v>OPEN</x:v>
      </x:c>
    </x:row>
    <x:row r="285" ht="40" customHeight="1">
      <x:c r="B285" s="7" t="str">
        <x:v>RAE-E-24-EV-03</x:v>
      </x:c>
      <x:c r="C285" s="7" t="str">
        <x:v>RAE-E-24</x:v>
      </x:c>
      <x:c r="D285" s="7" t="str">
        <x:v>RFP-B1</x:v>
      </x:c>
      <x:c r="E285" s="7" t="str">
        <x:v>AM-06</x:v>
      </x:c>
      <x:c r="F285" s="7" t="str">
        <x:v>TR-B</x:v>
      </x:c>
      <x:c r="G285" s="7" t="str">
        <x:v>QE-02</x:v>
      </x:c>
      <x:c r="H285" s="7" t="str">
        <x:v>EV-03</x:v>
      </x:c>
      <x:c r="I285" s="10" t="str">
        <x:v>final control states</x:v>
      </x:c>
      <x:c r="J285" s="10" t="str">
        <x:v>direct element sensors plus local latch</x:v>
      </x:c>
      <x:c r="K285" s="7" t="str"/>
      <x:c r="L285" s="7" t="str">
        <x:v>OPEN</x:v>
      </x:c>
    </x:row>
    <x:row r="286" ht="40" customHeight="1">
      <x:c r="B286" s="7" t="str">
        <x:v>RAE-E-24-EV-04</x:v>
      </x:c>
      <x:c r="C286" s="7" t="str">
        <x:v>RAE-E-24</x:v>
      </x:c>
      <x:c r="D286" s="7" t="str">
        <x:v>RFP-B1</x:v>
      </x:c>
      <x:c r="E286" s="7" t="str">
        <x:v>AM-06</x:v>
      </x:c>
      <x:c r="F286" s="7" t="str">
        <x:v>TR-B</x:v>
      </x:c>
      <x:c r="G286" s="7" t="str">
        <x:v>QE-02</x:v>
      </x:c>
      <x:c r="H286" s="7" t="str">
        <x:v>EV-04</x:v>
      </x:c>
      <x:c r="I286" s="10" t="str">
        <x:v>path action times</x:v>
      </x:c>
      <x:c r="J286" s="10" t="str">
        <x:v>common-epoch trigger and state transitions</x:v>
      </x:c>
      <x:c r="K286" s="7" t="str"/>
      <x:c r="L286" s="7" t="str">
        <x:v>OPEN</x:v>
      </x:c>
    </x:row>
    <x:row r="287" ht="40" customHeight="1">
      <x:c r="B287" s="7" t="str">
        <x:v>RAE-E-24-EV-05</x:v>
      </x:c>
      <x:c r="C287" s="7" t="str">
        <x:v>RAE-E-24</x:v>
      </x:c>
      <x:c r="D287" s="7" t="str">
        <x:v>RFP-B1</x:v>
      </x:c>
      <x:c r="E287" s="7" t="str">
        <x:v>AM-06</x:v>
      </x:c>
      <x:c r="F287" s="7" t="str">
        <x:v>TR-B</x:v>
      </x:c>
      <x:c r="G287" s="7" t="str">
        <x:v>QE-02</x:v>
      </x:c>
      <x:c r="H287" s="7" t="str">
        <x:v>EV-05</x:v>
      </x:c>
      <x:c r="I287" s="10" t="str">
        <x:v>receiver inventories</x:v>
      </x:c>
      <x:c r="J287" s="10" t="str">
        <x:v>before, peak and after volume measurements</x:v>
      </x:c>
      <x:c r="K287" s="7" t="str"/>
      <x:c r="L287" s="7" t="str">
        <x:v>OPEN</x:v>
      </x:c>
    </x:row>
    <x:row r="288" ht="40" customHeight="1">
      <x:c r="B288" s="7" t="str">
        <x:v>RAE-E-24-EV-06</x:v>
      </x:c>
      <x:c r="C288" s="7" t="str">
        <x:v>RAE-E-24</x:v>
      </x:c>
      <x:c r="D288" s="7" t="str">
        <x:v>RFP-B1</x:v>
      </x:c>
      <x:c r="E288" s="7" t="str">
        <x:v>AM-06</x:v>
      </x:c>
      <x:c r="F288" s="7" t="str">
        <x:v>TR-B</x:v>
      </x:c>
      <x:c r="G288" s="7" t="str">
        <x:v>QE-02</x:v>
      </x:c>
      <x:c r="H288" s="7" t="str">
        <x:v>EV-06</x:v>
      </x:c>
      <x:c r="I288" s="10" t="str">
        <x:v>thermal field</x:v>
      </x:c>
      <x:c r="J288" s="10" t="str">
        <x:v>radiometry, heat flux and local weather</x:v>
      </x:c>
      <x:c r="K288" s="7" t="str"/>
      <x:c r="L288" s="7" t="str">
        <x:v>OPEN</x:v>
      </x:c>
    </x:row>
    <x:row r="289" ht="40" customHeight="1">
      <x:c r="B289" s="7" t="str">
        <x:v>RAE-E-24-EV-07</x:v>
      </x:c>
      <x:c r="C289" s="7" t="str">
        <x:v>RAE-E-24</x:v>
      </x:c>
      <x:c r="D289" s="7" t="str">
        <x:v>RFP-B1</x:v>
      </x:c>
      <x:c r="E289" s="7" t="str">
        <x:v>AM-06</x:v>
      </x:c>
      <x:c r="F289" s="7" t="str">
        <x:v>TR-B</x:v>
      </x:c>
      <x:c r="G289" s="7" t="str">
        <x:v>QE-02</x:v>
      </x:c>
      <x:c r="H289" s="7" t="str">
        <x:v>EV-07</x:v>
      </x:c>
      <x:c r="I289" s="10" t="str">
        <x:v>water state</x:v>
      </x:c>
      <x:c r="J289" s="10" t="str">
        <x:v>flow, rain, quench, foam and rinse separation</x:v>
      </x:c>
      <x:c r="K289" s="7" t="str"/>
      <x:c r="L289" s="7" t="str">
        <x:v>OPEN</x:v>
      </x:c>
    </x:row>
    <x:row r="290" ht="40" customHeight="1">
      <x:c r="B290" s="7" t="str">
        <x:v>RAE-E-24-EV-08</x:v>
      </x:c>
      <x:c r="C290" s="7" t="str">
        <x:v>RAE-E-24</x:v>
      </x:c>
      <x:c r="D290" s="7" t="str">
        <x:v>RFP-B1</x:v>
      </x:c>
      <x:c r="E290" s="7" t="str">
        <x:v>AM-06</x:v>
      </x:c>
      <x:c r="F290" s="7" t="str">
        <x:v>TR-B</x:v>
      </x:c>
      <x:c r="G290" s="7" t="str">
        <x:v>QE-02</x:v>
      </x:c>
      <x:c r="H290" s="7" t="str">
        <x:v>EV-08</x:v>
      </x:c>
      <x:c r="I290" s="10" t="str">
        <x:v>ancestry</x:v>
      </x:c>
      <x:c r="J290" s="10" t="str">
        <x:v>source and water root recovery plus cross-talk</x:v>
      </x:c>
      <x:c r="K290" s="7" t="str"/>
      <x:c r="L290" s="7" t="str">
        <x:v>OPEN</x:v>
      </x:c>
    </x:row>
    <x:row r="291" ht="40" customHeight="1">
      <x:c r="B291" s="7" t="str">
        <x:v>RAE-E-24-EV-09</x:v>
      </x:c>
      <x:c r="C291" s="7" t="str">
        <x:v>RAE-E-24</x:v>
      </x:c>
      <x:c r="D291" s="7" t="str">
        <x:v>RFP-B1</x:v>
      </x:c>
      <x:c r="E291" s="7" t="str">
        <x:v>AM-06</x:v>
      </x:c>
      <x:c r="F291" s="7" t="str">
        <x:v>TR-B</x:v>
      </x:c>
      <x:c r="G291" s="7" t="str">
        <x:v>QE-02</x:v>
      </x:c>
      <x:c r="H291" s="7" t="str">
        <x:v>EV-09</x:v>
      </x:c>
      <x:c r="I291" s="10" t="str">
        <x:v>environmental boundary</x:v>
      </x:c>
      <x:c r="J291" s="10" t="str">
        <x:v>background and post-event sample set</x:v>
      </x:c>
      <x:c r="K291" s="7" t="str"/>
      <x:c r="L291" s="7" t="str">
        <x:v>OPEN</x:v>
      </x:c>
    </x:row>
    <x:row r="292" ht="40" customHeight="1">
      <x:c r="B292" s="7" t="str">
        <x:v>RAE-E-24-EV-10</x:v>
      </x:c>
      <x:c r="C292" s="7" t="str">
        <x:v>RAE-E-24</x:v>
      </x:c>
      <x:c r="D292" s="7" t="str">
        <x:v>RFP-B1</x:v>
      </x:c>
      <x:c r="E292" s="7" t="str">
        <x:v>AM-06</x:v>
      </x:c>
      <x:c r="F292" s="7" t="str">
        <x:v>TR-B</x:v>
      </x:c>
      <x:c r="G292" s="7" t="str">
        <x:v>QE-02</x:v>
      </x:c>
      <x:c r="H292" s="7" t="str">
        <x:v>EV-10</x:v>
      </x:c>
      <x:c r="I292" s="10" t="str">
        <x:v>neighbor state</x:v>
      </x:c>
      <x:c r="J292" s="10" t="str">
        <x:v>three independent inert-state records</x:v>
      </x:c>
      <x:c r="K292" s="7" t="str"/>
      <x:c r="L292" s="7" t="str">
        <x:v>OPEN</x:v>
      </x:c>
    </x:row>
    <x:row r="293" ht="40" customHeight="1">
      <x:c r="B293" s="7" t="str">
        <x:v>RAE-E-24-EV-11</x:v>
      </x:c>
      <x:c r="C293" s="7" t="str">
        <x:v>RAE-E-24</x:v>
      </x:c>
      <x:c r="D293" s="7" t="str">
        <x:v>RFP-B1</x:v>
      </x:c>
      <x:c r="E293" s="7" t="str">
        <x:v>AM-06</x:v>
      </x:c>
      <x:c r="F293" s="7" t="str">
        <x:v>TR-B</x:v>
      </x:c>
      <x:c r="G293" s="7" t="str">
        <x:v>QE-02</x:v>
      </x:c>
      <x:c r="H293" s="7" t="str">
        <x:v>EV-11</x:v>
      </x:c>
      <x:c r="I293" s="10" t="str">
        <x:v>intervention state</x:v>
      </x:c>
      <x:c r="J293" s="10" t="str">
        <x:v>human, automatic and rescue actions</x:v>
      </x:c>
      <x:c r="K293" s="7" t="str"/>
      <x:c r="L293" s="7" t="str">
        <x:v>OPEN</x:v>
      </x:c>
    </x:row>
    <x:row r="294" ht="40" customHeight="1">
      <x:c r="B294" s="7" t="str">
        <x:v>RAE-E-24-EV-12</x:v>
      </x:c>
      <x:c r="C294" s="7" t="str">
        <x:v>RAE-E-24</x:v>
      </x:c>
      <x:c r="D294" s="7" t="str">
        <x:v>RFP-B1</x:v>
      </x:c>
      <x:c r="E294" s="7" t="str">
        <x:v>AM-06</x:v>
      </x:c>
      <x:c r="F294" s="7" t="str">
        <x:v>TR-B</x:v>
      </x:c>
      <x:c r="G294" s="7" t="str">
        <x:v>QE-02</x:v>
      </x:c>
      <x:c r="H294" s="7" t="str">
        <x:v>EV-12</x:v>
      </x:c>
      <x:c r="I294" s="10" t="str">
        <x:v>validity packet</x:v>
      </x:c>
      <x:c r="J294" s="10" t="str">
        <x:v>native hashes, causal map and board disposition</x:v>
      </x:c>
      <x:c r="K294" s="7" t="str"/>
      <x:c r="L294" s="7" t="str">
        <x:v>OPEN</x:v>
      </x:c>
    </x:row>
    <x:row r="295" ht="40" customHeight="1">
      <x:c r="B295" s="7" t="str">
        <x:v>RAE-E-25-EV-01</x:v>
      </x:c>
      <x:c r="C295" s="7" t="str">
        <x:v>RAE-E-25</x:v>
      </x:c>
      <x:c r="D295" s="7" t="str">
        <x:v>RFP-B2</x:v>
      </x:c>
      <x:c r="E295" s="7" t="str">
        <x:v>AM-05</x:v>
      </x:c>
      <x:c r="F295" s="7" t="str">
        <x:v>TR-A</x:v>
      </x:c>
      <x:c r="G295" s="7" t="str">
        <x:v>QE-01</x:v>
      </x:c>
      <x:c r="H295" s="7" t="str">
        <x:v>EV-01</x:v>
      </x:c>
      <x:c r="I295" s="10" t="str">
        <x:v>registered event baseline</x:v>
      </x:c>
      <x:c r="J295" s="10" t="str">
        <x:v>configuration master plus event register</x:v>
      </x:c>
      <x:c r="K295" s="7" t="str"/>
      <x:c r="L295" s="7" t="str">
        <x:v>OPEN</x:v>
      </x:c>
    </x:row>
    <x:row r="296" ht="40" customHeight="1">
      <x:c r="B296" s="7" t="str">
        <x:v>RAE-E-25-EV-02</x:v>
      </x:c>
      <x:c r="C296" s="7" t="str">
        <x:v>RAE-E-25</x:v>
      </x:c>
      <x:c r="D296" s="7" t="str">
        <x:v>RFP-B2</x:v>
      </x:c>
      <x:c r="E296" s="7" t="str">
        <x:v>AM-05</x:v>
      </x:c>
      <x:c r="F296" s="7" t="str">
        <x:v>TR-A</x:v>
      </x:c>
      <x:c r="G296" s="7" t="str">
        <x:v>QE-01</x:v>
      </x:c>
      <x:c r="H296" s="7" t="str">
        <x:v>EV-02</x:v>
      </x:c>
      <x:c r="I296" s="10" t="str">
        <x:v>source command and mass</x:v>
      </x:c>
      <x:c r="J296" s="10" t="str">
        <x:v>native command, load cells and custody ledger</x:v>
      </x:c>
      <x:c r="K296" s="7" t="str"/>
      <x:c r="L296" s="7" t="str">
        <x:v>OPEN</x:v>
      </x:c>
    </x:row>
    <x:row r="297" ht="40" customHeight="1">
      <x:c r="B297" s="7" t="str">
        <x:v>RAE-E-25-EV-03</x:v>
      </x:c>
      <x:c r="C297" s="7" t="str">
        <x:v>RAE-E-25</x:v>
      </x:c>
      <x:c r="D297" s="7" t="str">
        <x:v>RFP-B2</x:v>
      </x:c>
      <x:c r="E297" s="7" t="str">
        <x:v>AM-05</x:v>
      </x:c>
      <x:c r="F297" s="7" t="str">
        <x:v>TR-A</x:v>
      </x:c>
      <x:c r="G297" s="7" t="str">
        <x:v>QE-01</x:v>
      </x:c>
      <x:c r="H297" s="7" t="str">
        <x:v>EV-03</x:v>
      </x:c>
      <x:c r="I297" s="10" t="str">
        <x:v>final control states</x:v>
      </x:c>
      <x:c r="J297" s="10" t="str">
        <x:v>direct element sensors plus local latch</x:v>
      </x:c>
      <x:c r="K297" s="7" t="str"/>
      <x:c r="L297" s="7" t="str">
        <x:v>OPEN</x:v>
      </x:c>
    </x:row>
    <x:row r="298" ht="40" customHeight="1">
      <x:c r="B298" s="7" t="str">
        <x:v>RAE-E-25-EV-04</x:v>
      </x:c>
      <x:c r="C298" s="7" t="str">
        <x:v>RAE-E-25</x:v>
      </x:c>
      <x:c r="D298" s="7" t="str">
        <x:v>RFP-B2</x:v>
      </x:c>
      <x:c r="E298" s="7" t="str">
        <x:v>AM-05</x:v>
      </x:c>
      <x:c r="F298" s="7" t="str">
        <x:v>TR-A</x:v>
      </x:c>
      <x:c r="G298" s="7" t="str">
        <x:v>QE-01</x:v>
      </x:c>
      <x:c r="H298" s="7" t="str">
        <x:v>EV-04</x:v>
      </x:c>
      <x:c r="I298" s="10" t="str">
        <x:v>path action times</x:v>
      </x:c>
      <x:c r="J298" s="10" t="str">
        <x:v>common-epoch trigger and state transitions</x:v>
      </x:c>
      <x:c r="K298" s="7" t="str"/>
      <x:c r="L298" s="7" t="str">
        <x:v>OPEN</x:v>
      </x:c>
    </x:row>
    <x:row r="299" ht="40" customHeight="1">
      <x:c r="B299" s="7" t="str">
        <x:v>RAE-E-25-EV-05</x:v>
      </x:c>
      <x:c r="C299" s="7" t="str">
        <x:v>RAE-E-25</x:v>
      </x:c>
      <x:c r="D299" s="7" t="str">
        <x:v>RFP-B2</x:v>
      </x:c>
      <x:c r="E299" s="7" t="str">
        <x:v>AM-05</x:v>
      </x:c>
      <x:c r="F299" s="7" t="str">
        <x:v>TR-A</x:v>
      </x:c>
      <x:c r="G299" s="7" t="str">
        <x:v>QE-01</x:v>
      </x:c>
      <x:c r="H299" s="7" t="str">
        <x:v>EV-05</x:v>
      </x:c>
      <x:c r="I299" s="10" t="str">
        <x:v>receiver inventories</x:v>
      </x:c>
      <x:c r="J299" s="10" t="str">
        <x:v>before, peak and after volume measurements</x:v>
      </x:c>
      <x:c r="K299" s="7" t="str"/>
      <x:c r="L299" s="7" t="str">
        <x:v>OPEN</x:v>
      </x:c>
    </x:row>
    <x:row r="300" ht="40" customHeight="1">
      <x:c r="B300" s="7" t="str">
        <x:v>RAE-E-25-EV-06</x:v>
      </x:c>
      <x:c r="C300" s="7" t="str">
        <x:v>RAE-E-25</x:v>
      </x:c>
      <x:c r="D300" s="7" t="str">
        <x:v>RFP-B2</x:v>
      </x:c>
      <x:c r="E300" s="7" t="str">
        <x:v>AM-05</x:v>
      </x:c>
      <x:c r="F300" s="7" t="str">
        <x:v>TR-A</x:v>
      </x:c>
      <x:c r="G300" s="7" t="str">
        <x:v>QE-01</x:v>
      </x:c>
      <x:c r="H300" s="7" t="str">
        <x:v>EV-06</x:v>
      </x:c>
      <x:c r="I300" s="10" t="str">
        <x:v>thermal field</x:v>
      </x:c>
      <x:c r="J300" s="10" t="str">
        <x:v>radiometry, heat flux and local weather</x:v>
      </x:c>
      <x:c r="K300" s="7" t="str"/>
      <x:c r="L300" s="7" t="str">
        <x:v>OPEN</x:v>
      </x:c>
    </x:row>
    <x:row r="301" ht="40" customHeight="1">
      <x:c r="B301" s="7" t="str">
        <x:v>RAE-E-25-EV-07</x:v>
      </x:c>
      <x:c r="C301" s="7" t="str">
        <x:v>RAE-E-25</x:v>
      </x:c>
      <x:c r="D301" s="7" t="str">
        <x:v>RFP-B2</x:v>
      </x:c>
      <x:c r="E301" s="7" t="str">
        <x:v>AM-05</x:v>
      </x:c>
      <x:c r="F301" s="7" t="str">
        <x:v>TR-A</x:v>
      </x:c>
      <x:c r="G301" s="7" t="str">
        <x:v>QE-01</x:v>
      </x:c>
      <x:c r="H301" s="7" t="str">
        <x:v>EV-07</x:v>
      </x:c>
      <x:c r="I301" s="10" t="str">
        <x:v>water state</x:v>
      </x:c>
      <x:c r="J301" s="10" t="str">
        <x:v>flow, rain, quench, foam and rinse separation</x:v>
      </x:c>
      <x:c r="K301" s="7" t="str"/>
      <x:c r="L301" s="7" t="str">
        <x:v>OPEN</x:v>
      </x:c>
    </x:row>
    <x:row r="302" ht="40" customHeight="1">
      <x:c r="B302" s="7" t="str">
        <x:v>RAE-E-25-EV-08</x:v>
      </x:c>
      <x:c r="C302" s="7" t="str">
        <x:v>RAE-E-25</x:v>
      </x:c>
      <x:c r="D302" s="7" t="str">
        <x:v>RFP-B2</x:v>
      </x:c>
      <x:c r="E302" s="7" t="str">
        <x:v>AM-05</x:v>
      </x:c>
      <x:c r="F302" s="7" t="str">
        <x:v>TR-A</x:v>
      </x:c>
      <x:c r="G302" s="7" t="str">
        <x:v>QE-01</x:v>
      </x:c>
      <x:c r="H302" s="7" t="str">
        <x:v>EV-08</x:v>
      </x:c>
      <x:c r="I302" s="10" t="str">
        <x:v>ancestry</x:v>
      </x:c>
      <x:c r="J302" s="10" t="str">
        <x:v>source and water root recovery plus cross-talk</x:v>
      </x:c>
      <x:c r="K302" s="7" t="str"/>
      <x:c r="L302" s="7" t="str">
        <x:v>OPEN</x:v>
      </x:c>
    </x:row>
    <x:row r="303" ht="40" customHeight="1">
      <x:c r="B303" s="7" t="str">
        <x:v>RAE-E-25-EV-09</x:v>
      </x:c>
      <x:c r="C303" s="7" t="str">
        <x:v>RAE-E-25</x:v>
      </x:c>
      <x:c r="D303" s="7" t="str">
        <x:v>RFP-B2</x:v>
      </x:c>
      <x:c r="E303" s="7" t="str">
        <x:v>AM-05</x:v>
      </x:c>
      <x:c r="F303" s="7" t="str">
        <x:v>TR-A</x:v>
      </x:c>
      <x:c r="G303" s="7" t="str">
        <x:v>QE-01</x:v>
      </x:c>
      <x:c r="H303" s="7" t="str">
        <x:v>EV-09</x:v>
      </x:c>
      <x:c r="I303" s="10" t="str">
        <x:v>environmental boundary</x:v>
      </x:c>
      <x:c r="J303" s="10" t="str">
        <x:v>background and post-event sample set</x:v>
      </x:c>
      <x:c r="K303" s="7" t="str"/>
      <x:c r="L303" s="7" t="str">
        <x:v>OPEN</x:v>
      </x:c>
    </x:row>
    <x:row r="304" ht="40" customHeight="1">
      <x:c r="B304" s="7" t="str">
        <x:v>RAE-E-25-EV-10</x:v>
      </x:c>
      <x:c r="C304" s="7" t="str">
        <x:v>RAE-E-25</x:v>
      </x:c>
      <x:c r="D304" s="7" t="str">
        <x:v>RFP-B2</x:v>
      </x:c>
      <x:c r="E304" s="7" t="str">
        <x:v>AM-05</x:v>
      </x:c>
      <x:c r="F304" s="7" t="str">
        <x:v>TR-A</x:v>
      </x:c>
      <x:c r="G304" s="7" t="str">
        <x:v>QE-01</x:v>
      </x:c>
      <x:c r="H304" s="7" t="str">
        <x:v>EV-10</x:v>
      </x:c>
      <x:c r="I304" s="10" t="str">
        <x:v>neighbor state</x:v>
      </x:c>
      <x:c r="J304" s="10" t="str">
        <x:v>three independent inert-state records</x:v>
      </x:c>
      <x:c r="K304" s="7" t="str"/>
      <x:c r="L304" s="7" t="str">
        <x:v>OPEN</x:v>
      </x:c>
    </x:row>
    <x:row r="305" ht="40" customHeight="1">
      <x:c r="B305" s="7" t="str">
        <x:v>RAE-E-25-EV-11</x:v>
      </x:c>
      <x:c r="C305" s="7" t="str">
        <x:v>RAE-E-25</x:v>
      </x:c>
      <x:c r="D305" s="7" t="str">
        <x:v>RFP-B2</x:v>
      </x:c>
      <x:c r="E305" s="7" t="str">
        <x:v>AM-05</x:v>
      </x:c>
      <x:c r="F305" s="7" t="str">
        <x:v>TR-A</x:v>
      </x:c>
      <x:c r="G305" s="7" t="str">
        <x:v>QE-01</x:v>
      </x:c>
      <x:c r="H305" s="7" t="str">
        <x:v>EV-11</x:v>
      </x:c>
      <x:c r="I305" s="10" t="str">
        <x:v>intervention state</x:v>
      </x:c>
      <x:c r="J305" s="10" t="str">
        <x:v>human, automatic and rescue actions</x:v>
      </x:c>
      <x:c r="K305" s="7" t="str"/>
      <x:c r="L305" s="7" t="str">
        <x:v>OPEN</x:v>
      </x:c>
    </x:row>
    <x:row r="306" ht="40" customHeight="1">
      <x:c r="B306" s="7" t="str">
        <x:v>RAE-E-25-EV-12</x:v>
      </x:c>
      <x:c r="C306" s="7" t="str">
        <x:v>RAE-E-25</x:v>
      </x:c>
      <x:c r="D306" s="7" t="str">
        <x:v>RFP-B2</x:v>
      </x:c>
      <x:c r="E306" s="7" t="str">
        <x:v>AM-05</x:v>
      </x:c>
      <x:c r="F306" s="7" t="str">
        <x:v>TR-A</x:v>
      </x:c>
      <x:c r="G306" s="7" t="str">
        <x:v>QE-01</x:v>
      </x:c>
      <x:c r="H306" s="7" t="str">
        <x:v>EV-12</x:v>
      </x:c>
      <x:c r="I306" s="10" t="str">
        <x:v>validity packet</x:v>
      </x:c>
      <x:c r="J306" s="10" t="str">
        <x:v>native hashes, causal map and board disposition</x:v>
      </x:c>
      <x:c r="K306" s="7" t="str"/>
      <x:c r="L306" s="7" t="str">
        <x:v>OPEN</x:v>
      </x:c>
    </x:row>
    <x:row r="307" ht="40" customHeight="1">
      <x:c r="B307" s="7" t="str">
        <x:v>RAE-E-26-EV-01</x:v>
      </x:c>
      <x:c r="C307" s="7" t="str">
        <x:v>RAE-E-26</x:v>
      </x:c>
      <x:c r="D307" s="7" t="str">
        <x:v>RFP-B2</x:v>
      </x:c>
      <x:c r="E307" s="7" t="str">
        <x:v>AM-05</x:v>
      </x:c>
      <x:c r="F307" s="7" t="str">
        <x:v>TR-A</x:v>
      </x:c>
      <x:c r="G307" s="7" t="str">
        <x:v>QE-02</x:v>
      </x:c>
      <x:c r="H307" s="7" t="str">
        <x:v>EV-01</x:v>
      </x:c>
      <x:c r="I307" s="10" t="str">
        <x:v>registered event baseline</x:v>
      </x:c>
      <x:c r="J307" s="10" t="str">
        <x:v>configuration master plus event register</x:v>
      </x:c>
      <x:c r="K307" s="7" t="str"/>
      <x:c r="L307" s="7" t="str">
        <x:v>OPEN</x:v>
      </x:c>
    </x:row>
    <x:row r="308" ht="40" customHeight="1">
      <x:c r="B308" s="7" t="str">
        <x:v>RAE-E-26-EV-02</x:v>
      </x:c>
      <x:c r="C308" s="7" t="str">
        <x:v>RAE-E-26</x:v>
      </x:c>
      <x:c r="D308" s="7" t="str">
        <x:v>RFP-B2</x:v>
      </x:c>
      <x:c r="E308" s="7" t="str">
        <x:v>AM-05</x:v>
      </x:c>
      <x:c r="F308" s="7" t="str">
        <x:v>TR-A</x:v>
      </x:c>
      <x:c r="G308" s="7" t="str">
        <x:v>QE-02</x:v>
      </x:c>
      <x:c r="H308" s="7" t="str">
        <x:v>EV-02</x:v>
      </x:c>
      <x:c r="I308" s="10" t="str">
        <x:v>source command and mass</x:v>
      </x:c>
      <x:c r="J308" s="10" t="str">
        <x:v>native command, load cells and custody ledger</x:v>
      </x:c>
      <x:c r="K308" s="7" t="str"/>
      <x:c r="L308" s="7" t="str">
        <x:v>OPEN</x:v>
      </x:c>
    </x:row>
    <x:row r="309" ht="40" customHeight="1">
      <x:c r="B309" s="7" t="str">
        <x:v>RAE-E-26-EV-03</x:v>
      </x:c>
      <x:c r="C309" s="7" t="str">
        <x:v>RAE-E-26</x:v>
      </x:c>
      <x:c r="D309" s="7" t="str">
        <x:v>RFP-B2</x:v>
      </x:c>
      <x:c r="E309" s="7" t="str">
        <x:v>AM-05</x:v>
      </x:c>
      <x:c r="F309" s="7" t="str">
        <x:v>TR-A</x:v>
      </x:c>
      <x:c r="G309" s="7" t="str">
        <x:v>QE-02</x:v>
      </x:c>
      <x:c r="H309" s="7" t="str">
        <x:v>EV-03</x:v>
      </x:c>
      <x:c r="I309" s="10" t="str">
        <x:v>final control states</x:v>
      </x:c>
      <x:c r="J309" s="10" t="str">
        <x:v>direct element sensors plus local latch</x:v>
      </x:c>
      <x:c r="K309" s="7" t="str"/>
      <x:c r="L309" s="7" t="str">
        <x:v>OPEN</x:v>
      </x:c>
    </x:row>
    <x:row r="310" ht="40" customHeight="1">
      <x:c r="B310" s="7" t="str">
        <x:v>RAE-E-26-EV-04</x:v>
      </x:c>
      <x:c r="C310" s="7" t="str">
        <x:v>RAE-E-26</x:v>
      </x:c>
      <x:c r="D310" s="7" t="str">
        <x:v>RFP-B2</x:v>
      </x:c>
      <x:c r="E310" s="7" t="str">
        <x:v>AM-05</x:v>
      </x:c>
      <x:c r="F310" s="7" t="str">
        <x:v>TR-A</x:v>
      </x:c>
      <x:c r="G310" s="7" t="str">
        <x:v>QE-02</x:v>
      </x:c>
      <x:c r="H310" s="7" t="str">
        <x:v>EV-04</x:v>
      </x:c>
      <x:c r="I310" s="10" t="str">
        <x:v>path action times</x:v>
      </x:c>
      <x:c r="J310" s="10" t="str">
        <x:v>common-epoch trigger and state transitions</x:v>
      </x:c>
      <x:c r="K310" s="7" t="str"/>
      <x:c r="L310" s="7" t="str">
        <x:v>OPEN</x:v>
      </x:c>
    </x:row>
    <x:row r="311" ht="40" customHeight="1">
      <x:c r="B311" s="7" t="str">
        <x:v>RAE-E-26-EV-05</x:v>
      </x:c>
      <x:c r="C311" s="7" t="str">
        <x:v>RAE-E-26</x:v>
      </x:c>
      <x:c r="D311" s="7" t="str">
        <x:v>RFP-B2</x:v>
      </x:c>
      <x:c r="E311" s="7" t="str">
        <x:v>AM-05</x:v>
      </x:c>
      <x:c r="F311" s="7" t="str">
        <x:v>TR-A</x:v>
      </x:c>
      <x:c r="G311" s="7" t="str">
        <x:v>QE-02</x:v>
      </x:c>
      <x:c r="H311" s="7" t="str">
        <x:v>EV-05</x:v>
      </x:c>
      <x:c r="I311" s="10" t="str">
        <x:v>receiver inventories</x:v>
      </x:c>
      <x:c r="J311" s="10" t="str">
        <x:v>before, peak and after volume measurements</x:v>
      </x:c>
      <x:c r="K311" s="7" t="str"/>
      <x:c r="L311" s="7" t="str">
        <x:v>OPEN</x:v>
      </x:c>
    </x:row>
    <x:row r="312" ht="40" customHeight="1">
      <x:c r="B312" s="7" t="str">
        <x:v>RAE-E-26-EV-06</x:v>
      </x:c>
      <x:c r="C312" s="7" t="str">
        <x:v>RAE-E-26</x:v>
      </x:c>
      <x:c r="D312" s="7" t="str">
        <x:v>RFP-B2</x:v>
      </x:c>
      <x:c r="E312" s="7" t="str">
        <x:v>AM-05</x:v>
      </x:c>
      <x:c r="F312" s="7" t="str">
        <x:v>TR-A</x:v>
      </x:c>
      <x:c r="G312" s="7" t="str">
        <x:v>QE-02</x:v>
      </x:c>
      <x:c r="H312" s="7" t="str">
        <x:v>EV-06</x:v>
      </x:c>
      <x:c r="I312" s="10" t="str">
        <x:v>thermal field</x:v>
      </x:c>
      <x:c r="J312" s="10" t="str">
        <x:v>radiometry, heat flux and local weather</x:v>
      </x:c>
      <x:c r="K312" s="7" t="str"/>
      <x:c r="L312" s="7" t="str">
        <x:v>OPEN</x:v>
      </x:c>
    </x:row>
    <x:row r="313" ht="40" customHeight="1">
      <x:c r="B313" s="7" t="str">
        <x:v>RAE-E-26-EV-07</x:v>
      </x:c>
      <x:c r="C313" s="7" t="str">
        <x:v>RAE-E-26</x:v>
      </x:c>
      <x:c r="D313" s="7" t="str">
        <x:v>RFP-B2</x:v>
      </x:c>
      <x:c r="E313" s="7" t="str">
        <x:v>AM-05</x:v>
      </x:c>
      <x:c r="F313" s="7" t="str">
        <x:v>TR-A</x:v>
      </x:c>
      <x:c r="G313" s="7" t="str">
        <x:v>QE-02</x:v>
      </x:c>
      <x:c r="H313" s="7" t="str">
        <x:v>EV-07</x:v>
      </x:c>
      <x:c r="I313" s="10" t="str">
        <x:v>water state</x:v>
      </x:c>
      <x:c r="J313" s="10" t="str">
        <x:v>flow, rain, quench, foam and rinse separation</x:v>
      </x:c>
      <x:c r="K313" s="7" t="str"/>
      <x:c r="L313" s="7" t="str">
        <x:v>OPEN</x:v>
      </x:c>
    </x:row>
    <x:row r="314" ht="40" customHeight="1">
      <x:c r="B314" s="7" t="str">
        <x:v>RAE-E-26-EV-08</x:v>
      </x:c>
      <x:c r="C314" s="7" t="str">
        <x:v>RAE-E-26</x:v>
      </x:c>
      <x:c r="D314" s="7" t="str">
        <x:v>RFP-B2</x:v>
      </x:c>
      <x:c r="E314" s="7" t="str">
        <x:v>AM-05</x:v>
      </x:c>
      <x:c r="F314" s="7" t="str">
        <x:v>TR-A</x:v>
      </x:c>
      <x:c r="G314" s="7" t="str">
        <x:v>QE-02</x:v>
      </x:c>
      <x:c r="H314" s="7" t="str">
        <x:v>EV-08</x:v>
      </x:c>
      <x:c r="I314" s="10" t="str">
        <x:v>ancestry</x:v>
      </x:c>
      <x:c r="J314" s="10" t="str">
        <x:v>source and water root recovery plus cross-talk</x:v>
      </x:c>
      <x:c r="K314" s="7" t="str"/>
      <x:c r="L314" s="7" t="str">
        <x:v>OPEN</x:v>
      </x:c>
    </x:row>
    <x:row r="315" ht="40" customHeight="1">
      <x:c r="B315" s="7" t="str">
        <x:v>RAE-E-26-EV-09</x:v>
      </x:c>
      <x:c r="C315" s="7" t="str">
        <x:v>RAE-E-26</x:v>
      </x:c>
      <x:c r="D315" s="7" t="str">
        <x:v>RFP-B2</x:v>
      </x:c>
      <x:c r="E315" s="7" t="str">
        <x:v>AM-05</x:v>
      </x:c>
      <x:c r="F315" s="7" t="str">
        <x:v>TR-A</x:v>
      </x:c>
      <x:c r="G315" s="7" t="str">
        <x:v>QE-02</x:v>
      </x:c>
      <x:c r="H315" s="7" t="str">
        <x:v>EV-09</x:v>
      </x:c>
      <x:c r="I315" s="10" t="str">
        <x:v>environmental boundary</x:v>
      </x:c>
      <x:c r="J315" s="10" t="str">
        <x:v>background and post-event sample set</x:v>
      </x:c>
      <x:c r="K315" s="7" t="str"/>
      <x:c r="L315" s="7" t="str">
        <x:v>OPEN</x:v>
      </x:c>
    </x:row>
    <x:row r="316" ht="40" customHeight="1">
      <x:c r="B316" s="7" t="str">
        <x:v>RAE-E-26-EV-10</x:v>
      </x:c>
      <x:c r="C316" s="7" t="str">
        <x:v>RAE-E-26</x:v>
      </x:c>
      <x:c r="D316" s="7" t="str">
        <x:v>RFP-B2</x:v>
      </x:c>
      <x:c r="E316" s="7" t="str">
        <x:v>AM-05</x:v>
      </x:c>
      <x:c r="F316" s="7" t="str">
        <x:v>TR-A</x:v>
      </x:c>
      <x:c r="G316" s="7" t="str">
        <x:v>QE-02</x:v>
      </x:c>
      <x:c r="H316" s="7" t="str">
        <x:v>EV-10</x:v>
      </x:c>
      <x:c r="I316" s="10" t="str">
        <x:v>neighbor state</x:v>
      </x:c>
      <x:c r="J316" s="10" t="str">
        <x:v>three independent inert-state records</x:v>
      </x:c>
      <x:c r="K316" s="7" t="str"/>
      <x:c r="L316" s="7" t="str">
        <x:v>OPEN</x:v>
      </x:c>
    </x:row>
    <x:row r="317" ht="40" customHeight="1">
      <x:c r="B317" s="7" t="str">
        <x:v>RAE-E-26-EV-11</x:v>
      </x:c>
      <x:c r="C317" s="7" t="str">
        <x:v>RAE-E-26</x:v>
      </x:c>
      <x:c r="D317" s="7" t="str">
        <x:v>RFP-B2</x:v>
      </x:c>
      <x:c r="E317" s="7" t="str">
        <x:v>AM-05</x:v>
      </x:c>
      <x:c r="F317" s="7" t="str">
        <x:v>TR-A</x:v>
      </x:c>
      <x:c r="G317" s="7" t="str">
        <x:v>QE-02</x:v>
      </x:c>
      <x:c r="H317" s="7" t="str">
        <x:v>EV-11</x:v>
      </x:c>
      <x:c r="I317" s="10" t="str">
        <x:v>intervention state</x:v>
      </x:c>
      <x:c r="J317" s="10" t="str">
        <x:v>human, automatic and rescue actions</x:v>
      </x:c>
      <x:c r="K317" s="7" t="str"/>
      <x:c r="L317" s="7" t="str">
        <x:v>OPEN</x:v>
      </x:c>
    </x:row>
    <x:row r="318" ht="40" customHeight="1">
      <x:c r="B318" s="7" t="str">
        <x:v>RAE-E-26-EV-12</x:v>
      </x:c>
      <x:c r="C318" s="7" t="str">
        <x:v>RAE-E-26</x:v>
      </x:c>
      <x:c r="D318" s="7" t="str">
        <x:v>RFP-B2</x:v>
      </x:c>
      <x:c r="E318" s="7" t="str">
        <x:v>AM-05</x:v>
      </x:c>
      <x:c r="F318" s="7" t="str">
        <x:v>TR-A</x:v>
      </x:c>
      <x:c r="G318" s="7" t="str">
        <x:v>QE-02</x:v>
      </x:c>
      <x:c r="H318" s="7" t="str">
        <x:v>EV-12</x:v>
      </x:c>
      <x:c r="I318" s="10" t="str">
        <x:v>validity packet</x:v>
      </x:c>
      <x:c r="J318" s="10" t="str">
        <x:v>native hashes, causal map and board disposition</x:v>
      </x:c>
      <x:c r="K318" s="7" t="str"/>
      <x:c r="L318" s="7" t="str">
        <x:v>OPEN</x:v>
      </x:c>
    </x:row>
    <x:row r="319" ht="40" customHeight="1">
      <x:c r="B319" s="7" t="str">
        <x:v>RAE-E-27-EV-01</x:v>
      </x:c>
      <x:c r="C319" s="7" t="str">
        <x:v>RAE-E-27</x:v>
      </x:c>
      <x:c r="D319" s="7" t="str">
        <x:v>RFP-B2</x:v>
      </x:c>
      <x:c r="E319" s="7" t="str">
        <x:v>AM-05</x:v>
      </x:c>
      <x:c r="F319" s="7" t="str">
        <x:v>TR-B</x:v>
      </x:c>
      <x:c r="G319" s="7" t="str">
        <x:v>QE-01</x:v>
      </x:c>
      <x:c r="H319" s="7" t="str">
        <x:v>EV-01</x:v>
      </x:c>
      <x:c r="I319" s="10" t="str">
        <x:v>registered event baseline</x:v>
      </x:c>
      <x:c r="J319" s="10" t="str">
        <x:v>configuration master plus event register</x:v>
      </x:c>
      <x:c r="K319" s="7" t="str"/>
      <x:c r="L319" s="7" t="str">
        <x:v>OPEN</x:v>
      </x:c>
    </x:row>
    <x:row r="320" ht="40" customHeight="1">
      <x:c r="B320" s="7" t="str">
        <x:v>RAE-E-27-EV-02</x:v>
      </x:c>
      <x:c r="C320" s="7" t="str">
        <x:v>RAE-E-27</x:v>
      </x:c>
      <x:c r="D320" s="7" t="str">
        <x:v>RFP-B2</x:v>
      </x:c>
      <x:c r="E320" s="7" t="str">
        <x:v>AM-05</x:v>
      </x:c>
      <x:c r="F320" s="7" t="str">
        <x:v>TR-B</x:v>
      </x:c>
      <x:c r="G320" s="7" t="str">
        <x:v>QE-01</x:v>
      </x:c>
      <x:c r="H320" s="7" t="str">
        <x:v>EV-02</x:v>
      </x:c>
      <x:c r="I320" s="10" t="str">
        <x:v>source command and mass</x:v>
      </x:c>
      <x:c r="J320" s="10" t="str">
        <x:v>native command, load cells and custody ledger</x:v>
      </x:c>
      <x:c r="K320" s="7" t="str"/>
      <x:c r="L320" s="7" t="str">
        <x:v>OPEN</x:v>
      </x:c>
    </x:row>
    <x:row r="321" ht="40" customHeight="1">
      <x:c r="B321" s="7" t="str">
        <x:v>RAE-E-27-EV-03</x:v>
      </x:c>
      <x:c r="C321" s="7" t="str">
        <x:v>RAE-E-27</x:v>
      </x:c>
      <x:c r="D321" s="7" t="str">
        <x:v>RFP-B2</x:v>
      </x:c>
      <x:c r="E321" s="7" t="str">
        <x:v>AM-05</x:v>
      </x:c>
      <x:c r="F321" s="7" t="str">
        <x:v>TR-B</x:v>
      </x:c>
      <x:c r="G321" s="7" t="str">
        <x:v>QE-01</x:v>
      </x:c>
      <x:c r="H321" s="7" t="str">
        <x:v>EV-03</x:v>
      </x:c>
      <x:c r="I321" s="10" t="str">
        <x:v>final control states</x:v>
      </x:c>
      <x:c r="J321" s="10" t="str">
        <x:v>direct element sensors plus local latch</x:v>
      </x:c>
      <x:c r="K321" s="7" t="str"/>
      <x:c r="L321" s="7" t="str">
        <x:v>OPEN</x:v>
      </x:c>
    </x:row>
    <x:row r="322" ht="40" customHeight="1">
      <x:c r="B322" s="7" t="str">
        <x:v>RAE-E-27-EV-04</x:v>
      </x:c>
      <x:c r="C322" s="7" t="str">
        <x:v>RAE-E-27</x:v>
      </x:c>
      <x:c r="D322" s="7" t="str">
        <x:v>RFP-B2</x:v>
      </x:c>
      <x:c r="E322" s="7" t="str">
        <x:v>AM-05</x:v>
      </x:c>
      <x:c r="F322" s="7" t="str">
        <x:v>TR-B</x:v>
      </x:c>
      <x:c r="G322" s="7" t="str">
        <x:v>QE-01</x:v>
      </x:c>
      <x:c r="H322" s="7" t="str">
        <x:v>EV-04</x:v>
      </x:c>
      <x:c r="I322" s="10" t="str">
        <x:v>path action times</x:v>
      </x:c>
      <x:c r="J322" s="10" t="str">
        <x:v>common-epoch trigger and state transitions</x:v>
      </x:c>
      <x:c r="K322" s="7" t="str"/>
      <x:c r="L322" s="7" t="str">
        <x:v>OPEN</x:v>
      </x:c>
    </x:row>
    <x:row r="323" ht="40" customHeight="1">
      <x:c r="B323" s="7" t="str">
        <x:v>RAE-E-27-EV-05</x:v>
      </x:c>
      <x:c r="C323" s="7" t="str">
        <x:v>RAE-E-27</x:v>
      </x:c>
      <x:c r="D323" s="7" t="str">
        <x:v>RFP-B2</x:v>
      </x:c>
      <x:c r="E323" s="7" t="str">
        <x:v>AM-05</x:v>
      </x:c>
      <x:c r="F323" s="7" t="str">
        <x:v>TR-B</x:v>
      </x:c>
      <x:c r="G323" s="7" t="str">
        <x:v>QE-01</x:v>
      </x:c>
      <x:c r="H323" s="7" t="str">
        <x:v>EV-05</x:v>
      </x:c>
      <x:c r="I323" s="10" t="str">
        <x:v>receiver inventories</x:v>
      </x:c>
      <x:c r="J323" s="10" t="str">
        <x:v>before, peak and after volume measurements</x:v>
      </x:c>
      <x:c r="K323" s="7" t="str"/>
      <x:c r="L323" s="7" t="str">
        <x:v>OPEN</x:v>
      </x:c>
    </x:row>
    <x:row r="324" ht="40" customHeight="1">
      <x:c r="B324" s="7" t="str">
        <x:v>RAE-E-27-EV-06</x:v>
      </x:c>
      <x:c r="C324" s="7" t="str">
        <x:v>RAE-E-27</x:v>
      </x:c>
      <x:c r="D324" s="7" t="str">
        <x:v>RFP-B2</x:v>
      </x:c>
      <x:c r="E324" s="7" t="str">
        <x:v>AM-05</x:v>
      </x:c>
      <x:c r="F324" s="7" t="str">
        <x:v>TR-B</x:v>
      </x:c>
      <x:c r="G324" s="7" t="str">
        <x:v>QE-01</x:v>
      </x:c>
      <x:c r="H324" s="7" t="str">
        <x:v>EV-06</x:v>
      </x:c>
      <x:c r="I324" s="10" t="str">
        <x:v>thermal field</x:v>
      </x:c>
      <x:c r="J324" s="10" t="str">
        <x:v>radiometry, heat flux and local weather</x:v>
      </x:c>
      <x:c r="K324" s="7" t="str"/>
      <x:c r="L324" s="7" t="str">
        <x:v>OPEN</x:v>
      </x:c>
    </x:row>
    <x:row r="325" ht="40" customHeight="1">
      <x:c r="B325" s="7" t="str">
        <x:v>RAE-E-27-EV-07</x:v>
      </x:c>
      <x:c r="C325" s="7" t="str">
        <x:v>RAE-E-27</x:v>
      </x:c>
      <x:c r="D325" s="7" t="str">
        <x:v>RFP-B2</x:v>
      </x:c>
      <x:c r="E325" s="7" t="str">
        <x:v>AM-05</x:v>
      </x:c>
      <x:c r="F325" s="7" t="str">
        <x:v>TR-B</x:v>
      </x:c>
      <x:c r="G325" s="7" t="str">
        <x:v>QE-01</x:v>
      </x:c>
      <x:c r="H325" s="7" t="str">
        <x:v>EV-07</x:v>
      </x:c>
      <x:c r="I325" s="10" t="str">
        <x:v>water state</x:v>
      </x:c>
      <x:c r="J325" s="10" t="str">
        <x:v>flow, rain, quench, foam and rinse separation</x:v>
      </x:c>
      <x:c r="K325" s="7" t="str"/>
      <x:c r="L325" s="7" t="str">
        <x:v>OPEN</x:v>
      </x:c>
    </x:row>
    <x:row r="326" ht="40" customHeight="1">
      <x:c r="B326" s="7" t="str">
        <x:v>RAE-E-27-EV-08</x:v>
      </x:c>
      <x:c r="C326" s="7" t="str">
        <x:v>RAE-E-27</x:v>
      </x:c>
      <x:c r="D326" s="7" t="str">
        <x:v>RFP-B2</x:v>
      </x:c>
      <x:c r="E326" s="7" t="str">
        <x:v>AM-05</x:v>
      </x:c>
      <x:c r="F326" s="7" t="str">
        <x:v>TR-B</x:v>
      </x:c>
      <x:c r="G326" s="7" t="str">
        <x:v>QE-01</x:v>
      </x:c>
      <x:c r="H326" s="7" t="str">
        <x:v>EV-08</x:v>
      </x:c>
      <x:c r="I326" s="10" t="str">
        <x:v>ancestry</x:v>
      </x:c>
      <x:c r="J326" s="10" t="str">
        <x:v>source and water root recovery plus cross-talk</x:v>
      </x:c>
      <x:c r="K326" s="7" t="str"/>
      <x:c r="L326" s="7" t="str">
        <x:v>OPEN</x:v>
      </x:c>
    </x:row>
    <x:row r="327" ht="40" customHeight="1">
      <x:c r="B327" s="7" t="str">
        <x:v>RAE-E-27-EV-09</x:v>
      </x:c>
      <x:c r="C327" s="7" t="str">
        <x:v>RAE-E-27</x:v>
      </x:c>
      <x:c r="D327" s="7" t="str">
        <x:v>RFP-B2</x:v>
      </x:c>
      <x:c r="E327" s="7" t="str">
        <x:v>AM-05</x:v>
      </x:c>
      <x:c r="F327" s="7" t="str">
        <x:v>TR-B</x:v>
      </x:c>
      <x:c r="G327" s="7" t="str">
        <x:v>QE-01</x:v>
      </x:c>
      <x:c r="H327" s="7" t="str">
        <x:v>EV-09</x:v>
      </x:c>
      <x:c r="I327" s="10" t="str">
        <x:v>environmental boundary</x:v>
      </x:c>
      <x:c r="J327" s="10" t="str">
        <x:v>background and post-event sample set</x:v>
      </x:c>
      <x:c r="K327" s="7" t="str"/>
      <x:c r="L327" s="7" t="str">
        <x:v>OPEN</x:v>
      </x:c>
    </x:row>
    <x:row r="328" ht="40" customHeight="1">
      <x:c r="B328" s="7" t="str">
        <x:v>RAE-E-27-EV-10</x:v>
      </x:c>
      <x:c r="C328" s="7" t="str">
        <x:v>RAE-E-27</x:v>
      </x:c>
      <x:c r="D328" s="7" t="str">
        <x:v>RFP-B2</x:v>
      </x:c>
      <x:c r="E328" s="7" t="str">
        <x:v>AM-05</x:v>
      </x:c>
      <x:c r="F328" s="7" t="str">
        <x:v>TR-B</x:v>
      </x:c>
      <x:c r="G328" s="7" t="str">
        <x:v>QE-01</x:v>
      </x:c>
      <x:c r="H328" s="7" t="str">
        <x:v>EV-10</x:v>
      </x:c>
      <x:c r="I328" s="10" t="str">
        <x:v>neighbor state</x:v>
      </x:c>
      <x:c r="J328" s="10" t="str">
        <x:v>three independent inert-state records</x:v>
      </x:c>
      <x:c r="K328" s="7" t="str"/>
      <x:c r="L328" s="7" t="str">
        <x:v>OPEN</x:v>
      </x:c>
    </x:row>
    <x:row r="329" ht="40" customHeight="1">
      <x:c r="B329" s="7" t="str">
        <x:v>RAE-E-27-EV-11</x:v>
      </x:c>
      <x:c r="C329" s="7" t="str">
        <x:v>RAE-E-27</x:v>
      </x:c>
      <x:c r="D329" s="7" t="str">
        <x:v>RFP-B2</x:v>
      </x:c>
      <x:c r="E329" s="7" t="str">
        <x:v>AM-05</x:v>
      </x:c>
      <x:c r="F329" s="7" t="str">
        <x:v>TR-B</x:v>
      </x:c>
      <x:c r="G329" s="7" t="str">
        <x:v>QE-01</x:v>
      </x:c>
      <x:c r="H329" s="7" t="str">
        <x:v>EV-11</x:v>
      </x:c>
      <x:c r="I329" s="10" t="str">
        <x:v>intervention state</x:v>
      </x:c>
      <x:c r="J329" s="10" t="str">
        <x:v>human, automatic and rescue actions</x:v>
      </x:c>
      <x:c r="K329" s="7" t="str"/>
      <x:c r="L329" s="7" t="str">
        <x:v>OPEN</x:v>
      </x:c>
    </x:row>
    <x:row r="330" ht="40" customHeight="1">
      <x:c r="B330" s="7" t="str">
        <x:v>RAE-E-27-EV-12</x:v>
      </x:c>
      <x:c r="C330" s="7" t="str">
        <x:v>RAE-E-27</x:v>
      </x:c>
      <x:c r="D330" s="7" t="str">
        <x:v>RFP-B2</x:v>
      </x:c>
      <x:c r="E330" s="7" t="str">
        <x:v>AM-05</x:v>
      </x:c>
      <x:c r="F330" s="7" t="str">
        <x:v>TR-B</x:v>
      </x:c>
      <x:c r="G330" s="7" t="str">
        <x:v>QE-01</x:v>
      </x:c>
      <x:c r="H330" s="7" t="str">
        <x:v>EV-12</x:v>
      </x:c>
      <x:c r="I330" s="10" t="str">
        <x:v>validity packet</x:v>
      </x:c>
      <x:c r="J330" s="10" t="str">
        <x:v>native hashes, causal map and board disposition</x:v>
      </x:c>
      <x:c r="K330" s="7" t="str"/>
      <x:c r="L330" s="7" t="str">
        <x:v>OPEN</x:v>
      </x:c>
    </x:row>
    <x:row r="331" ht="40" customHeight="1">
      <x:c r="B331" s="7" t="str">
        <x:v>RAE-E-28-EV-01</x:v>
      </x:c>
      <x:c r="C331" s="7" t="str">
        <x:v>RAE-E-28</x:v>
      </x:c>
      <x:c r="D331" s="7" t="str">
        <x:v>RFP-B2</x:v>
      </x:c>
      <x:c r="E331" s="7" t="str">
        <x:v>AM-05</x:v>
      </x:c>
      <x:c r="F331" s="7" t="str">
        <x:v>TR-B</x:v>
      </x:c>
      <x:c r="G331" s="7" t="str">
        <x:v>QE-02</x:v>
      </x:c>
      <x:c r="H331" s="7" t="str">
        <x:v>EV-01</x:v>
      </x:c>
      <x:c r="I331" s="10" t="str">
        <x:v>registered event baseline</x:v>
      </x:c>
      <x:c r="J331" s="10" t="str">
        <x:v>configuration master plus event register</x:v>
      </x:c>
      <x:c r="K331" s="7" t="str"/>
      <x:c r="L331" s="7" t="str">
        <x:v>OPEN</x:v>
      </x:c>
    </x:row>
    <x:row r="332" ht="40" customHeight="1">
      <x:c r="B332" s="7" t="str">
        <x:v>RAE-E-28-EV-02</x:v>
      </x:c>
      <x:c r="C332" s="7" t="str">
        <x:v>RAE-E-28</x:v>
      </x:c>
      <x:c r="D332" s="7" t="str">
        <x:v>RFP-B2</x:v>
      </x:c>
      <x:c r="E332" s="7" t="str">
        <x:v>AM-05</x:v>
      </x:c>
      <x:c r="F332" s="7" t="str">
        <x:v>TR-B</x:v>
      </x:c>
      <x:c r="G332" s="7" t="str">
        <x:v>QE-02</x:v>
      </x:c>
      <x:c r="H332" s="7" t="str">
        <x:v>EV-02</x:v>
      </x:c>
      <x:c r="I332" s="10" t="str">
        <x:v>source command and mass</x:v>
      </x:c>
      <x:c r="J332" s="10" t="str">
        <x:v>native command, load cells and custody ledger</x:v>
      </x:c>
      <x:c r="K332" s="7" t="str"/>
      <x:c r="L332" s="7" t="str">
        <x:v>OPEN</x:v>
      </x:c>
    </x:row>
    <x:row r="333" ht="40" customHeight="1">
      <x:c r="B333" s="7" t="str">
        <x:v>RAE-E-28-EV-03</x:v>
      </x:c>
      <x:c r="C333" s="7" t="str">
        <x:v>RAE-E-28</x:v>
      </x:c>
      <x:c r="D333" s="7" t="str">
        <x:v>RFP-B2</x:v>
      </x:c>
      <x:c r="E333" s="7" t="str">
        <x:v>AM-05</x:v>
      </x:c>
      <x:c r="F333" s="7" t="str">
        <x:v>TR-B</x:v>
      </x:c>
      <x:c r="G333" s="7" t="str">
        <x:v>QE-02</x:v>
      </x:c>
      <x:c r="H333" s="7" t="str">
        <x:v>EV-03</x:v>
      </x:c>
      <x:c r="I333" s="10" t="str">
        <x:v>final control states</x:v>
      </x:c>
      <x:c r="J333" s="10" t="str">
        <x:v>direct element sensors plus local latch</x:v>
      </x:c>
      <x:c r="K333" s="7" t="str"/>
      <x:c r="L333" s="7" t="str">
        <x:v>OPEN</x:v>
      </x:c>
    </x:row>
    <x:row r="334" ht="40" customHeight="1">
      <x:c r="B334" s="7" t="str">
        <x:v>RAE-E-28-EV-04</x:v>
      </x:c>
      <x:c r="C334" s="7" t="str">
        <x:v>RAE-E-28</x:v>
      </x:c>
      <x:c r="D334" s="7" t="str">
        <x:v>RFP-B2</x:v>
      </x:c>
      <x:c r="E334" s="7" t="str">
        <x:v>AM-05</x:v>
      </x:c>
      <x:c r="F334" s="7" t="str">
        <x:v>TR-B</x:v>
      </x:c>
      <x:c r="G334" s="7" t="str">
        <x:v>QE-02</x:v>
      </x:c>
      <x:c r="H334" s="7" t="str">
        <x:v>EV-04</x:v>
      </x:c>
      <x:c r="I334" s="10" t="str">
        <x:v>path action times</x:v>
      </x:c>
      <x:c r="J334" s="10" t="str">
        <x:v>common-epoch trigger and state transitions</x:v>
      </x:c>
      <x:c r="K334" s="7" t="str"/>
      <x:c r="L334" s="7" t="str">
        <x:v>OPEN</x:v>
      </x:c>
    </x:row>
    <x:row r="335" ht="40" customHeight="1">
      <x:c r="B335" s="7" t="str">
        <x:v>RAE-E-28-EV-05</x:v>
      </x:c>
      <x:c r="C335" s="7" t="str">
        <x:v>RAE-E-28</x:v>
      </x:c>
      <x:c r="D335" s="7" t="str">
        <x:v>RFP-B2</x:v>
      </x:c>
      <x:c r="E335" s="7" t="str">
        <x:v>AM-05</x:v>
      </x:c>
      <x:c r="F335" s="7" t="str">
        <x:v>TR-B</x:v>
      </x:c>
      <x:c r="G335" s="7" t="str">
        <x:v>QE-02</x:v>
      </x:c>
      <x:c r="H335" s="7" t="str">
        <x:v>EV-05</x:v>
      </x:c>
      <x:c r="I335" s="10" t="str">
        <x:v>receiver inventories</x:v>
      </x:c>
      <x:c r="J335" s="10" t="str">
        <x:v>before, peak and after volume measurements</x:v>
      </x:c>
      <x:c r="K335" s="7" t="str"/>
      <x:c r="L335" s="7" t="str">
        <x:v>OPEN</x:v>
      </x:c>
    </x:row>
    <x:row r="336" ht="40" customHeight="1">
      <x:c r="B336" s="7" t="str">
        <x:v>RAE-E-28-EV-06</x:v>
      </x:c>
      <x:c r="C336" s="7" t="str">
        <x:v>RAE-E-28</x:v>
      </x:c>
      <x:c r="D336" s="7" t="str">
        <x:v>RFP-B2</x:v>
      </x:c>
      <x:c r="E336" s="7" t="str">
        <x:v>AM-05</x:v>
      </x:c>
      <x:c r="F336" s="7" t="str">
        <x:v>TR-B</x:v>
      </x:c>
      <x:c r="G336" s="7" t="str">
        <x:v>QE-02</x:v>
      </x:c>
      <x:c r="H336" s="7" t="str">
        <x:v>EV-06</x:v>
      </x:c>
      <x:c r="I336" s="10" t="str">
        <x:v>thermal field</x:v>
      </x:c>
      <x:c r="J336" s="10" t="str">
        <x:v>radiometry, heat flux and local weather</x:v>
      </x:c>
      <x:c r="K336" s="7" t="str"/>
      <x:c r="L336" s="7" t="str">
        <x:v>OPEN</x:v>
      </x:c>
    </x:row>
    <x:row r="337" ht="40" customHeight="1">
      <x:c r="B337" s="7" t="str">
        <x:v>RAE-E-28-EV-07</x:v>
      </x:c>
      <x:c r="C337" s="7" t="str">
        <x:v>RAE-E-28</x:v>
      </x:c>
      <x:c r="D337" s="7" t="str">
        <x:v>RFP-B2</x:v>
      </x:c>
      <x:c r="E337" s="7" t="str">
        <x:v>AM-05</x:v>
      </x:c>
      <x:c r="F337" s="7" t="str">
        <x:v>TR-B</x:v>
      </x:c>
      <x:c r="G337" s="7" t="str">
        <x:v>QE-02</x:v>
      </x:c>
      <x:c r="H337" s="7" t="str">
        <x:v>EV-07</x:v>
      </x:c>
      <x:c r="I337" s="10" t="str">
        <x:v>water state</x:v>
      </x:c>
      <x:c r="J337" s="10" t="str">
        <x:v>flow, rain, quench, foam and rinse separation</x:v>
      </x:c>
      <x:c r="K337" s="7" t="str"/>
      <x:c r="L337" s="7" t="str">
        <x:v>OPEN</x:v>
      </x:c>
    </x:row>
    <x:row r="338" ht="40" customHeight="1">
      <x:c r="B338" s="7" t="str">
        <x:v>RAE-E-28-EV-08</x:v>
      </x:c>
      <x:c r="C338" s="7" t="str">
        <x:v>RAE-E-28</x:v>
      </x:c>
      <x:c r="D338" s="7" t="str">
        <x:v>RFP-B2</x:v>
      </x:c>
      <x:c r="E338" s="7" t="str">
        <x:v>AM-05</x:v>
      </x:c>
      <x:c r="F338" s="7" t="str">
        <x:v>TR-B</x:v>
      </x:c>
      <x:c r="G338" s="7" t="str">
        <x:v>QE-02</x:v>
      </x:c>
      <x:c r="H338" s="7" t="str">
        <x:v>EV-08</x:v>
      </x:c>
      <x:c r="I338" s="10" t="str">
        <x:v>ancestry</x:v>
      </x:c>
      <x:c r="J338" s="10" t="str">
        <x:v>source and water root recovery plus cross-talk</x:v>
      </x:c>
      <x:c r="K338" s="7" t="str"/>
      <x:c r="L338" s="7" t="str">
        <x:v>OPEN</x:v>
      </x:c>
    </x:row>
    <x:row r="339" ht="40" customHeight="1">
      <x:c r="B339" s="7" t="str">
        <x:v>RAE-E-28-EV-09</x:v>
      </x:c>
      <x:c r="C339" s="7" t="str">
        <x:v>RAE-E-28</x:v>
      </x:c>
      <x:c r="D339" s="7" t="str">
        <x:v>RFP-B2</x:v>
      </x:c>
      <x:c r="E339" s="7" t="str">
        <x:v>AM-05</x:v>
      </x:c>
      <x:c r="F339" s="7" t="str">
        <x:v>TR-B</x:v>
      </x:c>
      <x:c r="G339" s="7" t="str">
        <x:v>QE-02</x:v>
      </x:c>
      <x:c r="H339" s="7" t="str">
        <x:v>EV-09</x:v>
      </x:c>
      <x:c r="I339" s="10" t="str">
        <x:v>environmental boundary</x:v>
      </x:c>
      <x:c r="J339" s="10" t="str">
        <x:v>background and post-event sample set</x:v>
      </x:c>
      <x:c r="K339" s="7" t="str"/>
      <x:c r="L339" s="7" t="str">
        <x:v>OPEN</x:v>
      </x:c>
    </x:row>
    <x:row r="340" ht="40" customHeight="1">
      <x:c r="B340" s="7" t="str">
        <x:v>RAE-E-28-EV-10</x:v>
      </x:c>
      <x:c r="C340" s="7" t="str">
        <x:v>RAE-E-28</x:v>
      </x:c>
      <x:c r="D340" s="7" t="str">
        <x:v>RFP-B2</x:v>
      </x:c>
      <x:c r="E340" s="7" t="str">
        <x:v>AM-05</x:v>
      </x:c>
      <x:c r="F340" s="7" t="str">
        <x:v>TR-B</x:v>
      </x:c>
      <x:c r="G340" s="7" t="str">
        <x:v>QE-02</x:v>
      </x:c>
      <x:c r="H340" s="7" t="str">
        <x:v>EV-10</x:v>
      </x:c>
      <x:c r="I340" s="10" t="str">
        <x:v>neighbor state</x:v>
      </x:c>
      <x:c r="J340" s="10" t="str">
        <x:v>three independent inert-state records</x:v>
      </x:c>
      <x:c r="K340" s="7" t="str"/>
      <x:c r="L340" s="7" t="str">
        <x:v>OPEN</x:v>
      </x:c>
    </x:row>
    <x:row r="341" ht="40" customHeight="1">
      <x:c r="B341" s="7" t="str">
        <x:v>RAE-E-28-EV-11</x:v>
      </x:c>
      <x:c r="C341" s="7" t="str">
        <x:v>RAE-E-28</x:v>
      </x:c>
      <x:c r="D341" s="7" t="str">
        <x:v>RFP-B2</x:v>
      </x:c>
      <x:c r="E341" s="7" t="str">
        <x:v>AM-05</x:v>
      </x:c>
      <x:c r="F341" s="7" t="str">
        <x:v>TR-B</x:v>
      </x:c>
      <x:c r="G341" s="7" t="str">
        <x:v>QE-02</x:v>
      </x:c>
      <x:c r="H341" s="7" t="str">
        <x:v>EV-11</x:v>
      </x:c>
      <x:c r="I341" s="10" t="str">
        <x:v>intervention state</x:v>
      </x:c>
      <x:c r="J341" s="10" t="str">
        <x:v>human, automatic and rescue actions</x:v>
      </x:c>
      <x:c r="K341" s="7" t="str"/>
      <x:c r="L341" s="7" t="str">
        <x:v>OPEN</x:v>
      </x:c>
    </x:row>
    <x:row r="342" ht="40" customHeight="1">
      <x:c r="B342" s="7" t="str">
        <x:v>RAE-E-28-EV-12</x:v>
      </x:c>
      <x:c r="C342" s="7" t="str">
        <x:v>RAE-E-28</x:v>
      </x:c>
      <x:c r="D342" s="7" t="str">
        <x:v>RFP-B2</x:v>
      </x:c>
      <x:c r="E342" s="7" t="str">
        <x:v>AM-05</x:v>
      </x:c>
      <x:c r="F342" s="7" t="str">
        <x:v>TR-B</x:v>
      </x:c>
      <x:c r="G342" s="7" t="str">
        <x:v>QE-02</x:v>
      </x:c>
      <x:c r="H342" s="7" t="str">
        <x:v>EV-12</x:v>
      </x:c>
      <x:c r="I342" s="10" t="str">
        <x:v>validity packet</x:v>
      </x:c>
      <x:c r="J342" s="10" t="str">
        <x:v>native hashes, causal map and board disposition</x:v>
      </x:c>
      <x:c r="K342" s="7" t="str"/>
      <x:c r="L342" s="7" t="str">
        <x:v>OPEN</x:v>
      </x:c>
    </x:row>
    <x:row r="343" ht="40" customHeight="1">
      <x:c r="B343" s="7" t="str">
        <x:v>RAE-E-29-EV-01</x:v>
      </x:c>
      <x:c r="C343" s="7" t="str">
        <x:v>RAE-E-29</x:v>
      </x:c>
      <x:c r="D343" s="7" t="str">
        <x:v>RFP-B2</x:v>
      </x:c>
      <x:c r="E343" s="7" t="str">
        <x:v>AM-06</x:v>
      </x:c>
      <x:c r="F343" s="7" t="str">
        <x:v>TR-A</x:v>
      </x:c>
      <x:c r="G343" s="7" t="str">
        <x:v>QE-01</x:v>
      </x:c>
      <x:c r="H343" s="7" t="str">
        <x:v>EV-01</x:v>
      </x:c>
      <x:c r="I343" s="10" t="str">
        <x:v>registered event baseline</x:v>
      </x:c>
      <x:c r="J343" s="10" t="str">
        <x:v>configuration master plus event register</x:v>
      </x:c>
      <x:c r="K343" s="7" t="str"/>
      <x:c r="L343" s="7" t="str">
        <x:v>OPEN</x:v>
      </x:c>
    </x:row>
    <x:row r="344" ht="40" customHeight="1">
      <x:c r="B344" s="7" t="str">
        <x:v>RAE-E-29-EV-02</x:v>
      </x:c>
      <x:c r="C344" s="7" t="str">
        <x:v>RAE-E-29</x:v>
      </x:c>
      <x:c r="D344" s="7" t="str">
        <x:v>RFP-B2</x:v>
      </x:c>
      <x:c r="E344" s="7" t="str">
        <x:v>AM-06</x:v>
      </x:c>
      <x:c r="F344" s="7" t="str">
        <x:v>TR-A</x:v>
      </x:c>
      <x:c r="G344" s="7" t="str">
        <x:v>QE-01</x:v>
      </x:c>
      <x:c r="H344" s="7" t="str">
        <x:v>EV-02</x:v>
      </x:c>
      <x:c r="I344" s="10" t="str">
        <x:v>source command and mass</x:v>
      </x:c>
      <x:c r="J344" s="10" t="str">
        <x:v>native command, load cells and custody ledger</x:v>
      </x:c>
      <x:c r="K344" s="7" t="str"/>
      <x:c r="L344" s="7" t="str">
        <x:v>OPEN</x:v>
      </x:c>
    </x:row>
    <x:row r="345" ht="40" customHeight="1">
      <x:c r="B345" s="7" t="str">
        <x:v>RAE-E-29-EV-03</x:v>
      </x:c>
      <x:c r="C345" s="7" t="str">
        <x:v>RAE-E-29</x:v>
      </x:c>
      <x:c r="D345" s="7" t="str">
        <x:v>RFP-B2</x:v>
      </x:c>
      <x:c r="E345" s="7" t="str">
        <x:v>AM-06</x:v>
      </x:c>
      <x:c r="F345" s="7" t="str">
        <x:v>TR-A</x:v>
      </x:c>
      <x:c r="G345" s="7" t="str">
        <x:v>QE-01</x:v>
      </x:c>
      <x:c r="H345" s="7" t="str">
        <x:v>EV-03</x:v>
      </x:c>
      <x:c r="I345" s="10" t="str">
        <x:v>final control states</x:v>
      </x:c>
      <x:c r="J345" s="10" t="str">
        <x:v>direct element sensors plus local latch</x:v>
      </x:c>
      <x:c r="K345" s="7" t="str"/>
      <x:c r="L345" s="7" t="str">
        <x:v>OPEN</x:v>
      </x:c>
    </x:row>
    <x:row r="346" ht="40" customHeight="1">
      <x:c r="B346" s="7" t="str">
        <x:v>RAE-E-29-EV-04</x:v>
      </x:c>
      <x:c r="C346" s="7" t="str">
        <x:v>RAE-E-29</x:v>
      </x:c>
      <x:c r="D346" s="7" t="str">
        <x:v>RFP-B2</x:v>
      </x:c>
      <x:c r="E346" s="7" t="str">
        <x:v>AM-06</x:v>
      </x:c>
      <x:c r="F346" s="7" t="str">
        <x:v>TR-A</x:v>
      </x:c>
      <x:c r="G346" s="7" t="str">
        <x:v>QE-01</x:v>
      </x:c>
      <x:c r="H346" s="7" t="str">
        <x:v>EV-04</x:v>
      </x:c>
      <x:c r="I346" s="10" t="str">
        <x:v>path action times</x:v>
      </x:c>
      <x:c r="J346" s="10" t="str">
        <x:v>common-epoch trigger and state transitions</x:v>
      </x:c>
      <x:c r="K346" s="7" t="str"/>
      <x:c r="L346" s="7" t="str">
        <x:v>OPEN</x:v>
      </x:c>
    </x:row>
    <x:row r="347" ht="40" customHeight="1">
      <x:c r="B347" s="7" t="str">
        <x:v>RAE-E-29-EV-05</x:v>
      </x:c>
      <x:c r="C347" s="7" t="str">
        <x:v>RAE-E-29</x:v>
      </x:c>
      <x:c r="D347" s="7" t="str">
        <x:v>RFP-B2</x:v>
      </x:c>
      <x:c r="E347" s="7" t="str">
        <x:v>AM-06</x:v>
      </x:c>
      <x:c r="F347" s="7" t="str">
        <x:v>TR-A</x:v>
      </x:c>
      <x:c r="G347" s="7" t="str">
        <x:v>QE-01</x:v>
      </x:c>
      <x:c r="H347" s="7" t="str">
        <x:v>EV-05</x:v>
      </x:c>
      <x:c r="I347" s="10" t="str">
        <x:v>receiver inventories</x:v>
      </x:c>
      <x:c r="J347" s="10" t="str">
        <x:v>before, peak and after volume measurements</x:v>
      </x:c>
      <x:c r="K347" s="7" t="str"/>
      <x:c r="L347" s="7" t="str">
        <x:v>OPEN</x:v>
      </x:c>
    </x:row>
    <x:row r="348" ht="40" customHeight="1">
      <x:c r="B348" s="7" t="str">
        <x:v>RAE-E-29-EV-06</x:v>
      </x:c>
      <x:c r="C348" s="7" t="str">
        <x:v>RAE-E-29</x:v>
      </x:c>
      <x:c r="D348" s="7" t="str">
        <x:v>RFP-B2</x:v>
      </x:c>
      <x:c r="E348" s="7" t="str">
        <x:v>AM-06</x:v>
      </x:c>
      <x:c r="F348" s="7" t="str">
        <x:v>TR-A</x:v>
      </x:c>
      <x:c r="G348" s="7" t="str">
        <x:v>QE-01</x:v>
      </x:c>
      <x:c r="H348" s="7" t="str">
        <x:v>EV-06</x:v>
      </x:c>
      <x:c r="I348" s="10" t="str">
        <x:v>thermal field</x:v>
      </x:c>
      <x:c r="J348" s="10" t="str">
        <x:v>radiometry, heat flux and local weather</x:v>
      </x:c>
      <x:c r="K348" s="7" t="str"/>
      <x:c r="L348" s="7" t="str">
        <x:v>OPEN</x:v>
      </x:c>
    </x:row>
    <x:row r="349" ht="40" customHeight="1">
      <x:c r="B349" s="7" t="str">
        <x:v>RAE-E-29-EV-07</x:v>
      </x:c>
      <x:c r="C349" s="7" t="str">
        <x:v>RAE-E-29</x:v>
      </x:c>
      <x:c r="D349" s="7" t="str">
        <x:v>RFP-B2</x:v>
      </x:c>
      <x:c r="E349" s="7" t="str">
        <x:v>AM-06</x:v>
      </x:c>
      <x:c r="F349" s="7" t="str">
        <x:v>TR-A</x:v>
      </x:c>
      <x:c r="G349" s="7" t="str">
        <x:v>QE-01</x:v>
      </x:c>
      <x:c r="H349" s="7" t="str">
        <x:v>EV-07</x:v>
      </x:c>
      <x:c r="I349" s="10" t="str">
        <x:v>water state</x:v>
      </x:c>
      <x:c r="J349" s="10" t="str">
        <x:v>flow, rain, quench, foam and rinse separation</x:v>
      </x:c>
      <x:c r="K349" s="7" t="str"/>
      <x:c r="L349" s="7" t="str">
        <x:v>OPEN</x:v>
      </x:c>
    </x:row>
    <x:row r="350" ht="40" customHeight="1">
      <x:c r="B350" s="7" t="str">
        <x:v>RAE-E-29-EV-08</x:v>
      </x:c>
      <x:c r="C350" s="7" t="str">
        <x:v>RAE-E-29</x:v>
      </x:c>
      <x:c r="D350" s="7" t="str">
        <x:v>RFP-B2</x:v>
      </x:c>
      <x:c r="E350" s="7" t="str">
        <x:v>AM-06</x:v>
      </x:c>
      <x:c r="F350" s="7" t="str">
        <x:v>TR-A</x:v>
      </x:c>
      <x:c r="G350" s="7" t="str">
        <x:v>QE-01</x:v>
      </x:c>
      <x:c r="H350" s="7" t="str">
        <x:v>EV-08</x:v>
      </x:c>
      <x:c r="I350" s="10" t="str">
        <x:v>ancestry</x:v>
      </x:c>
      <x:c r="J350" s="10" t="str">
        <x:v>source and water root recovery plus cross-talk</x:v>
      </x:c>
      <x:c r="K350" s="7" t="str"/>
      <x:c r="L350" s="7" t="str">
        <x:v>OPEN</x:v>
      </x:c>
    </x:row>
    <x:row r="351" ht="40" customHeight="1">
      <x:c r="B351" s="7" t="str">
        <x:v>RAE-E-29-EV-09</x:v>
      </x:c>
      <x:c r="C351" s="7" t="str">
        <x:v>RAE-E-29</x:v>
      </x:c>
      <x:c r="D351" s="7" t="str">
        <x:v>RFP-B2</x:v>
      </x:c>
      <x:c r="E351" s="7" t="str">
        <x:v>AM-06</x:v>
      </x:c>
      <x:c r="F351" s="7" t="str">
        <x:v>TR-A</x:v>
      </x:c>
      <x:c r="G351" s="7" t="str">
        <x:v>QE-01</x:v>
      </x:c>
      <x:c r="H351" s="7" t="str">
        <x:v>EV-09</x:v>
      </x:c>
      <x:c r="I351" s="10" t="str">
        <x:v>environmental boundary</x:v>
      </x:c>
      <x:c r="J351" s="10" t="str">
        <x:v>background and post-event sample set</x:v>
      </x:c>
      <x:c r="K351" s="7" t="str"/>
      <x:c r="L351" s="7" t="str">
        <x:v>OPEN</x:v>
      </x:c>
    </x:row>
    <x:row r="352" ht="40" customHeight="1">
      <x:c r="B352" s="7" t="str">
        <x:v>RAE-E-29-EV-10</x:v>
      </x:c>
      <x:c r="C352" s="7" t="str">
        <x:v>RAE-E-29</x:v>
      </x:c>
      <x:c r="D352" s="7" t="str">
        <x:v>RFP-B2</x:v>
      </x:c>
      <x:c r="E352" s="7" t="str">
        <x:v>AM-06</x:v>
      </x:c>
      <x:c r="F352" s="7" t="str">
        <x:v>TR-A</x:v>
      </x:c>
      <x:c r="G352" s="7" t="str">
        <x:v>QE-01</x:v>
      </x:c>
      <x:c r="H352" s="7" t="str">
        <x:v>EV-10</x:v>
      </x:c>
      <x:c r="I352" s="10" t="str">
        <x:v>neighbor state</x:v>
      </x:c>
      <x:c r="J352" s="10" t="str">
        <x:v>three independent inert-state records</x:v>
      </x:c>
      <x:c r="K352" s="7" t="str"/>
      <x:c r="L352" s="7" t="str">
        <x:v>OPEN</x:v>
      </x:c>
    </x:row>
    <x:row r="353" ht="40" customHeight="1">
      <x:c r="B353" s="7" t="str">
        <x:v>RAE-E-29-EV-11</x:v>
      </x:c>
      <x:c r="C353" s="7" t="str">
        <x:v>RAE-E-29</x:v>
      </x:c>
      <x:c r="D353" s="7" t="str">
        <x:v>RFP-B2</x:v>
      </x:c>
      <x:c r="E353" s="7" t="str">
        <x:v>AM-06</x:v>
      </x:c>
      <x:c r="F353" s="7" t="str">
        <x:v>TR-A</x:v>
      </x:c>
      <x:c r="G353" s="7" t="str">
        <x:v>QE-01</x:v>
      </x:c>
      <x:c r="H353" s="7" t="str">
        <x:v>EV-11</x:v>
      </x:c>
      <x:c r="I353" s="10" t="str">
        <x:v>intervention state</x:v>
      </x:c>
      <x:c r="J353" s="10" t="str">
        <x:v>human, automatic and rescue actions</x:v>
      </x:c>
      <x:c r="K353" s="7" t="str"/>
      <x:c r="L353" s="7" t="str">
        <x:v>OPEN</x:v>
      </x:c>
    </x:row>
    <x:row r="354" ht="40" customHeight="1">
      <x:c r="B354" s="7" t="str">
        <x:v>RAE-E-29-EV-12</x:v>
      </x:c>
      <x:c r="C354" s="7" t="str">
        <x:v>RAE-E-29</x:v>
      </x:c>
      <x:c r="D354" s="7" t="str">
        <x:v>RFP-B2</x:v>
      </x:c>
      <x:c r="E354" s="7" t="str">
        <x:v>AM-06</x:v>
      </x:c>
      <x:c r="F354" s="7" t="str">
        <x:v>TR-A</x:v>
      </x:c>
      <x:c r="G354" s="7" t="str">
        <x:v>QE-01</x:v>
      </x:c>
      <x:c r="H354" s="7" t="str">
        <x:v>EV-12</x:v>
      </x:c>
      <x:c r="I354" s="10" t="str">
        <x:v>validity packet</x:v>
      </x:c>
      <x:c r="J354" s="10" t="str">
        <x:v>native hashes, causal map and board disposition</x:v>
      </x:c>
      <x:c r="K354" s="7" t="str"/>
      <x:c r="L354" s="7" t="str">
        <x:v>OPEN</x:v>
      </x:c>
    </x:row>
    <x:row r="355" ht="40" customHeight="1">
      <x:c r="B355" s="7" t="str">
        <x:v>RAE-E-30-EV-01</x:v>
      </x:c>
      <x:c r="C355" s="7" t="str">
        <x:v>RAE-E-30</x:v>
      </x:c>
      <x:c r="D355" s="7" t="str">
        <x:v>RFP-B2</x:v>
      </x:c>
      <x:c r="E355" s="7" t="str">
        <x:v>AM-06</x:v>
      </x:c>
      <x:c r="F355" s="7" t="str">
        <x:v>TR-A</x:v>
      </x:c>
      <x:c r="G355" s="7" t="str">
        <x:v>QE-02</x:v>
      </x:c>
      <x:c r="H355" s="7" t="str">
        <x:v>EV-01</x:v>
      </x:c>
      <x:c r="I355" s="10" t="str">
        <x:v>registered event baseline</x:v>
      </x:c>
      <x:c r="J355" s="10" t="str">
        <x:v>configuration master plus event register</x:v>
      </x:c>
      <x:c r="K355" s="7" t="str"/>
      <x:c r="L355" s="7" t="str">
        <x:v>OPEN</x:v>
      </x:c>
    </x:row>
    <x:row r="356" ht="40" customHeight="1">
      <x:c r="B356" s="7" t="str">
        <x:v>RAE-E-30-EV-02</x:v>
      </x:c>
      <x:c r="C356" s="7" t="str">
        <x:v>RAE-E-30</x:v>
      </x:c>
      <x:c r="D356" s="7" t="str">
        <x:v>RFP-B2</x:v>
      </x:c>
      <x:c r="E356" s="7" t="str">
        <x:v>AM-06</x:v>
      </x:c>
      <x:c r="F356" s="7" t="str">
        <x:v>TR-A</x:v>
      </x:c>
      <x:c r="G356" s="7" t="str">
        <x:v>QE-02</x:v>
      </x:c>
      <x:c r="H356" s="7" t="str">
        <x:v>EV-02</x:v>
      </x:c>
      <x:c r="I356" s="10" t="str">
        <x:v>source command and mass</x:v>
      </x:c>
      <x:c r="J356" s="10" t="str">
        <x:v>native command, load cells and custody ledger</x:v>
      </x:c>
      <x:c r="K356" s="7" t="str"/>
      <x:c r="L356" s="7" t="str">
        <x:v>OPEN</x:v>
      </x:c>
    </x:row>
    <x:row r="357" ht="40" customHeight="1">
      <x:c r="B357" s="7" t="str">
        <x:v>RAE-E-30-EV-03</x:v>
      </x:c>
      <x:c r="C357" s="7" t="str">
        <x:v>RAE-E-30</x:v>
      </x:c>
      <x:c r="D357" s="7" t="str">
        <x:v>RFP-B2</x:v>
      </x:c>
      <x:c r="E357" s="7" t="str">
        <x:v>AM-06</x:v>
      </x:c>
      <x:c r="F357" s="7" t="str">
        <x:v>TR-A</x:v>
      </x:c>
      <x:c r="G357" s="7" t="str">
        <x:v>QE-02</x:v>
      </x:c>
      <x:c r="H357" s="7" t="str">
        <x:v>EV-03</x:v>
      </x:c>
      <x:c r="I357" s="10" t="str">
        <x:v>final control states</x:v>
      </x:c>
      <x:c r="J357" s="10" t="str">
        <x:v>direct element sensors plus local latch</x:v>
      </x:c>
      <x:c r="K357" s="7" t="str"/>
      <x:c r="L357" s="7" t="str">
        <x:v>OPEN</x:v>
      </x:c>
    </x:row>
    <x:row r="358" ht="40" customHeight="1">
      <x:c r="B358" s="7" t="str">
        <x:v>RAE-E-30-EV-04</x:v>
      </x:c>
      <x:c r="C358" s="7" t="str">
        <x:v>RAE-E-30</x:v>
      </x:c>
      <x:c r="D358" s="7" t="str">
        <x:v>RFP-B2</x:v>
      </x:c>
      <x:c r="E358" s="7" t="str">
        <x:v>AM-06</x:v>
      </x:c>
      <x:c r="F358" s="7" t="str">
        <x:v>TR-A</x:v>
      </x:c>
      <x:c r="G358" s="7" t="str">
        <x:v>QE-02</x:v>
      </x:c>
      <x:c r="H358" s="7" t="str">
        <x:v>EV-04</x:v>
      </x:c>
      <x:c r="I358" s="10" t="str">
        <x:v>path action times</x:v>
      </x:c>
      <x:c r="J358" s="10" t="str">
        <x:v>common-epoch trigger and state transitions</x:v>
      </x:c>
      <x:c r="K358" s="7" t="str"/>
      <x:c r="L358" s="7" t="str">
        <x:v>OPEN</x:v>
      </x:c>
    </x:row>
    <x:row r="359" ht="40" customHeight="1">
      <x:c r="B359" s="7" t="str">
        <x:v>RAE-E-30-EV-05</x:v>
      </x:c>
      <x:c r="C359" s="7" t="str">
        <x:v>RAE-E-30</x:v>
      </x:c>
      <x:c r="D359" s="7" t="str">
        <x:v>RFP-B2</x:v>
      </x:c>
      <x:c r="E359" s="7" t="str">
        <x:v>AM-06</x:v>
      </x:c>
      <x:c r="F359" s="7" t="str">
        <x:v>TR-A</x:v>
      </x:c>
      <x:c r="G359" s="7" t="str">
        <x:v>QE-02</x:v>
      </x:c>
      <x:c r="H359" s="7" t="str">
        <x:v>EV-05</x:v>
      </x:c>
      <x:c r="I359" s="10" t="str">
        <x:v>receiver inventories</x:v>
      </x:c>
      <x:c r="J359" s="10" t="str">
        <x:v>before, peak and after volume measurements</x:v>
      </x:c>
      <x:c r="K359" s="7" t="str"/>
      <x:c r="L359" s="7" t="str">
        <x:v>OPEN</x:v>
      </x:c>
    </x:row>
    <x:row r="360" ht="40" customHeight="1">
      <x:c r="B360" s="7" t="str">
        <x:v>RAE-E-30-EV-06</x:v>
      </x:c>
      <x:c r="C360" s="7" t="str">
        <x:v>RAE-E-30</x:v>
      </x:c>
      <x:c r="D360" s="7" t="str">
        <x:v>RFP-B2</x:v>
      </x:c>
      <x:c r="E360" s="7" t="str">
        <x:v>AM-06</x:v>
      </x:c>
      <x:c r="F360" s="7" t="str">
        <x:v>TR-A</x:v>
      </x:c>
      <x:c r="G360" s="7" t="str">
        <x:v>QE-02</x:v>
      </x:c>
      <x:c r="H360" s="7" t="str">
        <x:v>EV-06</x:v>
      </x:c>
      <x:c r="I360" s="10" t="str">
        <x:v>thermal field</x:v>
      </x:c>
      <x:c r="J360" s="10" t="str">
        <x:v>radiometry, heat flux and local weather</x:v>
      </x:c>
      <x:c r="K360" s="7" t="str"/>
      <x:c r="L360" s="7" t="str">
        <x:v>OPEN</x:v>
      </x:c>
    </x:row>
    <x:row r="361" ht="40" customHeight="1">
      <x:c r="B361" s="7" t="str">
        <x:v>RAE-E-30-EV-07</x:v>
      </x:c>
      <x:c r="C361" s="7" t="str">
        <x:v>RAE-E-30</x:v>
      </x:c>
      <x:c r="D361" s="7" t="str">
        <x:v>RFP-B2</x:v>
      </x:c>
      <x:c r="E361" s="7" t="str">
        <x:v>AM-06</x:v>
      </x:c>
      <x:c r="F361" s="7" t="str">
        <x:v>TR-A</x:v>
      </x:c>
      <x:c r="G361" s="7" t="str">
        <x:v>QE-02</x:v>
      </x:c>
      <x:c r="H361" s="7" t="str">
        <x:v>EV-07</x:v>
      </x:c>
      <x:c r="I361" s="10" t="str">
        <x:v>water state</x:v>
      </x:c>
      <x:c r="J361" s="10" t="str">
        <x:v>flow, rain, quench, foam and rinse separation</x:v>
      </x:c>
      <x:c r="K361" s="7" t="str"/>
      <x:c r="L361" s="7" t="str">
        <x:v>OPEN</x:v>
      </x:c>
    </x:row>
    <x:row r="362" ht="40" customHeight="1">
      <x:c r="B362" s="7" t="str">
        <x:v>RAE-E-30-EV-08</x:v>
      </x:c>
      <x:c r="C362" s="7" t="str">
        <x:v>RAE-E-30</x:v>
      </x:c>
      <x:c r="D362" s="7" t="str">
        <x:v>RFP-B2</x:v>
      </x:c>
      <x:c r="E362" s="7" t="str">
        <x:v>AM-06</x:v>
      </x:c>
      <x:c r="F362" s="7" t="str">
        <x:v>TR-A</x:v>
      </x:c>
      <x:c r="G362" s="7" t="str">
        <x:v>QE-02</x:v>
      </x:c>
      <x:c r="H362" s="7" t="str">
        <x:v>EV-08</x:v>
      </x:c>
      <x:c r="I362" s="10" t="str">
        <x:v>ancestry</x:v>
      </x:c>
      <x:c r="J362" s="10" t="str">
        <x:v>source and water root recovery plus cross-talk</x:v>
      </x:c>
      <x:c r="K362" s="7" t="str"/>
      <x:c r="L362" s="7" t="str">
        <x:v>OPEN</x:v>
      </x:c>
    </x:row>
    <x:row r="363" ht="40" customHeight="1">
      <x:c r="B363" s="7" t="str">
        <x:v>RAE-E-30-EV-09</x:v>
      </x:c>
      <x:c r="C363" s="7" t="str">
        <x:v>RAE-E-30</x:v>
      </x:c>
      <x:c r="D363" s="7" t="str">
        <x:v>RFP-B2</x:v>
      </x:c>
      <x:c r="E363" s="7" t="str">
        <x:v>AM-06</x:v>
      </x:c>
      <x:c r="F363" s="7" t="str">
        <x:v>TR-A</x:v>
      </x:c>
      <x:c r="G363" s="7" t="str">
        <x:v>QE-02</x:v>
      </x:c>
      <x:c r="H363" s="7" t="str">
        <x:v>EV-09</x:v>
      </x:c>
      <x:c r="I363" s="10" t="str">
        <x:v>environmental boundary</x:v>
      </x:c>
      <x:c r="J363" s="10" t="str">
        <x:v>background and post-event sample set</x:v>
      </x:c>
      <x:c r="K363" s="7" t="str"/>
      <x:c r="L363" s="7" t="str">
        <x:v>OPEN</x:v>
      </x:c>
    </x:row>
    <x:row r="364" ht="40" customHeight="1">
      <x:c r="B364" s="7" t="str">
        <x:v>RAE-E-30-EV-10</x:v>
      </x:c>
      <x:c r="C364" s="7" t="str">
        <x:v>RAE-E-30</x:v>
      </x:c>
      <x:c r="D364" s="7" t="str">
        <x:v>RFP-B2</x:v>
      </x:c>
      <x:c r="E364" s="7" t="str">
        <x:v>AM-06</x:v>
      </x:c>
      <x:c r="F364" s="7" t="str">
        <x:v>TR-A</x:v>
      </x:c>
      <x:c r="G364" s="7" t="str">
        <x:v>QE-02</x:v>
      </x:c>
      <x:c r="H364" s="7" t="str">
        <x:v>EV-10</x:v>
      </x:c>
      <x:c r="I364" s="10" t="str">
        <x:v>neighbor state</x:v>
      </x:c>
      <x:c r="J364" s="10" t="str">
        <x:v>three independent inert-state records</x:v>
      </x:c>
      <x:c r="K364" s="7" t="str"/>
      <x:c r="L364" s="7" t="str">
        <x:v>OPEN</x:v>
      </x:c>
    </x:row>
    <x:row r="365" ht="40" customHeight="1">
      <x:c r="B365" s="7" t="str">
        <x:v>RAE-E-30-EV-11</x:v>
      </x:c>
      <x:c r="C365" s="7" t="str">
        <x:v>RAE-E-30</x:v>
      </x:c>
      <x:c r="D365" s="7" t="str">
        <x:v>RFP-B2</x:v>
      </x:c>
      <x:c r="E365" s="7" t="str">
        <x:v>AM-06</x:v>
      </x:c>
      <x:c r="F365" s="7" t="str">
        <x:v>TR-A</x:v>
      </x:c>
      <x:c r="G365" s="7" t="str">
        <x:v>QE-02</x:v>
      </x:c>
      <x:c r="H365" s="7" t="str">
        <x:v>EV-11</x:v>
      </x:c>
      <x:c r="I365" s="10" t="str">
        <x:v>intervention state</x:v>
      </x:c>
      <x:c r="J365" s="10" t="str">
        <x:v>human, automatic and rescue actions</x:v>
      </x:c>
      <x:c r="K365" s="7" t="str"/>
      <x:c r="L365" s="7" t="str">
        <x:v>OPEN</x:v>
      </x:c>
    </x:row>
    <x:row r="366" ht="40" customHeight="1">
      <x:c r="B366" s="7" t="str">
        <x:v>RAE-E-30-EV-12</x:v>
      </x:c>
      <x:c r="C366" s="7" t="str">
        <x:v>RAE-E-30</x:v>
      </x:c>
      <x:c r="D366" s="7" t="str">
        <x:v>RFP-B2</x:v>
      </x:c>
      <x:c r="E366" s="7" t="str">
        <x:v>AM-06</x:v>
      </x:c>
      <x:c r="F366" s="7" t="str">
        <x:v>TR-A</x:v>
      </x:c>
      <x:c r="G366" s="7" t="str">
        <x:v>QE-02</x:v>
      </x:c>
      <x:c r="H366" s="7" t="str">
        <x:v>EV-12</x:v>
      </x:c>
      <x:c r="I366" s="10" t="str">
        <x:v>validity packet</x:v>
      </x:c>
      <x:c r="J366" s="10" t="str">
        <x:v>native hashes, causal map and board disposition</x:v>
      </x:c>
      <x:c r="K366" s="7" t="str"/>
      <x:c r="L366" s="7" t="str">
        <x:v>OPEN</x:v>
      </x:c>
    </x:row>
    <x:row r="367" ht="40" customHeight="1">
      <x:c r="B367" s="7" t="str">
        <x:v>RAE-E-31-EV-01</x:v>
      </x:c>
      <x:c r="C367" s="7" t="str">
        <x:v>RAE-E-31</x:v>
      </x:c>
      <x:c r="D367" s="7" t="str">
        <x:v>RFP-B2</x:v>
      </x:c>
      <x:c r="E367" s="7" t="str">
        <x:v>AM-06</x:v>
      </x:c>
      <x:c r="F367" s="7" t="str">
        <x:v>TR-B</x:v>
      </x:c>
      <x:c r="G367" s="7" t="str">
        <x:v>QE-01</x:v>
      </x:c>
      <x:c r="H367" s="7" t="str">
        <x:v>EV-01</x:v>
      </x:c>
      <x:c r="I367" s="10" t="str">
        <x:v>registered event baseline</x:v>
      </x:c>
      <x:c r="J367" s="10" t="str">
        <x:v>configuration master plus event register</x:v>
      </x:c>
      <x:c r="K367" s="7" t="str"/>
      <x:c r="L367" s="7" t="str">
        <x:v>OPEN</x:v>
      </x:c>
    </x:row>
    <x:row r="368" ht="40" customHeight="1">
      <x:c r="B368" s="7" t="str">
        <x:v>RAE-E-31-EV-02</x:v>
      </x:c>
      <x:c r="C368" s="7" t="str">
        <x:v>RAE-E-31</x:v>
      </x:c>
      <x:c r="D368" s="7" t="str">
        <x:v>RFP-B2</x:v>
      </x:c>
      <x:c r="E368" s="7" t="str">
        <x:v>AM-06</x:v>
      </x:c>
      <x:c r="F368" s="7" t="str">
        <x:v>TR-B</x:v>
      </x:c>
      <x:c r="G368" s="7" t="str">
        <x:v>QE-01</x:v>
      </x:c>
      <x:c r="H368" s="7" t="str">
        <x:v>EV-02</x:v>
      </x:c>
      <x:c r="I368" s="10" t="str">
        <x:v>source command and mass</x:v>
      </x:c>
      <x:c r="J368" s="10" t="str">
        <x:v>native command, load cells and custody ledger</x:v>
      </x:c>
      <x:c r="K368" s="7" t="str"/>
      <x:c r="L368" s="7" t="str">
        <x:v>OPEN</x:v>
      </x:c>
    </x:row>
    <x:row r="369" ht="40" customHeight="1">
      <x:c r="B369" s="7" t="str">
        <x:v>RAE-E-31-EV-03</x:v>
      </x:c>
      <x:c r="C369" s="7" t="str">
        <x:v>RAE-E-31</x:v>
      </x:c>
      <x:c r="D369" s="7" t="str">
        <x:v>RFP-B2</x:v>
      </x:c>
      <x:c r="E369" s="7" t="str">
        <x:v>AM-06</x:v>
      </x:c>
      <x:c r="F369" s="7" t="str">
        <x:v>TR-B</x:v>
      </x:c>
      <x:c r="G369" s="7" t="str">
        <x:v>QE-01</x:v>
      </x:c>
      <x:c r="H369" s="7" t="str">
        <x:v>EV-03</x:v>
      </x:c>
      <x:c r="I369" s="10" t="str">
        <x:v>final control states</x:v>
      </x:c>
      <x:c r="J369" s="10" t="str">
        <x:v>direct element sensors plus local latch</x:v>
      </x:c>
      <x:c r="K369" s="7" t="str"/>
      <x:c r="L369" s="7" t="str">
        <x:v>OPEN</x:v>
      </x:c>
    </x:row>
    <x:row r="370" ht="40" customHeight="1">
      <x:c r="B370" s="7" t="str">
        <x:v>RAE-E-31-EV-04</x:v>
      </x:c>
      <x:c r="C370" s="7" t="str">
        <x:v>RAE-E-31</x:v>
      </x:c>
      <x:c r="D370" s="7" t="str">
        <x:v>RFP-B2</x:v>
      </x:c>
      <x:c r="E370" s="7" t="str">
        <x:v>AM-06</x:v>
      </x:c>
      <x:c r="F370" s="7" t="str">
        <x:v>TR-B</x:v>
      </x:c>
      <x:c r="G370" s="7" t="str">
        <x:v>QE-01</x:v>
      </x:c>
      <x:c r="H370" s="7" t="str">
        <x:v>EV-04</x:v>
      </x:c>
      <x:c r="I370" s="10" t="str">
        <x:v>path action times</x:v>
      </x:c>
      <x:c r="J370" s="10" t="str">
        <x:v>common-epoch trigger and state transitions</x:v>
      </x:c>
      <x:c r="K370" s="7" t="str"/>
      <x:c r="L370" s="7" t="str">
        <x:v>OPEN</x:v>
      </x:c>
    </x:row>
    <x:row r="371" ht="40" customHeight="1">
      <x:c r="B371" s="7" t="str">
        <x:v>RAE-E-31-EV-05</x:v>
      </x:c>
      <x:c r="C371" s="7" t="str">
        <x:v>RAE-E-31</x:v>
      </x:c>
      <x:c r="D371" s="7" t="str">
        <x:v>RFP-B2</x:v>
      </x:c>
      <x:c r="E371" s="7" t="str">
        <x:v>AM-06</x:v>
      </x:c>
      <x:c r="F371" s="7" t="str">
        <x:v>TR-B</x:v>
      </x:c>
      <x:c r="G371" s="7" t="str">
        <x:v>QE-01</x:v>
      </x:c>
      <x:c r="H371" s="7" t="str">
        <x:v>EV-05</x:v>
      </x:c>
      <x:c r="I371" s="10" t="str">
        <x:v>receiver inventories</x:v>
      </x:c>
      <x:c r="J371" s="10" t="str">
        <x:v>before, peak and after volume measurements</x:v>
      </x:c>
      <x:c r="K371" s="7" t="str"/>
      <x:c r="L371" s="7" t="str">
        <x:v>OPEN</x:v>
      </x:c>
    </x:row>
    <x:row r="372" ht="40" customHeight="1">
      <x:c r="B372" s="7" t="str">
        <x:v>RAE-E-31-EV-06</x:v>
      </x:c>
      <x:c r="C372" s="7" t="str">
        <x:v>RAE-E-31</x:v>
      </x:c>
      <x:c r="D372" s="7" t="str">
        <x:v>RFP-B2</x:v>
      </x:c>
      <x:c r="E372" s="7" t="str">
        <x:v>AM-06</x:v>
      </x:c>
      <x:c r="F372" s="7" t="str">
        <x:v>TR-B</x:v>
      </x:c>
      <x:c r="G372" s="7" t="str">
        <x:v>QE-01</x:v>
      </x:c>
      <x:c r="H372" s="7" t="str">
        <x:v>EV-06</x:v>
      </x:c>
      <x:c r="I372" s="10" t="str">
        <x:v>thermal field</x:v>
      </x:c>
      <x:c r="J372" s="10" t="str">
        <x:v>radiometry, heat flux and local weather</x:v>
      </x:c>
      <x:c r="K372" s="7" t="str"/>
      <x:c r="L372" s="7" t="str">
        <x:v>OPEN</x:v>
      </x:c>
    </x:row>
    <x:row r="373" ht="40" customHeight="1">
      <x:c r="B373" s="7" t="str">
        <x:v>RAE-E-31-EV-07</x:v>
      </x:c>
      <x:c r="C373" s="7" t="str">
        <x:v>RAE-E-31</x:v>
      </x:c>
      <x:c r="D373" s="7" t="str">
        <x:v>RFP-B2</x:v>
      </x:c>
      <x:c r="E373" s="7" t="str">
        <x:v>AM-06</x:v>
      </x:c>
      <x:c r="F373" s="7" t="str">
        <x:v>TR-B</x:v>
      </x:c>
      <x:c r="G373" s="7" t="str">
        <x:v>QE-01</x:v>
      </x:c>
      <x:c r="H373" s="7" t="str">
        <x:v>EV-07</x:v>
      </x:c>
      <x:c r="I373" s="10" t="str">
        <x:v>water state</x:v>
      </x:c>
      <x:c r="J373" s="10" t="str">
        <x:v>flow, rain, quench, foam and rinse separation</x:v>
      </x:c>
      <x:c r="K373" s="7" t="str"/>
      <x:c r="L373" s="7" t="str">
        <x:v>OPEN</x:v>
      </x:c>
    </x:row>
    <x:row r="374" ht="40" customHeight="1">
      <x:c r="B374" s="7" t="str">
        <x:v>RAE-E-31-EV-08</x:v>
      </x:c>
      <x:c r="C374" s="7" t="str">
        <x:v>RAE-E-31</x:v>
      </x:c>
      <x:c r="D374" s="7" t="str">
        <x:v>RFP-B2</x:v>
      </x:c>
      <x:c r="E374" s="7" t="str">
        <x:v>AM-06</x:v>
      </x:c>
      <x:c r="F374" s="7" t="str">
        <x:v>TR-B</x:v>
      </x:c>
      <x:c r="G374" s="7" t="str">
        <x:v>QE-01</x:v>
      </x:c>
      <x:c r="H374" s="7" t="str">
        <x:v>EV-08</x:v>
      </x:c>
      <x:c r="I374" s="10" t="str">
        <x:v>ancestry</x:v>
      </x:c>
      <x:c r="J374" s="10" t="str">
        <x:v>source and water root recovery plus cross-talk</x:v>
      </x:c>
      <x:c r="K374" s="7" t="str"/>
      <x:c r="L374" s="7" t="str">
        <x:v>OPEN</x:v>
      </x:c>
    </x:row>
    <x:row r="375" ht="40" customHeight="1">
      <x:c r="B375" s="7" t="str">
        <x:v>RAE-E-31-EV-09</x:v>
      </x:c>
      <x:c r="C375" s="7" t="str">
        <x:v>RAE-E-31</x:v>
      </x:c>
      <x:c r="D375" s="7" t="str">
        <x:v>RFP-B2</x:v>
      </x:c>
      <x:c r="E375" s="7" t="str">
        <x:v>AM-06</x:v>
      </x:c>
      <x:c r="F375" s="7" t="str">
        <x:v>TR-B</x:v>
      </x:c>
      <x:c r="G375" s="7" t="str">
        <x:v>QE-01</x:v>
      </x:c>
      <x:c r="H375" s="7" t="str">
        <x:v>EV-09</x:v>
      </x:c>
      <x:c r="I375" s="10" t="str">
        <x:v>environmental boundary</x:v>
      </x:c>
      <x:c r="J375" s="10" t="str">
        <x:v>background and post-event sample set</x:v>
      </x:c>
      <x:c r="K375" s="7" t="str"/>
      <x:c r="L375" s="7" t="str">
        <x:v>OPEN</x:v>
      </x:c>
    </x:row>
    <x:row r="376" ht="40" customHeight="1">
      <x:c r="B376" s="7" t="str">
        <x:v>RAE-E-31-EV-10</x:v>
      </x:c>
      <x:c r="C376" s="7" t="str">
        <x:v>RAE-E-31</x:v>
      </x:c>
      <x:c r="D376" s="7" t="str">
        <x:v>RFP-B2</x:v>
      </x:c>
      <x:c r="E376" s="7" t="str">
        <x:v>AM-06</x:v>
      </x:c>
      <x:c r="F376" s="7" t="str">
        <x:v>TR-B</x:v>
      </x:c>
      <x:c r="G376" s="7" t="str">
        <x:v>QE-01</x:v>
      </x:c>
      <x:c r="H376" s="7" t="str">
        <x:v>EV-10</x:v>
      </x:c>
      <x:c r="I376" s="10" t="str">
        <x:v>neighbor state</x:v>
      </x:c>
      <x:c r="J376" s="10" t="str">
        <x:v>three independent inert-state records</x:v>
      </x:c>
      <x:c r="K376" s="7" t="str"/>
      <x:c r="L376" s="7" t="str">
        <x:v>OPEN</x:v>
      </x:c>
    </x:row>
    <x:row r="377" ht="40" customHeight="1">
      <x:c r="B377" s="7" t="str">
        <x:v>RAE-E-31-EV-11</x:v>
      </x:c>
      <x:c r="C377" s="7" t="str">
        <x:v>RAE-E-31</x:v>
      </x:c>
      <x:c r="D377" s="7" t="str">
        <x:v>RFP-B2</x:v>
      </x:c>
      <x:c r="E377" s="7" t="str">
        <x:v>AM-06</x:v>
      </x:c>
      <x:c r="F377" s="7" t="str">
        <x:v>TR-B</x:v>
      </x:c>
      <x:c r="G377" s="7" t="str">
        <x:v>QE-01</x:v>
      </x:c>
      <x:c r="H377" s="7" t="str">
        <x:v>EV-11</x:v>
      </x:c>
      <x:c r="I377" s="10" t="str">
        <x:v>intervention state</x:v>
      </x:c>
      <x:c r="J377" s="10" t="str">
        <x:v>human, automatic and rescue actions</x:v>
      </x:c>
      <x:c r="K377" s="7" t="str"/>
      <x:c r="L377" s="7" t="str">
        <x:v>OPEN</x:v>
      </x:c>
    </x:row>
    <x:row r="378" ht="40" customHeight="1">
      <x:c r="B378" s="7" t="str">
        <x:v>RAE-E-31-EV-12</x:v>
      </x:c>
      <x:c r="C378" s="7" t="str">
        <x:v>RAE-E-31</x:v>
      </x:c>
      <x:c r="D378" s="7" t="str">
        <x:v>RFP-B2</x:v>
      </x:c>
      <x:c r="E378" s="7" t="str">
        <x:v>AM-06</x:v>
      </x:c>
      <x:c r="F378" s="7" t="str">
        <x:v>TR-B</x:v>
      </x:c>
      <x:c r="G378" s="7" t="str">
        <x:v>QE-01</x:v>
      </x:c>
      <x:c r="H378" s="7" t="str">
        <x:v>EV-12</x:v>
      </x:c>
      <x:c r="I378" s="10" t="str">
        <x:v>validity packet</x:v>
      </x:c>
      <x:c r="J378" s="10" t="str">
        <x:v>native hashes, causal map and board disposition</x:v>
      </x:c>
      <x:c r="K378" s="7" t="str"/>
      <x:c r="L378" s="7" t="str">
        <x:v>OPEN</x:v>
      </x:c>
    </x:row>
    <x:row r="379" ht="40" customHeight="1">
      <x:c r="B379" s="7" t="str">
        <x:v>RAE-E-32-EV-01</x:v>
      </x:c>
      <x:c r="C379" s="7" t="str">
        <x:v>RAE-E-32</x:v>
      </x:c>
      <x:c r="D379" s="7" t="str">
        <x:v>RFP-B2</x:v>
      </x:c>
      <x:c r="E379" s="7" t="str">
        <x:v>AM-06</x:v>
      </x:c>
      <x:c r="F379" s="7" t="str">
        <x:v>TR-B</x:v>
      </x:c>
      <x:c r="G379" s="7" t="str">
        <x:v>QE-02</x:v>
      </x:c>
      <x:c r="H379" s="7" t="str">
        <x:v>EV-01</x:v>
      </x:c>
      <x:c r="I379" s="10" t="str">
        <x:v>registered event baseline</x:v>
      </x:c>
      <x:c r="J379" s="10" t="str">
        <x:v>configuration master plus event register</x:v>
      </x:c>
      <x:c r="K379" s="7" t="str"/>
      <x:c r="L379" s="7" t="str">
        <x:v>OPEN</x:v>
      </x:c>
    </x:row>
    <x:row r="380" ht="40" customHeight="1">
      <x:c r="B380" s="7" t="str">
        <x:v>RAE-E-32-EV-02</x:v>
      </x:c>
      <x:c r="C380" s="7" t="str">
        <x:v>RAE-E-32</x:v>
      </x:c>
      <x:c r="D380" s="7" t="str">
        <x:v>RFP-B2</x:v>
      </x:c>
      <x:c r="E380" s="7" t="str">
        <x:v>AM-06</x:v>
      </x:c>
      <x:c r="F380" s="7" t="str">
        <x:v>TR-B</x:v>
      </x:c>
      <x:c r="G380" s="7" t="str">
        <x:v>QE-02</x:v>
      </x:c>
      <x:c r="H380" s="7" t="str">
        <x:v>EV-02</x:v>
      </x:c>
      <x:c r="I380" s="10" t="str">
        <x:v>source command and mass</x:v>
      </x:c>
      <x:c r="J380" s="10" t="str">
        <x:v>native command, load cells and custody ledger</x:v>
      </x:c>
      <x:c r="K380" s="7" t="str"/>
      <x:c r="L380" s="7" t="str">
        <x:v>OPEN</x:v>
      </x:c>
    </x:row>
    <x:row r="381" ht="40" customHeight="1">
      <x:c r="B381" s="7" t="str">
        <x:v>RAE-E-32-EV-03</x:v>
      </x:c>
      <x:c r="C381" s="7" t="str">
        <x:v>RAE-E-32</x:v>
      </x:c>
      <x:c r="D381" s="7" t="str">
        <x:v>RFP-B2</x:v>
      </x:c>
      <x:c r="E381" s="7" t="str">
        <x:v>AM-06</x:v>
      </x:c>
      <x:c r="F381" s="7" t="str">
        <x:v>TR-B</x:v>
      </x:c>
      <x:c r="G381" s="7" t="str">
        <x:v>QE-02</x:v>
      </x:c>
      <x:c r="H381" s="7" t="str">
        <x:v>EV-03</x:v>
      </x:c>
      <x:c r="I381" s="10" t="str">
        <x:v>final control states</x:v>
      </x:c>
      <x:c r="J381" s="10" t="str">
        <x:v>direct element sensors plus local latch</x:v>
      </x:c>
      <x:c r="K381" s="7" t="str"/>
      <x:c r="L381" s="7" t="str">
        <x:v>OPEN</x:v>
      </x:c>
    </x:row>
    <x:row r="382" ht="40" customHeight="1">
      <x:c r="B382" s="7" t="str">
        <x:v>RAE-E-32-EV-04</x:v>
      </x:c>
      <x:c r="C382" s="7" t="str">
        <x:v>RAE-E-32</x:v>
      </x:c>
      <x:c r="D382" s="7" t="str">
        <x:v>RFP-B2</x:v>
      </x:c>
      <x:c r="E382" s="7" t="str">
        <x:v>AM-06</x:v>
      </x:c>
      <x:c r="F382" s="7" t="str">
        <x:v>TR-B</x:v>
      </x:c>
      <x:c r="G382" s="7" t="str">
        <x:v>QE-02</x:v>
      </x:c>
      <x:c r="H382" s="7" t="str">
        <x:v>EV-04</x:v>
      </x:c>
      <x:c r="I382" s="10" t="str">
        <x:v>path action times</x:v>
      </x:c>
      <x:c r="J382" s="10" t="str">
        <x:v>common-epoch trigger and state transitions</x:v>
      </x:c>
      <x:c r="K382" s="7" t="str"/>
      <x:c r="L382" s="7" t="str">
        <x:v>OPEN</x:v>
      </x:c>
    </x:row>
    <x:row r="383" ht="40" customHeight="1">
      <x:c r="B383" s="7" t="str">
        <x:v>RAE-E-32-EV-05</x:v>
      </x:c>
      <x:c r="C383" s="7" t="str">
        <x:v>RAE-E-32</x:v>
      </x:c>
      <x:c r="D383" s="7" t="str">
        <x:v>RFP-B2</x:v>
      </x:c>
      <x:c r="E383" s="7" t="str">
        <x:v>AM-06</x:v>
      </x:c>
      <x:c r="F383" s="7" t="str">
        <x:v>TR-B</x:v>
      </x:c>
      <x:c r="G383" s="7" t="str">
        <x:v>QE-02</x:v>
      </x:c>
      <x:c r="H383" s="7" t="str">
        <x:v>EV-05</x:v>
      </x:c>
      <x:c r="I383" s="10" t="str">
        <x:v>receiver inventories</x:v>
      </x:c>
      <x:c r="J383" s="10" t="str">
        <x:v>before, peak and after volume measurements</x:v>
      </x:c>
      <x:c r="K383" s="7" t="str"/>
      <x:c r="L383" s="7" t="str">
        <x:v>OPEN</x:v>
      </x:c>
    </x:row>
    <x:row r="384" ht="40" customHeight="1">
      <x:c r="B384" s="7" t="str">
        <x:v>RAE-E-32-EV-06</x:v>
      </x:c>
      <x:c r="C384" s="7" t="str">
        <x:v>RAE-E-32</x:v>
      </x:c>
      <x:c r="D384" s="7" t="str">
        <x:v>RFP-B2</x:v>
      </x:c>
      <x:c r="E384" s="7" t="str">
        <x:v>AM-06</x:v>
      </x:c>
      <x:c r="F384" s="7" t="str">
        <x:v>TR-B</x:v>
      </x:c>
      <x:c r="G384" s="7" t="str">
        <x:v>QE-02</x:v>
      </x:c>
      <x:c r="H384" s="7" t="str">
        <x:v>EV-06</x:v>
      </x:c>
      <x:c r="I384" s="10" t="str">
        <x:v>thermal field</x:v>
      </x:c>
      <x:c r="J384" s="10" t="str">
        <x:v>radiometry, heat flux and local weather</x:v>
      </x:c>
      <x:c r="K384" s="7" t="str"/>
      <x:c r="L384" s="7" t="str">
        <x:v>OPEN</x:v>
      </x:c>
    </x:row>
    <x:row r="385" ht="40" customHeight="1">
      <x:c r="B385" s="7" t="str">
        <x:v>RAE-E-32-EV-07</x:v>
      </x:c>
      <x:c r="C385" s="7" t="str">
        <x:v>RAE-E-32</x:v>
      </x:c>
      <x:c r="D385" s="7" t="str">
        <x:v>RFP-B2</x:v>
      </x:c>
      <x:c r="E385" s="7" t="str">
        <x:v>AM-06</x:v>
      </x:c>
      <x:c r="F385" s="7" t="str">
        <x:v>TR-B</x:v>
      </x:c>
      <x:c r="G385" s="7" t="str">
        <x:v>QE-02</x:v>
      </x:c>
      <x:c r="H385" s="7" t="str">
        <x:v>EV-07</x:v>
      </x:c>
      <x:c r="I385" s="10" t="str">
        <x:v>water state</x:v>
      </x:c>
      <x:c r="J385" s="10" t="str">
        <x:v>flow, rain, quench, foam and rinse separation</x:v>
      </x:c>
      <x:c r="K385" s="7" t="str"/>
      <x:c r="L385" s="7" t="str">
        <x:v>OPEN</x:v>
      </x:c>
    </x:row>
    <x:row r="386" ht="40" customHeight="1">
      <x:c r="B386" s="7" t="str">
        <x:v>RAE-E-32-EV-08</x:v>
      </x:c>
      <x:c r="C386" s="7" t="str">
        <x:v>RAE-E-32</x:v>
      </x:c>
      <x:c r="D386" s="7" t="str">
        <x:v>RFP-B2</x:v>
      </x:c>
      <x:c r="E386" s="7" t="str">
        <x:v>AM-06</x:v>
      </x:c>
      <x:c r="F386" s="7" t="str">
        <x:v>TR-B</x:v>
      </x:c>
      <x:c r="G386" s="7" t="str">
        <x:v>QE-02</x:v>
      </x:c>
      <x:c r="H386" s="7" t="str">
        <x:v>EV-08</x:v>
      </x:c>
      <x:c r="I386" s="10" t="str">
        <x:v>ancestry</x:v>
      </x:c>
      <x:c r="J386" s="10" t="str">
        <x:v>source and water root recovery plus cross-talk</x:v>
      </x:c>
      <x:c r="K386" s="7" t="str"/>
      <x:c r="L386" s="7" t="str">
        <x:v>OPEN</x:v>
      </x:c>
    </x:row>
    <x:row r="387" ht="40" customHeight="1">
      <x:c r="B387" s="7" t="str">
        <x:v>RAE-E-32-EV-09</x:v>
      </x:c>
      <x:c r="C387" s="7" t="str">
        <x:v>RAE-E-32</x:v>
      </x:c>
      <x:c r="D387" s="7" t="str">
        <x:v>RFP-B2</x:v>
      </x:c>
      <x:c r="E387" s="7" t="str">
        <x:v>AM-06</x:v>
      </x:c>
      <x:c r="F387" s="7" t="str">
        <x:v>TR-B</x:v>
      </x:c>
      <x:c r="G387" s="7" t="str">
        <x:v>QE-02</x:v>
      </x:c>
      <x:c r="H387" s="7" t="str">
        <x:v>EV-09</x:v>
      </x:c>
      <x:c r="I387" s="10" t="str">
        <x:v>environmental boundary</x:v>
      </x:c>
      <x:c r="J387" s="10" t="str">
        <x:v>background and post-event sample set</x:v>
      </x:c>
      <x:c r="K387" s="7" t="str"/>
      <x:c r="L387" s="7" t="str">
        <x:v>OPEN</x:v>
      </x:c>
    </x:row>
    <x:row r="388" ht="40" customHeight="1">
      <x:c r="B388" s="7" t="str">
        <x:v>RAE-E-32-EV-10</x:v>
      </x:c>
      <x:c r="C388" s="7" t="str">
        <x:v>RAE-E-32</x:v>
      </x:c>
      <x:c r="D388" s="7" t="str">
        <x:v>RFP-B2</x:v>
      </x:c>
      <x:c r="E388" s="7" t="str">
        <x:v>AM-06</x:v>
      </x:c>
      <x:c r="F388" s="7" t="str">
        <x:v>TR-B</x:v>
      </x:c>
      <x:c r="G388" s="7" t="str">
        <x:v>QE-02</x:v>
      </x:c>
      <x:c r="H388" s="7" t="str">
        <x:v>EV-10</x:v>
      </x:c>
      <x:c r="I388" s="10" t="str">
        <x:v>neighbor state</x:v>
      </x:c>
      <x:c r="J388" s="10" t="str">
        <x:v>three independent inert-state records</x:v>
      </x:c>
      <x:c r="K388" s="7" t="str"/>
      <x:c r="L388" s="7" t="str">
        <x:v>OPEN</x:v>
      </x:c>
    </x:row>
    <x:row r="389" ht="40" customHeight="1">
      <x:c r="B389" s="7" t="str">
        <x:v>RAE-E-32-EV-11</x:v>
      </x:c>
      <x:c r="C389" s="7" t="str">
        <x:v>RAE-E-32</x:v>
      </x:c>
      <x:c r="D389" s="7" t="str">
        <x:v>RFP-B2</x:v>
      </x:c>
      <x:c r="E389" s="7" t="str">
        <x:v>AM-06</x:v>
      </x:c>
      <x:c r="F389" s="7" t="str">
        <x:v>TR-B</x:v>
      </x:c>
      <x:c r="G389" s="7" t="str">
        <x:v>QE-02</x:v>
      </x:c>
      <x:c r="H389" s="7" t="str">
        <x:v>EV-11</x:v>
      </x:c>
      <x:c r="I389" s="10" t="str">
        <x:v>intervention state</x:v>
      </x:c>
      <x:c r="J389" s="10" t="str">
        <x:v>human, automatic and rescue actions</x:v>
      </x:c>
      <x:c r="K389" s="7" t="str"/>
      <x:c r="L389" s="7" t="str">
        <x:v>OPEN</x:v>
      </x:c>
    </x:row>
    <x:row r="390" ht="40" customHeight="1">
      <x:c r="B390" s="7" t="str">
        <x:v>RAE-E-32-EV-12</x:v>
      </x:c>
      <x:c r="C390" s="7" t="str">
        <x:v>RAE-E-32</x:v>
      </x:c>
      <x:c r="D390" s="7" t="str">
        <x:v>RFP-B2</x:v>
      </x:c>
      <x:c r="E390" s="7" t="str">
        <x:v>AM-06</x:v>
      </x:c>
      <x:c r="F390" s="7" t="str">
        <x:v>TR-B</x:v>
      </x:c>
      <x:c r="G390" s="7" t="str">
        <x:v>QE-02</x:v>
      </x:c>
      <x:c r="H390" s="7" t="str">
        <x:v>EV-12</x:v>
      </x:c>
      <x:c r="I390" s="10" t="str">
        <x:v>validity packet</x:v>
      </x:c>
      <x:c r="J390" s="10" t="str">
        <x:v>native hashes, causal map and board disposition</x:v>
      </x:c>
      <x:c r="K390" s="7" t="str"/>
      <x:c r="L390" s="7" t="str">
        <x:v>OPEN</x:v>
      </x:c>
    </x:row>
    <x:row r="391" ht="40" customHeight="1">
      <x:c r="B391" s="7" t="str">
        <x:v>RAE-E-33-EV-01</x:v>
      </x:c>
      <x:c r="C391" s="7" t="str">
        <x:v>RAE-E-33</x:v>
      </x:c>
      <x:c r="D391" s="7" t="str">
        <x:v>RFP-C1</x:v>
      </x:c>
      <x:c r="E391" s="7" t="str">
        <x:v>AM-05</x:v>
      </x:c>
      <x:c r="F391" s="7" t="str">
        <x:v>TR-A</x:v>
      </x:c>
      <x:c r="G391" s="7" t="str">
        <x:v>QE-01</x:v>
      </x:c>
      <x:c r="H391" s="7" t="str">
        <x:v>EV-01</x:v>
      </x:c>
      <x:c r="I391" s="10" t="str">
        <x:v>registered event baseline</x:v>
      </x:c>
      <x:c r="J391" s="10" t="str">
        <x:v>configuration master plus event register</x:v>
      </x:c>
      <x:c r="K391" s="7" t="str"/>
      <x:c r="L391" s="7" t="str">
        <x:v>OPEN</x:v>
      </x:c>
    </x:row>
    <x:row r="392" ht="40" customHeight="1">
      <x:c r="B392" s="7" t="str">
        <x:v>RAE-E-33-EV-02</x:v>
      </x:c>
      <x:c r="C392" s="7" t="str">
        <x:v>RAE-E-33</x:v>
      </x:c>
      <x:c r="D392" s="7" t="str">
        <x:v>RFP-C1</x:v>
      </x:c>
      <x:c r="E392" s="7" t="str">
        <x:v>AM-05</x:v>
      </x:c>
      <x:c r="F392" s="7" t="str">
        <x:v>TR-A</x:v>
      </x:c>
      <x:c r="G392" s="7" t="str">
        <x:v>QE-01</x:v>
      </x:c>
      <x:c r="H392" s="7" t="str">
        <x:v>EV-02</x:v>
      </x:c>
      <x:c r="I392" s="10" t="str">
        <x:v>source command and mass</x:v>
      </x:c>
      <x:c r="J392" s="10" t="str">
        <x:v>native command, load cells and custody ledger</x:v>
      </x:c>
      <x:c r="K392" s="7" t="str"/>
      <x:c r="L392" s="7" t="str">
        <x:v>OPEN</x:v>
      </x:c>
    </x:row>
    <x:row r="393" ht="40" customHeight="1">
      <x:c r="B393" s="7" t="str">
        <x:v>RAE-E-33-EV-03</x:v>
      </x:c>
      <x:c r="C393" s="7" t="str">
        <x:v>RAE-E-33</x:v>
      </x:c>
      <x:c r="D393" s="7" t="str">
        <x:v>RFP-C1</x:v>
      </x:c>
      <x:c r="E393" s="7" t="str">
        <x:v>AM-05</x:v>
      </x:c>
      <x:c r="F393" s="7" t="str">
        <x:v>TR-A</x:v>
      </x:c>
      <x:c r="G393" s="7" t="str">
        <x:v>QE-01</x:v>
      </x:c>
      <x:c r="H393" s="7" t="str">
        <x:v>EV-03</x:v>
      </x:c>
      <x:c r="I393" s="10" t="str">
        <x:v>final control states</x:v>
      </x:c>
      <x:c r="J393" s="10" t="str">
        <x:v>direct element sensors plus local latch</x:v>
      </x:c>
      <x:c r="K393" s="7" t="str"/>
      <x:c r="L393" s="7" t="str">
        <x:v>OPEN</x:v>
      </x:c>
    </x:row>
    <x:row r="394" ht="40" customHeight="1">
      <x:c r="B394" s="7" t="str">
        <x:v>RAE-E-33-EV-04</x:v>
      </x:c>
      <x:c r="C394" s="7" t="str">
        <x:v>RAE-E-33</x:v>
      </x:c>
      <x:c r="D394" s="7" t="str">
        <x:v>RFP-C1</x:v>
      </x:c>
      <x:c r="E394" s="7" t="str">
        <x:v>AM-05</x:v>
      </x:c>
      <x:c r="F394" s="7" t="str">
        <x:v>TR-A</x:v>
      </x:c>
      <x:c r="G394" s="7" t="str">
        <x:v>QE-01</x:v>
      </x:c>
      <x:c r="H394" s="7" t="str">
        <x:v>EV-04</x:v>
      </x:c>
      <x:c r="I394" s="10" t="str">
        <x:v>path action times</x:v>
      </x:c>
      <x:c r="J394" s="10" t="str">
        <x:v>common-epoch trigger and state transitions</x:v>
      </x:c>
      <x:c r="K394" s="7" t="str"/>
      <x:c r="L394" s="7" t="str">
        <x:v>OPEN</x:v>
      </x:c>
    </x:row>
    <x:row r="395" ht="40" customHeight="1">
      <x:c r="B395" s="7" t="str">
        <x:v>RAE-E-33-EV-05</x:v>
      </x:c>
      <x:c r="C395" s="7" t="str">
        <x:v>RAE-E-33</x:v>
      </x:c>
      <x:c r="D395" s="7" t="str">
        <x:v>RFP-C1</x:v>
      </x:c>
      <x:c r="E395" s="7" t="str">
        <x:v>AM-05</x:v>
      </x:c>
      <x:c r="F395" s="7" t="str">
        <x:v>TR-A</x:v>
      </x:c>
      <x:c r="G395" s="7" t="str">
        <x:v>QE-01</x:v>
      </x:c>
      <x:c r="H395" s="7" t="str">
        <x:v>EV-05</x:v>
      </x:c>
      <x:c r="I395" s="10" t="str">
        <x:v>receiver inventories</x:v>
      </x:c>
      <x:c r="J395" s="10" t="str">
        <x:v>before, peak and after volume measurements</x:v>
      </x:c>
      <x:c r="K395" s="7" t="str"/>
      <x:c r="L395" s="7" t="str">
        <x:v>OPEN</x:v>
      </x:c>
    </x:row>
    <x:row r="396" ht="40" customHeight="1">
      <x:c r="B396" s="7" t="str">
        <x:v>RAE-E-33-EV-06</x:v>
      </x:c>
      <x:c r="C396" s="7" t="str">
        <x:v>RAE-E-33</x:v>
      </x:c>
      <x:c r="D396" s="7" t="str">
        <x:v>RFP-C1</x:v>
      </x:c>
      <x:c r="E396" s="7" t="str">
        <x:v>AM-05</x:v>
      </x:c>
      <x:c r="F396" s="7" t="str">
        <x:v>TR-A</x:v>
      </x:c>
      <x:c r="G396" s="7" t="str">
        <x:v>QE-01</x:v>
      </x:c>
      <x:c r="H396" s="7" t="str">
        <x:v>EV-06</x:v>
      </x:c>
      <x:c r="I396" s="10" t="str">
        <x:v>thermal field</x:v>
      </x:c>
      <x:c r="J396" s="10" t="str">
        <x:v>radiometry, heat flux and local weather</x:v>
      </x:c>
      <x:c r="K396" s="7" t="str"/>
      <x:c r="L396" s="7" t="str">
        <x:v>OPEN</x:v>
      </x:c>
    </x:row>
    <x:row r="397" ht="40" customHeight="1">
      <x:c r="B397" s="7" t="str">
        <x:v>RAE-E-33-EV-07</x:v>
      </x:c>
      <x:c r="C397" s="7" t="str">
        <x:v>RAE-E-33</x:v>
      </x:c>
      <x:c r="D397" s="7" t="str">
        <x:v>RFP-C1</x:v>
      </x:c>
      <x:c r="E397" s="7" t="str">
        <x:v>AM-05</x:v>
      </x:c>
      <x:c r="F397" s="7" t="str">
        <x:v>TR-A</x:v>
      </x:c>
      <x:c r="G397" s="7" t="str">
        <x:v>QE-01</x:v>
      </x:c>
      <x:c r="H397" s="7" t="str">
        <x:v>EV-07</x:v>
      </x:c>
      <x:c r="I397" s="10" t="str">
        <x:v>water state</x:v>
      </x:c>
      <x:c r="J397" s="10" t="str">
        <x:v>flow, rain, quench, foam and rinse separation</x:v>
      </x:c>
      <x:c r="K397" s="7" t="str"/>
      <x:c r="L397" s="7" t="str">
        <x:v>OPEN</x:v>
      </x:c>
    </x:row>
    <x:row r="398" ht="40" customHeight="1">
      <x:c r="B398" s="7" t="str">
        <x:v>RAE-E-33-EV-08</x:v>
      </x:c>
      <x:c r="C398" s="7" t="str">
        <x:v>RAE-E-33</x:v>
      </x:c>
      <x:c r="D398" s="7" t="str">
        <x:v>RFP-C1</x:v>
      </x:c>
      <x:c r="E398" s="7" t="str">
        <x:v>AM-05</x:v>
      </x:c>
      <x:c r="F398" s="7" t="str">
        <x:v>TR-A</x:v>
      </x:c>
      <x:c r="G398" s="7" t="str">
        <x:v>QE-01</x:v>
      </x:c>
      <x:c r="H398" s="7" t="str">
        <x:v>EV-08</x:v>
      </x:c>
      <x:c r="I398" s="10" t="str">
        <x:v>ancestry</x:v>
      </x:c>
      <x:c r="J398" s="10" t="str">
        <x:v>source and water root recovery plus cross-talk</x:v>
      </x:c>
      <x:c r="K398" s="7" t="str"/>
      <x:c r="L398" s="7" t="str">
        <x:v>OPEN</x:v>
      </x:c>
    </x:row>
    <x:row r="399" ht="40" customHeight="1">
      <x:c r="B399" s="7" t="str">
        <x:v>RAE-E-33-EV-09</x:v>
      </x:c>
      <x:c r="C399" s="7" t="str">
        <x:v>RAE-E-33</x:v>
      </x:c>
      <x:c r="D399" s="7" t="str">
        <x:v>RFP-C1</x:v>
      </x:c>
      <x:c r="E399" s="7" t="str">
        <x:v>AM-05</x:v>
      </x:c>
      <x:c r="F399" s="7" t="str">
        <x:v>TR-A</x:v>
      </x:c>
      <x:c r="G399" s="7" t="str">
        <x:v>QE-01</x:v>
      </x:c>
      <x:c r="H399" s="7" t="str">
        <x:v>EV-09</x:v>
      </x:c>
      <x:c r="I399" s="10" t="str">
        <x:v>environmental boundary</x:v>
      </x:c>
      <x:c r="J399" s="10" t="str">
        <x:v>background and post-event sample set</x:v>
      </x:c>
      <x:c r="K399" s="7" t="str"/>
      <x:c r="L399" s="7" t="str">
        <x:v>OPEN</x:v>
      </x:c>
    </x:row>
    <x:row r="400" ht="40" customHeight="1">
      <x:c r="B400" s="7" t="str">
        <x:v>RAE-E-33-EV-10</x:v>
      </x:c>
      <x:c r="C400" s="7" t="str">
        <x:v>RAE-E-33</x:v>
      </x:c>
      <x:c r="D400" s="7" t="str">
        <x:v>RFP-C1</x:v>
      </x:c>
      <x:c r="E400" s="7" t="str">
        <x:v>AM-05</x:v>
      </x:c>
      <x:c r="F400" s="7" t="str">
        <x:v>TR-A</x:v>
      </x:c>
      <x:c r="G400" s="7" t="str">
        <x:v>QE-01</x:v>
      </x:c>
      <x:c r="H400" s="7" t="str">
        <x:v>EV-10</x:v>
      </x:c>
      <x:c r="I400" s="10" t="str">
        <x:v>neighbor state</x:v>
      </x:c>
      <x:c r="J400" s="10" t="str">
        <x:v>three independent inert-state records</x:v>
      </x:c>
      <x:c r="K400" s="7" t="str"/>
      <x:c r="L400" s="7" t="str">
        <x:v>OPEN</x:v>
      </x:c>
    </x:row>
    <x:row r="401" ht="40" customHeight="1">
      <x:c r="B401" s="7" t="str">
        <x:v>RAE-E-33-EV-11</x:v>
      </x:c>
      <x:c r="C401" s="7" t="str">
        <x:v>RAE-E-33</x:v>
      </x:c>
      <x:c r="D401" s="7" t="str">
        <x:v>RFP-C1</x:v>
      </x:c>
      <x:c r="E401" s="7" t="str">
        <x:v>AM-05</x:v>
      </x:c>
      <x:c r="F401" s="7" t="str">
        <x:v>TR-A</x:v>
      </x:c>
      <x:c r="G401" s="7" t="str">
        <x:v>QE-01</x:v>
      </x:c>
      <x:c r="H401" s="7" t="str">
        <x:v>EV-11</x:v>
      </x:c>
      <x:c r="I401" s="10" t="str">
        <x:v>intervention state</x:v>
      </x:c>
      <x:c r="J401" s="10" t="str">
        <x:v>human, automatic and rescue actions</x:v>
      </x:c>
      <x:c r="K401" s="7" t="str"/>
      <x:c r="L401" s="7" t="str">
        <x:v>OPEN</x:v>
      </x:c>
    </x:row>
    <x:row r="402" ht="40" customHeight="1">
      <x:c r="B402" s="7" t="str">
        <x:v>RAE-E-33-EV-12</x:v>
      </x:c>
      <x:c r="C402" s="7" t="str">
        <x:v>RAE-E-33</x:v>
      </x:c>
      <x:c r="D402" s="7" t="str">
        <x:v>RFP-C1</x:v>
      </x:c>
      <x:c r="E402" s="7" t="str">
        <x:v>AM-05</x:v>
      </x:c>
      <x:c r="F402" s="7" t="str">
        <x:v>TR-A</x:v>
      </x:c>
      <x:c r="G402" s="7" t="str">
        <x:v>QE-01</x:v>
      </x:c>
      <x:c r="H402" s="7" t="str">
        <x:v>EV-12</x:v>
      </x:c>
      <x:c r="I402" s="10" t="str">
        <x:v>validity packet</x:v>
      </x:c>
      <x:c r="J402" s="10" t="str">
        <x:v>native hashes, causal map and board disposition</x:v>
      </x:c>
      <x:c r="K402" s="7" t="str"/>
      <x:c r="L402" s="7" t="str">
        <x:v>OPEN</x:v>
      </x:c>
    </x:row>
    <x:row r="403" ht="40" customHeight="1">
      <x:c r="B403" s="7" t="str">
        <x:v>RAE-E-34-EV-01</x:v>
      </x:c>
      <x:c r="C403" s="7" t="str">
        <x:v>RAE-E-34</x:v>
      </x:c>
      <x:c r="D403" s="7" t="str">
        <x:v>RFP-C1</x:v>
      </x:c>
      <x:c r="E403" s="7" t="str">
        <x:v>AM-05</x:v>
      </x:c>
      <x:c r="F403" s="7" t="str">
        <x:v>TR-A</x:v>
      </x:c>
      <x:c r="G403" s="7" t="str">
        <x:v>QE-02</x:v>
      </x:c>
      <x:c r="H403" s="7" t="str">
        <x:v>EV-01</x:v>
      </x:c>
      <x:c r="I403" s="10" t="str">
        <x:v>registered event baseline</x:v>
      </x:c>
      <x:c r="J403" s="10" t="str">
        <x:v>configuration master plus event register</x:v>
      </x:c>
      <x:c r="K403" s="7" t="str"/>
      <x:c r="L403" s="7" t="str">
        <x:v>OPEN</x:v>
      </x:c>
    </x:row>
    <x:row r="404" ht="40" customHeight="1">
      <x:c r="B404" s="7" t="str">
        <x:v>RAE-E-34-EV-02</x:v>
      </x:c>
      <x:c r="C404" s="7" t="str">
        <x:v>RAE-E-34</x:v>
      </x:c>
      <x:c r="D404" s="7" t="str">
        <x:v>RFP-C1</x:v>
      </x:c>
      <x:c r="E404" s="7" t="str">
        <x:v>AM-05</x:v>
      </x:c>
      <x:c r="F404" s="7" t="str">
        <x:v>TR-A</x:v>
      </x:c>
      <x:c r="G404" s="7" t="str">
        <x:v>QE-02</x:v>
      </x:c>
      <x:c r="H404" s="7" t="str">
        <x:v>EV-02</x:v>
      </x:c>
      <x:c r="I404" s="10" t="str">
        <x:v>source command and mass</x:v>
      </x:c>
      <x:c r="J404" s="10" t="str">
        <x:v>native command, load cells and custody ledger</x:v>
      </x:c>
      <x:c r="K404" s="7" t="str"/>
      <x:c r="L404" s="7" t="str">
        <x:v>OPEN</x:v>
      </x:c>
    </x:row>
    <x:row r="405" ht="40" customHeight="1">
      <x:c r="B405" s="7" t="str">
        <x:v>RAE-E-34-EV-03</x:v>
      </x:c>
      <x:c r="C405" s="7" t="str">
        <x:v>RAE-E-34</x:v>
      </x:c>
      <x:c r="D405" s="7" t="str">
        <x:v>RFP-C1</x:v>
      </x:c>
      <x:c r="E405" s="7" t="str">
        <x:v>AM-05</x:v>
      </x:c>
      <x:c r="F405" s="7" t="str">
        <x:v>TR-A</x:v>
      </x:c>
      <x:c r="G405" s="7" t="str">
        <x:v>QE-02</x:v>
      </x:c>
      <x:c r="H405" s="7" t="str">
        <x:v>EV-03</x:v>
      </x:c>
      <x:c r="I405" s="10" t="str">
        <x:v>final control states</x:v>
      </x:c>
      <x:c r="J405" s="10" t="str">
        <x:v>direct element sensors plus local latch</x:v>
      </x:c>
      <x:c r="K405" s="7" t="str"/>
      <x:c r="L405" s="7" t="str">
        <x:v>OPEN</x:v>
      </x:c>
    </x:row>
    <x:row r="406" ht="40" customHeight="1">
      <x:c r="B406" s="7" t="str">
        <x:v>RAE-E-34-EV-04</x:v>
      </x:c>
      <x:c r="C406" s="7" t="str">
        <x:v>RAE-E-34</x:v>
      </x:c>
      <x:c r="D406" s="7" t="str">
        <x:v>RFP-C1</x:v>
      </x:c>
      <x:c r="E406" s="7" t="str">
        <x:v>AM-05</x:v>
      </x:c>
      <x:c r="F406" s="7" t="str">
        <x:v>TR-A</x:v>
      </x:c>
      <x:c r="G406" s="7" t="str">
        <x:v>QE-02</x:v>
      </x:c>
      <x:c r="H406" s="7" t="str">
        <x:v>EV-04</x:v>
      </x:c>
      <x:c r="I406" s="10" t="str">
        <x:v>path action times</x:v>
      </x:c>
      <x:c r="J406" s="10" t="str">
        <x:v>common-epoch trigger and state transitions</x:v>
      </x:c>
      <x:c r="K406" s="7" t="str"/>
      <x:c r="L406" s="7" t="str">
        <x:v>OPEN</x:v>
      </x:c>
    </x:row>
    <x:row r="407" ht="40" customHeight="1">
      <x:c r="B407" s="7" t="str">
        <x:v>RAE-E-34-EV-05</x:v>
      </x:c>
      <x:c r="C407" s="7" t="str">
        <x:v>RAE-E-34</x:v>
      </x:c>
      <x:c r="D407" s="7" t="str">
        <x:v>RFP-C1</x:v>
      </x:c>
      <x:c r="E407" s="7" t="str">
        <x:v>AM-05</x:v>
      </x:c>
      <x:c r="F407" s="7" t="str">
        <x:v>TR-A</x:v>
      </x:c>
      <x:c r="G407" s="7" t="str">
        <x:v>QE-02</x:v>
      </x:c>
      <x:c r="H407" s="7" t="str">
        <x:v>EV-05</x:v>
      </x:c>
      <x:c r="I407" s="10" t="str">
        <x:v>receiver inventories</x:v>
      </x:c>
      <x:c r="J407" s="10" t="str">
        <x:v>before, peak and after volume measurements</x:v>
      </x:c>
      <x:c r="K407" s="7" t="str"/>
      <x:c r="L407" s="7" t="str">
        <x:v>OPEN</x:v>
      </x:c>
    </x:row>
    <x:row r="408" ht="40" customHeight="1">
      <x:c r="B408" s="7" t="str">
        <x:v>RAE-E-34-EV-06</x:v>
      </x:c>
      <x:c r="C408" s="7" t="str">
        <x:v>RAE-E-34</x:v>
      </x:c>
      <x:c r="D408" s="7" t="str">
        <x:v>RFP-C1</x:v>
      </x:c>
      <x:c r="E408" s="7" t="str">
        <x:v>AM-05</x:v>
      </x:c>
      <x:c r="F408" s="7" t="str">
        <x:v>TR-A</x:v>
      </x:c>
      <x:c r="G408" s="7" t="str">
        <x:v>QE-02</x:v>
      </x:c>
      <x:c r="H408" s="7" t="str">
        <x:v>EV-06</x:v>
      </x:c>
      <x:c r="I408" s="10" t="str">
        <x:v>thermal field</x:v>
      </x:c>
      <x:c r="J408" s="10" t="str">
        <x:v>radiometry, heat flux and local weather</x:v>
      </x:c>
      <x:c r="K408" s="7" t="str"/>
      <x:c r="L408" s="7" t="str">
        <x:v>OPEN</x:v>
      </x:c>
    </x:row>
    <x:row r="409" ht="40" customHeight="1">
      <x:c r="B409" s="7" t="str">
        <x:v>RAE-E-34-EV-07</x:v>
      </x:c>
      <x:c r="C409" s="7" t="str">
        <x:v>RAE-E-34</x:v>
      </x:c>
      <x:c r="D409" s="7" t="str">
        <x:v>RFP-C1</x:v>
      </x:c>
      <x:c r="E409" s="7" t="str">
        <x:v>AM-05</x:v>
      </x:c>
      <x:c r="F409" s="7" t="str">
        <x:v>TR-A</x:v>
      </x:c>
      <x:c r="G409" s="7" t="str">
        <x:v>QE-02</x:v>
      </x:c>
      <x:c r="H409" s="7" t="str">
        <x:v>EV-07</x:v>
      </x:c>
      <x:c r="I409" s="10" t="str">
        <x:v>water state</x:v>
      </x:c>
      <x:c r="J409" s="10" t="str">
        <x:v>flow, rain, quench, foam and rinse separation</x:v>
      </x:c>
      <x:c r="K409" s="7" t="str"/>
      <x:c r="L409" s="7" t="str">
        <x:v>OPEN</x:v>
      </x:c>
    </x:row>
    <x:row r="410" ht="40" customHeight="1">
      <x:c r="B410" s="7" t="str">
        <x:v>RAE-E-34-EV-08</x:v>
      </x:c>
      <x:c r="C410" s="7" t="str">
        <x:v>RAE-E-34</x:v>
      </x:c>
      <x:c r="D410" s="7" t="str">
        <x:v>RFP-C1</x:v>
      </x:c>
      <x:c r="E410" s="7" t="str">
        <x:v>AM-05</x:v>
      </x:c>
      <x:c r="F410" s="7" t="str">
        <x:v>TR-A</x:v>
      </x:c>
      <x:c r="G410" s="7" t="str">
        <x:v>QE-02</x:v>
      </x:c>
      <x:c r="H410" s="7" t="str">
        <x:v>EV-08</x:v>
      </x:c>
      <x:c r="I410" s="10" t="str">
        <x:v>ancestry</x:v>
      </x:c>
      <x:c r="J410" s="10" t="str">
        <x:v>source and water root recovery plus cross-talk</x:v>
      </x:c>
      <x:c r="K410" s="7" t="str"/>
      <x:c r="L410" s="7" t="str">
        <x:v>OPEN</x:v>
      </x:c>
    </x:row>
    <x:row r="411" ht="40" customHeight="1">
      <x:c r="B411" s="7" t="str">
        <x:v>RAE-E-34-EV-09</x:v>
      </x:c>
      <x:c r="C411" s="7" t="str">
        <x:v>RAE-E-34</x:v>
      </x:c>
      <x:c r="D411" s="7" t="str">
        <x:v>RFP-C1</x:v>
      </x:c>
      <x:c r="E411" s="7" t="str">
        <x:v>AM-05</x:v>
      </x:c>
      <x:c r="F411" s="7" t="str">
        <x:v>TR-A</x:v>
      </x:c>
      <x:c r="G411" s="7" t="str">
        <x:v>QE-02</x:v>
      </x:c>
      <x:c r="H411" s="7" t="str">
        <x:v>EV-09</x:v>
      </x:c>
      <x:c r="I411" s="10" t="str">
        <x:v>environmental boundary</x:v>
      </x:c>
      <x:c r="J411" s="10" t="str">
        <x:v>background and post-event sample set</x:v>
      </x:c>
      <x:c r="K411" s="7" t="str"/>
      <x:c r="L411" s="7" t="str">
        <x:v>OPEN</x:v>
      </x:c>
    </x:row>
    <x:row r="412" ht="40" customHeight="1">
      <x:c r="B412" s="7" t="str">
        <x:v>RAE-E-34-EV-10</x:v>
      </x:c>
      <x:c r="C412" s="7" t="str">
        <x:v>RAE-E-34</x:v>
      </x:c>
      <x:c r="D412" s="7" t="str">
        <x:v>RFP-C1</x:v>
      </x:c>
      <x:c r="E412" s="7" t="str">
        <x:v>AM-05</x:v>
      </x:c>
      <x:c r="F412" s="7" t="str">
        <x:v>TR-A</x:v>
      </x:c>
      <x:c r="G412" s="7" t="str">
        <x:v>QE-02</x:v>
      </x:c>
      <x:c r="H412" s="7" t="str">
        <x:v>EV-10</x:v>
      </x:c>
      <x:c r="I412" s="10" t="str">
        <x:v>neighbor state</x:v>
      </x:c>
      <x:c r="J412" s="10" t="str">
        <x:v>three independent inert-state records</x:v>
      </x:c>
      <x:c r="K412" s="7" t="str"/>
      <x:c r="L412" s="7" t="str">
        <x:v>OPEN</x:v>
      </x:c>
    </x:row>
    <x:row r="413" ht="40" customHeight="1">
      <x:c r="B413" s="7" t="str">
        <x:v>RAE-E-34-EV-11</x:v>
      </x:c>
      <x:c r="C413" s="7" t="str">
        <x:v>RAE-E-34</x:v>
      </x:c>
      <x:c r="D413" s="7" t="str">
        <x:v>RFP-C1</x:v>
      </x:c>
      <x:c r="E413" s="7" t="str">
        <x:v>AM-05</x:v>
      </x:c>
      <x:c r="F413" s="7" t="str">
        <x:v>TR-A</x:v>
      </x:c>
      <x:c r="G413" s="7" t="str">
        <x:v>QE-02</x:v>
      </x:c>
      <x:c r="H413" s="7" t="str">
        <x:v>EV-11</x:v>
      </x:c>
      <x:c r="I413" s="10" t="str">
        <x:v>intervention state</x:v>
      </x:c>
      <x:c r="J413" s="10" t="str">
        <x:v>human, automatic and rescue actions</x:v>
      </x:c>
      <x:c r="K413" s="7" t="str"/>
      <x:c r="L413" s="7" t="str">
        <x:v>OPEN</x:v>
      </x:c>
    </x:row>
    <x:row r="414" ht="40" customHeight="1">
      <x:c r="B414" s="7" t="str">
        <x:v>RAE-E-34-EV-12</x:v>
      </x:c>
      <x:c r="C414" s="7" t="str">
        <x:v>RAE-E-34</x:v>
      </x:c>
      <x:c r="D414" s="7" t="str">
        <x:v>RFP-C1</x:v>
      </x:c>
      <x:c r="E414" s="7" t="str">
        <x:v>AM-05</x:v>
      </x:c>
      <x:c r="F414" s="7" t="str">
        <x:v>TR-A</x:v>
      </x:c>
      <x:c r="G414" s="7" t="str">
        <x:v>QE-02</x:v>
      </x:c>
      <x:c r="H414" s="7" t="str">
        <x:v>EV-12</x:v>
      </x:c>
      <x:c r="I414" s="10" t="str">
        <x:v>validity packet</x:v>
      </x:c>
      <x:c r="J414" s="10" t="str">
        <x:v>native hashes, causal map and board disposition</x:v>
      </x:c>
      <x:c r="K414" s="7" t="str"/>
      <x:c r="L414" s="7" t="str">
        <x:v>OPEN</x:v>
      </x:c>
    </x:row>
    <x:row r="415" ht="40" customHeight="1">
      <x:c r="B415" s="7" t="str">
        <x:v>RAE-E-35-EV-01</x:v>
      </x:c>
      <x:c r="C415" s="7" t="str">
        <x:v>RAE-E-35</x:v>
      </x:c>
      <x:c r="D415" s="7" t="str">
        <x:v>RFP-C1</x:v>
      </x:c>
      <x:c r="E415" s="7" t="str">
        <x:v>AM-05</x:v>
      </x:c>
      <x:c r="F415" s="7" t="str">
        <x:v>TR-B</x:v>
      </x:c>
      <x:c r="G415" s="7" t="str">
        <x:v>QE-01</x:v>
      </x:c>
      <x:c r="H415" s="7" t="str">
        <x:v>EV-01</x:v>
      </x:c>
      <x:c r="I415" s="10" t="str">
        <x:v>registered event baseline</x:v>
      </x:c>
      <x:c r="J415" s="10" t="str">
        <x:v>configuration master plus event register</x:v>
      </x:c>
      <x:c r="K415" s="7" t="str"/>
      <x:c r="L415" s="7" t="str">
        <x:v>OPEN</x:v>
      </x:c>
    </x:row>
    <x:row r="416" ht="40" customHeight="1">
      <x:c r="B416" s="7" t="str">
        <x:v>RAE-E-35-EV-02</x:v>
      </x:c>
      <x:c r="C416" s="7" t="str">
        <x:v>RAE-E-35</x:v>
      </x:c>
      <x:c r="D416" s="7" t="str">
        <x:v>RFP-C1</x:v>
      </x:c>
      <x:c r="E416" s="7" t="str">
        <x:v>AM-05</x:v>
      </x:c>
      <x:c r="F416" s="7" t="str">
        <x:v>TR-B</x:v>
      </x:c>
      <x:c r="G416" s="7" t="str">
        <x:v>QE-01</x:v>
      </x:c>
      <x:c r="H416" s="7" t="str">
        <x:v>EV-02</x:v>
      </x:c>
      <x:c r="I416" s="10" t="str">
        <x:v>source command and mass</x:v>
      </x:c>
      <x:c r="J416" s="10" t="str">
        <x:v>native command, load cells and custody ledger</x:v>
      </x:c>
      <x:c r="K416" s="7" t="str"/>
      <x:c r="L416" s="7" t="str">
        <x:v>OPEN</x:v>
      </x:c>
    </x:row>
    <x:row r="417" ht="40" customHeight="1">
      <x:c r="B417" s="7" t="str">
        <x:v>RAE-E-35-EV-03</x:v>
      </x:c>
      <x:c r="C417" s="7" t="str">
        <x:v>RAE-E-35</x:v>
      </x:c>
      <x:c r="D417" s="7" t="str">
        <x:v>RFP-C1</x:v>
      </x:c>
      <x:c r="E417" s="7" t="str">
        <x:v>AM-05</x:v>
      </x:c>
      <x:c r="F417" s="7" t="str">
        <x:v>TR-B</x:v>
      </x:c>
      <x:c r="G417" s="7" t="str">
        <x:v>QE-01</x:v>
      </x:c>
      <x:c r="H417" s="7" t="str">
        <x:v>EV-03</x:v>
      </x:c>
      <x:c r="I417" s="10" t="str">
        <x:v>final control states</x:v>
      </x:c>
      <x:c r="J417" s="10" t="str">
        <x:v>direct element sensors plus local latch</x:v>
      </x:c>
      <x:c r="K417" s="7" t="str"/>
      <x:c r="L417" s="7" t="str">
        <x:v>OPEN</x:v>
      </x:c>
    </x:row>
    <x:row r="418" ht="40" customHeight="1">
      <x:c r="B418" s="7" t="str">
        <x:v>RAE-E-35-EV-04</x:v>
      </x:c>
      <x:c r="C418" s="7" t="str">
        <x:v>RAE-E-35</x:v>
      </x:c>
      <x:c r="D418" s="7" t="str">
        <x:v>RFP-C1</x:v>
      </x:c>
      <x:c r="E418" s="7" t="str">
        <x:v>AM-05</x:v>
      </x:c>
      <x:c r="F418" s="7" t="str">
        <x:v>TR-B</x:v>
      </x:c>
      <x:c r="G418" s="7" t="str">
        <x:v>QE-01</x:v>
      </x:c>
      <x:c r="H418" s="7" t="str">
        <x:v>EV-04</x:v>
      </x:c>
      <x:c r="I418" s="10" t="str">
        <x:v>path action times</x:v>
      </x:c>
      <x:c r="J418" s="10" t="str">
        <x:v>common-epoch trigger and state transitions</x:v>
      </x:c>
      <x:c r="K418" s="7" t="str"/>
      <x:c r="L418" s="7" t="str">
        <x:v>OPEN</x:v>
      </x:c>
    </x:row>
    <x:row r="419" ht="40" customHeight="1">
      <x:c r="B419" s="7" t="str">
        <x:v>RAE-E-35-EV-05</x:v>
      </x:c>
      <x:c r="C419" s="7" t="str">
        <x:v>RAE-E-35</x:v>
      </x:c>
      <x:c r="D419" s="7" t="str">
        <x:v>RFP-C1</x:v>
      </x:c>
      <x:c r="E419" s="7" t="str">
        <x:v>AM-05</x:v>
      </x:c>
      <x:c r="F419" s="7" t="str">
        <x:v>TR-B</x:v>
      </x:c>
      <x:c r="G419" s="7" t="str">
        <x:v>QE-01</x:v>
      </x:c>
      <x:c r="H419" s="7" t="str">
        <x:v>EV-05</x:v>
      </x:c>
      <x:c r="I419" s="10" t="str">
        <x:v>receiver inventories</x:v>
      </x:c>
      <x:c r="J419" s="10" t="str">
        <x:v>before, peak and after volume measurements</x:v>
      </x:c>
      <x:c r="K419" s="7" t="str"/>
      <x:c r="L419" s="7" t="str">
        <x:v>OPEN</x:v>
      </x:c>
    </x:row>
    <x:row r="420" ht="40" customHeight="1">
      <x:c r="B420" s="7" t="str">
        <x:v>RAE-E-35-EV-06</x:v>
      </x:c>
      <x:c r="C420" s="7" t="str">
        <x:v>RAE-E-35</x:v>
      </x:c>
      <x:c r="D420" s="7" t="str">
        <x:v>RFP-C1</x:v>
      </x:c>
      <x:c r="E420" s="7" t="str">
        <x:v>AM-05</x:v>
      </x:c>
      <x:c r="F420" s="7" t="str">
        <x:v>TR-B</x:v>
      </x:c>
      <x:c r="G420" s="7" t="str">
        <x:v>QE-01</x:v>
      </x:c>
      <x:c r="H420" s="7" t="str">
        <x:v>EV-06</x:v>
      </x:c>
      <x:c r="I420" s="10" t="str">
        <x:v>thermal field</x:v>
      </x:c>
      <x:c r="J420" s="10" t="str">
        <x:v>radiometry, heat flux and local weather</x:v>
      </x:c>
      <x:c r="K420" s="7" t="str"/>
      <x:c r="L420" s="7" t="str">
        <x:v>OPEN</x:v>
      </x:c>
    </x:row>
    <x:row r="421" ht="40" customHeight="1">
      <x:c r="B421" s="7" t="str">
        <x:v>RAE-E-35-EV-07</x:v>
      </x:c>
      <x:c r="C421" s="7" t="str">
        <x:v>RAE-E-35</x:v>
      </x:c>
      <x:c r="D421" s="7" t="str">
        <x:v>RFP-C1</x:v>
      </x:c>
      <x:c r="E421" s="7" t="str">
        <x:v>AM-05</x:v>
      </x:c>
      <x:c r="F421" s="7" t="str">
        <x:v>TR-B</x:v>
      </x:c>
      <x:c r="G421" s="7" t="str">
        <x:v>QE-01</x:v>
      </x:c>
      <x:c r="H421" s="7" t="str">
        <x:v>EV-07</x:v>
      </x:c>
      <x:c r="I421" s="10" t="str">
        <x:v>water state</x:v>
      </x:c>
      <x:c r="J421" s="10" t="str">
        <x:v>flow, rain, quench, foam and rinse separation</x:v>
      </x:c>
      <x:c r="K421" s="7" t="str"/>
      <x:c r="L421" s="7" t="str">
        <x:v>OPEN</x:v>
      </x:c>
    </x:row>
    <x:row r="422" ht="40" customHeight="1">
      <x:c r="B422" s="7" t="str">
        <x:v>RAE-E-35-EV-08</x:v>
      </x:c>
      <x:c r="C422" s="7" t="str">
        <x:v>RAE-E-35</x:v>
      </x:c>
      <x:c r="D422" s="7" t="str">
        <x:v>RFP-C1</x:v>
      </x:c>
      <x:c r="E422" s="7" t="str">
        <x:v>AM-05</x:v>
      </x:c>
      <x:c r="F422" s="7" t="str">
        <x:v>TR-B</x:v>
      </x:c>
      <x:c r="G422" s="7" t="str">
        <x:v>QE-01</x:v>
      </x:c>
      <x:c r="H422" s="7" t="str">
        <x:v>EV-08</x:v>
      </x:c>
      <x:c r="I422" s="10" t="str">
        <x:v>ancestry</x:v>
      </x:c>
      <x:c r="J422" s="10" t="str">
        <x:v>source and water root recovery plus cross-talk</x:v>
      </x:c>
      <x:c r="K422" s="7" t="str"/>
      <x:c r="L422" s="7" t="str">
        <x:v>OPEN</x:v>
      </x:c>
    </x:row>
    <x:row r="423" ht="40" customHeight="1">
      <x:c r="B423" s="7" t="str">
        <x:v>RAE-E-35-EV-09</x:v>
      </x:c>
      <x:c r="C423" s="7" t="str">
        <x:v>RAE-E-35</x:v>
      </x:c>
      <x:c r="D423" s="7" t="str">
        <x:v>RFP-C1</x:v>
      </x:c>
      <x:c r="E423" s="7" t="str">
        <x:v>AM-05</x:v>
      </x:c>
      <x:c r="F423" s="7" t="str">
        <x:v>TR-B</x:v>
      </x:c>
      <x:c r="G423" s="7" t="str">
        <x:v>QE-01</x:v>
      </x:c>
      <x:c r="H423" s="7" t="str">
        <x:v>EV-09</x:v>
      </x:c>
      <x:c r="I423" s="10" t="str">
        <x:v>environmental boundary</x:v>
      </x:c>
      <x:c r="J423" s="10" t="str">
        <x:v>background and post-event sample set</x:v>
      </x:c>
      <x:c r="K423" s="7" t="str"/>
      <x:c r="L423" s="7" t="str">
        <x:v>OPEN</x:v>
      </x:c>
    </x:row>
    <x:row r="424" ht="40" customHeight="1">
      <x:c r="B424" s="7" t="str">
        <x:v>RAE-E-35-EV-10</x:v>
      </x:c>
      <x:c r="C424" s="7" t="str">
        <x:v>RAE-E-35</x:v>
      </x:c>
      <x:c r="D424" s="7" t="str">
        <x:v>RFP-C1</x:v>
      </x:c>
      <x:c r="E424" s="7" t="str">
        <x:v>AM-05</x:v>
      </x:c>
      <x:c r="F424" s="7" t="str">
        <x:v>TR-B</x:v>
      </x:c>
      <x:c r="G424" s="7" t="str">
        <x:v>QE-01</x:v>
      </x:c>
      <x:c r="H424" s="7" t="str">
        <x:v>EV-10</x:v>
      </x:c>
      <x:c r="I424" s="10" t="str">
        <x:v>neighbor state</x:v>
      </x:c>
      <x:c r="J424" s="10" t="str">
        <x:v>three independent inert-state records</x:v>
      </x:c>
      <x:c r="K424" s="7" t="str"/>
      <x:c r="L424" s="7" t="str">
        <x:v>OPEN</x:v>
      </x:c>
    </x:row>
    <x:row r="425" ht="40" customHeight="1">
      <x:c r="B425" s="7" t="str">
        <x:v>RAE-E-35-EV-11</x:v>
      </x:c>
      <x:c r="C425" s="7" t="str">
        <x:v>RAE-E-35</x:v>
      </x:c>
      <x:c r="D425" s="7" t="str">
        <x:v>RFP-C1</x:v>
      </x:c>
      <x:c r="E425" s="7" t="str">
        <x:v>AM-05</x:v>
      </x:c>
      <x:c r="F425" s="7" t="str">
        <x:v>TR-B</x:v>
      </x:c>
      <x:c r="G425" s="7" t="str">
        <x:v>QE-01</x:v>
      </x:c>
      <x:c r="H425" s="7" t="str">
        <x:v>EV-11</x:v>
      </x:c>
      <x:c r="I425" s="10" t="str">
        <x:v>intervention state</x:v>
      </x:c>
      <x:c r="J425" s="10" t="str">
        <x:v>human, automatic and rescue actions</x:v>
      </x:c>
      <x:c r="K425" s="7" t="str"/>
      <x:c r="L425" s="7" t="str">
        <x:v>OPEN</x:v>
      </x:c>
    </x:row>
    <x:row r="426" ht="40" customHeight="1">
      <x:c r="B426" s="7" t="str">
        <x:v>RAE-E-35-EV-12</x:v>
      </x:c>
      <x:c r="C426" s="7" t="str">
        <x:v>RAE-E-35</x:v>
      </x:c>
      <x:c r="D426" s="7" t="str">
        <x:v>RFP-C1</x:v>
      </x:c>
      <x:c r="E426" s="7" t="str">
        <x:v>AM-05</x:v>
      </x:c>
      <x:c r="F426" s="7" t="str">
        <x:v>TR-B</x:v>
      </x:c>
      <x:c r="G426" s="7" t="str">
        <x:v>QE-01</x:v>
      </x:c>
      <x:c r="H426" s="7" t="str">
        <x:v>EV-12</x:v>
      </x:c>
      <x:c r="I426" s="10" t="str">
        <x:v>validity packet</x:v>
      </x:c>
      <x:c r="J426" s="10" t="str">
        <x:v>native hashes, causal map and board disposition</x:v>
      </x:c>
      <x:c r="K426" s="7" t="str"/>
      <x:c r="L426" s="7" t="str">
        <x:v>OPEN</x:v>
      </x:c>
    </x:row>
    <x:row r="427" ht="40" customHeight="1">
      <x:c r="B427" s="7" t="str">
        <x:v>RAE-E-36-EV-01</x:v>
      </x:c>
      <x:c r="C427" s="7" t="str">
        <x:v>RAE-E-36</x:v>
      </x:c>
      <x:c r="D427" s="7" t="str">
        <x:v>RFP-C1</x:v>
      </x:c>
      <x:c r="E427" s="7" t="str">
        <x:v>AM-05</x:v>
      </x:c>
      <x:c r="F427" s="7" t="str">
        <x:v>TR-B</x:v>
      </x:c>
      <x:c r="G427" s="7" t="str">
        <x:v>QE-02</x:v>
      </x:c>
      <x:c r="H427" s="7" t="str">
        <x:v>EV-01</x:v>
      </x:c>
      <x:c r="I427" s="10" t="str">
        <x:v>registered event baseline</x:v>
      </x:c>
      <x:c r="J427" s="10" t="str">
        <x:v>configuration master plus event register</x:v>
      </x:c>
      <x:c r="K427" s="7" t="str"/>
      <x:c r="L427" s="7" t="str">
        <x:v>OPEN</x:v>
      </x:c>
    </x:row>
    <x:row r="428" ht="40" customHeight="1">
      <x:c r="B428" s="7" t="str">
        <x:v>RAE-E-36-EV-02</x:v>
      </x:c>
      <x:c r="C428" s="7" t="str">
        <x:v>RAE-E-36</x:v>
      </x:c>
      <x:c r="D428" s="7" t="str">
        <x:v>RFP-C1</x:v>
      </x:c>
      <x:c r="E428" s="7" t="str">
        <x:v>AM-05</x:v>
      </x:c>
      <x:c r="F428" s="7" t="str">
        <x:v>TR-B</x:v>
      </x:c>
      <x:c r="G428" s="7" t="str">
        <x:v>QE-02</x:v>
      </x:c>
      <x:c r="H428" s="7" t="str">
        <x:v>EV-02</x:v>
      </x:c>
      <x:c r="I428" s="10" t="str">
        <x:v>source command and mass</x:v>
      </x:c>
      <x:c r="J428" s="10" t="str">
        <x:v>native command, load cells and custody ledger</x:v>
      </x:c>
      <x:c r="K428" s="7" t="str"/>
      <x:c r="L428" s="7" t="str">
        <x:v>OPEN</x:v>
      </x:c>
    </x:row>
    <x:row r="429" ht="40" customHeight="1">
      <x:c r="B429" s="7" t="str">
        <x:v>RAE-E-36-EV-03</x:v>
      </x:c>
      <x:c r="C429" s="7" t="str">
        <x:v>RAE-E-36</x:v>
      </x:c>
      <x:c r="D429" s="7" t="str">
        <x:v>RFP-C1</x:v>
      </x:c>
      <x:c r="E429" s="7" t="str">
        <x:v>AM-05</x:v>
      </x:c>
      <x:c r="F429" s="7" t="str">
        <x:v>TR-B</x:v>
      </x:c>
      <x:c r="G429" s="7" t="str">
        <x:v>QE-02</x:v>
      </x:c>
      <x:c r="H429" s="7" t="str">
        <x:v>EV-03</x:v>
      </x:c>
      <x:c r="I429" s="10" t="str">
        <x:v>final control states</x:v>
      </x:c>
      <x:c r="J429" s="10" t="str">
        <x:v>direct element sensors plus local latch</x:v>
      </x:c>
      <x:c r="K429" s="7" t="str"/>
      <x:c r="L429" s="7" t="str">
        <x:v>OPEN</x:v>
      </x:c>
    </x:row>
    <x:row r="430" ht="40" customHeight="1">
      <x:c r="B430" s="7" t="str">
        <x:v>RAE-E-36-EV-04</x:v>
      </x:c>
      <x:c r="C430" s="7" t="str">
        <x:v>RAE-E-36</x:v>
      </x:c>
      <x:c r="D430" s="7" t="str">
        <x:v>RFP-C1</x:v>
      </x:c>
      <x:c r="E430" s="7" t="str">
        <x:v>AM-05</x:v>
      </x:c>
      <x:c r="F430" s="7" t="str">
        <x:v>TR-B</x:v>
      </x:c>
      <x:c r="G430" s="7" t="str">
        <x:v>QE-02</x:v>
      </x:c>
      <x:c r="H430" s="7" t="str">
        <x:v>EV-04</x:v>
      </x:c>
      <x:c r="I430" s="10" t="str">
        <x:v>path action times</x:v>
      </x:c>
      <x:c r="J430" s="10" t="str">
        <x:v>common-epoch trigger and state transitions</x:v>
      </x:c>
      <x:c r="K430" s="7" t="str"/>
      <x:c r="L430" s="7" t="str">
        <x:v>OPEN</x:v>
      </x:c>
    </x:row>
    <x:row r="431" ht="40" customHeight="1">
      <x:c r="B431" s="7" t="str">
        <x:v>RAE-E-36-EV-05</x:v>
      </x:c>
      <x:c r="C431" s="7" t="str">
        <x:v>RAE-E-36</x:v>
      </x:c>
      <x:c r="D431" s="7" t="str">
        <x:v>RFP-C1</x:v>
      </x:c>
      <x:c r="E431" s="7" t="str">
        <x:v>AM-05</x:v>
      </x:c>
      <x:c r="F431" s="7" t="str">
        <x:v>TR-B</x:v>
      </x:c>
      <x:c r="G431" s="7" t="str">
        <x:v>QE-02</x:v>
      </x:c>
      <x:c r="H431" s="7" t="str">
        <x:v>EV-05</x:v>
      </x:c>
      <x:c r="I431" s="10" t="str">
        <x:v>receiver inventories</x:v>
      </x:c>
      <x:c r="J431" s="10" t="str">
        <x:v>before, peak and after volume measurements</x:v>
      </x:c>
      <x:c r="K431" s="7" t="str"/>
      <x:c r="L431" s="7" t="str">
        <x:v>OPEN</x:v>
      </x:c>
    </x:row>
    <x:row r="432" ht="40" customHeight="1">
      <x:c r="B432" s="7" t="str">
        <x:v>RAE-E-36-EV-06</x:v>
      </x:c>
      <x:c r="C432" s="7" t="str">
        <x:v>RAE-E-36</x:v>
      </x:c>
      <x:c r="D432" s="7" t="str">
        <x:v>RFP-C1</x:v>
      </x:c>
      <x:c r="E432" s="7" t="str">
        <x:v>AM-05</x:v>
      </x:c>
      <x:c r="F432" s="7" t="str">
        <x:v>TR-B</x:v>
      </x:c>
      <x:c r="G432" s="7" t="str">
        <x:v>QE-02</x:v>
      </x:c>
      <x:c r="H432" s="7" t="str">
        <x:v>EV-06</x:v>
      </x:c>
      <x:c r="I432" s="10" t="str">
        <x:v>thermal field</x:v>
      </x:c>
      <x:c r="J432" s="10" t="str">
        <x:v>radiometry, heat flux and local weather</x:v>
      </x:c>
      <x:c r="K432" s="7" t="str"/>
      <x:c r="L432" s="7" t="str">
        <x:v>OPEN</x:v>
      </x:c>
    </x:row>
    <x:row r="433" ht="40" customHeight="1">
      <x:c r="B433" s="7" t="str">
        <x:v>RAE-E-36-EV-07</x:v>
      </x:c>
      <x:c r="C433" s="7" t="str">
        <x:v>RAE-E-36</x:v>
      </x:c>
      <x:c r="D433" s="7" t="str">
        <x:v>RFP-C1</x:v>
      </x:c>
      <x:c r="E433" s="7" t="str">
        <x:v>AM-05</x:v>
      </x:c>
      <x:c r="F433" s="7" t="str">
        <x:v>TR-B</x:v>
      </x:c>
      <x:c r="G433" s="7" t="str">
        <x:v>QE-02</x:v>
      </x:c>
      <x:c r="H433" s="7" t="str">
        <x:v>EV-07</x:v>
      </x:c>
      <x:c r="I433" s="10" t="str">
        <x:v>water state</x:v>
      </x:c>
      <x:c r="J433" s="10" t="str">
        <x:v>flow, rain, quench, foam and rinse separation</x:v>
      </x:c>
      <x:c r="K433" s="7" t="str"/>
      <x:c r="L433" s="7" t="str">
        <x:v>OPEN</x:v>
      </x:c>
    </x:row>
    <x:row r="434" ht="40" customHeight="1">
      <x:c r="B434" s="7" t="str">
        <x:v>RAE-E-36-EV-08</x:v>
      </x:c>
      <x:c r="C434" s="7" t="str">
        <x:v>RAE-E-36</x:v>
      </x:c>
      <x:c r="D434" s="7" t="str">
        <x:v>RFP-C1</x:v>
      </x:c>
      <x:c r="E434" s="7" t="str">
        <x:v>AM-05</x:v>
      </x:c>
      <x:c r="F434" s="7" t="str">
        <x:v>TR-B</x:v>
      </x:c>
      <x:c r="G434" s="7" t="str">
        <x:v>QE-02</x:v>
      </x:c>
      <x:c r="H434" s="7" t="str">
        <x:v>EV-08</x:v>
      </x:c>
      <x:c r="I434" s="10" t="str">
        <x:v>ancestry</x:v>
      </x:c>
      <x:c r="J434" s="10" t="str">
        <x:v>source and water root recovery plus cross-talk</x:v>
      </x:c>
      <x:c r="K434" s="7" t="str"/>
      <x:c r="L434" s="7" t="str">
        <x:v>OPEN</x:v>
      </x:c>
    </x:row>
    <x:row r="435" ht="40" customHeight="1">
      <x:c r="B435" s="7" t="str">
        <x:v>RAE-E-36-EV-09</x:v>
      </x:c>
      <x:c r="C435" s="7" t="str">
        <x:v>RAE-E-36</x:v>
      </x:c>
      <x:c r="D435" s="7" t="str">
        <x:v>RFP-C1</x:v>
      </x:c>
      <x:c r="E435" s="7" t="str">
        <x:v>AM-05</x:v>
      </x:c>
      <x:c r="F435" s="7" t="str">
        <x:v>TR-B</x:v>
      </x:c>
      <x:c r="G435" s="7" t="str">
        <x:v>QE-02</x:v>
      </x:c>
      <x:c r="H435" s="7" t="str">
        <x:v>EV-09</x:v>
      </x:c>
      <x:c r="I435" s="10" t="str">
        <x:v>environmental boundary</x:v>
      </x:c>
      <x:c r="J435" s="10" t="str">
        <x:v>background and post-event sample set</x:v>
      </x:c>
      <x:c r="K435" s="7" t="str"/>
      <x:c r="L435" s="7" t="str">
        <x:v>OPEN</x:v>
      </x:c>
    </x:row>
    <x:row r="436" ht="40" customHeight="1">
      <x:c r="B436" s="7" t="str">
        <x:v>RAE-E-36-EV-10</x:v>
      </x:c>
      <x:c r="C436" s="7" t="str">
        <x:v>RAE-E-36</x:v>
      </x:c>
      <x:c r="D436" s="7" t="str">
        <x:v>RFP-C1</x:v>
      </x:c>
      <x:c r="E436" s="7" t="str">
        <x:v>AM-05</x:v>
      </x:c>
      <x:c r="F436" s="7" t="str">
        <x:v>TR-B</x:v>
      </x:c>
      <x:c r="G436" s="7" t="str">
        <x:v>QE-02</x:v>
      </x:c>
      <x:c r="H436" s="7" t="str">
        <x:v>EV-10</x:v>
      </x:c>
      <x:c r="I436" s="10" t="str">
        <x:v>neighbor state</x:v>
      </x:c>
      <x:c r="J436" s="10" t="str">
        <x:v>three independent inert-state records</x:v>
      </x:c>
      <x:c r="K436" s="7" t="str"/>
      <x:c r="L436" s="7" t="str">
        <x:v>OPEN</x:v>
      </x:c>
    </x:row>
    <x:row r="437" ht="40" customHeight="1">
      <x:c r="B437" s="7" t="str">
        <x:v>RAE-E-36-EV-11</x:v>
      </x:c>
      <x:c r="C437" s="7" t="str">
        <x:v>RAE-E-36</x:v>
      </x:c>
      <x:c r="D437" s="7" t="str">
        <x:v>RFP-C1</x:v>
      </x:c>
      <x:c r="E437" s="7" t="str">
        <x:v>AM-05</x:v>
      </x:c>
      <x:c r="F437" s="7" t="str">
        <x:v>TR-B</x:v>
      </x:c>
      <x:c r="G437" s="7" t="str">
        <x:v>QE-02</x:v>
      </x:c>
      <x:c r="H437" s="7" t="str">
        <x:v>EV-11</x:v>
      </x:c>
      <x:c r="I437" s="10" t="str">
        <x:v>intervention state</x:v>
      </x:c>
      <x:c r="J437" s="10" t="str">
        <x:v>human, automatic and rescue actions</x:v>
      </x:c>
      <x:c r="K437" s="7" t="str"/>
      <x:c r="L437" s="7" t="str">
        <x:v>OPEN</x:v>
      </x:c>
    </x:row>
    <x:row r="438" ht="40" customHeight="1">
      <x:c r="B438" s="7" t="str">
        <x:v>RAE-E-36-EV-12</x:v>
      </x:c>
      <x:c r="C438" s="7" t="str">
        <x:v>RAE-E-36</x:v>
      </x:c>
      <x:c r="D438" s="7" t="str">
        <x:v>RFP-C1</x:v>
      </x:c>
      <x:c r="E438" s="7" t="str">
        <x:v>AM-05</x:v>
      </x:c>
      <x:c r="F438" s="7" t="str">
        <x:v>TR-B</x:v>
      </x:c>
      <x:c r="G438" s="7" t="str">
        <x:v>QE-02</x:v>
      </x:c>
      <x:c r="H438" s="7" t="str">
        <x:v>EV-12</x:v>
      </x:c>
      <x:c r="I438" s="10" t="str">
        <x:v>validity packet</x:v>
      </x:c>
      <x:c r="J438" s="10" t="str">
        <x:v>native hashes, causal map and board disposition</x:v>
      </x:c>
      <x:c r="K438" s="7" t="str"/>
      <x:c r="L438" s="7" t="str">
        <x:v>OPEN</x:v>
      </x:c>
    </x:row>
    <x:row r="439" ht="40" customHeight="1">
      <x:c r="B439" s="7" t="str">
        <x:v>RAE-E-37-EV-01</x:v>
      </x:c>
      <x:c r="C439" s="7" t="str">
        <x:v>RAE-E-37</x:v>
      </x:c>
      <x:c r="D439" s="7" t="str">
        <x:v>RFP-C1</x:v>
      </x:c>
      <x:c r="E439" s="7" t="str">
        <x:v>AM-06</x:v>
      </x:c>
      <x:c r="F439" s="7" t="str">
        <x:v>TR-A</x:v>
      </x:c>
      <x:c r="G439" s="7" t="str">
        <x:v>QE-01</x:v>
      </x:c>
      <x:c r="H439" s="7" t="str">
        <x:v>EV-01</x:v>
      </x:c>
      <x:c r="I439" s="10" t="str">
        <x:v>registered event baseline</x:v>
      </x:c>
      <x:c r="J439" s="10" t="str">
        <x:v>configuration master plus event register</x:v>
      </x:c>
      <x:c r="K439" s="7" t="str"/>
      <x:c r="L439" s="7" t="str">
        <x:v>OPEN</x:v>
      </x:c>
    </x:row>
    <x:row r="440" ht="40" customHeight="1">
      <x:c r="B440" s="7" t="str">
        <x:v>RAE-E-37-EV-02</x:v>
      </x:c>
      <x:c r="C440" s="7" t="str">
        <x:v>RAE-E-37</x:v>
      </x:c>
      <x:c r="D440" s="7" t="str">
        <x:v>RFP-C1</x:v>
      </x:c>
      <x:c r="E440" s="7" t="str">
        <x:v>AM-06</x:v>
      </x:c>
      <x:c r="F440" s="7" t="str">
        <x:v>TR-A</x:v>
      </x:c>
      <x:c r="G440" s="7" t="str">
        <x:v>QE-01</x:v>
      </x:c>
      <x:c r="H440" s="7" t="str">
        <x:v>EV-02</x:v>
      </x:c>
      <x:c r="I440" s="10" t="str">
        <x:v>source command and mass</x:v>
      </x:c>
      <x:c r="J440" s="10" t="str">
        <x:v>native command, load cells and custody ledger</x:v>
      </x:c>
      <x:c r="K440" s="7" t="str"/>
      <x:c r="L440" s="7" t="str">
        <x:v>OPEN</x:v>
      </x:c>
    </x:row>
    <x:row r="441" ht="40" customHeight="1">
      <x:c r="B441" s="7" t="str">
        <x:v>RAE-E-37-EV-03</x:v>
      </x:c>
      <x:c r="C441" s="7" t="str">
        <x:v>RAE-E-37</x:v>
      </x:c>
      <x:c r="D441" s="7" t="str">
        <x:v>RFP-C1</x:v>
      </x:c>
      <x:c r="E441" s="7" t="str">
        <x:v>AM-06</x:v>
      </x:c>
      <x:c r="F441" s="7" t="str">
        <x:v>TR-A</x:v>
      </x:c>
      <x:c r="G441" s="7" t="str">
        <x:v>QE-01</x:v>
      </x:c>
      <x:c r="H441" s="7" t="str">
        <x:v>EV-03</x:v>
      </x:c>
      <x:c r="I441" s="10" t="str">
        <x:v>final control states</x:v>
      </x:c>
      <x:c r="J441" s="10" t="str">
        <x:v>direct element sensors plus local latch</x:v>
      </x:c>
      <x:c r="K441" s="7" t="str"/>
      <x:c r="L441" s="7" t="str">
        <x:v>OPEN</x:v>
      </x:c>
    </x:row>
    <x:row r="442" ht="40" customHeight="1">
      <x:c r="B442" s="7" t="str">
        <x:v>RAE-E-37-EV-04</x:v>
      </x:c>
      <x:c r="C442" s="7" t="str">
        <x:v>RAE-E-37</x:v>
      </x:c>
      <x:c r="D442" s="7" t="str">
        <x:v>RFP-C1</x:v>
      </x:c>
      <x:c r="E442" s="7" t="str">
        <x:v>AM-06</x:v>
      </x:c>
      <x:c r="F442" s="7" t="str">
        <x:v>TR-A</x:v>
      </x:c>
      <x:c r="G442" s="7" t="str">
        <x:v>QE-01</x:v>
      </x:c>
      <x:c r="H442" s="7" t="str">
        <x:v>EV-04</x:v>
      </x:c>
      <x:c r="I442" s="10" t="str">
        <x:v>path action times</x:v>
      </x:c>
      <x:c r="J442" s="10" t="str">
        <x:v>common-epoch trigger and state transitions</x:v>
      </x:c>
      <x:c r="K442" s="7" t="str"/>
      <x:c r="L442" s="7" t="str">
        <x:v>OPEN</x:v>
      </x:c>
    </x:row>
    <x:row r="443" ht="40" customHeight="1">
      <x:c r="B443" s="7" t="str">
        <x:v>RAE-E-37-EV-05</x:v>
      </x:c>
      <x:c r="C443" s="7" t="str">
        <x:v>RAE-E-37</x:v>
      </x:c>
      <x:c r="D443" s="7" t="str">
        <x:v>RFP-C1</x:v>
      </x:c>
      <x:c r="E443" s="7" t="str">
        <x:v>AM-06</x:v>
      </x:c>
      <x:c r="F443" s="7" t="str">
        <x:v>TR-A</x:v>
      </x:c>
      <x:c r="G443" s="7" t="str">
        <x:v>QE-01</x:v>
      </x:c>
      <x:c r="H443" s="7" t="str">
        <x:v>EV-05</x:v>
      </x:c>
      <x:c r="I443" s="10" t="str">
        <x:v>receiver inventories</x:v>
      </x:c>
      <x:c r="J443" s="10" t="str">
        <x:v>before, peak and after volume measurements</x:v>
      </x:c>
      <x:c r="K443" s="7" t="str"/>
      <x:c r="L443" s="7" t="str">
        <x:v>OPEN</x:v>
      </x:c>
    </x:row>
    <x:row r="444" ht="40" customHeight="1">
      <x:c r="B444" s="7" t="str">
        <x:v>RAE-E-37-EV-06</x:v>
      </x:c>
      <x:c r="C444" s="7" t="str">
        <x:v>RAE-E-37</x:v>
      </x:c>
      <x:c r="D444" s="7" t="str">
        <x:v>RFP-C1</x:v>
      </x:c>
      <x:c r="E444" s="7" t="str">
        <x:v>AM-06</x:v>
      </x:c>
      <x:c r="F444" s="7" t="str">
        <x:v>TR-A</x:v>
      </x:c>
      <x:c r="G444" s="7" t="str">
        <x:v>QE-01</x:v>
      </x:c>
      <x:c r="H444" s="7" t="str">
        <x:v>EV-06</x:v>
      </x:c>
      <x:c r="I444" s="10" t="str">
        <x:v>thermal field</x:v>
      </x:c>
      <x:c r="J444" s="10" t="str">
        <x:v>radiometry, heat flux and local weather</x:v>
      </x:c>
      <x:c r="K444" s="7" t="str"/>
      <x:c r="L444" s="7" t="str">
        <x:v>OPEN</x:v>
      </x:c>
    </x:row>
    <x:row r="445" ht="40" customHeight="1">
      <x:c r="B445" s="7" t="str">
        <x:v>RAE-E-37-EV-07</x:v>
      </x:c>
      <x:c r="C445" s="7" t="str">
        <x:v>RAE-E-37</x:v>
      </x:c>
      <x:c r="D445" s="7" t="str">
        <x:v>RFP-C1</x:v>
      </x:c>
      <x:c r="E445" s="7" t="str">
        <x:v>AM-06</x:v>
      </x:c>
      <x:c r="F445" s="7" t="str">
        <x:v>TR-A</x:v>
      </x:c>
      <x:c r="G445" s="7" t="str">
        <x:v>QE-01</x:v>
      </x:c>
      <x:c r="H445" s="7" t="str">
        <x:v>EV-07</x:v>
      </x:c>
      <x:c r="I445" s="10" t="str">
        <x:v>water state</x:v>
      </x:c>
      <x:c r="J445" s="10" t="str">
        <x:v>flow, rain, quench, foam and rinse separation</x:v>
      </x:c>
      <x:c r="K445" s="7" t="str"/>
      <x:c r="L445" s="7" t="str">
        <x:v>OPEN</x:v>
      </x:c>
    </x:row>
    <x:row r="446" ht="40" customHeight="1">
      <x:c r="B446" s="7" t="str">
        <x:v>RAE-E-37-EV-08</x:v>
      </x:c>
      <x:c r="C446" s="7" t="str">
        <x:v>RAE-E-37</x:v>
      </x:c>
      <x:c r="D446" s="7" t="str">
        <x:v>RFP-C1</x:v>
      </x:c>
      <x:c r="E446" s="7" t="str">
        <x:v>AM-06</x:v>
      </x:c>
      <x:c r="F446" s="7" t="str">
        <x:v>TR-A</x:v>
      </x:c>
      <x:c r="G446" s="7" t="str">
        <x:v>QE-01</x:v>
      </x:c>
      <x:c r="H446" s="7" t="str">
        <x:v>EV-08</x:v>
      </x:c>
      <x:c r="I446" s="10" t="str">
        <x:v>ancestry</x:v>
      </x:c>
      <x:c r="J446" s="10" t="str">
        <x:v>source and water root recovery plus cross-talk</x:v>
      </x:c>
      <x:c r="K446" s="7" t="str"/>
      <x:c r="L446" s="7" t="str">
        <x:v>OPEN</x:v>
      </x:c>
    </x:row>
    <x:row r="447" ht="40" customHeight="1">
      <x:c r="B447" s="7" t="str">
        <x:v>RAE-E-37-EV-09</x:v>
      </x:c>
      <x:c r="C447" s="7" t="str">
        <x:v>RAE-E-37</x:v>
      </x:c>
      <x:c r="D447" s="7" t="str">
        <x:v>RFP-C1</x:v>
      </x:c>
      <x:c r="E447" s="7" t="str">
        <x:v>AM-06</x:v>
      </x:c>
      <x:c r="F447" s="7" t="str">
        <x:v>TR-A</x:v>
      </x:c>
      <x:c r="G447" s="7" t="str">
        <x:v>QE-01</x:v>
      </x:c>
      <x:c r="H447" s="7" t="str">
        <x:v>EV-09</x:v>
      </x:c>
      <x:c r="I447" s="10" t="str">
        <x:v>environmental boundary</x:v>
      </x:c>
      <x:c r="J447" s="10" t="str">
        <x:v>background and post-event sample set</x:v>
      </x:c>
      <x:c r="K447" s="7" t="str"/>
      <x:c r="L447" s="7" t="str">
        <x:v>OPEN</x:v>
      </x:c>
    </x:row>
    <x:row r="448" ht="40" customHeight="1">
      <x:c r="B448" s="7" t="str">
        <x:v>RAE-E-37-EV-10</x:v>
      </x:c>
      <x:c r="C448" s="7" t="str">
        <x:v>RAE-E-37</x:v>
      </x:c>
      <x:c r="D448" s="7" t="str">
        <x:v>RFP-C1</x:v>
      </x:c>
      <x:c r="E448" s="7" t="str">
        <x:v>AM-06</x:v>
      </x:c>
      <x:c r="F448" s="7" t="str">
        <x:v>TR-A</x:v>
      </x:c>
      <x:c r="G448" s="7" t="str">
        <x:v>QE-01</x:v>
      </x:c>
      <x:c r="H448" s="7" t="str">
        <x:v>EV-10</x:v>
      </x:c>
      <x:c r="I448" s="10" t="str">
        <x:v>neighbor state</x:v>
      </x:c>
      <x:c r="J448" s="10" t="str">
        <x:v>three independent inert-state records</x:v>
      </x:c>
      <x:c r="K448" s="7" t="str"/>
      <x:c r="L448" s="7" t="str">
        <x:v>OPEN</x:v>
      </x:c>
    </x:row>
    <x:row r="449" ht="40" customHeight="1">
      <x:c r="B449" s="7" t="str">
        <x:v>RAE-E-37-EV-11</x:v>
      </x:c>
      <x:c r="C449" s="7" t="str">
        <x:v>RAE-E-37</x:v>
      </x:c>
      <x:c r="D449" s="7" t="str">
        <x:v>RFP-C1</x:v>
      </x:c>
      <x:c r="E449" s="7" t="str">
        <x:v>AM-06</x:v>
      </x:c>
      <x:c r="F449" s="7" t="str">
        <x:v>TR-A</x:v>
      </x:c>
      <x:c r="G449" s="7" t="str">
        <x:v>QE-01</x:v>
      </x:c>
      <x:c r="H449" s="7" t="str">
        <x:v>EV-11</x:v>
      </x:c>
      <x:c r="I449" s="10" t="str">
        <x:v>intervention state</x:v>
      </x:c>
      <x:c r="J449" s="10" t="str">
        <x:v>human, automatic and rescue actions</x:v>
      </x:c>
      <x:c r="K449" s="7" t="str"/>
      <x:c r="L449" s="7" t="str">
        <x:v>OPEN</x:v>
      </x:c>
    </x:row>
    <x:row r="450" ht="40" customHeight="1">
      <x:c r="B450" s="7" t="str">
        <x:v>RAE-E-37-EV-12</x:v>
      </x:c>
      <x:c r="C450" s="7" t="str">
        <x:v>RAE-E-37</x:v>
      </x:c>
      <x:c r="D450" s="7" t="str">
        <x:v>RFP-C1</x:v>
      </x:c>
      <x:c r="E450" s="7" t="str">
        <x:v>AM-06</x:v>
      </x:c>
      <x:c r="F450" s="7" t="str">
        <x:v>TR-A</x:v>
      </x:c>
      <x:c r="G450" s="7" t="str">
        <x:v>QE-01</x:v>
      </x:c>
      <x:c r="H450" s="7" t="str">
        <x:v>EV-12</x:v>
      </x:c>
      <x:c r="I450" s="10" t="str">
        <x:v>validity packet</x:v>
      </x:c>
      <x:c r="J450" s="10" t="str">
        <x:v>native hashes, causal map and board disposition</x:v>
      </x:c>
      <x:c r="K450" s="7" t="str"/>
      <x:c r="L450" s="7" t="str">
        <x:v>OPEN</x:v>
      </x:c>
    </x:row>
    <x:row r="451" ht="40" customHeight="1">
      <x:c r="B451" s="7" t="str">
        <x:v>RAE-E-38-EV-01</x:v>
      </x:c>
      <x:c r="C451" s="7" t="str">
        <x:v>RAE-E-38</x:v>
      </x:c>
      <x:c r="D451" s="7" t="str">
        <x:v>RFP-C1</x:v>
      </x:c>
      <x:c r="E451" s="7" t="str">
        <x:v>AM-06</x:v>
      </x:c>
      <x:c r="F451" s="7" t="str">
        <x:v>TR-A</x:v>
      </x:c>
      <x:c r="G451" s="7" t="str">
        <x:v>QE-02</x:v>
      </x:c>
      <x:c r="H451" s="7" t="str">
        <x:v>EV-01</x:v>
      </x:c>
      <x:c r="I451" s="10" t="str">
        <x:v>registered event baseline</x:v>
      </x:c>
      <x:c r="J451" s="10" t="str">
        <x:v>configuration master plus event register</x:v>
      </x:c>
      <x:c r="K451" s="7" t="str"/>
      <x:c r="L451" s="7" t="str">
        <x:v>OPEN</x:v>
      </x:c>
    </x:row>
    <x:row r="452" ht="40" customHeight="1">
      <x:c r="B452" s="7" t="str">
        <x:v>RAE-E-38-EV-02</x:v>
      </x:c>
      <x:c r="C452" s="7" t="str">
        <x:v>RAE-E-38</x:v>
      </x:c>
      <x:c r="D452" s="7" t="str">
        <x:v>RFP-C1</x:v>
      </x:c>
      <x:c r="E452" s="7" t="str">
        <x:v>AM-06</x:v>
      </x:c>
      <x:c r="F452" s="7" t="str">
        <x:v>TR-A</x:v>
      </x:c>
      <x:c r="G452" s="7" t="str">
        <x:v>QE-02</x:v>
      </x:c>
      <x:c r="H452" s="7" t="str">
        <x:v>EV-02</x:v>
      </x:c>
      <x:c r="I452" s="10" t="str">
        <x:v>source command and mass</x:v>
      </x:c>
      <x:c r="J452" s="10" t="str">
        <x:v>native command, load cells and custody ledger</x:v>
      </x:c>
      <x:c r="K452" s="7" t="str"/>
      <x:c r="L452" s="7" t="str">
        <x:v>OPEN</x:v>
      </x:c>
    </x:row>
    <x:row r="453" ht="40" customHeight="1">
      <x:c r="B453" s="7" t="str">
        <x:v>RAE-E-38-EV-03</x:v>
      </x:c>
      <x:c r="C453" s="7" t="str">
        <x:v>RAE-E-38</x:v>
      </x:c>
      <x:c r="D453" s="7" t="str">
        <x:v>RFP-C1</x:v>
      </x:c>
      <x:c r="E453" s="7" t="str">
        <x:v>AM-06</x:v>
      </x:c>
      <x:c r="F453" s="7" t="str">
        <x:v>TR-A</x:v>
      </x:c>
      <x:c r="G453" s="7" t="str">
        <x:v>QE-02</x:v>
      </x:c>
      <x:c r="H453" s="7" t="str">
        <x:v>EV-03</x:v>
      </x:c>
      <x:c r="I453" s="10" t="str">
        <x:v>final control states</x:v>
      </x:c>
      <x:c r="J453" s="10" t="str">
        <x:v>direct element sensors plus local latch</x:v>
      </x:c>
      <x:c r="K453" s="7" t="str"/>
      <x:c r="L453" s="7" t="str">
        <x:v>OPEN</x:v>
      </x:c>
    </x:row>
    <x:row r="454" ht="40" customHeight="1">
      <x:c r="B454" s="7" t="str">
        <x:v>RAE-E-38-EV-04</x:v>
      </x:c>
      <x:c r="C454" s="7" t="str">
        <x:v>RAE-E-38</x:v>
      </x:c>
      <x:c r="D454" s="7" t="str">
        <x:v>RFP-C1</x:v>
      </x:c>
      <x:c r="E454" s="7" t="str">
        <x:v>AM-06</x:v>
      </x:c>
      <x:c r="F454" s="7" t="str">
        <x:v>TR-A</x:v>
      </x:c>
      <x:c r="G454" s="7" t="str">
        <x:v>QE-02</x:v>
      </x:c>
      <x:c r="H454" s="7" t="str">
        <x:v>EV-04</x:v>
      </x:c>
      <x:c r="I454" s="10" t="str">
        <x:v>path action times</x:v>
      </x:c>
      <x:c r="J454" s="10" t="str">
        <x:v>common-epoch trigger and state transitions</x:v>
      </x:c>
      <x:c r="K454" s="7" t="str"/>
      <x:c r="L454" s="7" t="str">
        <x:v>OPEN</x:v>
      </x:c>
    </x:row>
    <x:row r="455" ht="40" customHeight="1">
      <x:c r="B455" s="7" t="str">
        <x:v>RAE-E-38-EV-05</x:v>
      </x:c>
      <x:c r="C455" s="7" t="str">
        <x:v>RAE-E-38</x:v>
      </x:c>
      <x:c r="D455" s="7" t="str">
        <x:v>RFP-C1</x:v>
      </x:c>
      <x:c r="E455" s="7" t="str">
        <x:v>AM-06</x:v>
      </x:c>
      <x:c r="F455" s="7" t="str">
        <x:v>TR-A</x:v>
      </x:c>
      <x:c r="G455" s="7" t="str">
        <x:v>QE-02</x:v>
      </x:c>
      <x:c r="H455" s="7" t="str">
        <x:v>EV-05</x:v>
      </x:c>
      <x:c r="I455" s="10" t="str">
        <x:v>receiver inventories</x:v>
      </x:c>
      <x:c r="J455" s="10" t="str">
        <x:v>before, peak and after volume measurements</x:v>
      </x:c>
      <x:c r="K455" s="7" t="str"/>
      <x:c r="L455" s="7" t="str">
        <x:v>OPEN</x:v>
      </x:c>
    </x:row>
    <x:row r="456" ht="40" customHeight="1">
      <x:c r="B456" s="7" t="str">
        <x:v>RAE-E-38-EV-06</x:v>
      </x:c>
      <x:c r="C456" s="7" t="str">
        <x:v>RAE-E-38</x:v>
      </x:c>
      <x:c r="D456" s="7" t="str">
        <x:v>RFP-C1</x:v>
      </x:c>
      <x:c r="E456" s="7" t="str">
        <x:v>AM-06</x:v>
      </x:c>
      <x:c r="F456" s="7" t="str">
        <x:v>TR-A</x:v>
      </x:c>
      <x:c r="G456" s="7" t="str">
        <x:v>QE-02</x:v>
      </x:c>
      <x:c r="H456" s="7" t="str">
        <x:v>EV-06</x:v>
      </x:c>
      <x:c r="I456" s="10" t="str">
        <x:v>thermal field</x:v>
      </x:c>
      <x:c r="J456" s="10" t="str">
        <x:v>radiometry, heat flux and local weather</x:v>
      </x:c>
      <x:c r="K456" s="7" t="str"/>
      <x:c r="L456" s="7" t="str">
        <x:v>OPEN</x:v>
      </x:c>
    </x:row>
    <x:row r="457" ht="40" customHeight="1">
      <x:c r="B457" s="7" t="str">
        <x:v>RAE-E-38-EV-07</x:v>
      </x:c>
      <x:c r="C457" s="7" t="str">
        <x:v>RAE-E-38</x:v>
      </x:c>
      <x:c r="D457" s="7" t="str">
        <x:v>RFP-C1</x:v>
      </x:c>
      <x:c r="E457" s="7" t="str">
        <x:v>AM-06</x:v>
      </x:c>
      <x:c r="F457" s="7" t="str">
        <x:v>TR-A</x:v>
      </x:c>
      <x:c r="G457" s="7" t="str">
        <x:v>QE-02</x:v>
      </x:c>
      <x:c r="H457" s="7" t="str">
        <x:v>EV-07</x:v>
      </x:c>
      <x:c r="I457" s="10" t="str">
        <x:v>water state</x:v>
      </x:c>
      <x:c r="J457" s="10" t="str">
        <x:v>flow, rain, quench, foam and rinse separation</x:v>
      </x:c>
      <x:c r="K457" s="7" t="str"/>
      <x:c r="L457" s="7" t="str">
        <x:v>OPEN</x:v>
      </x:c>
    </x:row>
    <x:row r="458" ht="40" customHeight="1">
      <x:c r="B458" s="7" t="str">
        <x:v>RAE-E-38-EV-08</x:v>
      </x:c>
      <x:c r="C458" s="7" t="str">
        <x:v>RAE-E-38</x:v>
      </x:c>
      <x:c r="D458" s="7" t="str">
        <x:v>RFP-C1</x:v>
      </x:c>
      <x:c r="E458" s="7" t="str">
        <x:v>AM-06</x:v>
      </x:c>
      <x:c r="F458" s="7" t="str">
        <x:v>TR-A</x:v>
      </x:c>
      <x:c r="G458" s="7" t="str">
        <x:v>QE-02</x:v>
      </x:c>
      <x:c r="H458" s="7" t="str">
        <x:v>EV-08</x:v>
      </x:c>
      <x:c r="I458" s="10" t="str">
        <x:v>ancestry</x:v>
      </x:c>
      <x:c r="J458" s="10" t="str">
        <x:v>source and water root recovery plus cross-talk</x:v>
      </x:c>
      <x:c r="K458" s="7" t="str"/>
      <x:c r="L458" s="7" t="str">
        <x:v>OPEN</x:v>
      </x:c>
    </x:row>
    <x:row r="459" ht="40" customHeight="1">
      <x:c r="B459" s="7" t="str">
        <x:v>RAE-E-38-EV-09</x:v>
      </x:c>
      <x:c r="C459" s="7" t="str">
        <x:v>RAE-E-38</x:v>
      </x:c>
      <x:c r="D459" s="7" t="str">
        <x:v>RFP-C1</x:v>
      </x:c>
      <x:c r="E459" s="7" t="str">
        <x:v>AM-06</x:v>
      </x:c>
      <x:c r="F459" s="7" t="str">
        <x:v>TR-A</x:v>
      </x:c>
      <x:c r="G459" s="7" t="str">
        <x:v>QE-02</x:v>
      </x:c>
      <x:c r="H459" s="7" t="str">
        <x:v>EV-09</x:v>
      </x:c>
      <x:c r="I459" s="10" t="str">
        <x:v>environmental boundary</x:v>
      </x:c>
      <x:c r="J459" s="10" t="str">
        <x:v>background and post-event sample set</x:v>
      </x:c>
      <x:c r="K459" s="7" t="str"/>
      <x:c r="L459" s="7" t="str">
        <x:v>OPEN</x:v>
      </x:c>
    </x:row>
    <x:row r="460" ht="40" customHeight="1">
      <x:c r="B460" s="7" t="str">
        <x:v>RAE-E-38-EV-10</x:v>
      </x:c>
      <x:c r="C460" s="7" t="str">
        <x:v>RAE-E-38</x:v>
      </x:c>
      <x:c r="D460" s="7" t="str">
        <x:v>RFP-C1</x:v>
      </x:c>
      <x:c r="E460" s="7" t="str">
        <x:v>AM-06</x:v>
      </x:c>
      <x:c r="F460" s="7" t="str">
        <x:v>TR-A</x:v>
      </x:c>
      <x:c r="G460" s="7" t="str">
        <x:v>QE-02</x:v>
      </x:c>
      <x:c r="H460" s="7" t="str">
        <x:v>EV-10</x:v>
      </x:c>
      <x:c r="I460" s="10" t="str">
        <x:v>neighbor state</x:v>
      </x:c>
      <x:c r="J460" s="10" t="str">
        <x:v>three independent inert-state records</x:v>
      </x:c>
      <x:c r="K460" s="7" t="str"/>
      <x:c r="L460" s="7" t="str">
        <x:v>OPEN</x:v>
      </x:c>
    </x:row>
    <x:row r="461" ht="40" customHeight="1">
      <x:c r="B461" s="7" t="str">
        <x:v>RAE-E-38-EV-11</x:v>
      </x:c>
      <x:c r="C461" s="7" t="str">
        <x:v>RAE-E-38</x:v>
      </x:c>
      <x:c r="D461" s="7" t="str">
        <x:v>RFP-C1</x:v>
      </x:c>
      <x:c r="E461" s="7" t="str">
        <x:v>AM-06</x:v>
      </x:c>
      <x:c r="F461" s="7" t="str">
        <x:v>TR-A</x:v>
      </x:c>
      <x:c r="G461" s="7" t="str">
        <x:v>QE-02</x:v>
      </x:c>
      <x:c r="H461" s="7" t="str">
        <x:v>EV-11</x:v>
      </x:c>
      <x:c r="I461" s="10" t="str">
        <x:v>intervention state</x:v>
      </x:c>
      <x:c r="J461" s="10" t="str">
        <x:v>human, automatic and rescue actions</x:v>
      </x:c>
      <x:c r="K461" s="7" t="str"/>
      <x:c r="L461" s="7" t="str">
        <x:v>OPEN</x:v>
      </x:c>
    </x:row>
    <x:row r="462" ht="40" customHeight="1">
      <x:c r="B462" s="7" t="str">
        <x:v>RAE-E-38-EV-12</x:v>
      </x:c>
      <x:c r="C462" s="7" t="str">
        <x:v>RAE-E-38</x:v>
      </x:c>
      <x:c r="D462" s="7" t="str">
        <x:v>RFP-C1</x:v>
      </x:c>
      <x:c r="E462" s="7" t="str">
        <x:v>AM-06</x:v>
      </x:c>
      <x:c r="F462" s="7" t="str">
        <x:v>TR-A</x:v>
      </x:c>
      <x:c r="G462" s="7" t="str">
        <x:v>QE-02</x:v>
      </x:c>
      <x:c r="H462" s="7" t="str">
        <x:v>EV-12</x:v>
      </x:c>
      <x:c r="I462" s="10" t="str">
        <x:v>validity packet</x:v>
      </x:c>
      <x:c r="J462" s="10" t="str">
        <x:v>native hashes, causal map and board disposition</x:v>
      </x:c>
      <x:c r="K462" s="7" t="str"/>
      <x:c r="L462" s="7" t="str">
        <x:v>OPEN</x:v>
      </x:c>
    </x:row>
    <x:row r="463" ht="40" customHeight="1">
      <x:c r="B463" s="7" t="str">
        <x:v>RAE-E-39-EV-01</x:v>
      </x:c>
      <x:c r="C463" s="7" t="str">
        <x:v>RAE-E-39</x:v>
      </x:c>
      <x:c r="D463" s="7" t="str">
        <x:v>RFP-C1</x:v>
      </x:c>
      <x:c r="E463" s="7" t="str">
        <x:v>AM-06</x:v>
      </x:c>
      <x:c r="F463" s="7" t="str">
        <x:v>TR-B</x:v>
      </x:c>
      <x:c r="G463" s="7" t="str">
        <x:v>QE-01</x:v>
      </x:c>
      <x:c r="H463" s="7" t="str">
        <x:v>EV-01</x:v>
      </x:c>
      <x:c r="I463" s="10" t="str">
        <x:v>registered event baseline</x:v>
      </x:c>
      <x:c r="J463" s="10" t="str">
        <x:v>configuration master plus event register</x:v>
      </x:c>
      <x:c r="K463" s="7" t="str"/>
      <x:c r="L463" s="7" t="str">
        <x:v>OPEN</x:v>
      </x:c>
    </x:row>
    <x:row r="464" ht="40" customHeight="1">
      <x:c r="B464" s="7" t="str">
        <x:v>RAE-E-39-EV-02</x:v>
      </x:c>
      <x:c r="C464" s="7" t="str">
        <x:v>RAE-E-39</x:v>
      </x:c>
      <x:c r="D464" s="7" t="str">
        <x:v>RFP-C1</x:v>
      </x:c>
      <x:c r="E464" s="7" t="str">
        <x:v>AM-06</x:v>
      </x:c>
      <x:c r="F464" s="7" t="str">
        <x:v>TR-B</x:v>
      </x:c>
      <x:c r="G464" s="7" t="str">
        <x:v>QE-01</x:v>
      </x:c>
      <x:c r="H464" s="7" t="str">
        <x:v>EV-02</x:v>
      </x:c>
      <x:c r="I464" s="10" t="str">
        <x:v>source command and mass</x:v>
      </x:c>
      <x:c r="J464" s="10" t="str">
        <x:v>native command, load cells and custody ledger</x:v>
      </x:c>
      <x:c r="K464" s="7" t="str"/>
      <x:c r="L464" s="7" t="str">
        <x:v>OPEN</x:v>
      </x:c>
    </x:row>
    <x:row r="465" ht="40" customHeight="1">
      <x:c r="B465" s="7" t="str">
        <x:v>RAE-E-39-EV-03</x:v>
      </x:c>
      <x:c r="C465" s="7" t="str">
        <x:v>RAE-E-39</x:v>
      </x:c>
      <x:c r="D465" s="7" t="str">
        <x:v>RFP-C1</x:v>
      </x:c>
      <x:c r="E465" s="7" t="str">
        <x:v>AM-06</x:v>
      </x:c>
      <x:c r="F465" s="7" t="str">
        <x:v>TR-B</x:v>
      </x:c>
      <x:c r="G465" s="7" t="str">
        <x:v>QE-01</x:v>
      </x:c>
      <x:c r="H465" s="7" t="str">
        <x:v>EV-03</x:v>
      </x:c>
      <x:c r="I465" s="10" t="str">
        <x:v>final control states</x:v>
      </x:c>
      <x:c r="J465" s="10" t="str">
        <x:v>direct element sensors plus local latch</x:v>
      </x:c>
      <x:c r="K465" s="7" t="str"/>
      <x:c r="L465" s="7" t="str">
        <x:v>OPEN</x:v>
      </x:c>
    </x:row>
    <x:row r="466" ht="40" customHeight="1">
      <x:c r="B466" s="7" t="str">
        <x:v>RAE-E-39-EV-04</x:v>
      </x:c>
      <x:c r="C466" s="7" t="str">
        <x:v>RAE-E-39</x:v>
      </x:c>
      <x:c r="D466" s="7" t="str">
        <x:v>RFP-C1</x:v>
      </x:c>
      <x:c r="E466" s="7" t="str">
        <x:v>AM-06</x:v>
      </x:c>
      <x:c r="F466" s="7" t="str">
        <x:v>TR-B</x:v>
      </x:c>
      <x:c r="G466" s="7" t="str">
        <x:v>QE-01</x:v>
      </x:c>
      <x:c r="H466" s="7" t="str">
        <x:v>EV-04</x:v>
      </x:c>
      <x:c r="I466" s="10" t="str">
        <x:v>path action times</x:v>
      </x:c>
      <x:c r="J466" s="10" t="str">
        <x:v>common-epoch trigger and state transitions</x:v>
      </x:c>
      <x:c r="K466" s="7" t="str"/>
      <x:c r="L466" s="7" t="str">
        <x:v>OPEN</x:v>
      </x:c>
    </x:row>
    <x:row r="467" ht="40" customHeight="1">
      <x:c r="B467" s="7" t="str">
        <x:v>RAE-E-39-EV-05</x:v>
      </x:c>
      <x:c r="C467" s="7" t="str">
        <x:v>RAE-E-39</x:v>
      </x:c>
      <x:c r="D467" s="7" t="str">
        <x:v>RFP-C1</x:v>
      </x:c>
      <x:c r="E467" s="7" t="str">
        <x:v>AM-06</x:v>
      </x:c>
      <x:c r="F467" s="7" t="str">
        <x:v>TR-B</x:v>
      </x:c>
      <x:c r="G467" s="7" t="str">
        <x:v>QE-01</x:v>
      </x:c>
      <x:c r="H467" s="7" t="str">
        <x:v>EV-05</x:v>
      </x:c>
      <x:c r="I467" s="10" t="str">
        <x:v>receiver inventories</x:v>
      </x:c>
      <x:c r="J467" s="10" t="str">
        <x:v>before, peak and after volume measurements</x:v>
      </x:c>
      <x:c r="K467" s="7" t="str"/>
      <x:c r="L467" s="7" t="str">
        <x:v>OPEN</x:v>
      </x:c>
    </x:row>
    <x:row r="468" ht="40" customHeight="1">
      <x:c r="B468" s="7" t="str">
        <x:v>RAE-E-39-EV-06</x:v>
      </x:c>
      <x:c r="C468" s="7" t="str">
        <x:v>RAE-E-39</x:v>
      </x:c>
      <x:c r="D468" s="7" t="str">
        <x:v>RFP-C1</x:v>
      </x:c>
      <x:c r="E468" s="7" t="str">
        <x:v>AM-06</x:v>
      </x:c>
      <x:c r="F468" s="7" t="str">
        <x:v>TR-B</x:v>
      </x:c>
      <x:c r="G468" s="7" t="str">
        <x:v>QE-01</x:v>
      </x:c>
      <x:c r="H468" s="7" t="str">
        <x:v>EV-06</x:v>
      </x:c>
      <x:c r="I468" s="10" t="str">
        <x:v>thermal field</x:v>
      </x:c>
      <x:c r="J468" s="10" t="str">
        <x:v>radiometry, heat flux and local weather</x:v>
      </x:c>
      <x:c r="K468" s="7" t="str"/>
      <x:c r="L468" s="7" t="str">
        <x:v>OPEN</x:v>
      </x:c>
    </x:row>
    <x:row r="469" ht="40" customHeight="1">
      <x:c r="B469" s="7" t="str">
        <x:v>RAE-E-39-EV-07</x:v>
      </x:c>
      <x:c r="C469" s="7" t="str">
        <x:v>RAE-E-39</x:v>
      </x:c>
      <x:c r="D469" s="7" t="str">
        <x:v>RFP-C1</x:v>
      </x:c>
      <x:c r="E469" s="7" t="str">
        <x:v>AM-06</x:v>
      </x:c>
      <x:c r="F469" s="7" t="str">
        <x:v>TR-B</x:v>
      </x:c>
      <x:c r="G469" s="7" t="str">
        <x:v>QE-01</x:v>
      </x:c>
      <x:c r="H469" s="7" t="str">
        <x:v>EV-07</x:v>
      </x:c>
      <x:c r="I469" s="10" t="str">
        <x:v>water state</x:v>
      </x:c>
      <x:c r="J469" s="10" t="str">
        <x:v>flow, rain, quench, foam and rinse separation</x:v>
      </x:c>
      <x:c r="K469" s="7" t="str"/>
      <x:c r="L469" s="7" t="str">
        <x:v>OPEN</x:v>
      </x:c>
    </x:row>
    <x:row r="470" ht="40" customHeight="1">
      <x:c r="B470" s="7" t="str">
        <x:v>RAE-E-39-EV-08</x:v>
      </x:c>
      <x:c r="C470" s="7" t="str">
        <x:v>RAE-E-39</x:v>
      </x:c>
      <x:c r="D470" s="7" t="str">
        <x:v>RFP-C1</x:v>
      </x:c>
      <x:c r="E470" s="7" t="str">
        <x:v>AM-06</x:v>
      </x:c>
      <x:c r="F470" s="7" t="str">
        <x:v>TR-B</x:v>
      </x:c>
      <x:c r="G470" s="7" t="str">
        <x:v>QE-01</x:v>
      </x:c>
      <x:c r="H470" s="7" t="str">
        <x:v>EV-08</x:v>
      </x:c>
      <x:c r="I470" s="10" t="str">
        <x:v>ancestry</x:v>
      </x:c>
      <x:c r="J470" s="10" t="str">
        <x:v>source and water root recovery plus cross-talk</x:v>
      </x:c>
      <x:c r="K470" s="7" t="str"/>
      <x:c r="L470" s="7" t="str">
        <x:v>OPEN</x:v>
      </x:c>
    </x:row>
    <x:row r="471" ht="40" customHeight="1">
      <x:c r="B471" s="7" t="str">
        <x:v>RAE-E-39-EV-09</x:v>
      </x:c>
      <x:c r="C471" s="7" t="str">
        <x:v>RAE-E-39</x:v>
      </x:c>
      <x:c r="D471" s="7" t="str">
        <x:v>RFP-C1</x:v>
      </x:c>
      <x:c r="E471" s="7" t="str">
        <x:v>AM-06</x:v>
      </x:c>
      <x:c r="F471" s="7" t="str">
        <x:v>TR-B</x:v>
      </x:c>
      <x:c r="G471" s="7" t="str">
        <x:v>QE-01</x:v>
      </x:c>
      <x:c r="H471" s="7" t="str">
        <x:v>EV-09</x:v>
      </x:c>
      <x:c r="I471" s="10" t="str">
        <x:v>environmental boundary</x:v>
      </x:c>
      <x:c r="J471" s="10" t="str">
        <x:v>background and post-event sample set</x:v>
      </x:c>
      <x:c r="K471" s="7" t="str"/>
      <x:c r="L471" s="7" t="str">
        <x:v>OPEN</x:v>
      </x:c>
    </x:row>
    <x:row r="472" ht="40" customHeight="1">
      <x:c r="B472" s="7" t="str">
        <x:v>RAE-E-39-EV-10</x:v>
      </x:c>
      <x:c r="C472" s="7" t="str">
        <x:v>RAE-E-39</x:v>
      </x:c>
      <x:c r="D472" s="7" t="str">
        <x:v>RFP-C1</x:v>
      </x:c>
      <x:c r="E472" s="7" t="str">
        <x:v>AM-06</x:v>
      </x:c>
      <x:c r="F472" s="7" t="str">
        <x:v>TR-B</x:v>
      </x:c>
      <x:c r="G472" s="7" t="str">
        <x:v>QE-01</x:v>
      </x:c>
      <x:c r="H472" s="7" t="str">
        <x:v>EV-10</x:v>
      </x:c>
      <x:c r="I472" s="10" t="str">
        <x:v>neighbor state</x:v>
      </x:c>
      <x:c r="J472" s="10" t="str">
        <x:v>three independent inert-state records</x:v>
      </x:c>
      <x:c r="K472" s="7" t="str"/>
      <x:c r="L472" s="7" t="str">
        <x:v>OPEN</x:v>
      </x:c>
    </x:row>
    <x:row r="473" ht="40" customHeight="1">
      <x:c r="B473" s="7" t="str">
        <x:v>RAE-E-39-EV-11</x:v>
      </x:c>
      <x:c r="C473" s="7" t="str">
        <x:v>RAE-E-39</x:v>
      </x:c>
      <x:c r="D473" s="7" t="str">
        <x:v>RFP-C1</x:v>
      </x:c>
      <x:c r="E473" s="7" t="str">
        <x:v>AM-06</x:v>
      </x:c>
      <x:c r="F473" s="7" t="str">
        <x:v>TR-B</x:v>
      </x:c>
      <x:c r="G473" s="7" t="str">
        <x:v>QE-01</x:v>
      </x:c>
      <x:c r="H473" s="7" t="str">
        <x:v>EV-11</x:v>
      </x:c>
      <x:c r="I473" s="10" t="str">
        <x:v>intervention state</x:v>
      </x:c>
      <x:c r="J473" s="10" t="str">
        <x:v>human, automatic and rescue actions</x:v>
      </x:c>
      <x:c r="K473" s="7" t="str"/>
      <x:c r="L473" s="7" t="str">
        <x:v>OPEN</x:v>
      </x:c>
    </x:row>
    <x:row r="474" ht="40" customHeight="1">
      <x:c r="B474" s="7" t="str">
        <x:v>RAE-E-39-EV-12</x:v>
      </x:c>
      <x:c r="C474" s="7" t="str">
        <x:v>RAE-E-39</x:v>
      </x:c>
      <x:c r="D474" s="7" t="str">
        <x:v>RFP-C1</x:v>
      </x:c>
      <x:c r="E474" s="7" t="str">
        <x:v>AM-06</x:v>
      </x:c>
      <x:c r="F474" s="7" t="str">
        <x:v>TR-B</x:v>
      </x:c>
      <x:c r="G474" s="7" t="str">
        <x:v>QE-01</x:v>
      </x:c>
      <x:c r="H474" s="7" t="str">
        <x:v>EV-12</x:v>
      </x:c>
      <x:c r="I474" s="10" t="str">
        <x:v>validity packet</x:v>
      </x:c>
      <x:c r="J474" s="10" t="str">
        <x:v>native hashes, causal map and board disposition</x:v>
      </x:c>
      <x:c r="K474" s="7" t="str"/>
      <x:c r="L474" s="7" t="str">
        <x:v>OPEN</x:v>
      </x:c>
    </x:row>
    <x:row r="475" ht="40" customHeight="1">
      <x:c r="B475" s="7" t="str">
        <x:v>RAE-E-40-EV-01</x:v>
      </x:c>
      <x:c r="C475" s="7" t="str">
        <x:v>RAE-E-40</x:v>
      </x:c>
      <x:c r="D475" s="7" t="str">
        <x:v>RFP-C1</x:v>
      </x:c>
      <x:c r="E475" s="7" t="str">
        <x:v>AM-06</x:v>
      </x:c>
      <x:c r="F475" s="7" t="str">
        <x:v>TR-B</x:v>
      </x:c>
      <x:c r="G475" s="7" t="str">
        <x:v>QE-02</x:v>
      </x:c>
      <x:c r="H475" s="7" t="str">
        <x:v>EV-01</x:v>
      </x:c>
      <x:c r="I475" s="10" t="str">
        <x:v>registered event baseline</x:v>
      </x:c>
      <x:c r="J475" s="10" t="str">
        <x:v>configuration master plus event register</x:v>
      </x:c>
      <x:c r="K475" s="7" t="str"/>
      <x:c r="L475" s="7" t="str">
        <x:v>OPEN</x:v>
      </x:c>
    </x:row>
    <x:row r="476" ht="40" customHeight="1">
      <x:c r="B476" s="7" t="str">
        <x:v>RAE-E-40-EV-02</x:v>
      </x:c>
      <x:c r="C476" s="7" t="str">
        <x:v>RAE-E-40</x:v>
      </x:c>
      <x:c r="D476" s="7" t="str">
        <x:v>RFP-C1</x:v>
      </x:c>
      <x:c r="E476" s="7" t="str">
        <x:v>AM-06</x:v>
      </x:c>
      <x:c r="F476" s="7" t="str">
        <x:v>TR-B</x:v>
      </x:c>
      <x:c r="G476" s="7" t="str">
        <x:v>QE-02</x:v>
      </x:c>
      <x:c r="H476" s="7" t="str">
        <x:v>EV-02</x:v>
      </x:c>
      <x:c r="I476" s="10" t="str">
        <x:v>source command and mass</x:v>
      </x:c>
      <x:c r="J476" s="10" t="str">
        <x:v>native command, load cells and custody ledger</x:v>
      </x:c>
      <x:c r="K476" s="7" t="str"/>
      <x:c r="L476" s="7" t="str">
        <x:v>OPEN</x:v>
      </x:c>
    </x:row>
    <x:row r="477" ht="40" customHeight="1">
      <x:c r="B477" s="7" t="str">
        <x:v>RAE-E-40-EV-03</x:v>
      </x:c>
      <x:c r="C477" s="7" t="str">
        <x:v>RAE-E-40</x:v>
      </x:c>
      <x:c r="D477" s="7" t="str">
        <x:v>RFP-C1</x:v>
      </x:c>
      <x:c r="E477" s="7" t="str">
        <x:v>AM-06</x:v>
      </x:c>
      <x:c r="F477" s="7" t="str">
        <x:v>TR-B</x:v>
      </x:c>
      <x:c r="G477" s="7" t="str">
        <x:v>QE-02</x:v>
      </x:c>
      <x:c r="H477" s="7" t="str">
        <x:v>EV-03</x:v>
      </x:c>
      <x:c r="I477" s="10" t="str">
        <x:v>final control states</x:v>
      </x:c>
      <x:c r="J477" s="10" t="str">
        <x:v>direct element sensors plus local latch</x:v>
      </x:c>
      <x:c r="K477" s="7" t="str"/>
      <x:c r="L477" s="7" t="str">
        <x:v>OPEN</x:v>
      </x:c>
    </x:row>
    <x:row r="478" ht="40" customHeight="1">
      <x:c r="B478" s="7" t="str">
        <x:v>RAE-E-40-EV-04</x:v>
      </x:c>
      <x:c r="C478" s="7" t="str">
        <x:v>RAE-E-40</x:v>
      </x:c>
      <x:c r="D478" s="7" t="str">
        <x:v>RFP-C1</x:v>
      </x:c>
      <x:c r="E478" s="7" t="str">
        <x:v>AM-06</x:v>
      </x:c>
      <x:c r="F478" s="7" t="str">
        <x:v>TR-B</x:v>
      </x:c>
      <x:c r="G478" s="7" t="str">
        <x:v>QE-02</x:v>
      </x:c>
      <x:c r="H478" s="7" t="str">
        <x:v>EV-04</x:v>
      </x:c>
      <x:c r="I478" s="10" t="str">
        <x:v>path action times</x:v>
      </x:c>
      <x:c r="J478" s="10" t="str">
        <x:v>common-epoch trigger and state transitions</x:v>
      </x:c>
      <x:c r="K478" s="7" t="str"/>
      <x:c r="L478" s="7" t="str">
        <x:v>OPEN</x:v>
      </x:c>
    </x:row>
    <x:row r="479" ht="40" customHeight="1">
      <x:c r="B479" s="7" t="str">
        <x:v>RAE-E-40-EV-05</x:v>
      </x:c>
      <x:c r="C479" s="7" t="str">
        <x:v>RAE-E-40</x:v>
      </x:c>
      <x:c r="D479" s="7" t="str">
        <x:v>RFP-C1</x:v>
      </x:c>
      <x:c r="E479" s="7" t="str">
        <x:v>AM-06</x:v>
      </x:c>
      <x:c r="F479" s="7" t="str">
        <x:v>TR-B</x:v>
      </x:c>
      <x:c r="G479" s="7" t="str">
        <x:v>QE-02</x:v>
      </x:c>
      <x:c r="H479" s="7" t="str">
        <x:v>EV-05</x:v>
      </x:c>
      <x:c r="I479" s="10" t="str">
        <x:v>receiver inventories</x:v>
      </x:c>
      <x:c r="J479" s="10" t="str">
        <x:v>before, peak and after volume measurements</x:v>
      </x:c>
      <x:c r="K479" s="7" t="str"/>
      <x:c r="L479" s="7" t="str">
        <x:v>OPEN</x:v>
      </x:c>
    </x:row>
    <x:row r="480" ht="40" customHeight="1">
      <x:c r="B480" s="7" t="str">
        <x:v>RAE-E-40-EV-06</x:v>
      </x:c>
      <x:c r="C480" s="7" t="str">
        <x:v>RAE-E-40</x:v>
      </x:c>
      <x:c r="D480" s="7" t="str">
        <x:v>RFP-C1</x:v>
      </x:c>
      <x:c r="E480" s="7" t="str">
        <x:v>AM-06</x:v>
      </x:c>
      <x:c r="F480" s="7" t="str">
        <x:v>TR-B</x:v>
      </x:c>
      <x:c r="G480" s="7" t="str">
        <x:v>QE-02</x:v>
      </x:c>
      <x:c r="H480" s="7" t="str">
        <x:v>EV-06</x:v>
      </x:c>
      <x:c r="I480" s="10" t="str">
        <x:v>thermal field</x:v>
      </x:c>
      <x:c r="J480" s="10" t="str">
        <x:v>radiometry, heat flux and local weather</x:v>
      </x:c>
      <x:c r="K480" s="7" t="str"/>
      <x:c r="L480" s="7" t="str">
        <x:v>OPEN</x:v>
      </x:c>
    </x:row>
    <x:row r="481" ht="40" customHeight="1">
      <x:c r="B481" s="7" t="str">
        <x:v>RAE-E-40-EV-07</x:v>
      </x:c>
      <x:c r="C481" s="7" t="str">
        <x:v>RAE-E-40</x:v>
      </x:c>
      <x:c r="D481" s="7" t="str">
        <x:v>RFP-C1</x:v>
      </x:c>
      <x:c r="E481" s="7" t="str">
        <x:v>AM-06</x:v>
      </x:c>
      <x:c r="F481" s="7" t="str">
        <x:v>TR-B</x:v>
      </x:c>
      <x:c r="G481" s="7" t="str">
        <x:v>QE-02</x:v>
      </x:c>
      <x:c r="H481" s="7" t="str">
        <x:v>EV-07</x:v>
      </x:c>
      <x:c r="I481" s="10" t="str">
        <x:v>water state</x:v>
      </x:c>
      <x:c r="J481" s="10" t="str">
        <x:v>flow, rain, quench, foam and rinse separation</x:v>
      </x:c>
      <x:c r="K481" s="7" t="str"/>
      <x:c r="L481" s="7" t="str">
        <x:v>OPEN</x:v>
      </x:c>
    </x:row>
    <x:row r="482" ht="40" customHeight="1">
      <x:c r="B482" s="7" t="str">
        <x:v>RAE-E-40-EV-08</x:v>
      </x:c>
      <x:c r="C482" s="7" t="str">
        <x:v>RAE-E-40</x:v>
      </x:c>
      <x:c r="D482" s="7" t="str">
        <x:v>RFP-C1</x:v>
      </x:c>
      <x:c r="E482" s="7" t="str">
        <x:v>AM-06</x:v>
      </x:c>
      <x:c r="F482" s="7" t="str">
        <x:v>TR-B</x:v>
      </x:c>
      <x:c r="G482" s="7" t="str">
        <x:v>QE-02</x:v>
      </x:c>
      <x:c r="H482" s="7" t="str">
        <x:v>EV-08</x:v>
      </x:c>
      <x:c r="I482" s="10" t="str">
        <x:v>ancestry</x:v>
      </x:c>
      <x:c r="J482" s="10" t="str">
        <x:v>source and water root recovery plus cross-talk</x:v>
      </x:c>
      <x:c r="K482" s="7" t="str"/>
      <x:c r="L482" s="7" t="str">
        <x:v>OPEN</x:v>
      </x:c>
    </x:row>
    <x:row r="483" ht="40" customHeight="1">
      <x:c r="B483" s="7" t="str">
        <x:v>RAE-E-40-EV-09</x:v>
      </x:c>
      <x:c r="C483" s="7" t="str">
        <x:v>RAE-E-40</x:v>
      </x:c>
      <x:c r="D483" s="7" t="str">
        <x:v>RFP-C1</x:v>
      </x:c>
      <x:c r="E483" s="7" t="str">
        <x:v>AM-06</x:v>
      </x:c>
      <x:c r="F483" s="7" t="str">
        <x:v>TR-B</x:v>
      </x:c>
      <x:c r="G483" s="7" t="str">
        <x:v>QE-02</x:v>
      </x:c>
      <x:c r="H483" s="7" t="str">
        <x:v>EV-09</x:v>
      </x:c>
      <x:c r="I483" s="10" t="str">
        <x:v>environmental boundary</x:v>
      </x:c>
      <x:c r="J483" s="10" t="str">
        <x:v>background and post-event sample set</x:v>
      </x:c>
      <x:c r="K483" s="7" t="str"/>
      <x:c r="L483" s="7" t="str">
        <x:v>OPEN</x:v>
      </x:c>
    </x:row>
    <x:row r="484" ht="40" customHeight="1">
      <x:c r="B484" s="7" t="str">
        <x:v>RAE-E-40-EV-10</x:v>
      </x:c>
      <x:c r="C484" s="7" t="str">
        <x:v>RAE-E-40</x:v>
      </x:c>
      <x:c r="D484" s="7" t="str">
        <x:v>RFP-C1</x:v>
      </x:c>
      <x:c r="E484" s="7" t="str">
        <x:v>AM-06</x:v>
      </x:c>
      <x:c r="F484" s="7" t="str">
        <x:v>TR-B</x:v>
      </x:c>
      <x:c r="G484" s="7" t="str">
        <x:v>QE-02</x:v>
      </x:c>
      <x:c r="H484" s="7" t="str">
        <x:v>EV-10</x:v>
      </x:c>
      <x:c r="I484" s="10" t="str">
        <x:v>neighbor state</x:v>
      </x:c>
      <x:c r="J484" s="10" t="str">
        <x:v>three independent inert-state records</x:v>
      </x:c>
      <x:c r="K484" s="7" t="str"/>
      <x:c r="L484" s="7" t="str">
        <x:v>OPEN</x:v>
      </x:c>
    </x:row>
    <x:row r="485" ht="40" customHeight="1">
      <x:c r="B485" s="7" t="str">
        <x:v>RAE-E-40-EV-11</x:v>
      </x:c>
      <x:c r="C485" s="7" t="str">
        <x:v>RAE-E-40</x:v>
      </x:c>
      <x:c r="D485" s="7" t="str">
        <x:v>RFP-C1</x:v>
      </x:c>
      <x:c r="E485" s="7" t="str">
        <x:v>AM-06</x:v>
      </x:c>
      <x:c r="F485" s="7" t="str">
        <x:v>TR-B</x:v>
      </x:c>
      <x:c r="G485" s="7" t="str">
        <x:v>QE-02</x:v>
      </x:c>
      <x:c r="H485" s="7" t="str">
        <x:v>EV-11</x:v>
      </x:c>
      <x:c r="I485" s="10" t="str">
        <x:v>intervention state</x:v>
      </x:c>
      <x:c r="J485" s="10" t="str">
        <x:v>human, automatic and rescue actions</x:v>
      </x:c>
      <x:c r="K485" s="7" t="str"/>
      <x:c r="L485" s="7" t="str">
        <x:v>OPEN</x:v>
      </x:c>
    </x:row>
    <x:row r="486" ht="40" customHeight="1">
      <x:c r="B486" s="7" t="str">
        <x:v>RAE-E-40-EV-12</x:v>
      </x:c>
      <x:c r="C486" s="7" t="str">
        <x:v>RAE-E-40</x:v>
      </x:c>
      <x:c r="D486" s="7" t="str">
        <x:v>RFP-C1</x:v>
      </x:c>
      <x:c r="E486" s="7" t="str">
        <x:v>AM-06</x:v>
      </x:c>
      <x:c r="F486" s="7" t="str">
        <x:v>TR-B</x:v>
      </x:c>
      <x:c r="G486" s="7" t="str">
        <x:v>QE-02</x:v>
      </x:c>
      <x:c r="H486" s="7" t="str">
        <x:v>EV-12</x:v>
      </x:c>
      <x:c r="I486" s="10" t="str">
        <x:v>validity packet</x:v>
      </x:c>
      <x:c r="J486" s="10" t="str">
        <x:v>native hashes, causal map and board disposition</x:v>
      </x:c>
      <x:c r="K486" s="7" t="str"/>
      <x:c r="L486" s="7" t="str">
        <x:v>OPEN</x:v>
      </x:c>
    </x:row>
    <x:row r="487" ht="40" customHeight="1">
      <x:c r="B487" s="7" t="str">
        <x:v>RAE-E-41-EV-01</x:v>
      </x:c>
      <x:c r="C487" s="7" t="str">
        <x:v>RAE-E-41</x:v>
      </x:c>
      <x:c r="D487" s="7" t="str">
        <x:v>RFP-C2</x:v>
      </x:c>
      <x:c r="E487" s="7" t="str">
        <x:v>AM-05</x:v>
      </x:c>
      <x:c r="F487" s="7" t="str">
        <x:v>TR-A</x:v>
      </x:c>
      <x:c r="G487" s="7" t="str">
        <x:v>QE-01</x:v>
      </x:c>
      <x:c r="H487" s="7" t="str">
        <x:v>EV-01</x:v>
      </x:c>
      <x:c r="I487" s="10" t="str">
        <x:v>registered event baseline</x:v>
      </x:c>
      <x:c r="J487" s="10" t="str">
        <x:v>configuration master plus event register</x:v>
      </x:c>
      <x:c r="K487" s="7" t="str"/>
      <x:c r="L487" s="7" t="str">
        <x:v>OPEN</x:v>
      </x:c>
    </x:row>
    <x:row r="488" ht="40" customHeight="1">
      <x:c r="B488" s="7" t="str">
        <x:v>RAE-E-41-EV-02</x:v>
      </x:c>
      <x:c r="C488" s="7" t="str">
        <x:v>RAE-E-41</x:v>
      </x:c>
      <x:c r="D488" s="7" t="str">
        <x:v>RFP-C2</x:v>
      </x:c>
      <x:c r="E488" s="7" t="str">
        <x:v>AM-05</x:v>
      </x:c>
      <x:c r="F488" s="7" t="str">
        <x:v>TR-A</x:v>
      </x:c>
      <x:c r="G488" s="7" t="str">
        <x:v>QE-01</x:v>
      </x:c>
      <x:c r="H488" s="7" t="str">
        <x:v>EV-02</x:v>
      </x:c>
      <x:c r="I488" s="10" t="str">
        <x:v>source command and mass</x:v>
      </x:c>
      <x:c r="J488" s="10" t="str">
        <x:v>native command, load cells and custody ledger</x:v>
      </x:c>
      <x:c r="K488" s="7" t="str"/>
      <x:c r="L488" s="7" t="str">
        <x:v>OPEN</x:v>
      </x:c>
    </x:row>
    <x:row r="489" ht="40" customHeight="1">
      <x:c r="B489" s="7" t="str">
        <x:v>RAE-E-41-EV-03</x:v>
      </x:c>
      <x:c r="C489" s="7" t="str">
        <x:v>RAE-E-41</x:v>
      </x:c>
      <x:c r="D489" s="7" t="str">
        <x:v>RFP-C2</x:v>
      </x:c>
      <x:c r="E489" s="7" t="str">
        <x:v>AM-05</x:v>
      </x:c>
      <x:c r="F489" s="7" t="str">
        <x:v>TR-A</x:v>
      </x:c>
      <x:c r="G489" s="7" t="str">
        <x:v>QE-01</x:v>
      </x:c>
      <x:c r="H489" s="7" t="str">
        <x:v>EV-03</x:v>
      </x:c>
      <x:c r="I489" s="10" t="str">
        <x:v>final control states</x:v>
      </x:c>
      <x:c r="J489" s="10" t="str">
        <x:v>direct element sensors plus local latch</x:v>
      </x:c>
      <x:c r="K489" s="7" t="str"/>
      <x:c r="L489" s="7" t="str">
        <x:v>OPEN</x:v>
      </x:c>
    </x:row>
    <x:row r="490" ht="40" customHeight="1">
      <x:c r="B490" s="7" t="str">
        <x:v>RAE-E-41-EV-04</x:v>
      </x:c>
      <x:c r="C490" s="7" t="str">
        <x:v>RAE-E-41</x:v>
      </x:c>
      <x:c r="D490" s="7" t="str">
        <x:v>RFP-C2</x:v>
      </x:c>
      <x:c r="E490" s="7" t="str">
        <x:v>AM-05</x:v>
      </x:c>
      <x:c r="F490" s="7" t="str">
        <x:v>TR-A</x:v>
      </x:c>
      <x:c r="G490" s="7" t="str">
        <x:v>QE-01</x:v>
      </x:c>
      <x:c r="H490" s="7" t="str">
        <x:v>EV-04</x:v>
      </x:c>
      <x:c r="I490" s="10" t="str">
        <x:v>path action times</x:v>
      </x:c>
      <x:c r="J490" s="10" t="str">
        <x:v>common-epoch trigger and state transitions</x:v>
      </x:c>
      <x:c r="K490" s="7" t="str"/>
      <x:c r="L490" s="7" t="str">
        <x:v>OPEN</x:v>
      </x:c>
    </x:row>
    <x:row r="491" ht="40" customHeight="1">
      <x:c r="B491" s="7" t="str">
        <x:v>RAE-E-41-EV-05</x:v>
      </x:c>
      <x:c r="C491" s="7" t="str">
        <x:v>RAE-E-41</x:v>
      </x:c>
      <x:c r="D491" s="7" t="str">
        <x:v>RFP-C2</x:v>
      </x:c>
      <x:c r="E491" s="7" t="str">
        <x:v>AM-05</x:v>
      </x:c>
      <x:c r="F491" s="7" t="str">
        <x:v>TR-A</x:v>
      </x:c>
      <x:c r="G491" s="7" t="str">
        <x:v>QE-01</x:v>
      </x:c>
      <x:c r="H491" s="7" t="str">
        <x:v>EV-05</x:v>
      </x:c>
      <x:c r="I491" s="10" t="str">
        <x:v>receiver inventories</x:v>
      </x:c>
      <x:c r="J491" s="10" t="str">
        <x:v>before, peak and after volume measurements</x:v>
      </x:c>
      <x:c r="K491" s="7" t="str"/>
      <x:c r="L491" s="7" t="str">
        <x:v>OPEN</x:v>
      </x:c>
    </x:row>
    <x:row r="492" ht="40" customHeight="1">
      <x:c r="B492" s="7" t="str">
        <x:v>RAE-E-41-EV-06</x:v>
      </x:c>
      <x:c r="C492" s="7" t="str">
        <x:v>RAE-E-41</x:v>
      </x:c>
      <x:c r="D492" s="7" t="str">
        <x:v>RFP-C2</x:v>
      </x:c>
      <x:c r="E492" s="7" t="str">
        <x:v>AM-05</x:v>
      </x:c>
      <x:c r="F492" s="7" t="str">
        <x:v>TR-A</x:v>
      </x:c>
      <x:c r="G492" s="7" t="str">
        <x:v>QE-01</x:v>
      </x:c>
      <x:c r="H492" s="7" t="str">
        <x:v>EV-06</x:v>
      </x:c>
      <x:c r="I492" s="10" t="str">
        <x:v>thermal field</x:v>
      </x:c>
      <x:c r="J492" s="10" t="str">
        <x:v>radiometry, heat flux and local weather</x:v>
      </x:c>
      <x:c r="K492" s="7" t="str"/>
      <x:c r="L492" s="7" t="str">
        <x:v>OPEN</x:v>
      </x:c>
    </x:row>
    <x:row r="493" ht="40" customHeight="1">
      <x:c r="B493" s="7" t="str">
        <x:v>RAE-E-41-EV-07</x:v>
      </x:c>
      <x:c r="C493" s="7" t="str">
        <x:v>RAE-E-41</x:v>
      </x:c>
      <x:c r="D493" s="7" t="str">
        <x:v>RFP-C2</x:v>
      </x:c>
      <x:c r="E493" s="7" t="str">
        <x:v>AM-05</x:v>
      </x:c>
      <x:c r="F493" s="7" t="str">
        <x:v>TR-A</x:v>
      </x:c>
      <x:c r="G493" s="7" t="str">
        <x:v>QE-01</x:v>
      </x:c>
      <x:c r="H493" s="7" t="str">
        <x:v>EV-07</x:v>
      </x:c>
      <x:c r="I493" s="10" t="str">
        <x:v>water state</x:v>
      </x:c>
      <x:c r="J493" s="10" t="str">
        <x:v>flow, rain, quench, foam and rinse separation</x:v>
      </x:c>
      <x:c r="K493" s="7" t="str"/>
      <x:c r="L493" s="7" t="str">
        <x:v>OPEN</x:v>
      </x:c>
    </x:row>
    <x:row r="494" ht="40" customHeight="1">
      <x:c r="B494" s="7" t="str">
        <x:v>RAE-E-41-EV-08</x:v>
      </x:c>
      <x:c r="C494" s="7" t="str">
        <x:v>RAE-E-41</x:v>
      </x:c>
      <x:c r="D494" s="7" t="str">
        <x:v>RFP-C2</x:v>
      </x:c>
      <x:c r="E494" s="7" t="str">
        <x:v>AM-05</x:v>
      </x:c>
      <x:c r="F494" s="7" t="str">
        <x:v>TR-A</x:v>
      </x:c>
      <x:c r="G494" s="7" t="str">
        <x:v>QE-01</x:v>
      </x:c>
      <x:c r="H494" s="7" t="str">
        <x:v>EV-08</x:v>
      </x:c>
      <x:c r="I494" s="10" t="str">
        <x:v>ancestry</x:v>
      </x:c>
      <x:c r="J494" s="10" t="str">
        <x:v>source and water root recovery plus cross-talk</x:v>
      </x:c>
      <x:c r="K494" s="7" t="str"/>
      <x:c r="L494" s="7" t="str">
        <x:v>OPEN</x:v>
      </x:c>
    </x:row>
    <x:row r="495" ht="40" customHeight="1">
      <x:c r="B495" s="7" t="str">
        <x:v>RAE-E-41-EV-09</x:v>
      </x:c>
      <x:c r="C495" s="7" t="str">
        <x:v>RAE-E-41</x:v>
      </x:c>
      <x:c r="D495" s="7" t="str">
        <x:v>RFP-C2</x:v>
      </x:c>
      <x:c r="E495" s="7" t="str">
        <x:v>AM-05</x:v>
      </x:c>
      <x:c r="F495" s="7" t="str">
        <x:v>TR-A</x:v>
      </x:c>
      <x:c r="G495" s="7" t="str">
        <x:v>QE-01</x:v>
      </x:c>
      <x:c r="H495" s="7" t="str">
        <x:v>EV-09</x:v>
      </x:c>
      <x:c r="I495" s="10" t="str">
        <x:v>environmental boundary</x:v>
      </x:c>
      <x:c r="J495" s="10" t="str">
        <x:v>background and post-event sample set</x:v>
      </x:c>
      <x:c r="K495" s="7" t="str"/>
      <x:c r="L495" s="7" t="str">
        <x:v>OPEN</x:v>
      </x:c>
    </x:row>
    <x:row r="496" ht="40" customHeight="1">
      <x:c r="B496" s="7" t="str">
        <x:v>RAE-E-41-EV-10</x:v>
      </x:c>
      <x:c r="C496" s="7" t="str">
        <x:v>RAE-E-41</x:v>
      </x:c>
      <x:c r="D496" s="7" t="str">
        <x:v>RFP-C2</x:v>
      </x:c>
      <x:c r="E496" s="7" t="str">
        <x:v>AM-05</x:v>
      </x:c>
      <x:c r="F496" s="7" t="str">
        <x:v>TR-A</x:v>
      </x:c>
      <x:c r="G496" s="7" t="str">
        <x:v>QE-01</x:v>
      </x:c>
      <x:c r="H496" s="7" t="str">
        <x:v>EV-10</x:v>
      </x:c>
      <x:c r="I496" s="10" t="str">
        <x:v>neighbor state</x:v>
      </x:c>
      <x:c r="J496" s="10" t="str">
        <x:v>three independent inert-state records</x:v>
      </x:c>
      <x:c r="K496" s="7" t="str"/>
      <x:c r="L496" s="7" t="str">
        <x:v>OPEN</x:v>
      </x:c>
    </x:row>
    <x:row r="497" ht="40" customHeight="1">
      <x:c r="B497" s="7" t="str">
        <x:v>RAE-E-41-EV-11</x:v>
      </x:c>
      <x:c r="C497" s="7" t="str">
        <x:v>RAE-E-41</x:v>
      </x:c>
      <x:c r="D497" s="7" t="str">
        <x:v>RFP-C2</x:v>
      </x:c>
      <x:c r="E497" s="7" t="str">
        <x:v>AM-05</x:v>
      </x:c>
      <x:c r="F497" s="7" t="str">
        <x:v>TR-A</x:v>
      </x:c>
      <x:c r="G497" s="7" t="str">
        <x:v>QE-01</x:v>
      </x:c>
      <x:c r="H497" s="7" t="str">
        <x:v>EV-11</x:v>
      </x:c>
      <x:c r="I497" s="10" t="str">
        <x:v>intervention state</x:v>
      </x:c>
      <x:c r="J497" s="10" t="str">
        <x:v>human, automatic and rescue actions</x:v>
      </x:c>
      <x:c r="K497" s="7" t="str"/>
      <x:c r="L497" s="7" t="str">
        <x:v>OPEN</x:v>
      </x:c>
    </x:row>
    <x:row r="498" ht="40" customHeight="1">
      <x:c r="B498" s="7" t="str">
        <x:v>RAE-E-41-EV-12</x:v>
      </x:c>
      <x:c r="C498" s="7" t="str">
        <x:v>RAE-E-41</x:v>
      </x:c>
      <x:c r="D498" s="7" t="str">
        <x:v>RFP-C2</x:v>
      </x:c>
      <x:c r="E498" s="7" t="str">
        <x:v>AM-05</x:v>
      </x:c>
      <x:c r="F498" s="7" t="str">
        <x:v>TR-A</x:v>
      </x:c>
      <x:c r="G498" s="7" t="str">
        <x:v>QE-01</x:v>
      </x:c>
      <x:c r="H498" s="7" t="str">
        <x:v>EV-12</x:v>
      </x:c>
      <x:c r="I498" s="10" t="str">
        <x:v>validity packet</x:v>
      </x:c>
      <x:c r="J498" s="10" t="str">
        <x:v>native hashes, causal map and board disposition</x:v>
      </x:c>
      <x:c r="K498" s="7" t="str"/>
      <x:c r="L498" s="7" t="str">
        <x:v>OPEN</x:v>
      </x:c>
    </x:row>
    <x:row r="499" ht="40" customHeight="1">
      <x:c r="B499" s="7" t="str">
        <x:v>RAE-E-42-EV-01</x:v>
      </x:c>
      <x:c r="C499" s="7" t="str">
        <x:v>RAE-E-42</x:v>
      </x:c>
      <x:c r="D499" s="7" t="str">
        <x:v>RFP-C2</x:v>
      </x:c>
      <x:c r="E499" s="7" t="str">
        <x:v>AM-05</x:v>
      </x:c>
      <x:c r="F499" s="7" t="str">
        <x:v>TR-A</x:v>
      </x:c>
      <x:c r="G499" s="7" t="str">
        <x:v>QE-02</x:v>
      </x:c>
      <x:c r="H499" s="7" t="str">
        <x:v>EV-01</x:v>
      </x:c>
      <x:c r="I499" s="10" t="str">
        <x:v>registered event baseline</x:v>
      </x:c>
      <x:c r="J499" s="10" t="str">
        <x:v>configuration master plus event register</x:v>
      </x:c>
      <x:c r="K499" s="7" t="str"/>
      <x:c r="L499" s="7" t="str">
        <x:v>OPEN</x:v>
      </x:c>
    </x:row>
    <x:row r="500" ht="40" customHeight="1">
      <x:c r="B500" s="7" t="str">
        <x:v>RAE-E-42-EV-02</x:v>
      </x:c>
      <x:c r="C500" s="7" t="str">
        <x:v>RAE-E-42</x:v>
      </x:c>
      <x:c r="D500" s="7" t="str">
        <x:v>RFP-C2</x:v>
      </x:c>
      <x:c r="E500" s="7" t="str">
        <x:v>AM-05</x:v>
      </x:c>
      <x:c r="F500" s="7" t="str">
        <x:v>TR-A</x:v>
      </x:c>
      <x:c r="G500" s="7" t="str">
        <x:v>QE-02</x:v>
      </x:c>
      <x:c r="H500" s="7" t="str">
        <x:v>EV-02</x:v>
      </x:c>
      <x:c r="I500" s="10" t="str">
        <x:v>source command and mass</x:v>
      </x:c>
      <x:c r="J500" s="10" t="str">
        <x:v>native command, load cells and custody ledger</x:v>
      </x:c>
      <x:c r="K500" s="7" t="str"/>
      <x:c r="L500" s="7" t="str">
        <x:v>OPEN</x:v>
      </x:c>
    </x:row>
    <x:row r="501" ht="40" customHeight="1">
      <x:c r="B501" s="7" t="str">
        <x:v>RAE-E-42-EV-03</x:v>
      </x:c>
      <x:c r="C501" s="7" t="str">
        <x:v>RAE-E-42</x:v>
      </x:c>
      <x:c r="D501" s="7" t="str">
        <x:v>RFP-C2</x:v>
      </x:c>
      <x:c r="E501" s="7" t="str">
        <x:v>AM-05</x:v>
      </x:c>
      <x:c r="F501" s="7" t="str">
        <x:v>TR-A</x:v>
      </x:c>
      <x:c r="G501" s="7" t="str">
        <x:v>QE-02</x:v>
      </x:c>
      <x:c r="H501" s="7" t="str">
        <x:v>EV-03</x:v>
      </x:c>
      <x:c r="I501" s="10" t="str">
        <x:v>final control states</x:v>
      </x:c>
      <x:c r="J501" s="10" t="str">
        <x:v>direct element sensors plus local latch</x:v>
      </x:c>
      <x:c r="K501" s="7" t="str"/>
      <x:c r="L501" s="7" t="str">
        <x:v>OPEN</x:v>
      </x:c>
    </x:row>
    <x:row r="502" ht="40" customHeight="1">
      <x:c r="B502" s="7" t="str">
        <x:v>RAE-E-42-EV-04</x:v>
      </x:c>
      <x:c r="C502" s="7" t="str">
        <x:v>RAE-E-42</x:v>
      </x:c>
      <x:c r="D502" s="7" t="str">
        <x:v>RFP-C2</x:v>
      </x:c>
      <x:c r="E502" s="7" t="str">
        <x:v>AM-05</x:v>
      </x:c>
      <x:c r="F502" s="7" t="str">
        <x:v>TR-A</x:v>
      </x:c>
      <x:c r="G502" s="7" t="str">
        <x:v>QE-02</x:v>
      </x:c>
      <x:c r="H502" s="7" t="str">
        <x:v>EV-04</x:v>
      </x:c>
      <x:c r="I502" s="10" t="str">
        <x:v>path action times</x:v>
      </x:c>
      <x:c r="J502" s="10" t="str">
        <x:v>common-epoch trigger and state transitions</x:v>
      </x:c>
      <x:c r="K502" s="7" t="str"/>
      <x:c r="L502" s="7" t="str">
        <x:v>OPEN</x:v>
      </x:c>
    </x:row>
    <x:row r="503" ht="40" customHeight="1">
      <x:c r="B503" s="7" t="str">
        <x:v>RAE-E-42-EV-05</x:v>
      </x:c>
      <x:c r="C503" s="7" t="str">
        <x:v>RAE-E-42</x:v>
      </x:c>
      <x:c r="D503" s="7" t="str">
        <x:v>RFP-C2</x:v>
      </x:c>
      <x:c r="E503" s="7" t="str">
        <x:v>AM-05</x:v>
      </x:c>
      <x:c r="F503" s="7" t="str">
        <x:v>TR-A</x:v>
      </x:c>
      <x:c r="G503" s="7" t="str">
        <x:v>QE-02</x:v>
      </x:c>
      <x:c r="H503" s="7" t="str">
        <x:v>EV-05</x:v>
      </x:c>
      <x:c r="I503" s="10" t="str">
        <x:v>receiver inventories</x:v>
      </x:c>
      <x:c r="J503" s="10" t="str">
        <x:v>before, peak and after volume measurements</x:v>
      </x:c>
      <x:c r="K503" s="7" t="str"/>
      <x:c r="L503" s="7" t="str">
        <x:v>OPEN</x:v>
      </x:c>
    </x:row>
    <x:row r="504" ht="40" customHeight="1">
      <x:c r="B504" s="7" t="str">
        <x:v>RAE-E-42-EV-06</x:v>
      </x:c>
      <x:c r="C504" s="7" t="str">
        <x:v>RAE-E-42</x:v>
      </x:c>
      <x:c r="D504" s="7" t="str">
        <x:v>RFP-C2</x:v>
      </x:c>
      <x:c r="E504" s="7" t="str">
        <x:v>AM-05</x:v>
      </x:c>
      <x:c r="F504" s="7" t="str">
        <x:v>TR-A</x:v>
      </x:c>
      <x:c r="G504" s="7" t="str">
        <x:v>QE-02</x:v>
      </x:c>
      <x:c r="H504" s="7" t="str">
        <x:v>EV-06</x:v>
      </x:c>
      <x:c r="I504" s="10" t="str">
        <x:v>thermal field</x:v>
      </x:c>
      <x:c r="J504" s="10" t="str">
        <x:v>radiometry, heat flux and local weather</x:v>
      </x:c>
      <x:c r="K504" s="7" t="str"/>
      <x:c r="L504" s="7" t="str">
        <x:v>OPEN</x:v>
      </x:c>
    </x:row>
    <x:row r="505" ht="40" customHeight="1">
      <x:c r="B505" s="7" t="str">
        <x:v>RAE-E-42-EV-07</x:v>
      </x:c>
      <x:c r="C505" s="7" t="str">
        <x:v>RAE-E-42</x:v>
      </x:c>
      <x:c r="D505" s="7" t="str">
        <x:v>RFP-C2</x:v>
      </x:c>
      <x:c r="E505" s="7" t="str">
        <x:v>AM-05</x:v>
      </x:c>
      <x:c r="F505" s="7" t="str">
        <x:v>TR-A</x:v>
      </x:c>
      <x:c r="G505" s="7" t="str">
        <x:v>QE-02</x:v>
      </x:c>
      <x:c r="H505" s="7" t="str">
        <x:v>EV-07</x:v>
      </x:c>
      <x:c r="I505" s="10" t="str">
        <x:v>water state</x:v>
      </x:c>
      <x:c r="J505" s="10" t="str">
        <x:v>flow, rain, quench, foam and rinse separation</x:v>
      </x:c>
      <x:c r="K505" s="7" t="str"/>
      <x:c r="L505" s="7" t="str">
        <x:v>OPEN</x:v>
      </x:c>
    </x:row>
    <x:row r="506" ht="40" customHeight="1">
      <x:c r="B506" s="7" t="str">
        <x:v>RAE-E-42-EV-08</x:v>
      </x:c>
      <x:c r="C506" s="7" t="str">
        <x:v>RAE-E-42</x:v>
      </x:c>
      <x:c r="D506" s="7" t="str">
        <x:v>RFP-C2</x:v>
      </x:c>
      <x:c r="E506" s="7" t="str">
        <x:v>AM-05</x:v>
      </x:c>
      <x:c r="F506" s="7" t="str">
        <x:v>TR-A</x:v>
      </x:c>
      <x:c r="G506" s="7" t="str">
        <x:v>QE-02</x:v>
      </x:c>
      <x:c r="H506" s="7" t="str">
        <x:v>EV-08</x:v>
      </x:c>
      <x:c r="I506" s="10" t="str">
        <x:v>ancestry</x:v>
      </x:c>
      <x:c r="J506" s="10" t="str">
        <x:v>source and water root recovery plus cross-talk</x:v>
      </x:c>
      <x:c r="K506" s="7" t="str"/>
      <x:c r="L506" s="7" t="str">
        <x:v>OPEN</x:v>
      </x:c>
    </x:row>
    <x:row r="507" ht="40" customHeight="1">
      <x:c r="B507" s="7" t="str">
        <x:v>RAE-E-42-EV-09</x:v>
      </x:c>
      <x:c r="C507" s="7" t="str">
        <x:v>RAE-E-42</x:v>
      </x:c>
      <x:c r="D507" s="7" t="str">
        <x:v>RFP-C2</x:v>
      </x:c>
      <x:c r="E507" s="7" t="str">
        <x:v>AM-05</x:v>
      </x:c>
      <x:c r="F507" s="7" t="str">
        <x:v>TR-A</x:v>
      </x:c>
      <x:c r="G507" s="7" t="str">
        <x:v>QE-02</x:v>
      </x:c>
      <x:c r="H507" s="7" t="str">
        <x:v>EV-09</x:v>
      </x:c>
      <x:c r="I507" s="10" t="str">
        <x:v>environmental boundary</x:v>
      </x:c>
      <x:c r="J507" s="10" t="str">
        <x:v>background and post-event sample set</x:v>
      </x:c>
      <x:c r="K507" s="7" t="str"/>
      <x:c r="L507" s="7" t="str">
        <x:v>OPEN</x:v>
      </x:c>
    </x:row>
    <x:row r="508" ht="40" customHeight="1">
      <x:c r="B508" s="7" t="str">
        <x:v>RAE-E-42-EV-10</x:v>
      </x:c>
      <x:c r="C508" s="7" t="str">
        <x:v>RAE-E-42</x:v>
      </x:c>
      <x:c r="D508" s="7" t="str">
        <x:v>RFP-C2</x:v>
      </x:c>
      <x:c r="E508" s="7" t="str">
        <x:v>AM-05</x:v>
      </x:c>
      <x:c r="F508" s="7" t="str">
        <x:v>TR-A</x:v>
      </x:c>
      <x:c r="G508" s="7" t="str">
        <x:v>QE-02</x:v>
      </x:c>
      <x:c r="H508" s="7" t="str">
        <x:v>EV-10</x:v>
      </x:c>
      <x:c r="I508" s="10" t="str">
        <x:v>neighbor state</x:v>
      </x:c>
      <x:c r="J508" s="10" t="str">
        <x:v>three independent inert-state records</x:v>
      </x:c>
      <x:c r="K508" s="7" t="str"/>
      <x:c r="L508" s="7" t="str">
        <x:v>OPEN</x:v>
      </x:c>
    </x:row>
    <x:row r="509" ht="40" customHeight="1">
      <x:c r="B509" s="7" t="str">
        <x:v>RAE-E-42-EV-11</x:v>
      </x:c>
      <x:c r="C509" s="7" t="str">
        <x:v>RAE-E-42</x:v>
      </x:c>
      <x:c r="D509" s="7" t="str">
        <x:v>RFP-C2</x:v>
      </x:c>
      <x:c r="E509" s="7" t="str">
        <x:v>AM-05</x:v>
      </x:c>
      <x:c r="F509" s="7" t="str">
        <x:v>TR-A</x:v>
      </x:c>
      <x:c r="G509" s="7" t="str">
        <x:v>QE-02</x:v>
      </x:c>
      <x:c r="H509" s="7" t="str">
        <x:v>EV-11</x:v>
      </x:c>
      <x:c r="I509" s="10" t="str">
        <x:v>intervention state</x:v>
      </x:c>
      <x:c r="J509" s="10" t="str">
        <x:v>human, automatic and rescue actions</x:v>
      </x:c>
      <x:c r="K509" s="7" t="str"/>
      <x:c r="L509" s="7" t="str">
        <x:v>OPEN</x:v>
      </x:c>
    </x:row>
    <x:row r="510" ht="40" customHeight="1">
      <x:c r="B510" s="7" t="str">
        <x:v>RAE-E-42-EV-12</x:v>
      </x:c>
      <x:c r="C510" s="7" t="str">
        <x:v>RAE-E-42</x:v>
      </x:c>
      <x:c r="D510" s="7" t="str">
        <x:v>RFP-C2</x:v>
      </x:c>
      <x:c r="E510" s="7" t="str">
        <x:v>AM-05</x:v>
      </x:c>
      <x:c r="F510" s="7" t="str">
        <x:v>TR-A</x:v>
      </x:c>
      <x:c r="G510" s="7" t="str">
        <x:v>QE-02</x:v>
      </x:c>
      <x:c r="H510" s="7" t="str">
        <x:v>EV-12</x:v>
      </x:c>
      <x:c r="I510" s="10" t="str">
        <x:v>validity packet</x:v>
      </x:c>
      <x:c r="J510" s="10" t="str">
        <x:v>native hashes, causal map and board disposition</x:v>
      </x:c>
      <x:c r="K510" s="7" t="str"/>
      <x:c r="L510" s="7" t="str">
        <x:v>OPEN</x:v>
      </x:c>
    </x:row>
    <x:row r="511" ht="40" customHeight="1">
      <x:c r="B511" s="7" t="str">
        <x:v>RAE-E-43-EV-01</x:v>
      </x:c>
      <x:c r="C511" s="7" t="str">
        <x:v>RAE-E-43</x:v>
      </x:c>
      <x:c r="D511" s="7" t="str">
        <x:v>RFP-C2</x:v>
      </x:c>
      <x:c r="E511" s="7" t="str">
        <x:v>AM-05</x:v>
      </x:c>
      <x:c r="F511" s="7" t="str">
        <x:v>TR-B</x:v>
      </x:c>
      <x:c r="G511" s="7" t="str">
        <x:v>QE-01</x:v>
      </x:c>
      <x:c r="H511" s="7" t="str">
        <x:v>EV-01</x:v>
      </x:c>
      <x:c r="I511" s="10" t="str">
        <x:v>registered event baseline</x:v>
      </x:c>
      <x:c r="J511" s="10" t="str">
        <x:v>configuration master plus event register</x:v>
      </x:c>
      <x:c r="K511" s="7" t="str"/>
      <x:c r="L511" s="7" t="str">
        <x:v>OPEN</x:v>
      </x:c>
    </x:row>
    <x:row r="512" ht="40" customHeight="1">
      <x:c r="B512" s="7" t="str">
        <x:v>RAE-E-43-EV-02</x:v>
      </x:c>
      <x:c r="C512" s="7" t="str">
        <x:v>RAE-E-43</x:v>
      </x:c>
      <x:c r="D512" s="7" t="str">
        <x:v>RFP-C2</x:v>
      </x:c>
      <x:c r="E512" s="7" t="str">
        <x:v>AM-05</x:v>
      </x:c>
      <x:c r="F512" s="7" t="str">
        <x:v>TR-B</x:v>
      </x:c>
      <x:c r="G512" s="7" t="str">
        <x:v>QE-01</x:v>
      </x:c>
      <x:c r="H512" s="7" t="str">
        <x:v>EV-02</x:v>
      </x:c>
      <x:c r="I512" s="10" t="str">
        <x:v>source command and mass</x:v>
      </x:c>
      <x:c r="J512" s="10" t="str">
        <x:v>native command, load cells and custody ledger</x:v>
      </x:c>
      <x:c r="K512" s="7" t="str"/>
      <x:c r="L512" s="7" t="str">
        <x:v>OPEN</x:v>
      </x:c>
    </x:row>
    <x:row r="513" ht="40" customHeight="1">
      <x:c r="B513" s="7" t="str">
        <x:v>RAE-E-43-EV-03</x:v>
      </x:c>
      <x:c r="C513" s="7" t="str">
        <x:v>RAE-E-43</x:v>
      </x:c>
      <x:c r="D513" s="7" t="str">
        <x:v>RFP-C2</x:v>
      </x:c>
      <x:c r="E513" s="7" t="str">
        <x:v>AM-05</x:v>
      </x:c>
      <x:c r="F513" s="7" t="str">
        <x:v>TR-B</x:v>
      </x:c>
      <x:c r="G513" s="7" t="str">
        <x:v>QE-01</x:v>
      </x:c>
      <x:c r="H513" s="7" t="str">
        <x:v>EV-03</x:v>
      </x:c>
      <x:c r="I513" s="10" t="str">
        <x:v>final control states</x:v>
      </x:c>
      <x:c r="J513" s="10" t="str">
        <x:v>direct element sensors plus local latch</x:v>
      </x:c>
      <x:c r="K513" s="7" t="str"/>
      <x:c r="L513" s="7" t="str">
        <x:v>OPEN</x:v>
      </x:c>
    </x:row>
    <x:row r="514" ht="40" customHeight="1">
      <x:c r="B514" s="7" t="str">
        <x:v>RAE-E-43-EV-04</x:v>
      </x:c>
      <x:c r="C514" s="7" t="str">
        <x:v>RAE-E-43</x:v>
      </x:c>
      <x:c r="D514" s="7" t="str">
        <x:v>RFP-C2</x:v>
      </x:c>
      <x:c r="E514" s="7" t="str">
        <x:v>AM-05</x:v>
      </x:c>
      <x:c r="F514" s="7" t="str">
        <x:v>TR-B</x:v>
      </x:c>
      <x:c r="G514" s="7" t="str">
        <x:v>QE-01</x:v>
      </x:c>
      <x:c r="H514" s="7" t="str">
        <x:v>EV-04</x:v>
      </x:c>
      <x:c r="I514" s="10" t="str">
        <x:v>path action times</x:v>
      </x:c>
      <x:c r="J514" s="10" t="str">
        <x:v>common-epoch trigger and state transitions</x:v>
      </x:c>
      <x:c r="K514" s="7" t="str"/>
      <x:c r="L514" s="7" t="str">
        <x:v>OPEN</x:v>
      </x:c>
    </x:row>
    <x:row r="515" ht="40" customHeight="1">
      <x:c r="B515" s="7" t="str">
        <x:v>RAE-E-43-EV-05</x:v>
      </x:c>
      <x:c r="C515" s="7" t="str">
        <x:v>RAE-E-43</x:v>
      </x:c>
      <x:c r="D515" s="7" t="str">
        <x:v>RFP-C2</x:v>
      </x:c>
      <x:c r="E515" s="7" t="str">
        <x:v>AM-05</x:v>
      </x:c>
      <x:c r="F515" s="7" t="str">
        <x:v>TR-B</x:v>
      </x:c>
      <x:c r="G515" s="7" t="str">
        <x:v>QE-01</x:v>
      </x:c>
      <x:c r="H515" s="7" t="str">
        <x:v>EV-05</x:v>
      </x:c>
      <x:c r="I515" s="10" t="str">
        <x:v>receiver inventories</x:v>
      </x:c>
      <x:c r="J515" s="10" t="str">
        <x:v>before, peak and after volume measurements</x:v>
      </x:c>
      <x:c r="K515" s="7" t="str"/>
      <x:c r="L515" s="7" t="str">
        <x:v>OPEN</x:v>
      </x:c>
    </x:row>
    <x:row r="516" ht="40" customHeight="1">
      <x:c r="B516" s="7" t="str">
        <x:v>RAE-E-43-EV-06</x:v>
      </x:c>
      <x:c r="C516" s="7" t="str">
        <x:v>RAE-E-43</x:v>
      </x:c>
      <x:c r="D516" s="7" t="str">
        <x:v>RFP-C2</x:v>
      </x:c>
      <x:c r="E516" s="7" t="str">
        <x:v>AM-05</x:v>
      </x:c>
      <x:c r="F516" s="7" t="str">
        <x:v>TR-B</x:v>
      </x:c>
      <x:c r="G516" s="7" t="str">
        <x:v>QE-01</x:v>
      </x:c>
      <x:c r="H516" s="7" t="str">
        <x:v>EV-06</x:v>
      </x:c>
      <x:c r="I516" s="10" t="str">
        <x:v>thermal field</x:v>
      </x:c>
      <x:c r="J516" s="10" t="str">
        <x:v>radiometry, heat flux and local weather</x:v>
      </x:c>
      <x:c r="K516" s="7" t="str"/>
      <x:c r="L516" s="7" t="str">
        <x:v>OPEN</x:v>
      </x:c>
    </x:row>
    <x:row r="517" ht="40" customHeight="1">
      <x:c r="B517" s="7" t="str">
        <x:v>RAE-E-43-EV-07</x:v>
      </x:c>
      <x:c r="C517" s="7" t="str">
        <x:v>RAE-E-43</x:v>
      </x:c>
      <x:c r="D517" s="7" t="str">
        <x:v>RFP-C2</x:v>
      </x:c>
      <x:c r="E517" s="7" t="str">
        <x:v>AM-05</x:v>
      </x:c>
      <x:c r="F517" s="7" t="str">
        <x:v>TR-B</x:v>
      </x:c>
      <x:c r="G517" s="7" t="str">
        <x:v>QE-01</x:v>
      </x:c>
      <x:c r="H517" s="7" t="str">
        <x:v>EV-07</x:v>
      </x:c>
      <x:c r="I517" s="10" t="str">
        <x:v>water state</x:v>
      </x:c>
      <x:c r="J517" s="10" t="str">
        <x:v>flow, rain, quench, foam and rinse separation</x:v>
      </x:c>
      <x:c r="K517" s="7" t="str"/>
      <x:c r="L517" s="7" t="str">
        <x:v>OPEN</x:v>
      </x:c>
    </x:row>
    <x:row r="518" ht="40" customHeight="1">
      <x:c r="B518" s="7" t="str">
        <x:v>RAE-E-43-EV-08</x:v>
      </x:c>
      <x:c r="C518" s="7" t="str">
        <x:v>RAE-E-43</x:v>
      </x:c>
      <x:c r="D518" s="7" t="str">
        <x:v>RFP-C2</x:v>
      </x:c>
      <x:c r="E518" s="7" t="str">
        <x:v>AM-05</x:v>
      </x:c>
      <x:c r="F518" s="7" t="str">
        <x:v>TR-B</x:v>
      </x:c>
      <x:c r="G518" s="7" t="str">
        <x:v>QE-01</x:v>
      </x:c>
      <x:c r="H518" s="7" t="str">
        <x:v>EV-08</x:v>
      </x:c>
      <x:c r="I518" s="10" t="str">
        <x:v>ancestry</x:v>
      </x:c>
      <x:c r="J518" s="10" t="str">
        <x:v>source and water root recovery plus cross-talk</x:v>
      </x:c>
      <x:c r="K518" s="7" t="str"/>
      <x:c r="L518" s="7" t="str">
        <x:v>OPEN</x:v>
      </x:c>
    </x:row>
    <x:row r="519" ht="40" customHeight="1">
      <x:c r="B519" s="7" t="str">
        <x:v>RAE-E-43-EV-09</x:v>
      </x:c>
      <x:c r="C519" s="7" t="str">
        <x:v>RAE-E-43</x:v>
      </x:c>
      <x:c r="D519" s="7" t="str">
        <x:v>RFP-C2</x:v>
      </x:c>
      <x:c r="E519" s="7" t="str">
        <x:v>AM-05</x:v>
      </x:c>
      <x:c r="F519" s="7" t="str">
        <x:v>TR-B</x:v>
      </x:c>
      <x:c r="G519" s="7" t="str">
        <x:v>QE-01</x:v>
      </x:c>
      <x:c r="H519" s="7" t="str">
        <x:v>EV-09</x:v>
      </x:c>
      <x:c r="I519" s="10" t="str">
        <x:v>environmental boundary</x:v>
      </x:c>
      <x:c r="J519" s="10" t="str">
        <x:v>background and post-event sample set</x:v>
      </x:c>
      <x:c r="K519" s="7" t="str"/>
      <x:c r="L519" s="7" t="str">
        <x:v>OPEN</x:v>
      </x:c>
    </x:row>
    <x:row r="520" ht="40" customHeight="1">
      <x:c r="B520" s="7" t="str">
        <x:v>RAE-E-43-EV-10</x:v>
      </x:c>
      <x:c r="C520" s="7" t="str">
        <x:v>RAE-E-43</x:v>
      </x:c>
      <x:c r="D520" s="7" t="str">
        <x:v>RFP-C2</x:v>
      </x:c>
      <x:c r="E520" s="7" t="str">
        <x:v>AM-05</x:v>
      </x:c>
      <x:c r="F520" s="7" t="str">
        <x:v>TR-B</x:v>
      </x:c>
      <x:c r="G520" s="7" t="str">
        <x:v>QE-01</x:v>
      </x:c>
      <x:c r="H520" s="7" t="str">
        <x:v>EV-10</x:v>
      </x:c>
      <x:c r="I520" s="10" t="str">
        <x:v>neighbor state</x:v>
      </x:c>
      <x:c r="J520" s="10" t="str">
        <x:v>three independent inert-state records</x:v>
      </x:c>
      <x:c r="K520" s="7" t="str"/>
      <x:c r="L520" s="7" t="str">
        <x:v>OPEN</x:v>
      </x:c>
    </x:row>
    <x:row r="521" ht="40" customHeight="1">
      <x:c r="B521" s="7" t="str">
        <x:v>RAE-E-43-EV-11</x:v>
      </x:c>
      <x:c r="C521" s="7" t="str">
        <x:v>RAE-E-43</x:v>
      </x:c>
      <x:c r="D521" s="7" t="str">
        <x:v>RFP-C2</x:v>
      </x:c>
      <x:c r="E521" s="7" t="str">
        <x:v>AM-05</x:v>
      </x:c>
      <x:c r="F521" s="7" t="str">
        <x:v>TR-B</x:v>
      </x:c>
      <x:c r="G521" s="7" t="str">
        <x:v>QE-01</x:v>
      </x:c>
      <x:c r="H521" s="7" t="str">
        <x:v>EV-11</x:v>
      </x:c>
      <x:c r="I521" s="10" t="str">
        <x:v>intervention state</x:v>
      </x:c>
      <x:c r="J521" s="10" t="str">
        <x:v>human, automatic and rescue actions</x:v>
      </x:c>
      <x:c r="K521" s="7" t="str"/>
      <x:c r="L521" s="7" t="str">
        <x:v>OPEN</x:v>
      </x:c>
    </x:row>
    <x:row r="522" ht="40" customHeight="1">
      <x:c r="B522" s="7" t="str">
        <x:v>RAE-E-43-EV-12</x:v>
      </x:c>
      <x:c r="C522" s="7" t="str">
        <x:v>RAE-E-43</x:v>
      </x:c>
      <x:c r="D522" s="7" t="str">
        <x:v>RFP-C2</x:v>
      </x:c>
      <x:c r="E522" s="7" t="str">
        <x:v>AM-05</x:v>
      </x:c>
      <x:c r="F522" s="7" t="str">
        <x:v>TR-B</x:v>
      </x:c>
      <x:c r="G522" s="7" t="str">
        <x:v>QE-01</x:v>
      </x:c>
      <x:c r="H522" s="7" t="str">
        <x:v>EV-12</x:v>
      </x:c>
      <x:c r="I522" s="10" t="str">
        <x:v>validity packet</x:v>
      </x:c>
      <x:c r="J522" s="10" t="str">
        <x:v>native hashes, causal map and board disposition</x:v>
      </x:c>
      <x:c r="K522" s="7" t="str"/>
      <x:c r="L522" s="7" t="str">
        <x:v>OPEN</x:v>
      </x:c>
    </x:row>
    <x:row r="523" ht="40" customHeight="1">
      <x:c r="B523" s="7" t="str">
        <x:v>RAE-E-44-EV-01</x:v>
      </x:c>
      <x:c r="C523" s="7" t="str">
        <x:v>RAE-E-44</x:v>
      </x:c>
      <x:c r="D523" s="7" t="str">
        <x:v>RFP-C2</x:v>
      </x:c>
      <x:c r="E523" s="7" t="str">
        <x:v>AM-05</x:v>
      </x:c>
      <x:c r="F523" s="7" t="str">
        <x:v>TR-B</x:v>
      </x:c>
      <x:c r="G523" s="7" t="str">
        <x:v>QE-02</x:v>
      </x:c>
      <x:c r="H523" s="7" t="str">
        <x:v>EV-01</x:v>
      </x:c>
      <x:c r="I523" s="10" t="str">
        <x:v>registered event baseline</x:v>
      </x:c>
      <x:c r="J523" s="10" t="str">
        <x:v>configuration master plus event register</x:v>
      </x:c>
      <x:c r="K523" s="7" t="str"/>
      <x:c r="L523" s="7" t="str">
        <x:v>OPEN</x:v>
      </x:c>
    </x:row>
    <x:row r="524" ht="40" customHeight="1">
      <x:c r="B524" s="7" t="str">
        <x:v>RAE-E-44-EV-02</x:v>
      </x:c>
      <x:c r="C524" s="7" t="str">
        <x:v>RAE-E-44</x:v>
      </x:c>
      <x:c r="D524" s="7" t="str">
        <x:v>RFP-C2</x:v>
      </x:c>
      <x:c r="E524" s="7" t="str">
        <x:v>AM-05</x:v>
      </x:c>
      <x:c r="F524" s="7" t="str">
        <x:v>TR-B</x:v>
      </x:c>
      <x:c r="G524" s="7" t="str">
        <x:v>QE-02</x:v>
      </x:c>
      <x:c r="H524" s="7" t="str">
        <x:v>EV-02</x:v>
      </x:c>
      <x:c r="I524" s="10" t="str">
        <x:v>source command and mass</x:v>
      </x:c>
      <x:c r="J524" s="10" t="str">
        <x:v>native command, load cells and custody ledger</x:v>
      </x:c>
      <x:c r="K524" s="7" t="str"/>
      <x:c r="L524" s="7" t="str">
        <x:v>OPEN</x:v>
      </x:c>
    </x:row>
    <x:row r="525" ht="40" customHeight="1">
      <x:c r="B525" s="7" t="str">
        <x:v>RAE-E-44-EV-03</x:v>
      </x:c>
      <x:c r="C525" s="7" t="str">
        <x:v>RAE-E-44</x:v>
      </x:c>
      <x:c r="D525" s="7" t="str">
        <x:v>RFP-C2</x:v>
      </x:c>
      <x:c r="E525" s="7" t="str">
        <x:v>AM-05</x:v>
      </x:c>
      <x:c r="F525" s="7" t="str">
        <x:v>TR-B</x:v>
      </x:c>
      <x:c r="G525" s="7" t="str">
        <x:v>QE-02</x:v>
      </x:c>
      <x:c r="H525" s="7" t="str">
        <x:v>EV-03</x:v>
      </x:c>
      <x:c r="I525" s="10" t="str">
        <x:v>final control states</x:v>
      </x:c>
      <x:c r="J525" s="10" t="str">
        <x:v>direct element sensors plus local latch</x:v>
      </x:c>
      <x:c r="K525" s="7" t="str"/>
      <x:c r="L525" s="7" t="str">
        <x:v>OPEN</x:v>
      </x:c>
    </x:row>
    <x:row r="526" ht="40" customHeight="1">
      <x:c r="B526" s="7" t="str">
        <x:v>RAE-E-44-EV-04</x:v>
      </x:c>
      <x:c r="C526" s="7" t="str">
        <x:v>RAE-E-44</x:v>
      </x:c>
      <x:c r="D526" s="7" t="str">
        <x:v>RFP-C2</x:v>
      </x:c>
      <x:c r="E526" s="7" t="str">
        <x:v>AM-05</x:v>
      </x:c>
      <x:c r="F526" s="7" t="str">
        <x:v>TR-B</x:v>
      </x:c>
      <x:c r="G526" s="7" t="str">
        <x:v>QE-02</x:v>
      </x:c>
      <x:c r="H526" s="7" t="str">
        <x:v>EV-04</x:v>
      </x:c>
      <x:c r="I526" s="10" t="str">
        <x:v>path action times</x:v>
      </x:c>
      <x:c r="J526" s="10" t="str">
        <x:v>common-epoch trigger and state transitions</x:v>
      </x:c>
      <x:c r="K526" s="7" t="str"/>
      <x:c r="L526" s="7" t="str">
        <x:v>OPEN</x:v>
      </x:c>
    </x:row>
    <x:row r="527" ht="40" customHeight="1">
      <x:c r="B527" s="7" t="str">
        <x:v>RAE-E-44-EV-05</x:v>
      </x:c>
      <x:c r="C527" s="7" t="str">
        <x:v>RAE-E-44</x:v>
      </x:c>
      <x:c r="D527" s="7" t="str">
        <x:v>RFP-C2</x:v>
      </x:c>
      <x:c r="E527" s="7" t="str">
        <x:v>AM-05</x:v>
      </x:c>
      <x:c r="F527" s="7" t="str">
        <x:v>TR-B</x:v>
      </x:c>
      <x:c r="G527" s="7" t="str">
        <x:v>QE-02</x:v>
      </x:c>
      <x:c r="H527" s="7" t="str">
        <x:v>EV-05</x:v>
      </x:c>
      <x:c r="I527" s="10" t="str">
        <x:v>receiver inventories</x:v>
      </x:c>
      <x:c r="J527" s="10" t="str">
        <x:v>before, peak and after volume measurements</x:v>
      </x:c>
      <x:c r="K527" s="7" t="str"/>
      <x:c r="L527" s="7" t="str">
        <x:v>OPEN</x:v>
      </x:c>
    </x:row>
    <x:row r="528" ht="40" customHeight="1">
      <x:c r="B528" s="7" t="str">
        <x:v>RAE-E-44-EV-06</x:v>
      </x:c>
      <x:c r="C528" s="7" t="str">
        <x:v>RAE-E-44</x:v>
      </x:c>
      <x:c r="D528" s="7" t="str">
        <x:v>RFP-C2</x:v>
      </x:c>
      <x:c r="E528" s="7" t="str">
        <x:v>AM-05</x:v>
      </x:c>
      <x:c r="F528" s="7" t="str">
        <x:v>TR-B</x:v>
      </x:c>
      <x:c r="G528" s="7" t="str">
        <x:v>QE-02</x:v>
      </x:c>
      <x:c r="H528" s="7" t="str">
        <x:v>EV-06</x:v>
      </x:c>
      <x:c r="I528" s="10" t="str">
        <x:v>thermal field</x:v>
      </x:c>
      <x:c r="J528" s="10" t="str">
        <x:v>radiometry, heat flux and local weather</x:v>
      </x:c>
      <x:c r="K528" s="7" t="str"/>
      <x:c r="L528" s="7" t="str">
        <x:v>OPEN</x:v>
      </x:c>
    </x:row>
    <x:row r="529" ht="40" customHeight="1">
      <x:c r="B529" s="7" t="str">
        <x:v>RAE-E-44-EV-07</x:v>
      </x:c>
      <x:c r="C529" s="7" t="str">
        <x:v>RAE-E-44</x:v>
      </x:c>
      <x:c r="D529" s="7" t="str">
        <x:v>RFP-C2</x:v>
      </x:c>
      <x:c r="E529" s="7" t="str">
        <x:v>AM-05</x:v>
      </x:c>
      <x:c r="F529" s="7" t="str">
        <x:v>TR-B</x:v>
      </x:c>
      <x:c r="G529" s="7" t="str">
        <x:v>QE-02</x:v>
      </x:c>
      <x:c r="H529" s="7" t="str">
        <x:v>EV-07</x:v>
      </x:c>
      <x:c r="I529" s="10" t="str">
        <x:v>water state</x:v>
      </x:c>
      <x:c r="J529" s="10" t="str">
        <x:v>flow, rain, quench, foam and rinse separation</x:v>
      </x:c>
      <x:c r="K529" s="7" t="str"/>
      <x:c r="L529" s="7" t="str">
        <x:v>OPEN</x:v>
      </x:c>
    </x:row>
    <x:row r="530" ht="40" customHeight="1">
      <x:c r="B530" s="7" t="str">
        <x:v>RAE-E-44-EV-08</x:v>
      </x:c>
      <x:c r="C530" s="7" t="str">
        <x:v>RAE-E-44</x:v>
      </x:c>
      <x:c r="D530" s="7" t="str">
        <x:v>RFP-C2</x:v>
      </x:c>
      <x:c r="E530" s="7" t="str">
        <x:v>AM-05</x:v>
      </x:c>
      <x:c r="F530" s="7" t="str">
        <x:v>TR-B</x:v>
      </x:c>
      <x:c r="G530" s="7" t="str">
        <x:v>QE-02</x:v>
      </x:c>
      <x:c r="H530" s="7" t="str">
        <x:v>EV-08</x:v>
      </x:c>
      <x:c r="I530" s="10" t="str">
        <x:v>ancestry</x:v>
      </x:c>
      <x:c r="J530" s="10" t="str">
        <x:v>source and water root recovery plus cross-talk</x:v>
      </x:c>
      <x:c r="K530" s="7" t="str"/>
      <x:c r="L530" s="7" t="str">
        <x:v>OPEN</x:v>
      </x:c>
    </x:row>
    <x:row r="531" ht="40" customHeight="1">
      <x:c r="B531" s="7" t="str">
        <x:v>RAE-E-44-EV-09</x:v>
      </x:c>
      <x:c r="C531" s="7" t="str">
        <x:v>RAE-E-44</x:v>
      </x:c>
      <x:c r="D531" s="7" t="str">
        <x:v>RFP-C2</x:v>
      </x:c>
      <x:c r="E531" s="7" t="str">
        <x:v>AM-05</x:v>
      </x:c>
      <x:c r="F531" s="7" t="str">
        <x:v>TR-B</x:v>
      </x:c>
      <x:c r="G531" s="7" t="str">
        <x:v>QE-02</x:v>
      </x:c>
      <x:c r="H531" s="7" t="str">
        <x:v>EV-09</x:v>
      </x:c>
      <x:c r="I531" s="10" t="str">
        <x:v>environmental boundary</x:v>
      </x:c>
      <x:c r="J531" s="10" t="str">
        <x:v>background and post-event sample set</x:v>
      </x:c>
      <x:c r="K531" s="7" t="str"/>
      <x:c r="L531" s="7" t="str">
        <x:v>OPEN</x:v>
      </x:c>
    </x:row>
    <x:row r="532" ht="40" customHeight="1">
      <x:c r="B532" s="7" t="str">
        <x:v>RAE-E-44-EV-10</x:v>
      </x:c>
      <x:c r="C532" s="7" t="str">
        <x:v>RAE-E-44</x:v>
      </x:c>
      <x:c r="D532" s="7" t="str">
        <x:v>RFP-C2</x:v>
      </x:c>
      <x:c r="E532" s="7" t="str">
        <x:v>AM-05</x:v>
      </x:c>
      <x:c r="F532" s="7" t="str">
        <x:v>TR-B</x:v>
      </x:c>
      <x:c r="G532" s="7" t="str">
        <x:v>QE-02</x:v>
      </x:c>
      <x:c r="H532" s="7" t="str">
        <x:v>EV-10</x:v>
      </x:c>
      <x:c r="I532" s="10" t="str">
        <x:v>neighbor state</x:v>
      </x:c>
      <x:c r="J532" s="10" t="str">
        <x:v>three independent inert-state records</x:v>
      </x:c>
      <x:c r="K532" s="7" t="str"/>
      <x:c r="L532" s="7" t="str">
        <x:v>OPEN</x:v>
      </x:c>
    </x:row>
    <x:row r="533" ht="40" customHeight="1">
      <x:c r="B533" s="7" t="str">
        <x:v>RAE-E-44-EV-11</x:v>
      </x:c>
      <x:c r="C533" s="7" t="str">
        <x:v>RAE-E-44</x:v>
      </x:c>
      <x:c r="D533" s="7" t="str">
        <x:v>RFP-C2</x:v>
      </x:c>
      <x:c r="E533" s="7" t="str">
        <x:v>AM-05</x:v>
      </x:c>
      <x:c r="F533" s="7" t="str">
        <x:v>TR-B</x:v>
      </x:c>
      <x:c r="G533" s="7" t="str">
        <x:v>QE-02</x:v>
      </x:c>
      <x:c r="H533" s="7" t="str">
        <x:v>EV-11</x:v>
      </x:c>
      <x:c r="I533" s="10" t="str">
        <x:v>intervention state</x:v>
      </x:c>
      <x:c r="J533" s="10" t="str">
        <x:v>human, automatic and rescue actions</x:v>
      </x:c>
      <x:c r="K533" s="7" t="str"/>
      <x:c r="L533" s="7" t="str">
        <x:v>OPEN</x:v>
      </x:c>
    </x:row>
    <x:row r="534" ht="40" customHeight="1">
      <x:c r="B534" s="7" t="str">
        <x:v>RAE-E-44-EV-12</x:v>
      </x:c>
      <x:c r="C534" s="7" t="str">
        <x:v>RAE-E-44</x:v>
      </x:c>
      <x:c r="D534" s="7" t="str">
        <x:v>RFP-C2</x:v>
      </x:c>
      <x:c r="E534" s="7" t="str">
        <x:v>AM-05</x:v>
      </x:c>
      <x:c r="F534" s="7" t="str">
        <x:v>TR-B</x:v>
      </x:c>
      <x:c r="G534" s="7" t="str">
        <x:v>QE-02</x:v>
      </x:c>
      <x:c r="H534" s="7" t="str">
        <x:v>EV-12</x:v>
      </x:c>
      <x:c r="I534" s="10" t="str">
        <x:v>validity packet</x:v>
      </x:c>
      <x:c r="J534" s="10" t="str">
        <x:v>native hashes, causal map and board disposition</x:v>
      </x:c>
      <x:c r="K534" s="7" t="str"/>
      <x:c r="L534" s="7" t="str">
        <x:v>OPEN</x:v>
      </x:c>
    </x:row>
    <x:row r="535" ht="40" customHeight="1">
      <x:c r="B535" s="7" t="str">
        <x:v>RAE-E-45-EV-01</x:v>
      </x:c>
      <x:c r="C535" s="7" t="str">
        <x:v>RAE-E-45</x:v>
      </x:c>
      <x:c r="D535" s="7" t="str">
        <x:v>RFP-C2</x:v>
      </x:c>
      <x:c r="E535" s="7" t="str">
        <x:v>AM-06</x:v>
      </x:c>
      <x:c r="F535" s="7" t="str">
        <x:v>TR-A</x:v>
      </x:c>
      <x:c r="G535" s="7" t="str">
        <x:v>QE-01</x:v>
      </x:c>
      <x:c r="H535" s="7" t="str">
        <x:v>EV-01</x:v>
      </x:c>
      <x:c r="I535" s="10" t="str">
        <x:v>registered event baseline</x:v>
      </x:c>
      <x:c r="J535" s="10" t="str">
        <x:v>configuration master plus event register</x:v>
      </x:c>
      <x:c r="K535" s="7" t="str"/>
      <x:c r="L535" s="7" t="str">
        <x:v>OPEN</x:v>
      </x:c>
    </x:row>
    <x:row r="536" ht="40" customHeight="1">
      <x:c r="B536" s="7" t="str">
        <x:v>RAE-E-45-EV-02</x:v>
      </x:c>
      <x:c r="C536" s="7" t="str">
        <x:v>RAE-E-45</x:v>
      </x:c>
      <x:c r="D536" s="7" t="str">
        <x:v>RFP-C2</x:v>
      </x:c>
      <x:c r="E536" s="7" t="str">
        <x:v>AM-06</x:v>
      </x:c>
      <x:c r="F536" s="7" t="str">
        <x:v>TR-A</x:v>
      </x:c>
      <x:c r="G536" s="7" t="str">
        <x:v>QE-01</x:v>
      </x:c>
      <x:c r="H536" s="7" t="str">
        <x:v>EV-02</x:v>
      </x:c>
      <x:c r="I536" s="10" t="str">
        <x:v>source command and mass</x:v>
      </x:c>
      <x:c r="J536" s="10" t="str">
        <x:v>native command, load cells and custody ledger</x:v>
      </x:c>
      <x:c r="K536" s="7" t="str"/>
      <x:c r="L536" s="7" t="str">
        <x:v>OPEN</x:v>
      </x:c>
    </x:row>
    <x:row r="537" ht="40" customHeight="1">
      <x:c r="B537" s="7" t="str">
        <x:v>RAE-E-45-EV-03</x:v>
      </x:c>
      <x:c r="C537" s="7" t="str">
        <x:v>RAE-E-45</x:v>
      </x:c>
      <x:c r="D537" s="7" t="str">
        <x:v>RFP-C2</x:v>
      </x:c>
      <x:c r="E537" s="7" t="str">
        <x:v>AM-06</x:v>
      </x:c>
      <x:c r="F537" s="7" t="str">
        <x:v>TR-A</x:v>
      </x:c>
      <x:c r="G537" s="7" t="str">
        <x:v>QE-01</x:v>
      </x:c>
      <x:c r="H537" s="7" t="str">
        <x:v>EV-03</x:v>
      </x:c>
      <x:c r="I537" s="10" t="str">
        <x:v>final control states</x:v>
      </x:c>
      <x:c r="J537" s="10" t="str">
        <x:v>direct element sensors plus local latch</x:v>
      </x:c>
      <x:c r="K537" s="7" t="str"/>
      <x:c r="L537" s="7" t="str">
        <x:v>OPEN</x:v>
      </x:c>
    </x:row>
    <x:row r="538" ht="40" customHeight="1">
      <x:c r="B538" s="7" t="str">
        <x:v>RAE-E-45-EV-04</x:v>
      </x:c>
      <x:c r="C538" s="7" t="str">
        <x:v>RAE-E-45</x:v>
      </x:c>
      <x:c r="D538" s="7" t="str">
        <x:v>RFP-C2</x:v>
      </x:c>
      <x:c r="E538" s="7" t="str">
        <x:v>AM-06</x:v>
      </x:c>
      <x:c r="F538" s="7" t="str">
        <x:v>TR-A</x:v>
      </x:c>
      <x:c r="G538" s="7" t="str">
        <x:v>QE-01</x:v>
      </x:c>
      <x:c r="H538" s="7" t="str">
        <x:v>EV-04</x:v>
      </x:c>
      <x:c r="I538" s="10" t="str">
        <x:v>path action times</x:v>
      </x:c>
      <x:c r="J538" s="10" t="str">
        <x:v>common-epoch trigger and state transitions</x:v>
      </x:c>
      <x:c r="K538" s="7" t="str"/>
      <x:c r="L538" s="7" t="str">
        <x:v>OPEN</x:v>
      </x:c>
    </x:row>
    <x:row r="539" ht="40" customHeight="1">
      <x:c r="B539" s="7" t="str">
        <x:v>RAE-E-45-EV-05</x:v>
      </x:c>
      <x:c r="C539" s="7" t="str">
        <x:v>RAE-E-45</x:v>
      </x:c>
      <x:c r="D539" s="7" t="str">
        <x:v>RFP-C2</x:v>
      </x:c>
      <x:c r="E539" s="7" t="str">
        <x:v>AM-06</x:v>
      </x:c>
      <x:c r="F539" s="7" t="str">
        <x:v>TR-A</x:v>
      </x:c>
      <x:c r="G539" s="7" t="str">
        <x:v>QE-01</x:v>
      </x:c>
      <x:c r="H539" s="7" t="str">
        <x:v>EV-05</x:v>
      </x:c>
      <x:c r="I539" s="10" t="str">
        <x:v>receiver inventories</x:v>
      </x:c>
      <x:c r="J539" s="10" t="str">
        <x:v>before, peak and after volume measurements</x:v>
      </x:c>
      <x:c r="K539" s="7" t="str"/>
      <x:c r="L539" s="7" t="str">
        <x:v>OPEN</x:v>
      </x:c>
    </x:row>
    <x:row r="540" ht="40" customHeight="1">
      <x:c r="B540" s="7" t="str">
        <x:v>RAE-E-45-EV-06</x:v>
      </x:c>
      <x:c r="C540" s="7" t="str">
        <x:v>RAE-E-45</x:v>
      </x:c>
      <x:c r="D540" s="7" t="str">
        <x:v>RFP-C2</x:v>
      </x:c>
      <x:c r="E540" s="7" t="str">
        <x:v>AM-06</x:v>
      </x:c>
      <x:c r="F540" s="7" t="str">
        <x:v>TR-A</x:v>
      </x:c>
      <x:c r="G540" s="7" t="str">
        <x:v>QE-01</x:v>
      </x:c>
      <x:c r="H540" s="7" t="str">
        <x:v>EV-06</x:v>
      </x:c>
      <x:c r="I540" s="10" t="str">
        <x:v>thermal field</x:v>
      </x:c>
      <x:c r="J540" s="10" t="str">
        <x:v>radiometry, heat flux and local weather</x:v>
      </x:c>
      <x:c r="K540" s="7" t="str"/>
      <x:c r="L540" s="7" t="str">
        <x:v>OPEN</x:v>
      </x:c>
    </x:row>
    <x:row r="541" ht="40" customHeight="1">
      <x:c r="B541" s="7" t="str">
        <x:v>RAE-E-45-EV-07</x:v>
      </x:c>
      <x:c r="C541" s="7" t="str">
        <x:v>RAE-E-45</x:v>
      </x:c>
      <x:c r="D541" s="7" t="str">
        <x:v>RFP-C2</x:v>
      </x:c>
      <x:c r="E541" s="7" t="str">
        <x:v>AM-06</x:v>
      </x:c>
      <x:c r="F541" s="7" t="str">
        <x:v>TR-A</x:v>
      </x:c>
      <x:c r="G541" s="7" t="str">
        <x:v>QE-01</x:v>
      </x:c>
      <x:c r="H541" s="7" t="str">
        <x:v>EV-07</x:v>
      </x:c>
      <x:c r="I541" s="10" t="str">
        <x:v>water state</x:v>
      </x:c>
      <x:c r="J541" s="10" t="str">
        <x:v>flow, rain, quench, foam and rinse separation</x:v>
      </x:c>
      <x:c r="K541" s="7" t="str"/>
      <x:c r="L541" s="7" t="str">
        <x:v>OPEN</x:v>
      </x:c>
    </x:row>
    <x:row r="542" ht="40" customHeight="1">
      <x:c r="B542" s="7" t="str">
        <x:v>RAE-E-45-EV-08</x:v>
      </x:c>
      <x:c r="C542" s="7" t="str">
        <x:v>RAE-E-45</x:v>
      </x:c>
      <x:c r="D542" s="7" t="str">
        <x:v>RFP-C2</x:v>
      </x:c>
      <x:c r="E542" s="7" t="str">
        <x:v>AM-06</x:v>
      </x:c>
      <x:c r="F542" s="7" t="str">
        <x:v>TR-A</x:v>
      </x:c>
      <x:c r="G542" s="7" t="str">
        <x:v>QE-01</x:v>
      </x:c>
      <x:c r="H542" s="7" t="str">
        <x:v>EV-08</x:v>
      </x:c>
      <x:c r="I542" s="10" t="str">
        <x:v>ancestry</x:v>
      </x:c>
      <x:c r="J542" s="10" t="str">
        <x:v>source and water root recovery plus cross-talk</x:v>
      </x:c>
      <x:c r="K542" s="7" t="str"/>
      <x:c r="L542" s="7" t="str">
        <x:v>OPEN</x:v>
      </x:c>
    </x:row>
    <x:row r="543" ht="40" customHeight="1">
      <x:c r="B543" s="7" t="str">
        <x:v>RAE-E-45-EV-09</x:v>
      </x:c>
      <x:c r="C543" s="7" t="str">
        <x:v>RAE-E-45</x:v>
      </x:c>
      <x:c r="D543" s="7" t="str">
        <x:v>RFP-C2</x:v>
      </x:c>
      <x:c r="E543" s="7" t="str">
        <x:v>AM-06</x:v>
      </x:c>
      <x:c r="F543" s="7" t="str">
        <x:v>TR-A</x:v>
      </x:c>
      <x:c r="G543" s="7" t="str">
        <x:v>QE-01</x:v>
      </x:c>
      <x:c r="H543" s="7" t="str">
        <x:v>EV-09</x:v>
      </x:c>
      <x:c r="I543" s="10" t="str">
        <x:v>environmental boundary</x:v>
      </x:c>
      <x:c r="J543" s="10" t="str">
        <x:v>background and post-event sample set</x:v>
      </x:c>
      <x:c r="K543" s="7" t="str"/>
      <x:c r="L543" s="7" t="str">
        <x:v>OPEN</x:v>
      </x:c>
    </x:row>
    <x:row r="544" ht="40" customHeight="1">
      <x:c r="B544" s="7" t="str">
        <x:v>RAE-E-45-EV-10</x:v>
      </x:c>
      <x:c r="C544" s="7" t="str">
        <x:v>RAE-E-45</x:v>
      </x:c>
      <x:c r="D544" s="7" t="str">
        <x:v>RFP-C2</x:v>
      </x:c>
      <x:c r="E544" s="7" t="str">
        <x:v>AM-06</x:v>
      </x:c>
      <x:c r="F544" s="7" t="str">
        <x:v>TR-A</x:v>
      </x:c>
      <x:c r="G544" s="7" t="str">
        <x:v>QE-01</x:v>
      </x:c>
      <x:c r="H544" s="7" t="str">
        <x:v>EV-10</x:v>
      </x:c>
      <x:c r="I544" s="10" t="str">
        <x:v>neighbor state</x:v>
      </x:c>
      <x:c r="J544" s="10" t="str">
        <x:v>three independent inert-state records</x:v>
      </x:c>
      <x:c r="K544" s="7" t="str"/>
      <x:c r="L544" s="7" t="str">
        <x:v>OPEN</x:v>
      </x:c>
    </x:row>
    <x:row r="545" ht="40" customHeight="1">
      <x:c r="B545" s="7" t="str">
        <x:v>RAE-E-45-EV-11</x:v>
      </x:c>
      <x:c r="C545" s="7" t="str">
        <x:v>RAE-E-45</x:v>
      </x:c>
      <x:c r="D545" s="7" t="str">
        <x:v>RFP-C2</x:v>
      </x:c>
      <x:c r="E545" s="7" t="str">
        <x:v>AM-06</x:v>
      </x:c>
      <x:c r="F545" s="7" t="str">
        <x:v>TR-A</x:v>
      </x:c>
      <x:c r="G545" s="7" t="str">
        <x:v>QE-01</x:v>
      </x:c>
      <x:c r="H545" s="7" t="str">
        <x:v>EV-11</x:v>
      </x:c>
      <x:c r="I545" s="10" t="str">
        <x:v>intervention state</x:v>
      </x:c>
      <x:c r="J545" s="10" t="str">
        <x:v>human, automatic and rescue actions</x:v>
      </x:c>
      <x:c r="K545" s="7" t="str"/>
      <x:c r="L545" s="7" t="str">
        <x:v>OPEN</x:v>
      </x:c>
    </x:row>
    <x:row r="546" ht="40" customHeight="1">
      <x:c r="B546" s="7" t="str">
        <x:v>RAE-E-45-EV-12</x:v>
      </x:c>
      <x:c r="C546" s="7" t="str">
        <x:v>RAE-E-45</x:v>
      </x:c>
      <x:c r="D546" s="7" t="str">
        <x:v>RFP-C2</x:v>
      </x:c>
      <x:c r="E546" s="7" t="str">
        <x:v>AM-06</x:v>
      </x:c>
      <x:c r="F546" s="7" t="str">
        <x:v>TR-A</x:v>
      </x:c>
      <x:c r="G546" s="7" t="str">
        <x:v>QE-01</x:v>
      </x:c>
      <x:c r="H546" s="7" t="str">
        <x:v>EV-12</x:v>
      </x:c>
      <x:c r="I546" s="10" t="str">
        <x:v>validity packet</x:v>
      </x:c>
      <x:c r="J546" s="10" t="str">
        <x:v>native hashes, causal map and board disposition</x:v>
      </x:c>
      <x:c r="K546" s="7" t="str"/>
      <x:c r="L546" s="7" t="str">
        <x:v>OPEN</x:v>
      </x:c>
    </x:row>
    <x:row r="547" ht="40" customHeight="1">
      <x:c r="B547" s="7" t="str">
        <x:v>RAE-E-46-EV-01</x:v>
      </x:c>
      <x:c r="C547" s="7" t="str">
        <x:v>RAE-E-46</x:v>
      </x:c>
      <x:c r="D547" s="7" t="str">
        <x:v>RFP-C2</x:v>
      </x:c>
      <x:c r="E547" s="7" t="str">
        <x:v>AM-06</x:v>
      </x:c>
      <x:c r="F547" s="7" t="str">
        <x:v>TR-A</x:v>
      </x:c>
      <x:c r="G547" s="7" t="str">
        <x:v>QE-02</x:v>
      </x:c>
      <x:c r="H547" s="7" t="str">
        <x:v>EV-01</x:v>
      </x:c>
      <x:c r="I547" s="10" t="str">
        <x:v>registered event baseline</x:v>
      </x:c>
      <x:c r="J547" s="10" t="str">
        <x:v>configuration master plus event register</x:v>
      </x:c>
      <x:c r="K547" s="7" t="str"/>
      <x:c r="L547" s="7" t="str">
        <x:v>OPEN</x:v>
      </x:c>
    </x:row>
    <x:row r="548" ht="40" customHeight="1">
      <x:c r="B548" s="7" t="str">
        <x:v>RAE-E-46-EV-02</x:v>
      </x:c>
      <x:c r="C548" s="7" t="str">
        <x:v>RAE-E-46</x:v>
      </x:c>
      <x:c r="D548" s="7" t="str">
        <x:v>RFP-C2</x:v>
      </x:c>
      <x:c r="E548" s="7" t="str">
        <x:v>AM-06</x:v>
      </x:c>
      <x:c r="F548" s="7" t="str">
        <x:v>TR-A</x:v>
      </x:c>
      <x:c r="G548" s="7" t="str">
        <x:v>QE-02</x:v>
      </x:c>
      <x:c r="H548" s="7" t="str">
        <x:v>EV-02</x:v>
      </x:c>
      <x:c r="I548" s="10" t="str">
        <x:v>source command and mass</x:v>
      </x:c>
      <x:c r="J548" s="10" t="str">
        <x:v>native command, load cells and custody ledger</x:v>
      </x:c>
      <x:c r="K548" s="7" t="str"/>
      <x:c r="L548" s="7" t="str">
        <x:v>OPEN</x:v>
      </x:c>
    </x:row>
    <x:row r="549" ht="40" customHeight="1">
      <x:c r="B549" s="7" t="str">
        <x:v>RAE-E-46-EV-03</x:v>
      </x:c>
      <x:c r="C549" s="7" t="str">
        <x:v>RAE-E-46</x:v>
      </x:c>
      <x:c r="D549" s="7" t="str">
        <x:v>RFP-C2</x:v>
      </x:c>
      <x:c r="E549" s="7" t="str">
        <x:v>AM-06</x:v>
      </x:c>
      <x:c r="F549" s="7" t="str">
        <x:v>TR-A</x:v>
      </x:c>
      <x:c r="G549" s="7" t="str">
        <x:v>QE-02</x:v>
      </x:c>
      <x:c r="H549" s="7" t="str">
        <x:v>EV-03</x:v>
      </x:c>
      <x:c r="I549" s="10" t="str">
        <x:v>final control states</x:v>
      </x:c>
      <x:c r="J549" s="10" t="str">
        <x:v>direct element sensors plus local latch</x:v>
      </x:c>
      <x:c r="K549" s="7" t="str"/>
      <x:c r="L549" s="7" t="str">
        <x:v>OPEN</x:v>
      </x:c>
    </x:row>
    <x:row r="550" ht="40" customHeight="1">
      <x:c r="B550" s="7" t="str">
        <x:v>RAE-E-46-EV-04</x:v>
      </x:c>
      <x:c r="C550" s="7" t="str">
        <x:v>RAE-E-46</x:v>
      </x:c>
      <x:c r="D550" s="7" t="str">
        <x:v>RFP-C2</x:v>
      </x:c>
      <x:c r="E550" s="7" t="str">
        <x:v>AM-06</x:v>
      </x:c>
      <x:c r="F550" s="7" t="str">
        <x:v>TR-A</x:v>
      </x:c>
      <x:c r="G550" s="7" t="str">
        <x:v>QE-02</x:v>
      </x:c>
      <x:c r="H550" s="7" t="str">
        <x:v>EV-04</x:v>
      </x:c>
      <x:c r="I550" s="10" t="str">
        <x:v>path action times</x:v>
      </x:c>
      <x:c r="J550" s="10" t="str">
        <x:v>common-epoch trigger and state transitions</x:v>
      </x:c>
      <x:c r="K550" s="7" t="str"/>
      <x:c r="L550" s="7" t="str">
        <x:v>OPEN</x:v>
      </x:c>
    </x:row>
    <x:row r="551" ht="40" customHeight="1">
      <x:c r="B551" s="7" t="str">
        <x:v>RAE-E-46-EV-05</x:v>
      </x:c>
      <x:c r="C551" s="7" t="str">
        <x:v>RAE-E-46</x:v>
      </x:c>
      <x:c r="D551" s="7" t="str">
        <x:v>RFP-C2</x:v>
      </x:c>
      <x:c r="E551" s="7" t="str">
        <x:v>AM-06</x:v>
      </x:c>
      <x:c r="F551" s="7" t="str">
        <x:v>TR-A</x:v>
      </x:c>
      <x:c r="G551" s="7" t="str">
        <x:v>QE-02</x:v>
      </x:c>
      <x:c r="H551" s="7" t="str">
        <x:v>EV-05</x:v>
      </x:c>
      <x:c r="I551" s="10" t="str">
        <x:v>receiver inventories</x:v>
      </x:c>
      <x:c r="J551" s="10" t="str">
        <x:v>before, peak and after volume measurements</x:v>
      </x:c>
      <x:c r="K551" s="7" t="str"/>
      <x:c r="L551" s="7" t="str">
        <x:v>OPEN</x:v>
      </x:c>
    </x:row>
    <x:row r="552" ht="40" customHeight="1">
      <x:c r="B552" s="7" t="str">
        <x:v>RAE-E-46-EV-06</x:v>
      </x:c>
      <x:c r="C552" s="7" t="str">
        <x:v>RAE-E-46</x:v>
      </x:c>
      <x:c r="D552" s="7" t="str">
        <x:v>RFP-C2</x:v>
      </x:c>
      <x:c r="E552" s="7" t="str">
        <x:v>AM-06</x:v>
      </x:c>
      <x:c r="F552" s="7" t="str">
        <x:v>TR-A</x:v>
      </x:c>
      <x:c r="G552" s="7" t="str">
        <x:v>QE-02</x:v>
      </x:c>
      <x:c r="H552" s="7" t="str">
        <x:v>EV-06</x:v>
      </x:c>
      <x:c r="I552" s="10" t="str">
        <x:v>thermal field</x:v>
      </x:c>
      <x:c r="J552" s="10" t="str">
        <x:v>radiometry, heat flux and local weather</x:v>
      </x:c>
      <x:c r="K552" s="7" t="str"/>
      <x:c r="L552" s="7" t="str">
        <x:v>OPEN</x:v>
      </x:c>
    </x:row>
    <x:row r="553" ht="40" customHeight="1">
      <x:c r="B553" s="7" t="str">
        <x:v>RAE-E-46-EV-07</x:v>
      </x:c>
      <x:c r="C553" s="7" t="str">
        <x:v>RAE-E-46</x:v>
      </x:c>
      <x:c r="D553" s="7" t="str">
        <x:v>RFP-C2</x:v>
      </x:c>
      <x:c r="E553" s="7" t="str">
        <x:v>AM-06</x:v>
      </x:c>
      <x:c r="F553" s="7" t="str">
        <x:v>TR-A</x:v>
      </x:c>
      <x:c r="G553" s="7" t="str">
        <x:v>QE-02</x:v>
      </x:c>
      <x:c r="H553" s="7" t="str">
        <x:v>EV-07</x:v>
      </x:c>
      <x:c r="I553" s="10" t="str">
        <x:v>water state</x:v>
      </x:c>
      <x:c r="J553" s="10" t="str">
        <x:v>flow, rain, quench, foam and rinse separation</x:v>
      </x:c>
      <x:c r="K553" s="7" t="str"/>
      <x:c r="L553" s="7" t="str">
        <x:v>OPEN</x:v>
      </x:c>
    </x:row>
    <x:row r="554" ht="40" customHeight="1">
      <x:c r="B554" s="7" t="str">
        <x:v>RAE-E-46-EV-08</x:v>
      </x:c>
      <x:c r="C554" s="7" t="str">
        <x:v>RAE-E-46</x:v>
      </x:c>
      <x:c r="D554" s="7" t="str">
        <x:v>RFP-C2</x:v>
      </x:c>
      <x:c r="E554" s="7" t="str">
        <x:v>AM-06</x:v>
      </x:c>
      <x:c r="F554" s="7" t="str">
        <x:v>TR-A</x:v>
      </x:c>
      <x:c r="G554" s="7" t="str">
        <x:v>QE-02</x:v>
      </x:c>
      <x:c r="H554" s="7" t="str">
        <x:v>EV-08</x:v>
      </x:c>
      <x:c r="I554" s="10" t="str">
        <x:v>ancestry</x:v>
      </x:c>
      <x:c r="J554" s="10" t="str">
        <x:v>source and water root recovery plus cross-talk</x:v>
      </x:c>
      <x:c r="K554" s="7" t="str"/>
      <x:c r="L554" s="7" t="str">
        <x:v>OPEN</x:v>
      </x:c>
    </x:row>
    <x:row r="555" ht="40" customHeight="1">
      <x:c r="B555" s="7" t="str">
        <x:v>RAE-E-46-EV-09</x:v>
      </x:c>
      <x:c r="C555" s="7" t="str">
        <x:v>RAE-E-46</x:v>
      </x:c>
      <x:c r="D555" s="7" t="str">
        <x:v>RFP-C2</x:v>
      </x:c>
      <x:c r="E555" s="7" t="str">
        <x:v>AM-06</x:v>
      </x:c>
      <x:c r="F555" s="7" t="str">
        <x:v>TR-A</x:v>
      </x:c>
      <x:c r="G555" s="7" t="str">
        <x:v>QE-02</x:v>
      </x:c>
      <x:c r="H555" s="7" t="str">
        <x:v>EV-09</x:v>
      </x:c>
      <x:c r="I555" s="10" t="str">
        <x:v>environmental boundary</x:v>
      </x:c>
      <x:c r="J555" s="10" t="str">
        <x:v>background and post-event sample set</x:v>
      </x:c>
      <x:c r="K555" s="7" t="str"/>
      <x:c r="L555" s="7" t="str">
        <x:v>OPEN</x:v>
      </x:c>
    </x:row>
    <x:row r="556" ht="40" customHeight="1">
      <x:c r="B556" s="7" t="str">
        <x:v>RAE-E-46-EV-10</x:v>
      </x:c>
      <x:c r="C556" s="7" t="str">
        <x:v>RAE-E-46</x:v>
      </x:c>
      <x:c r="D556" s="7" t="str">
        <x:v>RFP-C2</x:v>
      </x:c>
      <x:c r="E556" s="7" t="str">
        <x:v>AM-06</x:v>
      </x:c>
      <x:c r="F556" s="7" t="str">
        <x:v>TR-A</x:v>
      </x:c>
      <x:c r="G556" s="7" t="str">
        <x:v>QE-02</x:v>
      </x:c>
      <x:c r="H556" s="7" t="str">
        <x:v>EV-10</x:v>
      </x:c>
      <x:c r="I556" s="10" t="str">
        <x:v>neighbor state</x:v>
      </x:c>
      <x:c r="J556" s="10" t="str">
        <x:v>three independent inert-state records</x:v>
      </x:c>
      <x:c r="K556" s="7" t="str"/>
      <x:c r="L556" s="7" t="str">
        <x:v>OPEN</x:v>
      </x:c>
    </x:row>
    <x:row r="557" ht="40" customHeight="1">
      <x:c r="B557" s="7" t="str">
        <x:v>RAE-E-46-EV-11</x:v>
      </x:c>
      <x:c r="C557" s="7" t="str">
        <x:v>RAE-E-46</x:v>
      </x:c>
      <x:c r="D557" s="7" t="str">
        <x:v>RFP-C2</x:v>
      </x:c>
      <x:c r="E557" s="7" t="str">
        <x:v>AM-06</x:v>
      </x:c>
      <x:c r="F557" s="7" t="str">
        <x:v>TR-A</x:v>
      </x:c>
      <x:c r="G557" s="7" t="str">
        <x:v>QE-02</x:v>
      </x:c>
      <x:c r="H557" s="7" t="str">
        <x:v>EV-11</x:v>
      </x:c>
      <x:c r="I557" s="10" t="str">
        <x:v>intervention state</x:v>
      </x:c>
      <x:c r="J557" s="10" t="str">
        <x:v>human, automatic and rescue actions</x:v>
      </x:c>
      <x:c r="K557" s="7" t="str"/>
      <x:c r="L557" s="7" t="str">
        <x:v>OPEN</x:v>
      </x:c>
    </x:row>
    <x:row r="558" ht="40" customHeight="1">
      <x:c r="B558" s="7" t="str">
        <x:v>RAE-E-46-EV-12</x:v>
      </x:c>
      <x:c r="C558" s="7" t="str">
        <x:v>RAE-E-46</x:v>
      </x:c>
      <x:c r="D558" s="7" t="str">
        <x:v>RFP-C2</x:v>
      </x:c>
      <x:c r="E558" s="7" t="str">
        <x:v>AM-06</x:v>
      </x:c>
      <x:c r="F558" s="7" t="str">
        <x:v>TR-A</x:v>
      </x:c>
      <x:c r="G558" s="7" t="str">
        <x:v>QE-02</x:v>
      </x:c>
      <x:c r="H558" s="7" t="str">
        <x:v>EV-12</x:v>
      </x:c>
      <x:c r="I558" s="10" t="str">
        <x:v>validity packet</x:v>
      </x:c>
      <x:c r="J558" s="10" t="str">
        <x:v>native hashes, causal map and board disposition</x:v>
      </x:c>
      <x:c r="K558" s="7" t="str"/>
      <x:c r="L558" s="7" t="str">
        <x:v>OPEN</x:v>
      </x:c>
    </x:row>
    <x:row r="559" ht="40" customHeight="1">
      <x:c r="B559" s="7" t="str">
        <x:v>RAE-E-47-EV-01</x:v>
      </x:c>
      <x:c r="C559" s="7" t="str">
        <x:v>RAE-E-47</x:v>
      </x:c>
      <x:c r="D559" s="7" t="str">
        <x:v>RFP-C2</x:v>
      </x:c>
      <x:c r="E559" s="7" t="str">
        <x:v>AM-06</x:v>
      </x:c>
      <x:c r="F559" s="7" t="str">
        <x:v>TR-B</x:v>
      </x:c>
      <x:c r="G559" s="7" t="str">
        <x:v>QE-01</x:v>
      </x:c>
      <x:c r="H559" s="7" t="str">
        <x:v>EV-01</x:v>
      </x:c>
      <x:c r="I559" s="10" t="str">
        <x:v>registered event baseline</x:v>
      </x:c>
      <x:c r="J559" s="10" t="str">
        <x:v>configuration master plus event register</x:v>
      </x:c>
      <x:c r="K559" s="7" t="str"/>
      <x:c r="L559" s="7" t="str">
        <x:v>OPEN</x:v>
      </x:c>
    </x:row>
    <x:row r="560" ht="40" customHeight="1">
      <x:c r="B560" s="7" t="str">
        <x:v>RAE-E-47-EV-02</x:v>
      </x:c>
      <x:c r="C560" s="7" t="str">
        <x:v>RAE-E-47</x:v>
      </x:c>
      <x:c r="D560" s="7" t="str">
        <x:v>RFP-C2</x:v>
      </x:c>
      <x:c r="E560" s="7" t="str">
        <x:v>AM-06</x:v>
      </x:c>
      <x:c r="F560" s="7" t="str">
        <x:v>TR-B</x:v>
      </x:c>
      <x:c r="G560" s="7" t="str">
        <x:v>QE-01</x:v>
      </x:c>
      <x:c r="H560" s="7" t="str">
        <x:v>EV-02</x:v>
      </x:c>
      <x:c r="I560" s="10" t="str">
        <x:v>source command and mass</x:v>
      </x:c>
      <x:c r="J560" s="10" t="str">
        <x:v>native command, load cells and custody ledger</x:v>
      </x:c>
      <x:c r="K560" s="7" t="str"/>
      <x:c r="L560" s="7" t="str">
        <x:v>OPEN</x:v>
      </x:c>
    </x:row>
    <x:row r="561" ht="40" customHeight="1">
      <x:c r="B561" s="7" t="str">
        <x:v>RAE-E-47-EV-03</x:v>
      </x:c>
      <x:c r="C561" s="7" t="str">
        <x:v>RAE-E-47</x:v>
      </x:c>
      <x:c r="D561" s="7" t="str">
        <x:v>RFP-C2</x:v>
      </x:c>
      <x:c r="E561" s="7" t="str">
        <x:v>AM-06</x:v>
      </x:c>
      <x:c r="F561" s="7" t="str">
        <x:v>TR-B</x:v>
      </x:c>
      <x:c r="G561" s="7" t="str">
        <x:v>QE-01</x:v>
      </x:c>
      <x:c r="H561" s="7" t="str">
        <x:v>EV-03</x:v>
      </x:c>
      <x:c r="I561" s="10" t="str">
        <x:v>final control states</x:v>
      </x:c>
      <x:c r="J561" s="10" t="str">
        <x:v>direct element sensors plus local latch</x:v>
      </x:c>
      <x:c r="K561" s="7" t="str"/>
      <x:c r="L561" s="7" t="str">
        <x:v>OPEN</x:v>
      </x:c>
    </x:row>
    <x:row r="562" ht="40" customHeight="1">
      <x:c r="B562" s="7" t="str">
        <x:v>RAE-E-47-EV-04</x:v>
      </x:c>
      <x:c r="C562" s="7" t="str">
        <x:v>RAE-E-47</x:v>
      </x:c>
      <x:c r="D562" s="7" t="str">
        <x:v>RFP-C2</x:v>
      </x:c>
      <x:c r="E562" s="7" t="str">
        <x:v>AM-06</x:v>
      </x:c>
      <x:c r="F562" s="7" t="str">
        <x:v>TR-B</x:v>
      </x:c>
      <x:c r="G562" s="7" t="str">
        <x:v>QE-01</x:v>
      </x:c>
      <x:c r="H562" s="7" t="str">
        <x:v>EV-04</x:v>
      </x:c>
      <x:c r="I562" s="10" t="str">
        <x:v>path action times</x:v>
      </x:c>
      <x:c r="J562" s="10" t="str">
        <x:v>common-epoch trigger and state transitions</x:v>
      </x:c>
      <x:c r="K562" s="7" t="str"/>
      <x:c r="L562" s="7" t="str">
        <x:v>OPEN</x:v>
      </x:c>
    </x:row>
    <x:row r="563" ht="40" customHeight="1">
      <x:c r="B563" s="7" t="str">
        <x:v>RAE-E-47-EV-05</x:v>
      </x:c>
      <x:c r="C563" s="7" t="str">
        <x:v>RAE-E-47</x:v>
      </x:c>
      <x:c r="D563" s="7" t="str">
        <x:v>RFP-C2</x:v>
      </x:c>
      <x:c r="E563" s="7" t="str">
        <x:v>AM-06</x:v>
      </x:c>
      <x:c r="F563" s="7" t="str">
        <x:v>TR-B</x:v>
      </x:c>
      <x:c r="G563" s="7" t="str">
        <x:v>QE-01</x:v>
      </x:c>
      <x:c r="H563" s="7" t="str">
        <x:v>EV-05</x:v>
      </x:c>
      <x:c r="I563" s="10" t="str">
        <x:v>receiver inventories</x:v>
      </x:c>
      <x:c r="J563" s="10" t="str">
        <x:v>before, peak and after volume measurements</x:v>
      </x:c>
      <x:c r="K563" s="7" t="str"/>
      <x:c r="L563" s="7" t="str">
        <x:v>OPEN</x:v>
      </x:c>
    </x:row>
    <x:row r="564" ht="40" customHeight="1">
      <x:c r="B564" s="7" t="str">
        <x:v>RAE-E-47-EV-06</x:v>
      </x:c>
      <x:c r="C564" s="7" t="str">
        <x:v>RAE-E-47</x:v>
      </x:c>
      <x:c r="D564" s="7" t="str">
        <x:v>RFP-C2</x:v>
      </x:c>
      <x:c r="E564" s="7" t="str">
        <x:v>AM-06</x:v>
      </x:c>
      <x:c r="F564" s="7" t="str">
        <x:v>TR-B</x:v>
      </x:c>
      <x:c r="G564" s="7" t="str">
        <x:v>QE-01</x:v>
      </x:c>
      <x:c r="H564" s="7" t="str">
        <x:v>EV-06</x:v>
      </x:c>
      <x:c r="I564" s="10" t="str">
        <x:v>thermal field</x:v>
      </x:c>
      <x:c r="J564" s="10" t="str">
        <x:v>radiometry, heat flux and local weather</x:v>
      </x:c>
      <x:c r="K564" s="7" t="str"/>
      <x:c r="L564" s="7" t="str">
        <x:v>OPEN</x:v>
      </x:c>
    </x:row>
    <x:row r="565" ht="40" customHeight="1">
      <x:c r="B565" s="7" t="str">
        <x:v>RAE-E-47-EV-07</x:v>
      </x:c>
      <x:c r="C565" s="7" t="str">
        <x:v>RAE-E-47</x:v>
      </x:c>
      <x:c r="D565" s="7" t="str">
        <x:v>RFP-C2</x:v>
      </x:c>
      <x:c r="E565" s="7" t="str">
        <x:v>AM-06</x:v>
      </x:c>
      <x:c r="F565" s="7" t="str">
        <x:v>TR-B</x:v>
      </x:c>
      <x:c r="G565" s="7" t="str">
        <x:v>QE-01</x:v>
      </x:c>
      <x:c r="H565" s="7" t="str">
        <x:v>EV-07</x:v>
      </x:c>
      <x:c r="I565" s="10" t="str">
        <x:v>water state</x:v>
      </x:c>
      <x:c r="J565" s="10" t="str">
        <x:v>flow, rain, quench, foam and rinse separation</x:v>
      </x:c>
      <x:c r="K565" s="7" t="str"/>
      <x:c r="L565" s="7" t="str">
        <x:v>OPEN</x:v>
      </x:c>
    </x:row>
    <x:row r="566" ht="40" customHeight="1">
      <x:c r="B566" s="7" t="str">
        <x:v>RAE-E-47-EV-08</x:v>
      </x:c>
      <x:c r="C566" s="7" t="str">
        <x:v>RAE-E-47</x:v>
      </x:c>
      <x:c r="D566" s="7" t="str">
        <x:v>RFP-C2</x:v>
      </x:c>
      <x:c r="E566" s="7" t="str">
        <x:v>AM-06</x:v>
      </x:c>
      <x:c r="F566" s="7" t="str">
        <x:v>TR-B</x:v>
      </x:c>
      <x:c r="G566" s="7" t="str">
        <x:v>QE-01</x:v>
      </x:c>
      <x:c r="H566" s="7" t="str">
        <x:v>EV-08</x:v>
      </x:c>
      <x:c r="I566" s="10" t="str">
        <x:v>ancestry</x:v>
      </x:c>
      <x:c r="J566" s="10" t="str">
        <x:v>source and water root recovery plus cross-talk</x:v>
      </x:c>
      <x:c r="K566" s="7" t="str"/>
      <x:c r="L566" s="7" t="str">
        <x:v>OPEN</x:v>
      </x:c>
    </x:row>
    <x:row r="567" ht="40" customHeight="1">
      <x:c r="B567" s="7" t="str">
        <x:v>RAE-E-47-EV-09</x:v>
      </x:c>
      <x:c r="C567" s="7" t="str">
        <x:v>RAE-E-47</x:v>
      </x:c>
      <x:c r="D567" s="7" t="str">
        <x:v>RFP-C2</x:v>
      </x:c>
      <x:c r="E567" s="7" t="str">
        <x:v>AM-06</x:v>
      </x:c>
      <x:c r="F567" s="7" t="str">
        <x:v>TR-B</x:v>
      </x:c>
      <x:c r="G567" s="7" t="str">
        <x:v>QE-01</x:v>
      </x:c>
      <x:c r="H567" s="7" t="str">
        <x:v>EV-09</x:v>
      </x:c>
      <x:c r="I567" s="10" t="str">
        <x:v>environmental boundary</x:v>
      </x:c>
      <x:c r="J567" s="10" t="str">
        <x:v>background and post-event sample set</x:v>
      </x:c>
      <x:c r="K567" s="7" t="str"/>
      <x:c r="L567" s="7" t="str">
        <x:v>OPEN</x:v>
      </x:c>
    </x:row>
    <x:row r="568" ht="40" customHeight="1">
      <x:c r="B568" s="7" t="str">
        <x:v>RAE-E-47-EV-10</x:v>
      </x:c>
      <x:c r="C568" s="7" t="str">
        <x:v>RAE-E-47</x:v>
      </x:c>
      <x:c r="D568" s="7" t="str">
        <x:v>RFP-C2</x:v>
      </x:c>
      <x:c r="E568" s="7" t="str">
        <x:v>AM-06</x:v>
      </x:c>
      <x:c r="F568" s="7" t="str">
        <x:v>TR-B</x:v>
      </x:c>
      <x:c r="G568" s="7" t="str">
        <x:v>QE-01</x:v>
      </x:c>
      <x:c r="H568" s="7" t="str">
        <x:v>EV-10</x:v>
      </x:c>
      <x:c r="I568" s="10" t="str">
        <x:v>neighbor state</x:v>
      </x:c>
      <x:c r="J568" s="10" t="str">
        <x:v>three independent inert-state records</x:v>
      </x:c>
      <x:c r="K568" s="7" t="str"/>
      <x:c r="L568" s="7" t="str">
        <x:v>OPEN</x:v>
      </x:c>
    </x:row>
    <x:row r="569" ht="40" customHeight="1">
      <x:c r="B569" s="7" t="str">
        <x:v>RAE-E-47-EV-11</x:v>
      </x:c>
      <x:c r="C569" s="7" t="str">
        <x:v>RAE-E-47</x:v>
      </x:c>
      <x:c r="D569" s="7" t="str">
        <x:v>RFP-C2</x:v>
      </x:c>
      <x:c r="E569" s="7" t="str">
        <x:v>AM-06</x:v>
      </x:c>
      <x:c r="F569" s="7" t="str">
        <x:v>TR-B</x:v>
      </x:c>
      <x:c r="G569" s="7" t="str">
        <x:v>QE-01</x:v>
      </x:c>
      <x:c r="H569" s="7" t="str">
        <x:v>EV-11</x:v>
      </x:c>
      <x:c r="I569" s="10" t="str">
        <x:v>intervention state</x:v>
      </x:c>
      <x:c r="J569" s="10" t="str">
        <x:v>human, automatic and rescue actions</x:v>
      </x:c>
      <x:c r="K569" s="7" t="str"/>
      <x:c r="L569" s="7" t="str">
        <x:v>OPEN</x:v>
      </x:c>
    </x:row>
    <x:row r="570" ht="40" customHeight="1">
      <x:c r="B570" s="7" t="str">
        <x:v>RAE-E-47-EV-12</x:v>
      </x:c>
      <x:c r="C570" s="7" t="str">
        <x:v>RAE-E-47</x:v>
      </x:c>
      <x:c r="D570" s="7" t="str">
        <x:v>RFP-C2</x:v>
      </x:c>
      <x:c r="E570" s="7" t="str">
        <x:v>AM-06</x:v>
      </x:c>
      <x:c r="F570" s="7" t="str">
        <x:v>TR-B</x:v>
      </x:c>
      <x:c r="G570" s="7" t="str">
        <x:v>QE-01</x:v>
      </x:c>
      <x:c r="H570" s="7" t="str">
        <x:v>EV-12</x:v>
      </x:c>
      <x:c r="I570" s="10" t="str">
        <x:v>validity packet</x:v>
      </x:c>
      <x:c r="J570" s="10" t="str">
        <x:v>native hashes, causal map and board disposition</x:v>
      </x:c>
      <x:c r="K570" s="7" t="str"/>
      <x:c r="L570" s="7" t="str">
        <x:v>OPEN</x:v>
      </x:c>
    </x:row>
    <x:row r="571" ht="40" customHeight="1">
      <x:c r="B571" s="7" t="str">
        <x:v>RAE-E-48-EV-01</x:v>
      </x:c>
      <x:c r="C571" s="7" t="str">
        <x:v>RAE-E-48</x:v>
      </x:c>
      <x:c r="D571" s="7" t="str">
        <x:v>RFP-C2</x:v>
      </x:c>
      <x:c r="E571" s="7" t="str">
        <x:v>AM-06</x:v>
      </x:c>
      <x:c r="F571" s="7" t="str">
        <x:v>TR-B</x:v>
      </x:c>
      <x:c r="G571" s="7" t="str">
        <x:v>QE-02</x:v>
      </x:c>
      <x:c r="H571" s="7" t="str">
        <x:v>EV-01</x:v>
      </x:c>
      <x:c r="I571" s="10" t="str">
        <x:v>registered event baseline</x:v>
      </x:c>
      <x:c r="J571" s="10" t="str">
        <x:v>configuration master plus event register</x:v>
      </x:c>
      <x:c r="K571" s="7" t="str"/>
      <x:c r="L571" s="7" t="str">
        <x:v>OPEN</x:v>
      </x:c>
    </x:row>
    <x:row r="572" ht="40" customHeight="1">
      <x:c r="B572" s="7" t="str">
        <x:v>RAE-E-48-EV-02</x:v>
      </x:c>
      <x:c r="C572" s="7" t="str">
        <x:v>RAE-E-48</x:v>
      </x:c>
      <x:c r="D572" s="7" t="str">
        <x:v>RFP-C2</x:v>
      </x:c>
      <x:c r="E572" s="7" t="str">
        <x:v>AM-06</x:v>
      </x:c>
      <x:c r="F572" s="7" t="str">
        <x:v>TR-B</x:v>
      </x:c>
      <x:c r="G572" s="7" t="str">
        <x:v>QE-02</x:v>
      </x:c>
      <x:c r="H572" s="7" t="str">
        <x:v>EV-02</x:v>
      </x:c>
      <x:c r="I572" s="10" t="str">
        <x:v>source command and mass</x:v>
      </x:c>
      <x:c r="J572" s="10" t="str">
        <x:v>native command, load cells and custody ledger</x:v>
      </x:c>
      <x:c r="K572" s="7" t="str"/>
      <x:c r="L572" s="7" t="str">
        <x:v>OPEN</x:v>
      </x:c>
    </x:row>
    <x:row r="573" ht="40" customHeight="1">
      <x:c r="B573" s="7" t="str">
        <x:v>RAE-E-48-EV-03</x:v>
      </x:c>
      <x:c r="C573" s="7" t="str">
        <x:v>RAE-E-48</x:v>
      </x:c>
      <x:c r="D573" s="7" t="str">
        <x:v>RFP-C2</x:v>
      </x:c>
      <x:c r="E573" s="7" t="str">
        <x:v>AM-06</x:v>
      </x:c>
      <x:c r="F573" s="7" t="str">
        <x:v>TR-B</x:v>
      </x:c>
      <x:c r="G573" s="7" t="str">
        <x:v>QE-02</x:v>
      </x:c>
      <x:c r="H573" s="7" t="str">
        <x:v>EV-03</x:v>
      </x:c>
      <x:c r="I573" s="10" t="str">
        <x:v>final control states</x:v>
      </x:c>
      <x:c r="J573" s="10" t="str">
        <x:v>direct element sensors plus local latch</x:v>
      </x:c>
      <x:c r="K573" s="7" t="str"/>
      <x:c r="L573" s="7" t="str">
        <x:v>OPEN</x:v>
      </x:c>
    </x:row>
    <x:row r="574" ht="40" customHeight="1">
      <x:c r="B574" s="7" t="str">
        <x:v>RAE-E-48-EV-04</x:v>
      </x:c>
      <x:c r="C574" s="7" t="str">
        <x:v>RAE-E-48</x:v>
      </x:c>
      <x:c r="D574" s="7" t="str">
        <x:v>RFP-C2</x:v>
      </x:c>
      <x:c r="E574" s="7" t="str">
        <x:v>AM-06</x:v>
      </x:c>
      <x:c r="F574" s="7" t="str">
        <x:v>TR-B</x:v>
      </x:c>
      <x:c r="G574" s="7" t="str">
        <x:v>QE-02</x:v>
      </x:c>
      <x:c r="H574" s="7" t="str">
        <x:v>EV-04</x:v>
      </x:c>
      <x:c r="I574" s="10" t="str">
        <x:v>path action times</x:v>
      </x:c>
      <x:c r="J574" s="10" t="str">
        <x:v>common-epoch trigger and state transitions</x:v>
      </x:c>
      <x:c r="K574" s="7" t="str"/>
      <x:c r="L574" s="7" t="str">
        <x:v>OPEN</x:v>
      </x:c>
    </x:row>
    <x:row r="575" ht="40" customHeight="1">
      <x:c r="B575" s="7" t="str">
        <x:v>RAE-E-48-EV-05</x:v>
      </x:c>
      <x:c r="C575" s="7" t="str">
        <x:v>RAE-E-48</x:v>
      </x:c>
      <x:c r="D575" s="7" t="str">
        <x:v>RFP-C2</x:v>
      </x:c>
      <x:c r="E575" s="7" t="str">
        <x:v>AM-06</x:v>
      </x:c>
      <x:c r="F575" s="7" t="str">
        <x:v>TR-B</x:v>
      </x:c>
      <x:c r="G575" s="7" t="str">
        <x:v>QE-02</x:v>
      </x:c>
      <x:c r="H575" s="7" t="str">
        <x:v>EV-05</x:v>
      </x:c>
      <x:c r="I575" s="10" t="str">
        <x:v>receiver inventories</x:v>
      </x:c>
      <x:c r="J575" s="10" t="str">
        <x:v>before, peak and after volume measurements</x:v>
      </x:c>
      <x:c r="K575" s="7" t="str"/>
      <x:c r="L575" s="7" t="str">
        <x:v>OPEN</x:v>
      </x:c>
    </x:row>
    <x:row r="576" ht="40" customHeight="1">
      <x:c r="B576" s="7" t="str">
        <x:v>RAE-E-48-EV-06</x:v>
      </x:c>
      <x:c r="C576" s="7" t="str">
        <x:v>RAE-E-48</x:v>
      </x:c>
      <x:c r="D576" s="7" t="str">
        <x:v>RFP-C2</x:v>
      </x:c>
      <x:c r="E576" s="7" t="str">
        <x:v>AM-06</x:v>
      </x:c>
      <x:c r="F576" s="7" t="str">
        <x:v>TR-B</x:v>
      </x:c>
      <x:c r="G576" s="7" t="str">
        <x:v>QE-02</x:v>
      </x:c>
      <x:c r="H576" s="7" t="str">
        <x:v>EV-06</x:v>
      </x:c>
      <x:c r="I576" s="10" t="str">
        <x:v>thermal field</x:v>
      </x:c>
      <x:c r="J576" s="10" t="str">
        <x:v>radiometry, heat flux and local weather</x:v>
      </x:c>
      <x:c r="K576" s="7" t="str"/>
      <x:c r="L576" s="7" t="str">
        <x:v>OPEN</x:v>
      </x:c>
    </x:row>
    <x:row r="577" ht="40" customHeight="1">
      <x:c r="B577" s="7" t="str">
        <x:v>RAE-E-48-EV-07</x:v>
      </x:c>
      <x:c r="C577" s="7" t="str">
        <x:v>RAE-E-48</x:v>
      </x:c>
      <x:c r="D577" s="7" t="str">
        <x:v>RFP-C2</x:v>
      </x:c>
      <x:c r="E577" s="7" t="str">
        <x:v>AM-06</x:v>
      </x:c>
      <x:c r="F577" s="7" t="str">
        <x:v>TR-B</x:v>
      </x:c>
      <x:c r="G577" s="7" t="str">
        <x:v>QE-02</x:v>
      </x:c>
      <x:c r="H577" s="7" t="str">
        <x:v>EV-07</x:v>
      </x:c>
      <x:c r="I577" s="10" t="str">
        <x:v>water state</x:v>
      </x:c>
      <x:c r="J577" s="10" t="str">
        <x:v>flow, rain, quench, foam and rinse separation</x:v>
      </x:c>
      <x:c r="K577" s="7" t="str"/>
      <x:c r="L577" s="7" t="str">
        <x:v>OPEN</x:v>
      </x:c>
    </x:row>
    <x:row r="578" ht="40" customHeight="1">
      <x:c r="B578" s="7" t="str">
        <x:v>RAE-E-48-EV-08</x:v>
      </x:c>
      <x:c r="C578" s="7" t="str">
        <x:v>RAE-E-48</x:v>
      </x:c>
      <x:c r="D578" s="7" t="str">
        <x:v>RFP-C2</x:v>
      </x:c>
      <x:c r="E578" s="7" t="str">
        <x:v>AM-06</x:v>
      </x:c>
      <x:c r="F578" s="7" t="str">
        <x:v>TR-B</x:v>
      </x:c>
      <x:c r="G578" s="7" t="str">
        <x:v>QE-02</x:v>
      </x:c>
      <x:c r="H578" s="7" t="str">
        <x:v>EV-08</x:v>
      </x:c>
      <x:c r="I578" s="10" t="str">
        <x:v>ancestry</x:v>
      </x:c>
      <x:c r="J578" s="10" t="str">
        <x:v>source and water root recovery plus cross-talk</x:v>
      </x:c>
      <x:c r="K578" s="7" t="str"/>
      <x:c r="L578" s="7" t="str">
        <x:v>OPEN</x:v>
      </x:c>
    </x:row>
    <x:row r="579" ht="40" customHeight="1">
      <x:c r="B579" s="7" t="str">
        <x:v>RAE-E-48-EV-09</x:v>
      </x:c>
      <x:c r="C579" s="7" t="str">
        <x:v>RAE-E-48</x:v>
      </x:c>
      <x:c r="D579" s="7" t="str">
        <x:v>RFP-C2</x:v>
      </x:c>
      <x:c r="E579" s="7" t="str">
        <x:v>AM-06</x:v>
      </x:c>
      <x:c r="F579" s="7" t="str">
        <x:v>TR-B</x:v>
      </x:c>
      <x:c r="G579" s="7" t="str">
        <x:v>QE-02</x:v>
      </x:c>
      <x:c r="H579" s="7" t="str">
        <x:v>EV-09</x:v>
      </x:c>
      <x:c r="I579" s="10" t="str">
        <x:v>environmental boundary</x:v>
      </x:c>
      <x:c r="J579" s="10" t="str">
        <x:v>background and post-event sample set</x:v>
      </x:c>
      <x:c r="K579" s="7" t="str"/>
      <x:c r="L579" s="7" t="str">
        <x:v>OPEN</x:v>
      </x:c>
    </x:row>
    <x:row r="580" ht="40" customHeight="1">
      <x:c r="B580" s="7" t="str">
        <x:v>RAE-E-48-EV-10</x:v>
      </x:c>
      <x:c r="C580" s="7" t="str">
        <x:v>RAE-E-48</x:v>
      </x:c>
      <x:c r="D580" s="7" t="str">
        <x:v>RFP-C2</x:v>
      </x:c>
      <x:c r="E580" s="7" t="str">
        <x:v>AM-06</x:v>
      </x:c>
      <x:c r="F580" s="7" t="str">
        <x:v>TR-B</x:v>
      </x:c>
      <x:c r="G580" s="7" t="str">
        <x:v>QE-02</x:v>
      </x:c>
      <x:c r="H580" s="7" t="str">
        <x:v>EV-10</x:v>
      </x:c>
      <x:c r="I580" s="10" t="str">
        <x:v>neighbor state</x:v>
      </x:c>
      <x:c r="J580" s="10" t="str">
        <x:v>three independent inert-state records</x:v>
      </x:c>
      <x:c r="K580" s="7" t="str"/>
      <x:c r="L580" s="7" t="str">
        <x:v>OPEN</x:v>
      </x:c>
    </x:row>
    <x:row r="581" ht="40" customHeight="1">
      <x:c r="B581" s="7" t="str">
        <x:v>RAE-E-48-EV-11</x:v>
      </x:c>
      <x:c r="C581" s="7" t="str">
        <x:v>RAE-E-48</x:v>
      </x:c>
      <x:c r="D581" s="7" t="str">
        <x:v>RFP-C2</x:v>
      </x:c>
      <x:c r="E581" s="7" t="str">
        <x:v>AM-06</x:v>
      </x:c>
      <x:c r="F581" s="7" t="str">
        <x:v>TR-B</x:v>
      </x:c>
      <x:c r="G581" s="7" t="str">
        <x:v>QE-02</x:v>
      </x:c>
      <x:c r="H581" s="7" t="str">
        <x:v>EV-11</x:v>
      </x:c>
      <x:c r="I581" s="10" t="str">
        <x:v>intervention state</x:v>
      </x:c>
      <x:c r="J581" s="10" t="str">
        <x:v>human, automatic and rescue actions</x:v>
      </x:c>
      <x:c r="K581" s="7" t="str"/>
      <x:c r="L581" s="7" t="str">
        <x:v>OPEN</x:v>
      </x:c>
    </x:row>
    <x:row r="582" ht="40" customHeight="1">
      <x:c r="B582" s="7" t="str">
        <x:v>RAE-E-48-EV-12</x:v>
      </x:c>
      <x:c r="C582" s="7" t="str">
        <x:v>RAE-E-48</x:v>
      </x:c>
      <x:c r="D582" s="7" t="str">
        <x:v>RFP-C2</x:v>
      </x:c>
      <x:c r="E582" s="7" t="str">
        <x:v>AM-06</x:v>
      </x:c>
      <x:c r="F582" s="7" t="str">
        <x:v>TR-B</x:v>
      </x:c>
      <x:c r="G582" s="7" t="str">
        <x:v>QE-02</x:v>
      </x:c>
      <x:c r="H582" s="7" t="str">
        <x:v>EV-12</x:v>
      </x:c>
      <x:c r="I582" s="10" t="str">
        <x:v>validity packet</x:v>
      </x:c>
      <x:c r="J582" s="10" t="str">
        <x:v>native hashes, causal map and board disposition</x:v>
      </x:c>
      <x:c r="K582" s="7" t="str"/>
      <x:c r="L582" s="7" t="str">
        <x:v>OPEN</x:v>
      </x:c>
    </x:row>
  </x:sheetData>
  <x:conditionalFormatting sqref="L7:L582">
    <x:cfRule type="containsText" dxfId="144" priority="1" operator="containsText" text="FAIL"/>
    <x:cfRule type="containsText" dxfId="145" priority="2" operator="containsText" text="INVALID"/>
    <x:cfRule type="containsText" dxfId="146" priority="3" operator="containsText" text="BLOCKED"/>
    <x:cfRule type="containsText" dxfId="147" priority="4" operator="containsText" text="OPEN"/>
    <x:cfRule type="containsText" dxfId="148" priority="5" operator="containsText" text="HELD"/>
    <x:cfRule type="containsText" dxfId="149" priority="6" operator="containsText" text="DORMANT"/>
    <x:cfRule type="containsText" dxfId="150" priority="7" operator="containsText" text="PASS"/>
    <x:cfRule type="containsText" dxfId="151" priority="8" operator="containsText" text="VALID"/>
    <x:cfRule type="containsText" dxfId="152" priority="9" operator="containsText" text="ISSUED"/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6" hidden="0" customWidth="1"/>
    <x:col min="3" max="3" width="16" hidden="0" customWidth="1"/>
    <x:col min="4" max="4" width="14" hidden="0" customWidth="1"/>
    <x:col min="5" max="5" width="13" hidden="0" customWidth="1"/>
    <x:col min="6" max="6" width="12" hidden="0" customWidth="1"/>
    <x:col min="7" max="7" width="12" hidden="0" customWidth="1"/>
    <x:col min="8" max="8" width="27" hidden="0" customWidth="1"/>
    <x:col min="9" max="9" width="43" hidden="0" customWidth="1"/>
    <x:col min="10" max="10" width="21" hidden="0" customWidth="1"/>
    <x:col min="11" max="11" width="14" hidden="0" customWidth="1"/>
  </x:cols>
  <x:sheetData>
    <x:row r="2">
      <x:c r="B2" s="1" t="str">
        <x:v>Three hundred thirty-six physical sample records</x:v>
      </x:c>
    </x:row>
    <x:row r="3">
      <x:c r="B3" s="2" t="str">
        <x:v>Sample identity, seal and custody are physical evidence; an analytical result without custody is not admissible.</x:v>
      </x:c>
    </x:row>
    <x:row r="6" ht="24" customHeight="1">
      <x:c r="B6" s="6" t="str">
        <x:v>Sample</x:v>
      </x:c>
      <x:c r="C6" s="6" t="str">
        <x:v>Event</x:v>
      </x:c>
      <x:c r="D6" s="6" t="str">
        <x:v>Rig</x:v>
      </x:c>
      <x:c r="E6" s="6" t="str">
        <x:v>Method</x:v>
      </x:c>
      <x:c r="F6" s="6" t="str">
        <x:v>Root</x:v>
      </x:c>
      <x:c r="G6" s="6" t="str">
        <x:v>Class</x:v>
      </x:c>
      <x:c r="H6" s="6" t="str">
        <x:v>Role</x:v>
      </x:c>
      <x:c r="I6" s="6" t="str">
        <x:v>Seal and location</x:v>
      </x:c>
      <x:c r="J6" s="6" t="str">
        <x:v>Accepted UTC</x:v>
      </x:c>
      <x:c r="K6" s="6" t="str">
        <x:v>State</x:v>
      </x:c>
    </x:row>
    <x:row r="7" ht="34" customHeight="1">
      <x:c r="B7" s="7" t="str">
        <x:v>RAE-S-001</x:v>
      </x:c>
      <x:c r="C7" s="7" t="str">
        <x:v>RAE-E-01</x:v>
      </x:c>
      <x:c r="D7" s="7" t="str">
        <x:v>RFP-A1</x:v>
      </x:c>
      <x:c r="E7" s="7" t="str">
        <x:v>AM-05</x:v>
      </x:c>
      <x:c r="F7" s="7" t="str">
        <x:v>TR-A</x:v>
      </x:c>
      <x:c r="G7" s="7" t="str">
        <x:v>QE-01</x:v>
      </x:c>
      <x:c r="H7" s="7" t="str">
        <x:v>pre-event background</x:v>
      </x:c>
      <x:c r="I7" s="10" t="str"/>
      <x:c r="J7" s="7" t="str"/>
      <x:c r="K7" s="7" t="str">
        <x:v>OPEN</x:v>
      </x:c>
    </x:row>
    <x:row r="8" ht="34" customHeight="1">
      <x:c r="B8" s="7" t="str">
        <x:v>RAE-S-002</x:v>
      </x:c>
      <x:c r="C8" s="7" t="str">
        <x:v>RAE-E-01</x:v>
      </x:c>
      <x:c r="D8" s="7" t="str">
        <x:v>RFP-A1</x:v>
      </x:c>
      <x:c r="E8" s="7" t="str">
        <x:v>AM-05</x:v>
      </x:c>
      <x:c r="F8" s="7" t="str">
        <x:v>TR-A</x:v>
      </x:c>
      <x:c r="G8" s="7" t="str">
        <x:v>QE-01</x:v>
      </x:c>
      <x:c r="H8" s="7" t="str">
        <x:v>post-event pan</x:v>
      </x:c>
      <x:c r="I8" s="10" t="str"/>
      <x:c r="J8" s="7" t="str"/>
      <x:c r="K8" s="7" t="str">
        <x:v>OPEN</x:v>
      </x:c>
    </x:row>
    <x:row r="9" ht="34" customHeight="1">
      <x:c r="B9" s="7" t="str">
        <x:v>RAE-S-003</x:v>
      </x:c>
      <x:c r="C9" s="7" t="str">
        <x:v>RAE-E-01</x:v>
      </x:c>
      <x:c r="D9" s="7" t="str">
        <x:v>RFP-A1</x:v>
      </x:c>
      <x:c r="E9" s="7" t="str">
        <x:v>AM-05</x:v>
      </x:c>
      <x:c r="F9" s="7" t="str">
        <x:v>TR-A</x:v>
      </x:c>
      <x:c r="G9" s="7" t="str">
        <x:v>QE-01</x:v>
      </x:c>
      <x:c r="H9" s="7" t="str">
        <x:v>post-event catchment</x:v>
      </x:c>
      <x:c r="I9" s="10" t="str"/>
      <x:c r="J9" s="7" t="str"/>
      <x:c r="K9" s="7" t="str">
        <x:v>OPEN</x:v>
      </x:c>
    </x:row>
    <x:row r="10" ht="34" customHeight="1">
      <x:c r="B10" s="7" t="str">
        <x:v>RAE-S-004</x:v>
      </x:c>
      <x:c r="C10" s="7" t="str">
        <x:v>RAE-E-01</x:v>
      </x:c>
      <x:c r="D10" s="7" t="str">
        <x:v>RFP-A1</x:v>
      </x:c>
      <x:c r="E10" s="7" t="str">
        <x:v>AM-05</x:v>
      </x:c>
      <x:c r="F10" s="7" t="str">
        <x:v>TR-A</x:v>
      </x:c>
      <x:c r="G10" s="7" t="str">
        <x:v>QE-01</x:v>
      </x:c>
      <x:c r="H10" s="7" t="str">
        <x:v>downwind boundary</x:v>
      </x:c>
      <x:c r="I10" s="10" t="str"/>
      <x:c r="J10" s="7" t="str"/>
      <x:c r="K10" s="7" t="str">
        <x:v>OPEN</x:v>
      </x:c>
    </x:row>
    <x:row r="11" ht="34" customHeight="1">
      <x:c r="B11" s="7" t="str">
        <x:v>RAE-S-005</x:v>
      </x:c>
      <x:c r="C11" s="7" t="str">
        <x:v>RAE-E-01</x:v>
      </x:c>
      <x:c r="D11" s="7" t="str">
        <x:v>RFP-A1</x:v>
      </x:c>
      <x:c r="E11" s="7" t="str">
        <x:v>AM-05</x:v>
      </x:c>
      <x:c r="F11" s="7" t="str">
        <x:v>TR-A</x:v>
      </x:c>
      <x:c r="G11" s="7" t="str">
        <x:v>QE-01</x:v>
      </x:c>
      <x:c r="H11" s="7" t="str">
        <x:v>water receiver</x:v>
      </x:c>
      <x:c r="I11" s="10" t="str"/>
      <x:c r="J11" s="7" t="str"/>
      <x:c r="K11" s="7" t="str">
        <x:v>OPEN</x:v>
      </x:c>
    </x:row>
    <x:row r="12" ht="34" customHeight="1">
      <x:c r="B12" s="7" t="str">
        <x:v>RAE-S-006</x:v>
      </x:c>
      <x:c r="C12" s="7" t="str">
        <x:v>RAE-E-01</x:v>
      </x:c>
      <x:c r="D12" s="7" t="str">
        <x:v>RFP-A1</x:v>
      </x:c>
      <x:c r="E12" s="7" t="str">
        <x:v>AM-05</x:v>
      </x:c>
      <x:c r="F12" s="7" t="str">
        <x:v>TR-A</x:v>
      </x:c>
      <x:c r="G12" s="7" t="str">
        <x:v>QE-01</x:v>
      </x:c>
      <x:c r="H12" s="7" t="str">
        <x:v>archive control</x:v>
      </x:c>
      <x:c r="I12" s="10" t="str"/>
      <x:c r="J12" s="7" t="str"/>
      <x:c r="K12" s="7" t="str">
        <x:v>OPEN</x:v>
      </x:c>
    </x:row>
    <x:row r="13" ht="34" customHeight="1">
      <x:c r="B13" s="7" t="str">
        <x:v>RAE-S-007</x:v>
      </x:c>
      <x:c r="C13" s="7" t="str">
        <x:v>RAE-E-02</x:v>
      </x:c>
      <x:c r="D13" s="7" t="str">
        <x:v>RFP-A1</x:v>
      </x:c>
      <x:c r="E13" s="7" t="str">
        <x:v>AM-05</x:v>
      </x:c>
      <x:c r="F13" s="7" t="str">
        <x:v>TR-A</x:v>
      </x:c>
      <x:c r="G13" s="7" t="str">
        <x:v>QE-02</x:v>
      </x:c>
      <x:c r="H13" s="7" t="str">
        <x:v>pre-event background</x:v>
      </x:c>
      <x:c r="I13" s="10" t="str"/>
      <x:c r="J13" s="7" t="str"/>
      <x:c r="K13" s="7" t="str">
        <x:v>OPEN</x:v>
      </x:c>
    </x:row>
    <x:row r="14" ht="34" customHeight="1">
      <x:c r="B14" s="7" t="str">
        <x:v>RAE-S-008</x:v>
      </x:c>
      <x:c r="C14" s="7" t="str">
        <x:v>RAE-E-02</x:v>
      </x:c>
      <x:c r="D14" s="7" t="str">
        <x:v>RFP-A1</x:v>
      </x:c>
      <x:c r="E14" s="7" t="str">
        <x:v>AM-05</x:v>
      </x:c>
      <x:c r="F14" s="7" t="str">
        <x:v>TR-A</x:v>
      </x:c>
      <x:c r="G14" s="7" t="str">
        <x:v>QE-02</x:v>
      </x:c>
      <x:c r="H14" s="7" t="str">
        <x:v>post-event pan</x:v>
      </x:c>
      <x:c r="I14" s="10" t="str"/>
      <x:c r="J14" s="7" t="str"/>
      <x:c r="K14" s="7" t="str">
        <x:v>OPEN</x:v>
      </x:c>
    </x:row>
    <x:row r="15" ht="34" customHeight="1">
      <x:c r="B15" s="7" t="str">
        <x:v>RAE-S-009</x:v>
      </x:c>
      <x:c r="C15" s="7" t="str">
        <x:v>RAE-E-02</x:v>
      </x:c>
      <x:c r="D15" s="7" t="str">
        <x:v>RFP-A1</x:v>
      </x:c>
      <x:c r="E15" s="7" t="str">
        <x:v>AM-05</x:v>
      </x:c>
      <x:c r="F15" s="7" t="str">
        <x:v>TR-A</x:v>
      </x:c>
      <x:c r="G15" s="7" t="str">
        <x:v>QE-02</x:v>
      </x:c>
      <x:c r="H15" s="7" t="str">
        <x:v>post-event catchment</x:v>
      </x:c>
      <x:c r="I15" s="10" t="str"/>
      <x:c r="J15" s="7" t="str"/>
      <x:c r="K15" s="7" t="str">
        <x:v>OPEN</x:v>
      </x:c>
    </x:row>
    <x:row r="16" ht="34" customHeight="1">
      <x:c r="B16" s="7" t="str">
        <x:v>RAE-S-010</x:v>
      </x:c>
      <x:c r="C16" s="7" t="str">
        <x:v>RAE-E-02</x:v>
      </x:c>
      <x:c r="D16" s="7" t="str">
        <x:v>RFP-A1</x:v>
      </x:c>
      <x:c r="E16" s="7" t="str">
        <x:v>AM-05</x:v>
      </x:c>
      <x:c r="F16" s="7" t="str">
        <x:v>TR-A</x:v>
      </x:c>
      <x:c r="G16" s="7" t="str">
        <x:v>QE-02</x:v>
      </x:c>
      <x:c r="H16" s="7" t="str">
        <x:v>downwind boundary</x:v>
      </x:c>
      <x:c r="I16" s="10" t="str"/>
      <x:c r="J16" s="7" t="str"/>
      <x:c r="K16" s="7" t="str">
        <x:v>OPEN</x:v>
      </x:c>
    </x:row>
    <x:row r="17" ht="34" customHeight="1">
      <x:c r="B17" s="7" t="str">
        <x:v>RAE-S-011</x:v>
      </x:c>
      <x:c r="C17" s="7" t="str">
        <x:v>RAE-E-02</x:v>
      </x:c>
      <x:c r="D17" s="7" t="str">
        <x:v>RFP-A1</x:v>
      </x:c>
      <x:c r="E17" s="7" t="str">
        <x:v>AM-05</x:v>
      </x:c>
      <x:c r="F17" s="7" t="str">
        <x:v>TR-A</x:v>
      </x:c>
      <x:c r="G17" s="7" t="str">
        <x:v>QE-02</x:v>
      </x:c>
      <x:c r="H17" s="7" t="str">
        <x:v>water receiver</x:v>
      </x:c>
      <x:c r="I17" s="10" t="str"/>
      <x:c r="J17" s="7" t="str"/>
      <x:c r="K17" s="7" t="str">
        <x:v>OPEN</x:v>
      </x:c>
    </x:row>
    <x:row r="18" ht="34" customHeight="1">
      <x:c r="B18" s="7" t="str">
        <x:v>RAE-S-012</x:v>
      </x:c>
      <x:c r="C18" s="7" t="str">
        <x:v>RAE-E-02</x:v>
      </x:c>
      <x:c r="D18" s="7" t="str">
        <x:v>RFP-A1</x:v>
      </x:c>
      <x:c r="E18" s="7" t="str">
        <x:v>AM-05</x:v>
      </x:c>
      <x:c r="F18" s="7" t="str">
        <x:v>TR-A</x:v>
      </x:c>
      <x:c r="G18" s="7" t="str">
        <x:v>QE-02</x:v>
      </x:c>
      <x:c r="H18" s="7" t="str">
        <x:v>archive control</x:v>
      </x:c>
      <x:c r="I18" s="10" t="str"/>
      <x:c r="J18" s="7" t="str"/>
      <x:c r="K18" s="7" t="str">
        <x:v>OPEN</x:v>
      </x:c>
    </x:row>
    <x:row r="19" ht="34" customHeight="1">
      <x:c r="B19" s="7" t="str">
        <x:v>RAE-S-013</x:v>
      </x:c>
      <x:c r="C19" s="7" t="str">
        <x:v>RAE-E-02</x:v>
      </x:c>
      <x:c r="D19" s="7" t="str">
        <x:v>RFP-A1</x:v>
      </x:c>
      <x:c r="E19" s="7" t="str">
        <x:v>AM-05</x:v>
      </x:c>
      <x:c r="F19" s="7" t="str">
        <x:v>TR-A</x:v>
      </x:c>
      <x:c r="G19" s="7" t="str">
        <x:v>QE-02</x:v>
      </x:c>
      <x:c r="H19" s="7" t="str">
        <x:v>source pre-event</x:v>
      </x:c>
      <x:c r="I19" s="10" t="str"/>
      <x:c r="J19" s="7" t="str"/>
      <x:c r="K19" s="7" t="str">
        <x:v>OPEN</x:v>
      </x:c>
    </x:row>
    <x:row r="20" ht="34" customHeight="1">
      <x:c r="B20" s="7" t="str">
        <x:v>RAE-S-014</x:v>
      </x:c>
      <x:c r="C20" s="7" t="str">
        <x:v>RAE-E-02</x:v>
      </x:c>
      <x:c r="D20" s="7" t="str">
        <x:v>RFP-A1</x:v>
      </x:c>
      <x:c r="E20" s="7" t="str">
        <x:v>AM-05</x:v>
      </x:c>
      <x:c r="F20" s="7" t="str">
        <x:v>TR-A</x:v>
      </x:c>
      <x:c r="G20" s="7" t="str">
        <x:v>QE-02</x:v>
      </x:c>
      <x:c r="H20" s="7" t="str">
        <x:v>source post-event</x:v>
      </x:c>
      <x:c r="I20" s="10" t="str"/>
      <x:c r="J20" s="7" t="str"/>
      <x:c r="K20" s="7" t="str">
        <x:v>OPEN</x:v>
      </x:c>
    </x:row>
    <x:row r="21" ht="34" customHeight="1">
      <x:c r="B21" s="7" t="str">
        <x:v>RAE-S-015</x:v>
      </x:c>
      <x:c r="C21" s="7" t="str">
        <x:v>RAE-E-03</x:v>
      </x:c>
      <x:c r="D21" s="7" t="str">
        <x:v>RFP-A1</x:v>
      </x:c>
      <x:c r="E21" s="7" t="str">
        <x:v>AM-05</x:v>
      </x:c>
      <x:c r="F21" s="7" t="str">
        <x:v>TR-B</x:v>
      </x:c>
      <x:c r="G21" s="7" t="str">
        <x:v>QE-01</x:v>
      </x:c>
      <x:c r="H21" s="7" t="str">
        <x:v>pre-event background</x:v>
      </x:c>
      <x:c r="I21" s="10" t="str"/>
      <x:c r="J21" s="7" t="str"/>
      <x:c r="K21" s="7" t="str">
        <x:v>OPEN</x:v>
      </x:c>
    </x:row>
    <x:row r="22" ht="34" customHeight="1">
      <x:c r="B22" s="7" t="str">
        <x:v>RAE-S-016</x:v>
      </x:c>
      <x:c r="C22" s="7" t="str">
        <x:v>RAE-E-03</x:v>
      </x:c>
      <x:c r="D22" s="7" t="str">
        <x:v>RFP-A1</x:v>
      </x:c>
      <x:c r="E22" s="7" t="str">
        <x:v>AM-05</x:v>
      </x:c>
      <x:c r="F22" s="7" t="str">
        <x:v>TR-B</x:v>
      </x:c>
      <x:c r="G22" s="7" t="str">
        <x:v>QE-01</x:v>
      </x:c>
      <x:c r="H22" s="7" t="str">
        <x:v>post-event pan</x:v>
      </x:c>
      <x:c r="I22" s="10" t="str"/>
      <x:c r="J22" s="7" t="str"/>
      <x:c r="K22" s="7" t="str">
        <x:v>OPEN</x:v>
      </x:c>
    </x:row>
    <x:row r="23" ht="34" customHeight="1">
      <x:c r="B23" s="7" t="str">
        <x:v>RAE-S-017</x:v>
      </x:c>
      <x:c r="C23" s="7" t="str">
        <x:v>RAE-E-03</x:v>
      </x:c>
      <x:c r="D23" s="7" t="str">
        <x:v>RFP-A1</x:v>
      </x:c>
      <x:c r="E23" s="7" t="str">
        <x:v>AM-05</x:v>
      </x:c>
      <x:c r="F23" s="7" t="str">
        <x:v>TR-B</x:v>
      </x:c>
      <x:c r="G23" s="7" t="str">
        <x:v>QE-01</x:v>
      </x:c>
      <x:c r="H23" s="7" t="str">
        <x:v>post-event catchment</x:v>
      </x:c>
      <x:c r="I23" s="10" t="str"/>
      <x:c r="J23" s="7" t="str"/>
      <x:c r="K23" s="7" t="str">
        <x:v>OPEN</x:v>
      </x:c>
    </x:row>
    <x:row r="24" ht="34" customHeight="1">
      <x:c r="B24" s="7" t="str">
        <x:v>RAE-S-018</x:v>
      </x:c>
      <x:c r="C24" s="7" t="str">
        <x:v>RAE-E-03</x:v>
      </x:c>
      <x:c r="D24" s="7" t="str">
        <x:v>RFP-A1</x:v>
      </x:c>
      <x:c r="E24" s="7" t="str">
        <x:v>AM-05</x:v>
      </x:c>
      <x:c r="F24" s="7" t="str">
        <x:v>TR-B</x:v>
      </x:c>
      <x:c r="G24" s="7" t="str">
        <x:v>QE-01</x:v>
      </x:c>
      <x:c r="H24" s="7" t="str">
        <x:v>downwind boundary</x:v>
      </x:c>
      <x:c r="I24" s="10" t="str"/>
      <x:c r="J24" s="7" t="str"/>
      <x:c r="K24" s="7" t="str">
        <x:v>OPEN</x:v>
      </x:c>
    </x:row>
    <x:row r="25" ht="34" customHeight="1">
      <x:c r="B25" s="7" t="str">
        <x:v>RAE-S-019</x:v>
      </x:c>
      <x:c r="C25" s="7" t="str">
        <x:v>RAE-E-03</x:v>
      </x:c>
      <x:c r="D25" s="7" t="str">
        <x:v>RFP-A1</x:v>
      </x:c>
      <x:c r="E25" s="7" t="str">
        <x:v>AM-05</x:v>
      </x:c>
      <x:c r="F25" s="7" t="str">
        <x:v>TR-B</x:v>
      </x:c>
      <x:c r="G25" s="7" t="str">
        <x:v>QE-01</x:v>
      </x:c>
      <x:c r="H25" s="7" t="str">
        <x:v>water receiver</x:v>
      </x:c>
      <x:c r="I25" s="10" t="str"/>
      <x:c r="J25" s="7" t="str"/>
      <x:c r="K25" s="7" t="str">
        <x:v>OPEN</x:v>
      </x:c>
    </x:row>
    <x:row r="26" ht="34" customHeight="1">
      <x:c r="B26" s="7" t="str">
        <x:v>RAE-S-020</x:v>
      </x:c>
      <x:c r="C26" s="7" t="str">
        <x:v>RAE-E-03</x:v>
      </x:c>
      <x:c r="D26" s="7" t="str">
        <x:v>RFP-A1</x:v>
      </x:c>
      <x:c r="E26" s="7" t="str">
        <x:v>AM-05</x:v>
      </x:c>
      <x:c r="F26" s="7" t="str">
        <x:v>TR-B</x:v>
      </x:c>
      <x:c r="G26" s="7" t="str">
        <x:v>QE-01</x:v>
      </x:c>
      <x:c r="H26" s="7" t="str">
        <x:v>archive control</x:v>
      </x:c>
      <x:c r="I26" s="10" t="str"/>
      <x:c r="J26" s="7" t="str"/>
      <x:c r="K26" s="7" t="str">
        <x:v>OPEN</x:v>
      </x:c>
    </x:row>
    <x:row r="27" ht="34" customHeight="1">
      <x:c r="B27" s="7" t="str">
        <x:v>RAE-S-021</x:v>
      </x:c>
      <x:c r="C27" s="7" t="str">
        <x:v>RAE-E-04</x:v>
      </x:c>
      <x:c r="D27" s="7" t="str">
        <x:v>RFP-A1</x:v>
      </x:c>
      <x:c r="E27" s="7" t="str">
        <x:v>AM-05</x:v>
      </x:c>
      <x:c r="F27" s="7" t="str">
        <x:v>TR-B</x:v>
      </x:c>
      <x:c r="G27" s="7" t="str">
        <x:v>QE-02</x:v>
      </x:c>
      <x:c r="H27" s="7" t="str">
        <x:v>pre-event background</x:v>
      </x:c>
      <x:c r="I27" s="10" t="str"/>
      <x:c r="J27" s="7" t="str"/>
      <x:c r="K27" s="7" t="str">
        <x:v>OPEN</x:v>
      </x:c>
    </x:row>
    <x:row r="28" ht="34" customHeight="1">
      <x:c r="B28" s="7" t="str">
        <x:v>RAE-S-022</x:v>
      </x:c>
      <x:c r="C28" s="7" t="str">
        <x:v>RAE-E-04</x:v>
      </x:c>
      <x:c r="D28" s="7" t="str">
        <x:v>RFP-A1</x:v>
      </x:c>
      <x:c r="E28" s="7" t="str">
        <x:v>AM-05</x:v>
      </x:c>
      <x:c r="F28" s="7" t="str">
        <x:v>TR-B</x:v>
      </x:c>
      <x:c r="G28" s="7" t="str">
        <x:v>QE-02</x:v>
      </x:c>
      <x:c r="H28" s="7" t="str">
        <x:v>post-event pan</x:v>
      </x:c>
      <x:c r="I28" s="10" t="str"/>
      <x:c r="J28" s="7" t="str"/>
      <x:c r="K28" s="7" t="str">
        <x:v>OPEN</x:v>
      </x:c>
    </x:row>
    <x:row r="29" ht="34" customHeight="1">
      <x:c r="B29" s="7" t="str">
        <x:v>RAE-S-023</x:v>
      </x:c>
      <x:c r="C29" s="7" t="str">
        <x:v>RAE-E-04</x:v>
      </x:c>
      <x:c r="D29" s="7" t="str">
        <x:v>RFP-A1</x:v>
      </x:c>
      <x:c r="E29" s="7" t="str">
        <x:v>AM-05</x:v>
      </x:c>
      <x:c r="F29" s="7" t="str">
        <x:v>TR-B</x:v>
      </x:c>
      <x:c r="G29" s="7" t="str">
        <x:v>QE-02</x:v>
      </x:c>
      <x:c r="H29" s="7" t="str">
        <x:v>post-event catchment</x:v>
      </x:c>
      <x:c r="I29" s="10" t="str"/>
      <x:c r="J29" s="7" t="str"/>
      <x:c r="K29" s="7" t="str">
        <x:v>OPEN</x:v>
      </x:c>
    </x:row>
    <x:row r="30" ht="34" customHeight="1">
      <x:c r="B30" s="7" t="str">
        <x:v>RAE-S-024</x:v>
      </x:c>
      <x:c r="C30" s="7" t="str">
        <x:v>RAE-E-04</x:v>
      </x:c>
      <x:c r="D30" s="7" t="str">
        <x:v>RFP-A1</x:v>
      </x:c>
      <x:c r="E30" s="7" t="str">
        <x:v>AM-05</x:v>
      </x:c>
      <x:c r="F30" s="7" t="str">
        <x:v>TR-B</x:v>
      </x:c>
      <x:c r="G30" s="7" t="str">
        <x:v>QE-02</x:v>
      </x:c>
      <x:c r="H30" s="7" t="str">
        <x:v>downwind boundary</x:v>
      </x:c>
      <x:c r="I30" s="10" t="str"/>
      <x:c r="J30" s="7" t="str"/>
      <x:c r="K30" s="7" t="str">
        <x:v>OPEN</x:v>
      </x:c>
    </x:row>
    <x:row r="31" ht="34" customHeight="1">
      <x:c r="B31" s="7" t="str">
        <x:v>RAE-S-025</x:v>
      </x:c>
      <x:c r="C31" s="7" t="str">
        <x:v>RAE-E-04</x:v>
      </x:c>
      <x:c r="D31" s="7" t="str">
        <x:v>RFP-A1</x:v>
      </x:c>
      <x:c r="E31" s="7" t="str">
        <x:v>AM-05</x:v>
      </x:c>
      <x:c r="F31" s="7" t="str">
        <x:v>TR-B</x:v>
      </x:c>
      <x:c r="G31" s="7" t="str">
        <x:v>QE-02</x:v>
      </x:c>
      <x:c r="H31" s="7" t="str">
        <x:v>water receiver</x:v>
      </x:c>
      <x:c r="I31" s="10" t="str"/>
      <x:c r="J31" s="7" t="str"/>
      <x:c r="K31" s="7" t="str">
        <x:v>OPEN</x:v>
      </x:c>
    </x:row>
    <x:row r="32" ht="34" customHeight="1">
      <x:c r="B32" s="7" t="str">
        <x:v>RAE-S-026</x:v>
      </x:c>
      <x:c r="C32" s="7" t="str">
        <x:v>RAE-E-04</x:v>
      </x:c>
      <x:c r="D32" s="7" t="str">
        <x:v>RFP-A1</x:v>
      </x:c>
      <x:c r="E32" s="7" t="str">
        <x:v>AM-05</x:v>
      </x:c>
      <x:c r="F32" s="7" t="str">
        <x:v>TR-B</x:v>
      </x:c>
      <x:c r="G32" s="7" t="str">
        <x:v>QE-02</x:v>
      </x:c>
      <x:c r="H32" s="7" t="str">
        <x:v>archive control</x:v>
      </x:c>
      <x:c r="I32" s="10" t="str"/>
      <x:c r="J32" s="7" t="str"/>
      <x:c r="K32" s="7" t="str">
        <x:v>OPEN</x:v>
      </x:c>
    </x:row>
    <x:row r="33" ht="34" customHeight="1">
      <x:c r="B33" s="7" t="str">
        <x:v>RAE-S-027</x:v>
      </x:c>
      <x:c r="C33" s="7" t="str">
        <x:v>RAE-E-04</x:v>
      </x:c>
      <x:c r="D33" s="7" t="str">
        <x:v>RFP-A1</x:v>
      </x:c>
      <x:c r="E33" s="7" t="str">
        <x:v>AM-05</x:v>
      </x:c>
      <x:c r="F33" s="7" t="str">
        <x:v>TR-B</x:v>
      </x:c>
      <x:c r="G33" s="7" t="str">
        <x:v>QE-02</x:v>
      </x:c>
      <x:c r="H33" s="7" t="str">
        <x:v>source pre-event</x:v>
      </x:c>
      <x:c r="I33" s="10" t="str"/>
      <x:c r="J33" s="7" t="str"/>
      <x:c r="K33" s="7" t="str">
        <x:v>OPEN</x:v>
      </x:c>
    </x:row>
    <x:row r="34" ht="34" customHeight="1">
      <x:c r="B34" s="7" t="str">
        <x:v>RAE-S-028</x:v>
      </x:c>
      <x:c r="C34" s="7" t="str">
        <x:v>RAE-E-04</x:v>
      </x:c>
      <x:c r="D34" s="7" t="str">
        <x:v>RFP-A1</x:v>
      </x:c>
      <x:c r="E34" s="7" t="str">
        <x:v>AM-05</x:v>
      </x:c>
      <x:c r="F34" s="7" t="str">
        <x:v>TR-B</x:v>
      </x:c>
      <x:c r="G34" s="7" t="str">
        <x:v>QE-02</x:v>
      </x:c>
      <x:c r="H34" s="7" t="str">
        <x:v>source post-event</x:v>
      </x:c>
      <x:c r="I34" s="10" t="str"/>
      <x:c r="J34" s="7" t="str"/>
      <x:c r="K34" s="7" t="str">
        <x:v>OPEN</x:v>
      </x:c>
    </x:row>
    <x:row r="35" ht="34" customHeight="1">
      <x:c r="B35" s="7" t="str">
        <x:v>RAE-S-029</x:v>
      </x:c>
      <x:c r="C35" s="7" t="str">
        <x:v>RAE-E-05</x:v>
      </x:c>
      <x:c r="D35" s="7" t="str">
        <x:v>RFP-A1</x:v>
      </x:c>
      <x:c r="E35" s="7" t="str">
        <x:v>AM-06</x:v>
      </x:c>
      <x:c r="F35" s="7" t="str">
        <x:v>TR-A</x:v>
      </x:c>
      <x:c r="G35" s="7" t="str">
        <x:v>QE-01</x:v>
      </x:c>
      <x:c r="H35" s="7" t="str">
        <x:v>pre-event background</x:v>
      </x:c>
      <x:c r="I35" s="10" t="str"/>
      <x:c r="J35" s="7" t="str"/>
      <x:c r="K35" s="7" t="str">
        <x:v>OPEN</x:v>
      </x:c>
    </x:row>
    <x:row r="36" ht="34" customHeight="1">
      <x:c r="B36" s="7" t="str">
        <x:v>RAE-S-030</x:v>
      </x:c>
      <x:c r="C36" s="7" t="str">
        <x:v>RAE-E-05</x:v>
      </x:c>
      <x:c r="D36" s="7" t="str">
        <x:v>RFP-A1</x:v>
      </x:c>
      <x:c r="E36" s="7" t="str">
        <x:v>AM-06</x:v>
      </x:c>
      <x:c r="F36" s="7" t="str">
        <x:v>TR-A</x:v>
      </x:c>
      <x:c r="G36" s="7" t="str">
        <x:v>QE-01</x:v>
      </x:c>
      <x:c r="H36" s="7" t="str">
        <x:v>post-event pan</x:v>
      </x:c>
      <x:c r="I36" s="10" t="str"/>
      <x:c r="J36" s="7" t="str"/>
      <x:c r="K36" s="7" t="str">
        <x:v>OPEN</x:v>
      </x:c>
    </x:row>
    <x:row r="37" ht="34" customHeight="1">
      <x:c r="B37" s="7" t="str">
        <x:v>RAE-S-031</x:v>
      </x:c>
      <x:c r="C37" s="7" t="str">
        <x:v>RAE-E-05</x:v>
      </x:c>
      <x:c r="D37" s="7" t="str">
        <x:v>RFP-A1</x:v>
      </x:c>
      <x:c r="E37" s="7" t="str">
        <x:v>AM-06</x:v>
      </x:c>
      <x:c r="F37" s="7" t="str">
        <x:v>TR-A</x:v>
      </x:c>
      <x:c r="G37" s="7" t="str">
        <x:v>QE-01</x:v>
      </x:c>
      <x:c r="H37" s="7" t="str">
        <x:v>post-event catchment</x:v>
      </x:c>
      <x:c r="I37" s="10" t="str"/>
      <x:c r="J37" s="7" t="str"/>
      <x:c r="K37" s="7" t="str">
        <x:v>OPEN</x:v>
      </x:c>
    </x:row>
    <x:row r="38" ht="34" customHeight="1">
      <x:c r="B38" s="7" t="str">
        <x:v>RAE-S-032</x:v>
      </x:c>
      <x:c r="C38" s="7" t="str">
        <x:v>RAE-E-05</x:v>
      </x:c>
      <x:c r="D38" s="7" t="str">
        <x:v>RFP-A1</x:v>
      </x:c>
      <x:c r="E38" s="7" t="str">
        <x:v>AM-06</x:v>
      </x:c>
      <x:c r="F38" s="7" t="str">
        <x:v>TR-A</x:v>
      </x:c>
      <x:c r="G38" s="7" t="str">
        <x:v>QE-01</x:v>
      </x:c>
      <x:c r="H38" s="7" t="str">
        <x:v>downwind boundary</x:v>
      </x:c>
      <x:c r="I38" s="10" t="str"/>
      <x:c r="J38" s="7" t="str"/>
      <x:c r="K38" s="7" t="str">
        <x:v>OPEN</x:v>
      </x:c>
    </x:row>
    <x:row r="39" ht="34" customHeight="1">
      <x:c r="B39" s="7" t="str">
        <x:v>RAE-S-033</x:v>
      </x:c>
      <x:c r="C39" s="7" t="str">
        <x:v>RAE-E-05</x:v>
      </x:c>
      <x:c r="D39" s="7" t="str">
        <x:v>RFP-A1</x:v>
      </x:c>
      <x:c r="E39" s="7" t="str">
        <x:v>AM-06</x:v>
      </x:c>
      <x:c r="F39" s="7" t="str">
        <x:v>TR-A</x:v>
      </x:c>
      <x:c r="G39" s="7" t="str">
        <x:v>QE-01</x:v>
      </x:c>
      <x:c r="H39" s="7" t="str">
        <x:v>water receiver</x:v>
      </x:c>
      <x:c r="I39" s="10" t="str"/>
      <x:c r="J39" s="7" t="str"/>
      <x:c r="K39" s="7" t="str">
        <x:v>OPEN</x:v>
      </x:c>
    </x:row>
    <x:row r="40" ht="34" customHeight="1">
      <x:c r="B40" s="7" t="str">
        <x:v>RAE-S-034</x:v>
      </x:c>
      <x:c r="C40" s="7" t="str">
        <x:v>RAE-E-05</x:v>
      </x:c>
      <x:c r="D40" s="7" t="str">
        <x:v>RFP-A1</x:v>
      </x:c>
      <x:c r="E40" s="7" t="str">
        <x:v>AM-06</x:v>
      </x:c>
      <x:c r="F40" s="7" t="str">
        <x:v>TR-A</x:v>
      </x:c>
      <x:c r="G40" s="7" t="str">
        <x:v>QE-01</x:v>
      </x:c>
      <x:c r="H40" s="7" t="str">
        <x:v>archive control</x:v>
      </x:c>
      <x:c r="I40" s="10" t="str"/>
      <x:c r="J40" s="7" t="str"/>
      <x:c r="K40" s="7" t="str">
        <x:v>OPEN</x:v>
      </x:c>
    </x:row>
    <x:row r="41" ht="34" customHeight="1">
      <x:c r="B41" s="7" t="str">
        <x:v>RAE-S-035</x:v>
      </x:c>
      <x:c r="C41" s="7" t="str">
        <x:v>RAE-E-06</x:v>
      </x:c>
      <x:c r="D41" s="7" t="str">
        <x:v>RFP-A1</x:v>
      </x:c>
      <x:c r="E41" s="7" t="str">
        <x:v>AM-06</x:v>
      </x:c>
      <x:c r="F41" s="7" t="str">
        <x:v>TR-A</x:v>
      </x:c>
      <x:c r="G41" s="7" t="str">
        <x:v>QE-02</x:v>
      </x:c>
      <x:c r="H41" s="7" t="str">
        <x:v>pre-event background</x:v>
      </x:c>
      <x:c r="I41" s="10" t="str"/>
      <x:c r="J41" s="7" t="str"/>
      <x:c r="K41" s="7" t="str">
        <x:v>OPEN</x:v>
      </x:c>
    </x:row>
    <x:row r="42" ht="34" customHeight="1">
      <x:c r="B42" s="7" t="str">
        <x:v>RAE-S-036</x:v>
      </x:c>
      <x:c r="C42" s="7" t="str">
        <x:v>RAE-E-06</x:v>
      </x:c>
      <x:c r="D42" s="7" t="str">
        <x:v>RFP-A1</x:v>
      </x:c>
      <x:c r="E42" s="7" t="str">
        <x:v>AM-06</x:v>
      </x:c>
      <x:c r="F42" s="7" t="str">
        <x:v>TR-A</x:v>
      </x:c>
      <x:c r="G42" s="7" t="str">
        <x:v>QE-02</x:v>
      </x:c>
      <x:c r="H42" s="7" t="str">
        <x:v>post-event pan</x:v>
      </x:c>
      <x:c r="I42" s="10" t="str"/>
      <x:c r="J42" s="7" t="str"/>
      <x:c r="K42" s="7" t="str">
        <x:v>OPEN</x:v>
      </x:c>
    </x:row>
    <x:row r="43" ht="34" customHeight="1">
      <x:c r="B43" s="7" t="str">
        <x:v>RAE-S-037</x:v>
      </x:c>
      <x:c r="C43" s="7" t="str">
        <x:v>RAE-E-06</x:v>
      </x:c>
      <x:c r="D43" s="7" t="str">
        <x:v>RFP-A1</x:v>
      </x:c>
      <x:c r="E43" s="7" t="str">
        <x:v>AM-06</x:v>
      </x:c>
      <x:c r="F43" s="7" t="str">
        <x:v>TR-A</x:v>
      </x:c>
      <x:c r="G43" s="7" t="str">
        <x:v>QE-02</x:v>
      </x:c>
      <x:c r="H43" s="7" t="str">
        <x:v>post-event catchment</x:v>
      </x:c>
      <x:c r="I43" s="10" t="str"/>
      <x:c r="J43" s="7" t="str"/>
      <x:c r="K43" s="7" t="str">
        <x:v>OPEN</x:v>
      </x:c>
    </x:row>
    <x:row r="44" ht="34" customHeight="1">
      <x:c r="B44" s="7" t="str">
        <x:v>RAE-S-038</x:v>
      </x:c>
      <x:c r="C44" s="7" t="str">
        <x:v>RAE-E-06</x:v>
      </x:c>
      <x:c r="D44" s="7" t="str">
        <x:v>RFP-A1</x:v>
      </x:c>
      <x:c r="E44" s="7" t="str">
        <x:v>AM-06</x:v>
      </x:c>
      <x:c r="F44" s="7" t="str">
        <x:v>TR-A</x:v>
      </x:c>
      <x:c r="G44" s="7" t="str">
        <x:v>QE-02</x:v>
      </x:c>
      <x:c r="H44" s="7" t="str">
        <x:v>downwind boundary</x:v>
      </x:c>
      <x:c r="I44" s="10" t="str"/>
      <x:c r="J44" s="7" t="str"/>
      <x:c r="K44" s="7" t="str">
        <x:v>OPEN</x:v>
      </x:c>
    </x:row>
    <x:row r="45" ht="34" customHeight="1">
      <x:c r="B45" s="7" t="str">
        <x:v>RAE-S-039</x:v>
      </x:c>
      <x:c r="C45" s="7" t="str">
        <x:v>RAE-E-06</x:v>
      </x:c>
      <x:c r="D45" s="7" t="str">
        <x:v>RFP-A1</x:v>
      </x:c>
      <x:c r="E45" s="7" t="str">
        <x:v>AM-06</x:v>
      </x:c>
      <x:c r="F45" s="7" t="str">
        <x:v>TR-A</x:v>
      </x:c>
      <x:c r="G45" s="7" t="str">
        <x:v>QE-02</x:v>
      </x:c>
      <x:c r="H45" s="7" t="str">
        <x:v>water receiver</x:v>
      </x:c>
      <x:c r="I45" s="10" t="str"/>
      <x:c r="J45" s="7" t="str"/>
      <x:c r="K45" s="7" t="str">
        <x:v>OPEN</x:v>
      </x:c>
    </x:row>
    <x:row r="46" ht="34" customHeight="1">
      <x:c r="B46" s="7" t="str">
        <x:v>RAE-S-040</x:v>
      </x:c>
      <x:c r="C46" s="7" t="str">
        <x:v>RAE-E-06</x:v>
      </x:c>
      <x:c r="D46" s="7" t="str">
        <x:v>RFP-A1</x:v>
      </x:c>
      <x:c r="E46" s="7" t="str">
        <x:v>AM-06</x:v>
      </x:c>
      <x:c r="F46" s="7" t="str">
        <x:v>TR-A</x:v>
      </x:c>
      <x:c r="G46" s="7" t="str">
        <x:v>QE-02</x:v>
      </x:c>
      <x:c r="H46" s="7" t="str">
        <x:v>archive control</x:v>
      </x:c>
      <x:c r="I46" s="10" t="str"/>
      <x:c r="J46" s="7" t="str"/>
      <x:c r="K46" s="7" t="str">
        <x:v>OPEN</x:v>
      </x:c>
    </x:row>
    <x:row r="47" ht="34" customHeight="1">
      <x:c r="B47" s="7" t="str">
        <x:v>RAE-S-041</x:v>
      </x:c>
      <x:c r="C47" s="7" t="str">
        <x:v>RAE-E-06</x:v>
      </x:c>
      <x:c r="D47" s="7" t="str">
        <x:v>RFP-A1</x:v>
      </x:c>
      <x:c r="E47" s="7" t="str">
        <x:v>AM-06</x:v>
      </x:c>
      <x:c r="F47" s="7" t="str">
        <x:v>TR-A</x:v>
      </x:c>
      <x:c r="G47" s="7" t="str">
        <x:v>QE-02</x:v>
      </x:c>
      <x:c r="H47" s="7" t="str">
        <x:v>source pre-event</x:v>
      </x:c>
      <x:c r="I47" s="10" t="str"/>
      <x:c r="J47" s="7" t="str"/>
      <x:c r="K47" s="7" t="str">
        <x:v>OPEN</x:v>
      </x:c>
    </x:row>
    <x:row r="48" ht="34" customHeight="1">
      <x:c r="B48" s="7" t="str">
        <x:v>RAE-S-042</x:v>
      </x:c>
      <x:c r="C48" s="7" t="str">
        <x:v>RAE-E-06</x:v>
      </x:c>
      <x:c r="D48" s="7" t="str">
        <x:v>RFP-A1</x:v>
      </x:c>
      <x:c r="E48" s="7" t="str">
        <x:v>AM-06</x:v>
      </x:c>
      <x:c r="F48" s="7" t="str">
        <x:v>TR-A</x:v>
      </x:c>
      <x:c r="G48" s="7" t="str">
        <x:v>QE-02</x:v>
      </x:c>
      <x:c r="H48" s="7" t="str">
        <x:v>source post-event</x:v>
      </x:c>
      <x:c r="I48" s="10" t="str"/>
      <x:c r="J48" s="7" t="str"/>
      <x:c r="K48" s="7" t="str">
        <x:v>OPEN</x:v>
      </x:c>
    </x:row>
    <x:row r="49" ht="34" customHeight="1">
      <x:c r="B49" s="7" t="str">
        <x:v>RAE-S-043</x:v>
      </x:c>
      <x:c r="C49" s="7" t="str">
        <x:v>RAE-E-07</x:v>
      </x:c>
      <x:c r="D49" s="7" t="str">
        <x:v>RFP-A1</x:v>
      </x:c>
      <x:c r="E49" s="7" t="str">
        <x:v>AM-06</x:v>
      </x:c>
      <x:c r="F49" s="7" t="str">
        <x:v>TR-B</x:v>
      </x:c>
      <x:c r="G49" s="7" t="str">
        <x:v>QE-01</x:v>
      </x:c>
      <x:c r="H49" s="7" t="str">
        <x:v>pre-event background</x:v>
      </x:c>
      <x:c r="I49" s="10" t="str"/>
      <x:c r="J49" s="7" t="str"/>
      <x:c r="K49" s="7" t="str">
        <x:v>OPEN</x:v>
      </x:c>
    </x:row>
    <x:row r="50" ht="34" customHeight="1">
      <x:c r="B50" s="7" t="str">
        <x:v>RAE-S-044</x:v>
      </x:c>
      <x:c r="C50" s="7" t="str">
        <x:v>RAE-E-07</x:v>
      </x:c>
      <x:c r="D50" s="7" t="str">
        <x:v>RFP-A1</x:v>
      </x:c>
      <x:c r="E50" s="7" t="str">
        <x:v>AM-06</x:v>
      </x:c>
      <x:c r="F50" s="7" t="str">
        <x:v>TR-B</x:v>
      </x:c>
      <x:c r="G50" s="7" t="str">
        <x:v>QE-01</x:v>
      </x:c>
      <x:c r="H50" s="7" t="str">
        <x:v>post-event pan</x:v>
      </x:c>
      <x:c r="I50" s="10" t="str"/>
      <x:c r="J50" s="7" t="str"/>
      <x:c r="K50" s="7" t="str">
        <x:v>OPEN</x:v>
      </x:c>
    </x:row>
    <x:row r="51" ht="34" customHeight="1">
      <x:c r="B51" s="7" t="str">
        <x:v>RAE-S-045</x:v>
      </x:c>
      <x:c r="C51" s="7" t="str">
        <x:v>RAE-E-07</x:v>
      </x:c>
      <x:c r="D51" s="7" t="str">
        <x:v>RFP-A1</x:v>
      </x:c>
      <x:c r="E51" s="7" t="str">
        <x:v>AM-06</x:v>
      </x:c>
      <x:c r="F51" s="7" t="str">
        <x:v>TR-B</x:v>
      </x:c>
      <x:c r="G51" s="7" t="str">
        <x:v>QE-01</x:v>
      </x:c>
      <x:c r="H51" s="7" t="str">
        <x:v>post-event catchment</x:v>
      </x:c>
      <x:c r="I51" s="10" t="str"/>
      <x:c r="J51" s="7" t="str"/>
      <x:c r="K51" s="7" t="str">
        <x:v>OPEN</x:v>
      </x:c>
    </x:row>
    <x:row r="52" ht="34" customHeight="1">
      <x:c r="B52" s="7" t="str">
        <x:v>RAE-S-046</x:v>
      </x:c>
      <x:c r="C52" s="7" t="str">
        <x:v>RAE-E-07</x:v>
      </x:c>
      <x:c r="D52" s="7" t="str">
        <x:v>RFP-A1</x:v>
      </x:c>
      <x:c r="E52" s="7" t="str">
        <x:v>AM-06</x:v>
      </x:c>
      <x:c r="F52" s="7" t="str">
        <x:v>TR-B</x:v>
      </x:c>
      <x:c r="G52" s="7" t="str">
        <x:v>QE-01</x:v>
      </x:c>
      <x:c r="H52" s="7" t="str">
        <x:v>downwind boundary</x:v>
      </x:c>
      <x:c r="I52" s="10" t="str"/>
      <x:c r="J52" s="7" t="str"/>
      <x:c r="K52" s="7" t="str">
        <x:v>OPEN</x:v>
      </x:c>
    </x:row>
    <x:row r="53" ht="34" customHeight="1">
      <x:c r="B53" s="7" t="str">
        <x:v>RAE-S-047</x:v>
      </x:c>
      <x:c r="C53" s="7" t="str">
        <x:v>RAE-E-07</x:v>
      </x:c>
      <x:c r="D53" s="7" t="str">
        <x:v>RFP-A1</x:v>
      </x:c>
      <x:c r="E53" s="7" t="str">
        <x:v>AM-06</x:v>
      </x:c>
      <x:c r="F53" s="7" t="str">
        <x:v>TR-B</x:v>
      </x:c>
      <x:c r="G53" s="7" t="str">
        <x:v>QE-01</x:v>
      </x:c>
      <x:c r="H53" s="7" t="str">
        <x:v>water receiver</x:v>
      </x:c>
      <x:c r="I53" s="10" t="str"/>
      <x:c r="J53" s="7" t="str"/>
      <x:c r="K53" s="7" t="str">
        <x:v>OPEN</x:v>
      </x:c>
    </x:row>
    <x:row r="54" ht="34" customHeight="1">
      <x:c r="B54" s="7" t="str">
        <x:v>RAE-S-048</x:v>
      </x:c>
      <x:c r="C54" s="7" t="str">
        <x:v>RAE-E-07</x:v>
      </x:c>
      <x:c r="D54" s="7" t="str">
        <x:v>RFP-A1</x:v>
      </x:c>
      <x:c r="E54" s="7" t="str">
        <x:v>AM-06</x:v>
      </x:c>
      <x:c r="F54" s="7" t="str">
        <x:v>TR-B</x:v>
      </x:c>
      <x:c r="G54" s="7" t="str">
        <x:v>QE-01</x:v>
      </x:c>
      <x:c r="H54" s="7" t="str">
        <x:v>archive control</x:v>
      </x:c>
      <x:c r="I54" s="10" t="str"/>
      <x:c r="J54" s="7" t="str"/>
      <x:c r="K54" s="7" t="str">
        <x:v>OPEN</x:v>
      </x:c>
    </x:row>
    <x:row r="55" ht="34" customHeight="1">
      <x:c r="B55" s="7" t="str">
        <x:v>RAE-S-049</x:v>
      </x:c>
      <x:c r="C55" s="7" t="str">
        <x:v>RAE-E-08</x:v>
      </x:c>
      <x:c r="D55" s="7" t="str">
        <x:v>RFP-A1</x:v>
      </x:c>
      <x:c r="E55" s="7" t="str">
        <x:v>AM-06</x:v>
      </x:c>
      <x:c r="F55" s="7" t="str">
        <x:v>TR-B</x:v>
      </x:c>
      <x:c r="G55" s="7" t="str">
        <x:v>QE-02</x:v>
      </x:c>
      <x:c r="H55" s="7" t="str">
        <x:v>pre-event background</x:v>
      </x:c>
      <x:c r="I55" s="10" t="str"/>
      <x:c r="J55" s="7" t="str"/>
      <x:c r="K55" s="7" t="str">
        <x:v>OPEN</x:v>
      </x:c>
    </x:row>
    <x:row r="56" ht="34" customHeight="1">
      <x:c r="B56" s="7" t="str">
        <x:v>RAE-S-050</x:v>
      </x:c>
      <x:c r="C56" s="7" t="str">
        <x:v>RAE-E-08</x:v>
      </x:c>
      <x:c r="D56" s="7" t="str">
        <x:v>RFP-A1</x:v>
      </x:c>
      <x:c r="E56" s="7" t="str">
        <x:v>AM-06</x:v>
      </x:c>
      <x:c r="F56" s="7" t="str">
        <x:v>TR-B</x:v>
      </x:c>
      <x:c r="G56" s="7" t="str">
        <x:v>QE-02</x:v>
      </x:c>
      <x:c r="H56" s="7" t="str">
        <x:v>post-event pan</x:v>
      </x:c>
      <x:c r="I56" s="10" t="str"/>
      <x:c r="J56" s="7" t="str"/>
      <x:c r="K56" s="7" t="str">
        <x:v>OPEN</x:v>
      </x:c>
    </x:row>
    <x:row r="57" ht="34" customHeight="1">
      <x:c r="B57" s="7" t="str">
        <x:v>RAE-S-051</x:v>
      </x:c>
      <x:c r="C57" s="7" t="str">
        <x:v>RAE-E-08</x:v>
      </x:c>
      <x:c r="D57" s="7" t="str">
        <x:v>RFP-A1</x:v>
      </x:c>
      <x:c r="E57" s="7" t="str">
        <x:v>AM-06</x:v>
      </x:c>
      <x:c r="F57" s="7" t="str">
        <x:v>TR-B</x:v>
      </x:c>
      <x:c r="G57" s="7" t="str">
        <x:v>QE-02</x:v>
      </x:c>
      <x:c r="H57" s="7" t="str">
        <x:v>post-event catchment</x:v>
      </x:c>
      <x:c r="I57" s="10" t="str"/>
      <x:c r="J57" s="7" t="str"/>
      <x:c r="K57" s="7" t="str">
        <x:v>OPEN</x:v>
      </x:c>
    </x:row>
    <x:row r="58" ht="34" customHeight="1">
      <x:c r="B58" s="7" t="str">
        <x:v>RAE-S-052</x:v>
      </x:c>
      <x:c r="C58" s="7" t="str">
        <x:v>RAE-E-08</x:v>
      </x:c>
      <x:c r="D58" s="7" t="str">
        <x:v>RFP-A1</x:v>
      </x:c>
      <x:c r="E58" s="7" t="str">
        <x:v>AM-06</x:v>
      </x:c>
      <x:c r="F58" s="7" t="str">
        <x:v>TR-B</x:v>
      </x:c>
      <x:c r="G58" s="7" t="str">
        <x:v>QE-02</x:v>
      </x:c>
      <x:c r="H58" s="7" t="str">
        <x:v>downwind boundary</x:v>
      </x:c>
      <x:c r="I58" s="10" t="str"/>
      <x:c r="J58" s="7" t="str"/>
      <x:c r="K58" s="7" t="str">
        <x:v>OPEN</x:v>
      </x:c>
    </x:row>
    <x:row r="59" ht="34" customHeight="1">
      <x:c r="B59" s="7" t="str">
        <x:v>RAE-S-053</x:v>
      </x:c>
      <x:c r="C59" s="7" t="str">
        <x:v>RAE-E-08</x:v>
      </x:c>
      <x:c r="D59" s="7" t="str">
        <x:v>RFP-A1</x:v>
      </x:c>
      <x:c r="E59" s="7" t="str">
        <x:v>AM-06</x:v>
      </x:c>
      <x:c r="F59" s="7" t="str">
        <x:v>TR-B</x:v>
      </x:c>
      <x:c r="G59" s="7" t="str">
        <x:v>QE-02</x:v>
      </x:c>
      <x:c r="H59" s="7" t="str">
        <x:v>water receiver</x:v>
      </x:c>
      <x:c r="I59" s="10" t="str"/>
      <x:c r="J59" s="7" t="str"/>
      <x:c r="K59" s="7" t="str">
        <x:v>OPEN</x:v>
      </x:c>
    </x:row>
    <x:row r="60" ht="34" customHeight="1">
      <x:c r="B60" s="7" t="str">
        <x:v>RAE-S-054</x:v>
      </x:c>
      <x:c r="C60" s="7" t="str">
        <x:v>RAE-E-08</x:v>
      </x:c>
      <x:c r="D60" s="7" t="str">
        <x:v>RFP-A1</x:v>
      </x:c>
      <x:c r="E60" s="7" t="str">
        <x:v>AM-06</x:v>
      </x:c>
      <x:c r="F60" s="7" t="str">
        <x:v>TR-B</x:v>
      </x:c>
      <x:c r="G60" s="7" t="str">
        <x:v>QE-02</x:v>
      </x:c>
      <x:c r="H60" s="7" t="str">
        <x:v>archive control</x:v>
      </x:c>
      <x:c r="I60" s="10" t="str"/>
      <x:c r="J60" s="7" t="str"/>
      <x:c r="K60" s="7" t="str">
        <x:v>OPEN</x:v>
      </x:c>
    </x:row>
    <x:row r="61" ht="34" customHeight="1">
      <x:c r="B61" s="7" t="str">
        <x:v>RAE-S-055</x:v>
      </x:c>
      <x:c r="C61" s="7" t="str">
        <x:v>RAE-E-08</x:v>
      </x:c>
      <x:c r="D61" s="7" t="str">
        <x:v>RFP-A1</x:v>
      </x:c>
      <x:c r="E61" s="7" t="str">
        <x:v>AM-06</x:v>
      </x:c>
      <x:c r="F61" s="7" t="str">
        <x:v>TR-B</x:v>
      </x:c>
      <x:c r="G61" s="7" t="str">
        <x:v>QE-02</x:v>
      </x:c>
      <x:c r="H61" s="7" t="str">
        <x:v>source pre-event</x:v>
      </x:c>
      <x:c r="I61" s="10" t="str"/>
      <x:c r="J61" s="7" t="str"/>
      <x:c r="K61" s="7" t="str">
        <x:v>OPEN</x:v>
      </x:c>
    </x:row>
    <x:row r="62" ht="34" customHeight="1">
      <x:c r="B62" s="7" t="str">
        <x:v>RAE-S-056</x:v>
      </x:c>
      <x:c r="C62" s="7" t="str">
        <x:v>RAE-E-08</x:v>
      </x:c>
      <x:c r="D62" s="7" t="str">
        <x:v>RFP-A1</x:v>
      </x:c>
      <x:c r="E62" s="7" t="str">
        <x:v>AM-06</x:v>
      </x:c>
      <x:c r="F62" s="7" t="str">
        <x:v>TR-B</x:v>
      </x:c>
      <x:c r="G62" s="7" t="str">
        <x:v>QE-02</x:v>
      </x:c>
      <x:c r="H62" s="7" t="str">
        <x:v>source post-event</x:v>
      </x:c>
      <x:c r="I62" s="10" t="str"/>
      <x:c r="J62" s="7" t="str"/>
      <x:c r="K62" s="7" t="str">
        <x:v>OPEN</x:v>
      </x:c>
    </x:row>
    <x:row r="63" ht="34" customHeight="1">
      <x:c r="B63" s="7" t="str">
        <x:v>RAE-S-057</x:v>
      </x:c>
      <x:c r="C63" s="7" t="str">
        <x:v>RAE-E-09</x:v>
      </x:c>
      <x:c r="D63" s="7" t="str">
        <x:v>RFP-A2</x:v>
      </x:c>
      <x:c r="E63" s="7" t="str">
        <x:v>AM-05</x:v>
      </x:c>
      <x:c r="F63" s="7" t="str">
        <x:v>TR-A</x:v>
      </x:c>
      <x:c r="G63" s="7" t="str">
        <x:v>QE-01</x:v>
      </x:c>
      <x:c r="H63" s="7" t="str">
        <x:v>pre-event background</x:v>
      </x:c>
      <x:c r="I63" s="10" t="str"/>
      <x:c r="J63" s="7" t="str"/>
      <x:c r="K63" s="7" t="str">
        <x:v>OPEN</x:v>
      </x:c>
    </x:row>
    <x:row r="64" ht="34" customHeight="1">
      <x:c r="B64" s="7" t="str">
        <x:v>RAE-S-058</x:v>
      </x:c>
      <x:c r="C64" s="7" t="str">
        <x:v>RAE-E-09</x:v>
      </x:c>
      <x:c r="D64" s="7" t="str">
        <x:v>RFP-A2</x:v>
      </x:c>
      <x:c r="E64" s="7" t="str">
        <x:v>AM-05</x:v>
      </x:c>
      <x:c r="F64" s="7" t="str">
        <x:v>TR-A</x:v>
      </x:c>
      <x:c r="G64" s="7" t="str">
        <x:v>QE-01</x:v>
      </x:c>
      <x:c r="H64" s="7" t="str">
        <x:v>post-event pan</x:v>
      </x:c>
      <x:c r="I64" s="10" t="str"/>
      <x:c r="J64" s="7" t="str"/>
      <x:c r="K64" s="7" t="str">
        <x:v>OPEN</x:v>
      </x:c>
    </x:row>
    <x:row r="65" ht="34" customHeight="1">
      <x:c r="B65" s="7" t="str">
        <x:v>RAE-S-059</x:v>
      </x:c>
      <x:c r="C65" s="7" t="str">
        <x:v>RAE-E-09</x:v>
      </x:c>
      <x:c r="D65" s="7" t="str">
        <x:v>RFP-A2</x:v>
      </x:c>
      <x:c r="E65" s="7" t="str">
        <x:v>AM-05</x:v>
      </x:c>
      <x:c r="F65" s="7" t="str">
        <x:v>TR-A</x:v>
      </x:c>
      <x:c r="G65" s="7" t="str">
        <x:v>QE-01</x:v>
      </x:c>
      <x:c r="H65" s="7" t="str">
        <x:v>post-event catchment</x:v>
      </x:c>
      <x:c r="I65" s="10" t="str"/>
      <x:c r="J65" s="7" t="str"/>
      <x:c r="K65" s="7" t="str">
        <x:v>OPEN</x:v>
      </x:c>
    </x:row>
    <x:row r="66" ht="34" customHeight="1">
      <x:c r="B66" s="7" t="str">
        <x:v>RAE-S-060</x:v>
      </x:c>
      <x:c r="C66" s="7" t="str">
        <x:v>RAE-E-09</x:v>
      </x:c>
      <x:c r="D66" s="7" t="str">
        <x:v>RFP-A2</x:v>
      </x:c>
      <x:c r="E66" s="7" t="str">
        <x:v>AM-05</x:v>
      </x:c>
      <x:c r="F66" s="7" t="str">
        <x:v>TR-A</x:v>
      </x:c>
      <x:c r="G66" s="7" t="str">
        <x:v>QE-01</x:v>
      </x:c>
      <x:c r="H66" s="7" t="str">
        <x:v>downwind boundary</x:v>
      </x:c>
      <x:c r="I66" s="10" t="str"/>
      <x:c r="J66" s="7" t="str"/>
      <x:c r="K66" s="7" t="str">
        <x:v>OPEN</x:v>
      </x:c>
    </x:row>
    <x:row r="67" ht="34" customHeight="1">
      <x:c r="B67" s="7" t="str">
        <x:v>RAE-S-061</x:v>
      </x:c>
      <x:c r="C67" s="7" t="str">
        <x:v>RAE-E-09</x:v>
      </x:c>
      <x:c r="D67" s="7" t="str">
        <x:v>RFP-A2</x:v>
      </x:c>
      <x:c r="E67" s="7" t="str">
        <x:v>AM-05</x:v>
      </x:c>
      <x:c r="F67" s="7" t="str">
        <x:v>TR-A</x:v>
      </x:c>
      <x:c r="G67" s="7" t="str">
        <x:v>QE-01</x:v>
      </x:c>
      <x:c r="H67" s="7" t="str">
        <x:v>water receiver</x:v>
      </x:c>
      <x:c r="I67" s="10" t="str"/>
      <x:c r="J67" s="7" t="str"/>
      <x:c r="K67" s="7" t="str">
        <x:v>OPEN</x:v>
      </x:c>
    </x:row>
    <x:row r="68" ht="34" customHeight="1">
      <x:c r="B68" s="7" t="str">
        <x:v>RAE-S-062</x:v>
      </x:c>
      <x:c r="C68" s="7" t="str">
        <x:v>RAE-E-09</x:v>
      </x:c>
      <x:c r="D68" s="7" t="str">
        <x:v>RFP-A2</x:v>
      </x:c>
      <x:c r="E68" s="7" t="str">
        <x:v>AM-05</x:v>
      </x:c>
      <x:c r="F68" s="7" t="str">
        <x:v>TR-A</x:v>
      </x:c>
      <x:c r="G68" s="7" t="str">
        <x:v>QE-01</x:v>
      </x:c>
      <x:c r="H68" s="7" t="str">
        <x:v>archive control</x:v>
      </x:c>
      <x:c r="I68" s="10" t="str"/>
      <x:c r="J68" s="7" t="str"/>
      <x:c r="K68" s="7" t="str">
        <x:v>OPEN</x:v>
      </x:c>
    </x:row>
    <x:row r="69" ht="34" customHeight="1">
      <x:c r="B69" s="7" t="str">
        <x:v>RAE-S-063</x:v>
      </x:c>
      <x:c r="C69" s="7" t="str">
        <x:v>RAE-E-10</x:v>
      </x:c>
      <x:c r="D69" s="7" t="str">
        <x:v>RFP-A2</x:v>
      </x:c>
      <x:c r="E69" s="7" t="str">
        <x:v>AM-05</x:v>
      </x:c>
      <x:c r="F69" s="7" t="str">
        <x:v>TR-A</x:v>
      </x:c>
      <x:c r="G69" s="7" t="str">
        <x:v>QE-02</x:v>
      </x:c>
      <x:c r="H69" s="7" t="str">
        <x:v>pre-event background</x:v>
      </x:c>
      <x:c r="I69" s="10" t="str"/>
      <x:c r="J69" s="7" t="str"/>
      <x:c r="K69" s="7" t="str">
        <x:v>OPEN</x:v>
      </x:c>
    </x:row>
    <x:row r="70" ht="34" customHeight="1">
      <x:c r="B70" s="7" t="str">
        <x:v>RAE-S-064</x:v>
      </x:c>
      <x:c r="C70" s="7" t="str">
        <x:v>RAE-E-10</x:v>
      </x:c>
      <x:c r="D70" s="7" t="str">
        <x:v>RFP-A2</x:v>
      </x:c>
      <x:c r="E70" s="7" t="str">
        <x:v>AM-05</x:v>
      </x:c>
      <x:c r="F70" s="7" t="str">
        <x:v>TR-A</x:v>
      </x:c>
      <x:c r="G70" s="7" t="str">
        <x:v>QE-02</x:v>
      </x:c>
      <x:c r="H70" s="7" t="str">
        <x:v>post-event pan</x:v>
      </x:c>
      <x:c r="I70" s="10" t="str"/>
      <x:c r="J70" s="7" t="str"/>
      <x:c r="K70" s="7" t="str">
        <x:v>OPEN</x:v>
      </x:c>
    </x:row>
    <x:row r="71" ht="34" customHeight="1">
      <x:c r="B71" s="7" t="str">
        <x:v>RAE-S-065</x:v>
      </x:c>
      <x:c r="C71" s="7" t="str">
        <x:v>RAE-E-10</x:v>
      </x:c>
      <x:c r="D71" s="7" t="str">
        <x:v>RFP-A2</x:v>
      </x:c>
      <x:c r="E71" s="7" t="str">
        <x:v>AM-05</x:v>
      </x:c>
      <x:c r="F71" s="7" t="str">
        <x:v>TR-A</x:v>
      </x:c>
      <x:c r="G71" s="7" t="str">
        <x:v>QE-02</x:v>
      </x:c>
      <x:c r="H71" s="7" t="str">
        <x:v>post-event catchment</x:v>
      </x:c>
      <x:c r="I71" s="10" t="str"/>
      <x:c r="J71" s="7" t="str"/>
      <x:c r="K71" s="7" t="str">
        <x:v>OPEN</x:v>
      </x:c>
    </x:row>
    <x:row r="72" ht="34" customHeight="1">
      <x:c r="B72" s="7" t="str">
        <x:v>RAE-S-066</x:v>
      </x:c>
      <x:c r="C72" s="7" t="str">
        <x:v>RAE-E-10</x:v>
      </x:c>
      <x:c r="D72" s="7" t="str">
        <x:v>RFP-A2</x:v>
      </x:c>
      <x:c r="E72" s="7" t="str">
        <x:v>AM-05</x:v>
      </x:c>
      <x:c r="F72" s="7" t="str">
        <x:v>TR-A</x:v>
      </x:c>
      <x:c r="G72" s="7" t="str">
        <x:v>QE-02</x:v>
      </x:c>
      <x:c r="H72" s="7" t="str">
        <x:v>downwind boundary</x:v>
      </x:c>
      <x:c r="I72" s="10" t="str"/>
      <x:c r="J72" s="7" t="str"/>
      <x:c r="K72" s="7" t="str">
        <x:v>OPEN</x:v>
      </x:c>
    </x:row>
    <x:row r="73" ht="34" customHeight="1">
      <x:c r="B73" s="7" t="str">
        <x:v>RAE-S-067</x:v>
      </x:c>
      <x:c r="C73" s="7" t="str">
        <x:v>RAE-E-10</x:v>
      </x:c>
      <x:c r="D73" s="7" t="str">
        <x:v>RFP-A2</x:v>
      </x:c>
      <x:c r="E73" s="7" t="str">
        <x:v>AM-05</x:v>
      </x:c>
      <x:c r="F73" s="7" t="str">
        <x:v>TR-A</x:v>
      </x:c>
      <x:c r="G73" s="7" t="str">
        <x:v>QE-02</x:v>
      </x:c>
      <x:c r="H73" s="7" t="str">
        <x:v>water receiver</x:v>
      </x:c>
      <x:c r="I73" s="10" t="str"/>
      <x:c r="J73" s="7" t="str"/>
      <x:c r="K73" s="7" t="str">
        <x:v>OPEN</x:v>
      </x:c>
    </x:row>
    <x:row r="74" ht="34" customHeight="1">
      <x:c r="B74" s="7" t="str">
        <x:v>RAE-S-068</x:v>
      </x:c>
      <x:c r="C74" s="7" t="str">
        <x:v>RAE-E-10</x:v>
      </x:c>
      <x:c r="D74" s="7" t="str">
        <x:v>RFP-A2</x:v>
      </x:c>
      <x:c r="E74" s="7" t="str">
        <x:v>AM-05</x:v>
      </x:c>
      <x:c r="F74" s="7" t="str">
        <x:v>TR-A</x:v>
      </x:c>
      <x:c r="G74" s="7" t="str">
        <x:v>QE-02</x:v>
      </x:c>
      <x:c r="H74" s="7" t="str">
        <x:v>archive control</x:v>
      </x:c>
      <x:c r="I74" s="10" t="str"/>
      <x:c r="J74" s="7" t="str"/>
      <x:c r="K74" s="7" t="str">
        <x:v>OPEN</x:v>
      </x:c>
    </x:row>
    <x:row r="75" ht="34" customHeight="1">
      <x:c r="B75" s="7" t="str">
        <x:v>RAE-S-069</x:v>
      </x:c>
      <x:c r="C75" s="7" t="str">
        <x:v>RAE-E-10</x:v>
      </x:c>
      <x:c r="D75" s="7" t="str">
        <x:v>RFP-A2</x:v>
      </x:c>
      <x:c r="E75" s="7" t="str">
        <x:v>AM-05</x:v>
      </x:c>
      <x:c r="F75" s="7" t="str">
        <x:v>TR-A</x:v>
      </x:c>
      <x:c r="G75" s="7" t="str">
        <x:v>QE-02</x:v>
      </x:c>
      <x:c r="H75" s="7" t="str">
        <x:v>source pre-event</x:v>
      </x:c>
      <x:c r="I75" s="10" t="str"/>
      <x:c r="J75" s="7" t="str"/>
      <x:c r="K75" s="7" t="str">
        <x:v>OPEN</x:v>
      </x:c>
    </x:row>
    <x:row r="76" ht="34" customHeight="1">
      <x:c r="B76" s="7" t="str">
        <x:v>RAE-S-070</x:v>
      </x:c>
      <x:c r="C76" s="7" t="str">
        <x:v>RAE-E-10</x:v>
      </x:c>
      <x:c r="D76" s="7" t="str">
        <x:v>RFP-A2</x:v>
      </x:c>
      <x:c r="E76" s="7" t="str">
        <x:v>AM-05</x:v>
      </x:c>
      <x:c r="F76" s="7" t="str">
        <x:v>TR-A</x:v>
      </x:c>
      <x:c r="G76" s="7" t="str">
        <x:v>QE-02</x:v>
      </x:c>
      <x:c r="H76" s="7" t="str">
        <x:v>source post-event</x:v>
      </x:c>
      <x:c r="I76" s="10" t="str"/>
      <x:c r="J76" s="7" t="str"/>
      <x:c r="K76" s="7" t="str">
        <x:v>OPEN</x:v>
      </x:c>
    </x:row>
    <x:row r="77" ht="34" customHeight="1">
      <x:c r="B77" s="7" t="str">
        <x:v>RAE-S-071</x:v>
      </x:c>
      <x:c r="C77" s="7" t="str">
        <x:v>RAE-E-11</x:v>
      </x:c>
      <x:c r="D77" s="7" t="str">
        <x:v>RFP-A2</x:v>
      </x:c>
      <x:c r="E77" s="7" t="str">
        <x:v>AM-05</x:v>
      </x:c>
      <x:c r="F77" s="7" t="str">
        <x:v>TR-B</x:v>
      </x:c>
      <x:c r="G77" s="7" t="str">
        <x:v>QE-01</x:v>
      </x:c>
      <x:c r="H77" s="7" t="str">
        <x:v>pre-event background</x:v>
      </x:c>
      <x:c r="I77" s="10" t="str"/>
      <x:c r="J77" s="7" t="str"/>
      <x:c r="K77" s="7" t="str">
        <x:v>OPEN</x:v>
      </x:c>
    </x:row>
    <x:row r="78" ht="34" customHeight="1">
      <x:c r="B78" s="7" t="str">
        <x:v>RAE-S-072</x:v>
      </x:c>
      <x:c r="C78" s="7" t="str">
        <x:v>RAE-E-11</x:v>
      </x:c>
      <x:c r="D78" s="7" t="str">
        <x:v>RFP-A2</x:v>
      </x:c>
      <x:c r="E78" s="7" t="str">
        <x:v>AM-05</x:v>
      </x:c>
      <x:c r="F78" s="7" t="str">
        <x:v>TR-B</x:v>
      </x:c>
      <x:c r="G78" s="7" t="str">
        <x:v>QE-01</x:v>
      </x:c>
      <x:c r="H78" s="7" t="str">
        <x:v>post-event pan</x:v>
      </x:c>
      <x:c r="I78" s="10" t="str"/>
      <x:c r="J78" s="7" t="str"/>
      <x:c r="K78" s="7" t="str">
        <x:v>OPEN</x:v>
      </x:c>
    </x:row>
    <x:row r="79" ht="34" customHeight="1">
      <x:c r="B79" s="7" t="str">
        <x:v>RAE-S-073</x:v>
      </x:c>
      <x:c r="C79" s="7" t="str">
        <x:v>RAE-E-11</x:v>
      </x:c>
      <x:c r="D79" s="7" t="str">
        <x:v>RFP-A2</x:v>
      </x:c>
      <x:c r="E79" s="7" t="str">
        <x:v>AM-05</x:v>
      </x:c>
      <x:c r="F79" s="7" t="str">
        <x:v>TR-B</x:v>
      </x:c>
      <x:c r="G79" s="7" t="str">
        <x:v>QE-01</x:v>
      </x:c>
      <x:c r="H79" s="7" t="str">
        <x:v>post-event catchment</x:v>
      </x:c>
      <x:c r="I79" s="10" t="str"/>
      <x:c r="J79" s="7" t="str"/>
      <x:c r="K79" s="7" t="str">
        <x:v>OPEN</x:v>
      </x:c>
    </x:row>
    <x:row r="80" ht="34" customHeight="1">
      <x:c r="B80" s="7" t="str">
        <x:v>RAE-S-074</x:v>
      </x:c>
      <x:c r="C80" s="7" t="str">
        <x:v>RAE-E-11</x:v>
      </x:c>
      <x:c r="D80" s="7" t="str">
        <x:v>RFP-A2</x:v>
      </x:c>
      <x:c r="E80" s="7" t="str">
        <x:v>AM-05</x:v>
      </x:c>
      <x:c r="F80" s="7" t="str">
        <x:v>TR-B</x:v>
      </x:c>
      <x:c r="G80" s="7" t="str">
        <x:v>QE-01</x:v>
      </x:c>
      <x:c r="H80" s="7" t="str">
        <x:v>downwind boundary</x:v>
      </x:c>
      <x:c r="I80" s="10" t="str"/>
      <x:c r="J80" s="7" t="str"/>
      <x:c r="K80" s="7" t="str">
        <x:v>OPEN</x:v>
      </x:c>
    </x:row>
    <x:row r="81" ht="34" customHeight="1">
      <x:c r="B81" s="7" t="str">
        <x:v>RAE-S-075</x:v>
      </x:c>
      <x:c r="C81" s="7" t="str">
        <x:v>RAE-E-11</x:v>
      </x:c>
      <x:c r="D81" s="7" t="str">
        <x:v>RFP-A2</x:v>
      </x:c>
      <x:c r="E81" s="7" t="str">
        <x:v>AM-05</x:v>
      </x:c>
      <x:c r="F81" s="7" t="str">
        <x:v>TR-B</x:v>
      </x:c>
      <x:c r="G81" s="7" t="str">
        <x:v>QE-01</x:v>
      </x:c>
      <x:c r="H81" s="7" t="str">
        <x:v>water receiver</x:v>
      </x:c>
      <x:c r="I81" s="10" t="str"/>
      <x:c r="J81" s="7" t="str"/>
      <x:c r="K81" s="7" t="str">
        <x:v>OPEN</x:v>
      </x:c>
    </x:row>
    <x:row r="82" ht="34" customHeight="1">
      <x:c r="B82" s="7" t="str">
        <x:v>RAE-S-076</x:v>
      </x:c>
      <x:c r="C82" s="7" t="str">
        <x:v>RAE-E-11</x:v>
      </x:c>
      <x:c r="D82" s="7" t="str">
        <x:v>RFP-A2</x:v>
      </x:c>
      <x:c r="E82" s="7" t="str">
        <x:v>AM-05</x:v>
      </x:c>
      <x:c r="F82" s="7" t="str">
        <x:v>TR-B</x:v>
      </x:c>
      <x:c r="G82" s="7" t="str">
        <x:v>QE-01</x:v>
      </x:c>
      <x:c r="H82" s="7" t="str">
        <x:v>archive control</x:v>
      </x:c>
      <x:c r="I82" s="10" t="str"/>
      <x:c r="J82" s="7" t="str"/>
      <x:c r="K82" s="7" t="str">
        <x:v>OPEN</x:v>
      </x:c>
    </x:row>
    <x:row r="83" ht="34" customHeight="1">
      <x:c r="B83" s="7" t="str">
        <x:v>RAE-S-077</x:v>
      </x:c>
      <x:c r="C83" s="7" t="str">
        <x:v>RAE-E-12</x:v>
      </x:c>
      <x:c r="D83" s="7" t="str">
        <x:v>RFP-A2</x:v>
      </x:c>
      <x:c r="E83" s="7" t="str">
        <x:v>AM-05</x:v>
      </x:c>
      <x:c r="F83" s="7" t="str">
        <x:v>TR-B</x:v>
      </x:c>
      <x:c r="G83" s="7" t="str">
        <x:v>QE-02</x:v>
      </x:c>
      <x:c r="H83" s="7" t="str">
        <x:v>pre-event background</x:v>
      </x:c>
      <x:c r="I83" s="10" t="str"/>
      <x:c r="J83" s="7" t="str"/>
      <x:c r="K83" s="7" t="str">
        <x:v>OPEN</x:v>
      </x:c>
    </x:row>
    <x:row r="84" ht="34" customHeight="1">
      <x:c r="B84" s="7" t="str">
        <x:v>RAE-S-078</x:v>
      </x:c>
      <x:c r="C84" s="7" t="str">
        <x:v>RAE-E-12</x:v>
      </x:c>
      <x:c r="D84" s="7" t="str">
        <x:v>RFP-A2</x:v>
      </x:c>
      <x:c r="E84" s="7" t="str">
        <x:v>AM-05</x:v>
      </x:c>
      <x:c r="F84" s="7" t="str">
        <x:v>TR-B</x:v>
      </x:c>
      <x:c r="G84" s="7" t="str">
        <x:v>QE-02</x:v>
      </x:c>
      <x:c r="H84" s="7" t="str">
        <x:v>post-event pan</x:v>
      </x:c>
      <x:c r="I84" s="10" t="str"/>
      <x:c r="J84" s="7" t="str"/>
      <x:c r="K84" s="7" t="str">
        <x:v>OPEN</x:v>
      </x:c>
    </x:row>
    <x:row r="85" ht="34" customHeight="1">
      <x:c r="B85" s="7" t="str">
        <x:v>RAE-S-079</x:v>
      </x:c>
      <x:c r="C85" s="7" t="str">
        <x:v>RAE-E-12</x:v>
      </x:c>
      <x:c r="D85" s="7" t="str">
        <x:v>RFP-A2</x:v>
      </x:c>
      <x:c r="E85" s="7" t="str">
        <x:v>AM-05</x:v>
      </x:c>
      <x:c r="F85" s="7" t="str">
        <x:v>TR-B</x:v>
      </x:c>
      <x:c r="G85" s="7" t="str">
        <x:v>QE-02</x:v>
      </x:c>
      <x:c r="H85" s="7" t="str">
        <x:v>post-event catchment</x:v>
      </x:c>
      <x:c r="I85" s="10" t="str"/>
      <x:c r="J85" s="7" t="str"/>
      <x:c r="K85" s="7" t="str">
        <x:v>OPEN</x:v>
      </x:c>
    </x:row>
    <x:row r="86" ht="34" customHeight="1">
      <x:c r="B86" s="7" t="str">
        <x:v>RAE-S-080</x:v>
      </x:c>
      <x:c r="C86" s="7" t="str">
        <x:v>RAE-E-12</x:v>
      </x:c>
      <x:c r="D86" s="7" t="str">
        <x:v>RFP-A2</x:v>
      </x:c>
      <x:c r="E86" s="7" t="str">
        <x:v>AM-05</x:v>
      </x:c>
      <x:c r="F86" s="7" t="str">
        <x:v>TR-B</x:v>
      </x:c>
      <x:c r="G86" s="7" t="str">
        <x:v>QE-02</x:v>
      </x:c>
      <x:c r="H86" s="7" t="str">
        <x:v>downwind boundary</x:v>
      </x:c>
      <x:c r="I86" s="10" t="str"/>
      <x:c r="J86" s="7" t="str"/>
      <x:c r="K86" s="7" t="str">
        <x:v>OPEN</x:v>
      </x:c>
    </x:row>
    <x:row r="87" ht="34" customHeight="1">
      <x:c r="B87" s="7" t="str">
        <x:v>RAE-S-081</x:v>
      </x:c>
      <x:c r="C87" s="7" t="str">
        <x:v>RAE-E-12</x:v>
      </x:c>
      <x:c r="D87" s="7" t="str">
        <x:v>RFP-A2</x:v>
      </x:c>
      <x:c r="E87" s="7" t="str">
        <x:v>AM-05</x:v>
      </x:c>
      <x:c r="F87" s="7" t="str">
        <x:v>TR-B</x:v>
      </x:c>
      <x:c r="G87" s="7" t="str">
        <x:v>QE-02</x:v>
      </x:c>
      <x:c r="H87" s="7" t="str">
        <x:v>water receiver</x:v>
      </x:c>
      <x:c r="I87" s="10" t="str"/>
      <x:c r="J87" s="7" t="str"/>
      <x:c r="K87" s="7" t="str">
        <x:v>OPEN</x:v>
      </x:c>
    </x:row>
    <x:row r="88" ht="34" customHeight="1">
      <x:c r="B88" s="7" t="str">
        <x:v>RAE-S-082</x:v>
      </x:c>
      <x:c r="C88" s="7" t="str">
        <x:v>RAE-E-12</x:v>
      </x:c>
      <x:c r="D88" s="7" t="str">
        <x:v>RFP-A2</x:v>
      </x:c>
      <x:c r="E88" s="7" t="str">
        <x:v>AM-05</x:v>
      </x:c>
      <x:c r="F88" s="7" t="str">
        <x:v>TR-B</x:v>
      </x:c>
      <x:c r="G88" s="7" t="str">
        <x:v>QE-02</x:v>
      </x:c>
      <x:c r="H88" s="7" t="str">
        <x:v>archive control</x:v>
      </x:c>
      <x:c r="I88" s="10" t="str"/>
      <x:c r="J88" s="7" t="str"/>
      <x:c r="K88" s="7" t="str">
        <x:v>OPEN</x:v>
      </x:c>
    </x:row>
    <x:row r="89" ht="34" customHeight="1">
      <x:c r="B89" s="7" t="str">
        <x:v>RAE-S-083</x:v>
      </x:c>
      <x:c r="C89" s="7" t="str">
        <x:v>RAE-E-12</x:v>
      </x:c>
      <x:c r="D89" s="7" t="str">
        <x:v>RFP-A2</x:v>
      </x:c>
      <x:c r="E89" s="7" t="str">
        <x:v>AM-05</x:v>
      </x:c>
      <x:c r="F89" s="7" t="str">
        <x:v>TR-B</x:v>
      </x:c>
      <x:c r="G89" s="7" t="str">
        <x:v>QE-02</x:v>
      </x:c>
      <x:c r="H89" s="7" t="str">
        <x:v>source pre-event</x:v>
      </x:c>
      <x:c r="I89" s="10" t="str"/>
      <x:c r="J89" s="7" t="str"/>
      <x:c r="K89" s="7" t="str">
        <x:v>OPEN</x:v>
      </x:c>
    </x:row>
    <x:row r="90" ht="34" customHeight="1">
      <x:c r="B90" s="7" t="str">
        <x:v>RAE-S-084</x:v>
      </x:c>
      <x:c r="C90" s="7" t="str">
        <x:v>RAE-E-12</x:v>
      </x:c>
      <x:c r="D90" s="7" t="str">
        <x:v>RFP-A2</x:v>
      </x:c>
      <x:c r="E90" s="7" t="str">
        <x:v>AM-05</x:v>
      </x:c>
      <x:c r="F90" s="7" t="str">
        <x:v>TR-B</x:v>
      </x:c>
      <x:c r="G90" s="7" t="str">
        <x:v>QE-02</x:v>
      </x:c>
      <x:c r="H90" s="7" t="str">
        <x:v>source post-event</x:v>
      </x:c>
      <x:c r="I90" s="10" t="str"/>
      <x:c r="J90" s="7" t="str"/>
      <x:c r="K90" s="7" t="str">
        <x:v>OPEN</x:v>
      </x:c>
    </x:row>
    <x:row r="91" ht="34" customHeight="1">
      <x:c r="B91" s="7" t="str">
        <x:v>RAE-S-085</x:v>
      </x:c>
      <x:c r="C91" s="7" t="str">
        <x:v>RAE-E-13</x:v>
      </x:c>
      <x:c r="D91" s="7" t="str">
        <x:v>RFP-A2</x:v>
      </x:c>
      <x:c r="E91" s="7" t="str">
        <x:v>AM-06</x:v>
      </x:c>
      <x:c r="F91" s="7" t="str">
        <x:v>TR-A</x:v>
      </x:c>
      <x:c r="G91" s="7" t="str">
        <x:v>QE-01</x:v>
      </x:c>
      <x:c r="H91" s="7" t="str">
        <x:v>pre-event background</x:v>
      </x:c>
      <x:c r="I91" s="10" t="str"/>
      <x:c r="J91" s="7" t="str"/>
      <x:c r="K91" s="7" t="str">
        <x:v>OPEN</x:v>
      </x:c>
    </x:row>
    <x:row r="92" ht="34" customHeight="1">
      <x:c r="B92" s="7" t="str">
        <x:v>RAE-S-086</x:v>
      </x:c>
      <x:c r="C92" s="7" t="str">
        <x:v>RAE-E-13</x:v>
      </x:c>
      <x:c r="D92" s="7" t="str">
        <x:v>RFP-A2</x:v>
      </x:c>
      <x:c r="E92" s="7" t="str">
        <x:v>AM-06</x:v>
      </x:c>
      <x:c r="F92" s="7" t="str">
        <x:v>TR-A</x:v>
      </x:c>
      <x:c r="G92" s="7" t="str">
        <x:v>QE-01</x:v>
      </x:c>
      <x:c r="H92" s="7" t="str">
        <x:v>post-event pan</x:v>
      </x:c>
      <x:c r="I92" s="10" t="str"/>
      <x:c r="J92" s="7" t="str"/>
      <x:c r="K92" s="7" t="str">
        <x:v>OPEN</x:v>
      </x:c>
    </x:row>
    <x:row r="93" ht="34" customHeight="1">
      <x:c r="B93" s="7" t="str">
        <x:v>RAE-S-087</x:v>
      </x:c>
      <x:c r="C93" s="7" t="str">
        <x:v>RAE-E-13</x:v>
      </x:c>
      <x:c r="D93" s="7" t="str">
        <x:v>RFP-A2</x:v>
      </x:c>
      <x:c r="E93" s="7" t="str">
        <x:v>AM-06</x:v>
      </x:c>
      <x:c r="F93" s="7" t="str">
        <x:v>TR-A</x:v>
      </x:c>
      <x:c r="G93" s="7" t="str">
        <x:v>QE-01</x:v>
      </x:c>
      <x:c r="H93" s="7" t="str">
        <x:v>post-event catchment</x:v>
      </x:c>
      <x:c r="I93" s="10" t="str"/>
      <x:c r="J93" s="7" t="str"/>
      <x:c r="K93" s="7" t="str">
        <x:v>OPEN</x:v>
      </x:c>
    </x:row>
    <x:row r="94" ht="34" customHeight="1">
      <x:c r="B94" s="7" t="str">
        <x:v>RAE-S-088</x:v>
      </x:c>
      <x:c r="C94" s="7" t="str">
        <x:v>RAE-E-13</x:v>
      </x:c>
      <x:c r="D94" s="7" t="str">
        <x:v>RFP-A2</x:v>
      </x:c>
      <x:c r="E94" s="7" t="str">
        <x:v>AM-06</x:v>
      </x:c>
      <x:c r="F94" s="7" t="str">
        <x:v>TR-A</x:v>
      </x:c>
      <x:c r="G94" s="7" t="str">
        <x:v>QE-01</x:v>
      </x:c>
      <x:c r="H94" s="7" t="str">
        <x:v>downwind boundary</x:v>
      </x:c>
      <x:c r="I94" s="10" t="str"/>
      <x:c r="J94" s="7" t="str"/>
      <x:c r="K94" s="7" t="str">
        <x:v>OPEN</x:v>
      </x:c>
    </x:row>
    <x:row r="95" ht="34" customHeight="1">
      <x:c r="B95" s="7" t="str">
        <x:v>RAE-S-089</x:v>
      </x:c>
      <x:c r="C95" s="7" t="str">
        <x:v>RAE-E-13</x:v>
      </x:c>
      <x:c r="D95" s="7" t="str">
        <x:v>RFP-A2</x:v>
      </x:c>
      <x:c r="E95" s="7" t="str">
        <x:v>AM-06</x:v>
      </x:c>
      <x:c r="F95" s="7" t="str">
        <x:v>TR-A</x:v>
      </x:c>
      <x:c r="G95" s="7" t="str">
        <x:v>QE-01</x:v>
      </x:c>
      <x:c r="H95" s="7" t="str">
        <x:v>water receiver</x:v>
      </x:c>
      <x:c r="I95" s="10" t="str"/>
      <x:c r="J95" s="7" t="str"/>
      <x:c r="K95" s="7" t="str">
        <x:v>OPEN</x:v>
      </x:c>
    </x:row>
    <x:row r="96" ht="34" customHeight="1">
      <x:c r="B96" s="7" t="str">
        <x:v>RAE-S-090</x:v>
      </x:c>
      <x:c r="C96" s="7" t="str">
        <x:v>RAE-E-13</x:v>
      </x:c>
      <x:c r="D96" s="7" t="str">
        <x:v>RFP-A2</x:v>
      </x:c>
      <x:c r="E96" s="7" t="str">
        <x:v>AM-06</x:v>
      </x:c>
      <x:c r="F96" s="7" t="str">
        <x:v>TR-A</x:v>
      </x:c>
      <x:c r="G96" s="7" t="str">
        <x:v>QE-01</x:v>
      </x:c>
      <x:c r="H96" s="7" t="str">
        <x:v>archive control</x:v>
      </x:c>
      <x:c r="I96" s="10" t="str"/>
      <x:c r="J96" s="7" t="str"/>
      <x:c r="K96" s="7" t="str">
        <x:v>OPEN</x:v>
      </x:c>
    </x:row>
    <x:row r="97" ht="34" customHeight="1">
      <x:c r="B97" s="7" t="str">
        <x:v>RAE-S-091</x:v>
      </x:c>
      <x:c r="C97" s="7" t="str">
        <x:v>RAE-E-14</x:v>
      </x:c>
      <x:c r="D97" s="7" t="str">
        <x:v>RFP-A2</x:v>
      </x:c>
      <x:c r="E97" s="7" t="str">
        <x:v>AM-06</x:v>
      </x:c>
      <x:c r="F97" s="7" t="str">
        <x:v>TR-A</x:v>
      </x:c>
      <x:c r="G97" s="7" t="str">
        <x:v>QE-02</x:v>
      </x:c>
      <x:c r="H97" s="7" t="str">
        <x:v>pre-event background</x:v>
      </x:c>
      <x:c r="I97" s="10" t="str"/>
      <x:c r="J97" s="7" t="str"/>
      <x:c r="K97" s="7" t="str">
        <x:v>OPEN</x:v>
      </x:c>
    </x:row>
    <x:row r="98" ht="34" customHeight="1">
      <x:c r="B98" s="7" t="str">
        <x:v>RAE-S-092</x:v>
      </x:c>
      <x:c r="C98" s="7" t="str">
        <x:v>RAE-E-14</x:v>
      </x:c>
      <x:c r="D98" s="7" t="str">
        <x:v>RFP-A2</x:v>
      </x:c>
      <x:c r="E98" s="7" t="str">
        <x:v>AM-06</x:v>
      </x:c>
      <x:c r="F98" s="7" t="str">
        <x:v>TR-A</x:v>
      </x:c>
      <x:c r="G98" s="7" t="str">
        <x:v>QE-02</x:v>
      </x:c>
      <x:c r="H98" s="7" t="str">
        <x:v>post-event pan</x:v>
      </x:c>
      <x:c r="I98" s="10" t="str"/>
      <x:c r="J98" s="7" t="str"/>
      <x:c r="K98" s="7" t="str">
        <x:v>OPEN</x:v>
      </x:c>
    </x:row>
    <x:row r="99" ht="34" customHeight="1">
      <x:c r="B99" s="7" t="str">
        <x:v>RAE-S-093</x:v>
      </x:c>
      <x:c r="C99" s="7" t="str">
        <x:v>RAE-E-14</x:v>
      </x:c>
      <x:c r="D99" s="7" t="str">
        <x:v>RFP-A2</x:v>
      </x:c>
      <x:c r="E99" s="7" t="str">
        <x:v>AM-06</x:v>
      </x:c>
      <x:c r="F99" s="7" t="str">
        <x:v>TR-A</x:v>
      </x:c>
      <x:c r="G99" s="7" t="str">
        <x:v>QE-02</x:v>
      </x:c>
      <x:c r="H99" s="7" t="str">
        <x:v>post-event catchment</x:v>
      </x:c>
      <x:c r="I99" s="10" t="str"/>
      <x:c r="J99" s="7" t="str"/>
      <x:c r="K99" s="7" t="str">
        <x:v>OPEN</x:v>
      </x:c>
    </x:row>
    <x:row r="100" ht="34" customHeight="1">
      <x:c r="B100" s="7" t="str">
        <x:v>RAE-S-094</x:v>
      </x:c>
      <x:c r="C100" s="7" t="str">
        <x:v>RAE-E-14</x:v>
      </x:c>
      <x:c r="D100" s="7" t="str">
        <x:v>RFP-A2</x:v>
      </x:c>
      <x:c r="E100" s="7" t="str">
        <x:v>AM-06</x:v>
      </x:c>
      <x:c r="F100" s="7" t="str">
        <x:v>TR-A</x:v>
      </x:c>
      <x:c r="G100" s="7" t="str">
        <x:v>QE-02</x:v>
      </x:c>
      <x:c r="H100" s="7" t="str">
        <x:v>downwind boundary</x:v>
      </x:c>
      <x:c r="I100" s="10" t="str"/>
      <x:c r="J100" s="7" t="str"/>
      <x:c r="K100" s="7" t="str">
        <x:v>OPEN</x:v>
      </x:c>
    </x:row>
    <x:row r="101" ht="34" customHeight="1">
      <x:c r="B101" s="7" t="str">
        <x:v>RAE-S-095</x:v>
      </x:c>
      <x:c r="C101" s="7" t="str">
        <x:v>RAE-E-14</x:v>
      </x:c>
      <x:c r="D101" s="7" t="str">
        <x:v>RFP-A2</x:v>
      </x:c>
      <x:c r="E101" s="7" t="str">
        <x:v>AM-06</x:v>
      </x:c>
      <x:c r="F101" s="7" t="str">
        <x:v>TR-A</x:v>
      </x:c>
      <x:c r="G101" s="7" t="str">
        <x:v>QE-02</x:v>
      </x:c>
      <x:c r="H101" s="7" t="str">
        <x:v>water receiver</x:v>
      </x:c>
      <x:c r="I101" s="10" t="str"/>
      <x:c r="J101" s="7" t="str"/>
      <x:c r="K101" s="7" t="str">
        <x:v>OPEN</x:v>
      </x:c>
    </x:row>
    <x:row r="102" ht="34" customHeight="1">
      <x:c r="B102" s="7" t="str">
        <x:v>RAE-S-096</x:v>
      </x:c>
      <x:c r="C102" s="7" t="str">
        <x:v>RAE-E-14</x:v>
      </x:c>
      <x:c r="D102" s="7" t="str">
        <x:v>RFP-A2</x:v>
      </x:c>
      <x:c r="E102" s="7" t="str">
        <x:v>AM-06</x:v>
      </x:c>
      <x:c r="F102" s="7" t="str">
        <x:v>TR-A</x:v>
      </x:c>
      <x:c r="G102" s="7" t="str">
        <x:v>QE-02</x:v>
      </x:c>
      <x:c r="H102" s="7" t="str">
        <x:v>archive control</x:v>
      </x:c>
      <x:c r="I102" s="10" t="str"/>
      <x:c r="J102" s="7" t="str"/>
      <x:c r="K102" s="7" t="str">
        <x:v>OPEN</x:v>
      </x:c>
    </x:row>
    <x:row r="103" ht="34" customHeight="1">
      <x:c r="B103" s="7" t="str">
        <x:v>RAE-S-097</x:v>
      </x:c>
      <x:c r="C103" s="7" t="str">
        <x:v>RAE-E-14</x:v>
      </x:c>
      <x:c r="D103" s="7" t="str">
        <x:v>RFP-A2</x:v>
      </x:c>
      <x:c r="E103" s="7" t="str">
        <x:v>AM-06</x:v>
      </x:c>
      <x:c r="F103" s="7" t="str">
        <x:v>TR-A</x:v>
      </x:c>
      <x:c r="G103" s="7" t="str">
        <x:v>QE-02</x:v>
      </x:c>
      <x:c r="H103" s="7" t="str">
        <x:v>source pre-event</x:v>
      </x:c>
      <x:c r="I103" s="10" t="str"/>
      <x:c r="J103" s="7" t="str"/>
      <x:c r="K103" s="7" t="str">
        <x:v>OPEN</x:v>
      </x:c>
    </x:row>
    <x:row r="104" ht="34" customHeight="1">
      <x:c r="B104" s="7" t="str">
        <x:v>RAE-S-098</x:v>
      </x:c>
      <x:c r="C104" s="7" t="str">
        <x:v>RAE-E-14</x:v>
      </x:c>
      <x:c r="D104" s="7" t="str">
        <x:v>RFP-A2</x:v>
      </x:c>
      <x:c r="E104" s="7" t="str">
        <x:v>AM-06</x:v>
      </x:c>
      <x:c r="F104" s="7" t="str">
        <x:v>TR-A</x:v>
      </x:c>
      <x:c r="G104" s="7" t="str">
        <x:v>QE-02</x:v>
      </x:c>
      <x:c r="H104" s="7" t="str">
        <x:v>source post-event</x:v>
      </x:c>
      <x:c r="I104" s="10" t="str"/>
      <x:c r="J104" s="7" t="str"/>
      <x:c r="K104" s="7" t="str">
        <x:v>OPEN</x:v>
      </x:c>
    </x:row>
    <x:row r="105" ht="34" customHeight="1">
      <x:c r="B105" s="7" t="str">
        <x:v>RAE-S-099</x:v>
      </x:c>
      <x:c r="C105" s="7" t="str">
        <x:v>RAE-E-15</x:v>
      </x:c>
      <x:c r="D105" s="7" t="str">
        <x:v>RFP-A2</x:v>
      </x:c>
      <x:c r="E105" s="7" t="str">
        <x:v>AM-06</x:v>
      </x:c>
      <x:c r="F105" s="7" t="str">
        <x:v>TR-B</x:v>
      </x:c>
      <x:c r="G105" s="7" t="str">
        <x:v>QE-01</x:v>
      </x:c>
      <x:c r="H105" s="7" t="str">
        <x:v>pre-event background</x:v>
      </x:c>
      <x:c r="I105" s="10" t="str"/>
      <x:c r="J105" s="7" t="str"/>
      <x:c r="K105" s="7" t="str">
        <x:v>OPEN</x:v>
      </x:c>
    </x:row>
    <x:row r="106" ht="34" customHeight="1">
      <x:c r="B106" s="7" t="str">
        <x:v>RAE-S-100</x:v>
      </x:c>
      <x:c r="C106" s="7" t="str">
        <x:v>RAE-E-15</x:v>
      </x:c>
      <x:c r="D106" s="7" t="str">
        <x:v>RFP-A2</x:v>
      </x:c>
      <x:c r="E106" s="7" t="str">
        <x:v>AM-06</x:v>
      </x:c>
      <x:c r="F106" s="7" t="str">
        <x:v>TR-B</x:v>
      </x:c>
      <x:c r="G106" s="7" t="str">
        <x:v>QE-01</x:v>
      </x:c>
      <x:c r="H106" s="7" t="str">
        <x:v>post-event pan</x:v>
      </x:c>
      <x:c r="I106" s="10" t="str"/>
      <x:c r="J106" s="7" t="str"/>
      <x:c r="K106" s="7" t="str">
        <x:v>OPEN</x:v>
      </x:c>
    </x:row>
    <x:row r="107" ht="34" customHeight="1">
      <x:c r="B107" s="7" t="str">
        <x:v>RAE-S-101</x:v>
      </x:c>
      <x:c r="C107" s="7" t="str">
        <x:v>RAE-E-15</x:v>
      </x:c>
      <x:c r="D107" s="7" t="str">
        <x:v>RFP-A2</x:v>
      </x:c>
      <x:c r="E107" s="7" t="str">
        <x:v>AM-06</x:v>
      </x:c>
      <x:c r="F107" s="7" t="str">
        <x:v>TR-B</x:v>
      </x:c>
      <x:c r="G107" s="7" t="str">
        <x:v>QE-01</x:v>
      </x:c>
      <x:c r="H107" s="7" t="str">
        <x:v>post-event catchment</x:v>
      </x:c>
      <x:c r="I107" s="10" t="str"/>
      <x:c r="J107" s="7" t="str"/>
      <x:c r="K107" s="7" t="str">
        <x:v>OPEN</x:v>
      </x:c>
    </x:row>
    <x:row r="108" ht="34" customHeight="1">
      <x:c r="B108" s="7" t="str">
        <x:v>RAE-S-102</x:v>
      </x:c>
      <x:c r="C108" s="7" t="str">
        <x:v>RAE-E-15</x:v>
      </x:c>
      <x:c r="D108" s="7" t="str">
        <x:v>RFP-A2</x:v>
      </x:c>
      <x:c r="E108" s="7" t="str">
        <x:v>AM-06</x:v>
      </x:c>
      <x:c r="F108" s="7" t="str">
        <x:v>TR-B</x:v>
      </x:c>
      <x:c r="G108" s="7" t="str">
        <x:v>QE-01</x:v>
      </x:c>
      <x:c r="H108" s="7" t="str">
        <x:v>downwind boundary</x:v>
      </x:c>
      <x:c r="I108" s="10" t="str"/>
      <x:c r="J108" s="7" t="str"/>
      <x:c r="K108" s="7" t="str">
        <x:v>OPEN</x:v>
      </x:c>
    </x:row>
    <x:row r="109" ht="34" customHeight="1">
      <x:c r="B109" s="7" t="str">
        <x:v>RAE-S-103</x:v>
      </x:c>
      <x:c r="C109" s="7" t="str">
        <x:v>RAE-E-15</x:v>
      </x:c>
      <x:c r="D109" s="7" t="str">
        <x:v>RFP-A2</x:v>
      </x:c>
      <x:c r="E109" s="7" t="str">
        <x:v>AM-06</x:v>
      </x:c>
      <x:c r="F109" s="7" t="str">
        <x:v>TR-B</x:v>
      </x:c>
      <x:c r="G109" s="7" t="str">
        <x:v>QE-01</x:v>
      </x:c>
      <x:c r="H109" s="7" t="str">
        <x:v>water receiver</x:v>
      </x:c>
      <x:c r="I109" s="10" t="str"/>
      <x:c r="J109" s="7" t="str"/>
      <x:c r="K109" s="7" t="str">
        <x:v>OPEN</x:v>
      </x:c>
    </x:row>
    <x:row r="110" ht="34" customHeight="1">
      <x:c r="B110" s="7" t="str">
        <x:v>RAE-S-104</x:v>
      </x:c>
      <x:c r="C110" s="7" t="str">
        <x:v>RAE-E-15</x:v>
      </x:c>
      <x:c r="D110" s="7" t="str">
        <x:v>RFP-A2</x:v>
      </x:c>
      <x:c r="E110" s="7" t="str">
        <x:v>AM-06</x:v>
      </x:c>
      <x:c r="F110" s="7" t="str">
        <x:v>TR-B</x:v>
      </x:c>
      <x:c r="G110" s="7" t="str">
        <x:v>QE-01</x:v>
      </x:c>
      <x:c r="H110" s="7" t="str">
        <x:v>archive control</x:v>
      </x:c>
      <x:c r="I110" s="10" t="str"/>
      <x:c r="J110" s="7" t="str"/>
      <x:c r="K110" s="7" t="str">
        <x:v>OPEN</x:v>
      </x:c>
    </x:row>
    <x:row r="111" ht="34" customHeight="1">
      <x:c r="B111" s="7" t="str">
        <x:v>RAE-S-105</x:v>
      </x:c>
      <x:c r="C111" s="7" t="str">
        <x:v>RAE-E-16</x:v>
      </x:c>
      <x:c r="D111" s="7" t="str">
        <x:v>RFP-A2</x:v>
      </x:c>
      <x:c r="E111" s="7" t="str">
        <x:v>AM-06</x:v>
      </x:c>
      <x:c r="F111" s="7" t="str">
        <x:v>TR-B</x:v>
      </x:c>
      <x:c r="G111" s="7" t="str">
        <x:v>QE-02</x:v>
      </x:c>
      <x:c r="H111" s="7" t="str">
        <x:v>pre-event background</x:v>
      </x:c>
      <x:c r="I111" s="10" t="str"/>
      <x:c r="J111" s="7" t="str"/>
      <x:c r="K111" s="7" t="str">
        <x:v>OPEN</x:v>
      </x:c>
    </x:row>
    <x:row r="112" ht="34" customHeight="1">
      <x:c r="B112" s="7" t="str">
        <x:v>RAE-S-106</x:v>
      </x:c>
      <x:c r="C112" s="7" t="str">
        <x:v>RAE-E-16</x:v>
      </x:c>
      <x:c r="D112" s="7" t="str">
        <x:v>RFP-A2</x:v>
      </x:c>
      <x:c r="E112" s="7" t="str">
        <x:v>AM-06</x:v>
      </x:c>
      <x:c r="F112" s="7" t="str">
        <x:v>TR-B</x:v>
      </x:c>
      <x:c r="G112" s="7" t="str">
        <x:v>QE-02</x:v>
      </x:c>
      <x:c r="H112" s="7" t="str">
        <x:v>post-event pan</x:v>
      </x:c>
      <x:c r="I112" s="10" t="str"/>
      <x:c r="J112" s="7" t="str"/>
      <x:c r="K112" s="7" t="str">
        <x:v>OPEN</x:v>
      </x:c>
    </x:row>
    <x:row r="113" ht="34" customHeight="1">
      <x:c r="B113" s="7" t="str">
        <x:v>RAE-S-107</x:v>
      </x:c>
      <x:c r="C113" s="7" t="str">
        <x:v>RAE-E-16</x:v>
      </x:c>
      <x:c r="D113" s="7" t="str">
        <x:v>RFP-A2</x:v>
      </x:c>
      <x:c r="E113" s="7" t="str">
        <x:v>AM-06</x:v>
      </x:c>
      <x:c r="F113" s="7" t="str">
        <x:v>TR-B</x:v>
      </x:c>
      <x:c r="G113" s="7" t="str">
        <x:v>QE-02</x:v>
      </x:c>
      <x:c r="H113" s="7" t="str">
        <x:v>post-event catchment</x:v>
      </x:c>
      <x:c r="I113" s="10" t="str"/>
      <x:c r="J113" s="7" t="str"/>
      <x:c r="K113" s="7" t="str">
        <x:v>OPEN</x:v>
      </x:c>
    </x:row>
    <x:row r="114" ht="34" customHeight="1">
      <x:c r="B114" s="7" t="str">
        <x:v>RAE-S-108</x:v>
      </x:c>
      <x:c r="C114" s="7" t="str">
        <x:v>RAE-E-16</x:v>
      </x:c>
      <x:c r="D114" s="7" t="str">
        <x:v>RFP-A2</x:v>
      </x:c>
      <x:c r="E114" s="7" t="str">
        <x:v>AM-06</x:v>
      </x:c>
      <x:c r="F114" s="7" t="str">
        <x:v>TR-B</x:v>
      </x:c>
      <x:c r="G114" s="7" t="str">
        <x:v>QE-02</x:v>
      </x:c>
      <x:c r="H114" s="7" t="str">
        <x:v>downwind boundary</x:v>
      </x:c>
      <x:c r="I114" s="10" t="str"/>
      <x:c r="J114" s="7" t="str"/>
      <x:c r="K114" s="7" t="str">
        <x:v>OPEN</x:v>
      </x:c>
    </x:row>
    <x:row r="115" ht="34" customHeight="1">
      <x:c r="B115" s="7" t="str">
        <x:v>RAE-S-109</x:v>
      </x:c>
      <x:c r="C115" s="7" t="str">
        <x:v>RAE-E-16</x:v>
      </x:c>
      <x:c r="D115" s="7" t="str">
        <x:v>RFP-A2</x:v>
      </x:c>
      <x:c r="E115" s="7" t="str">
        <x:v>AM-06</x:v>
      </x:c>
      <x:c r="F115" s="7" t="str">
        <x:v>TR-B</x:v>
      </x:c>
      <x:c r="G115" s="7" t="str">
        <x:v>QE-02</x:v>
      </x:c>
      <x:c r="H115" s="7" t="str">
        <x:v>water receiver</x:v>
      </x:c>
      <x:c r="I115" s="10" t="str"/>
      <x:c r="J115" s="7" t="str"/>
      <x:c r="K115" s="7" t="str">
        <x:v>OPEN</x:v>
      </x:c>
    </x:row>
    <x:row r="116" ht="34" customHeight="1">
      <x:c r="B116" s="7" t="str">
        <x:v>RAE-S-110</x:v>
      </x:c>
      <x:c r="C116" s="7" t="str">
        <x:v>RAE-E-16</x:v>
      </x:c>
      <x:c r="D116" s="7" t="str">
        <x:v>RFP-A2</x:v>
      </x:c>
      <x:c r="E116" s="7" t="str">
        <x:v>AM-06</x:v>
      </x:c>
      <x:c r="F116" s="7" t="str">
        <x:v>TR-B</x:v>
      </x:c>
      <x:c r="G116" s="7" t="str">
        <x:v>QE-02</x:v>
      </x:c>
      <x:c r="H116" s="7" t="str">
        <x:v>archive control</x:v>
      </x:c>
      <x:c r="I116" s="10" t="str"/>
      <x:c r="J116" s="7" t="str"/>
      <x:c r="K116" s="7" t="str">
        <x:v>OPEN</x:v>
      </x:c>
    </x:row>
    <x:row r="117" ht="34" customHeight="1">
      <x:c r="B117" s="7" t="str">
        <x:v>RAE-S-111</x:v>
      </x:c>
      <x:c r="C117" s="7" t="str">
        <x:v>RAE-E-16</x:v>
      </x:c>
      <x:c r="D117" s="7" t="str">
        <x:v>RFP-A2</x:v>
      </x:c>
      <x:c r="E117" s="7" t="str">
        <x:v>AM-06</x:v>
      </x:c>
      <x:c r="F117" s="7" t="str">
        <x:v>TR-B</x:v>
      </x:c>
      <x:c r="G117" s="7" t="str">
        <x:v>QE-02</x:v>
      </x:c>
      <x:c r="H117" s="7" t="str">
        <x:v>source pre-event</x:v>
      </x:c>
      <x:c r="I117" s="10" t="str"/>
      <x:c r="J117" s="7" t="str"/>
      <x:c r="K117" s="7" t="str">
        <x:v>OPEN</x:v>
      </x:c>
    </x:row>
    <x:row r="118" ht="34" customHeight="1">
      <x:c r="B118" s="7" t="str">
        <x:v>RAE-S-112</x:v>
      </x:c>
      <x:c r="C118" s="7" t="str">
        <x:v>RAE-E-16</x:v>
      </x:c>
      <x:c r="D118" s="7" t="str">
        <x:v>RFP-A2</x:v>
      </x:c>
      <x:c r="E118" s="7" t="str">
        <x:v>AM-06</x:v>
      </x:c>
      <x:c r="F118" s="7" t="str">
        <x:v>TR-B</x:v>
      </x:c>
      <x:c r="G118" s="7" t="str">
        <x:v>QE-02</x:v>
      </x:c>
      <x:c r="H118" s="7" t="str">
        <x:v>source post-event</x:v>
      </x:c>
      <x:c r="I118" s="10" t="str"/>
      <x:c r="J118" s="7" t="str"/>
      <x:c r="K118" s="7" t="str">
        <x:v>OPEN</x:v>
      </x:c>
    </x:row>
    <x:row r="119" ht="34" customHeight="1">
      <x:c r="B119" s="7" t="str">
        <x:v>RAE-S-113</x:v>
      </x:c>
      <x:c r="C119" s="7" t="str">
        <x:v>RAE-E-17</x:v>
      </x:c>
      <x:c r="D119" s="7" t="str">
        <x:v>RFP-B1</x:v>
      </x:c>
      <x:c r="E119" s="7" t="str">
        <x:v>AM-05</x:v>
      </x:c>
      <x:c r="F119" s="7" t="str">
        <x:v>TR-A</x:v>
      </x:c>
      <x:c r="G119" s="7" t="str">
        <x:v>QE-01</x:v>
      </x:c>
      <x:c r="H119" s="7" t="str">
        <x:v>pre-event background</x:v>
      </x:c>
      <x:c r="I119" s="10" t="str"/>
      <x:c r="J119" s="7" t="str"/>
      <x:c r="K119" s="7" t="str">
        <x:v>OPEN</x:v>
      </x:c>
    </x:row>
    <x:row r="120" ht="34" customHeight="1">
      <x:c r="B120" s="7" t="str">
        <x:v>RAE-S-114</x:v>
      </x:c>
      <x:c r="C120" s="7" t="str">
        <x:v>RAE-E-17</x:v>
      </x:c>
      <x:c r="D120" s="7" t="str">
        <x:v>RFP-B1</x:v>
      </x:c>
      <x:c r="E120" s="7" t="str">
        <x:v>AM-05</x:v>
      </x:c>
      <x:c r="F120" s="7" t="str">
        <x:v>TR-A</x:v>
      </x:c>
      <x:c r="G120" s="7" t="str">
        <x:v>QE-01</x:v>
      </x:c>
      <x:c r="H120" s="7" t="str">
        <x:v>post-event pan</x:v>
      </x:c>
      <x:c r="I120" s="10" t="str"/>
      <x:c r="J120" s="7" t="str"/>
      <x:c r="K120" s="7" t="str">
        <x:v>OPEN</x:v>
      </x:c>
    </x:row>
    <x:row r="121" ht="34" customHeight="1">
      <x:c r="B121" s="7" t="str">
        <x:v>RAE-S-115</x:v>
      </x:c>
      <x:c r="C121" s="7" t="str">
        <x:v>RAE-E-17</x:v>
      </x:c>
      <x:c r="D121" s="7" t="str">
        <x:v>RFP-B1</x:v>
      </x:c>
      <x:c r="E121" s="7" t="str">
        <x:v>AM-05</x:v>
      </x:c>
      <x:c r="F121" s="7" t="str">
        <x:v>TR-A</x:v>
      </x:c>
      <x:c r="G121" s="7" t="str">
        <x:v>QE-01</x:v>
      </x:c>
      <x:c r="H121" s="7" t="str">
        <x:v>post-event catchment</x:v>
      </x:c>
      <x:c r="I121" s="10" t="str"/>
      <x:c r="J121" s="7" t="str"/>
      <x:c r="K121" s="7" t="str">
        <x:v>OPEN</x:v>
      </x:c>
    </x:row>
    <x:row r="122" ht="34" customHeight="1">
      <x:c r="B122" s="7" t="str">
        <x:v>RAE-S-116</x:v>
      </x:c>
      <x:c r="C122" s="7" t="str">
        <x:v>RAE-E-17</x:v>
      </x:c>
      <x:c r="D122" s="7" t="str">
        <x:v>RFP-B1</x:v>
      </x:c>
      <x:c r="E122" s="7" t="str">
        <x:v>AM-05</x:v>
      </x:c>
      <x:c r="F122" s="7" t="str">
        <x:v>TR-A</x:v>
      </x:c>
      <x:c r="G122" s="7" t="str">
        <x:v>QE-01</x:v>
      </x:c>
      <x:c r="H122" s="7" t="str">
        <x:v>downwind boundary</x:v>
      </x:c>
      <x:c r="I122" s="10" t="str"/>
      <x:c r="J122" s="7" t="str"/>
      <x:c r="K122" s="7" t="str">
        <x:v>OPEN</x:v>
      </x:c>
    </x:row>
    <x:row r="123" ht="34" customHeight="1">
      <x:c r="B123" s="7" t="str">
        <x:v>RAE-S-117</x:v>
      </x:c>
      <x:c r="C123" s="7" t="str">
        <x:v>RAE-E-17</x:v>
      </x:c>
      <x:c r="D123" s="7" t="str">
        <x:v>RFP-B1</x:v>
      </x:c>
      <x:c r="E123" s="7" t="str">
        <x:v>AM-05</x:v>
      </x:c>
      <x:c r="F123" s="7" t="str">
        <x:v>TR-A</x:v>
      </x:c>
      <x:c r="G123" s="7" t="str">
        <x:v>QE-01</x:v>
      </x:c>
      <x:c r="H123" s="7" t="str">
        <x:v>water receiver</x:v>
      </x:c>
      <x:c r="I123" s="10" t="str"/>
      <x:c r="J123" s="7" t="str"/>
      <x:c r="K123" s="7" t="str">
        <x:v>OPEN</x:v>
      </x:c>
    </x:row>
    <x:row r="124" ht="34" customHeight="1">
      <x:c r="B124" s="7" t="str">
        <x:v>RAE-S-118</x:v>
      </x:c>
      <x:c r="C124" s="7" t="str">
        <x:v>RAE-E-17</x:v>
      </x:c>
      <x:c r="D124" s="7" t="str">
        <x:v>RFP-B1</x:v>
      </x:c>
      <x:c r="E124" s="7" t="str">
        <x:v>AM-05</x:v>
      </x:c>
      <x:c r="F124" s="7" t="str">
        <x:v>TR-A</x:v>
      </x:c>
      <x:c r="G124" s="7" t="str">
        <x:v>QE-01</x:v>
      </x:c>
      <x:c r="H124" s="7" t="str">
        <x:v>archive control</x:v>
      </x:c>
      <x:c r="I124" s="10" t="str"/>
      <x:c r="J124" s="7" t="str"/>
      <x:c r="K124" s="7" t="str">
        <x:v>OPEN</x:v>
      </x:c>
    </x:row>
    <x:row r="125" ht="34" customHeight="1">
      <x:c r="B125" s="7" t="str">
        <x:v>RAE-S-119</x:v>
      </x:c>
      <x:c r="C125" s="7" t="str">
        <x:v>RAE-E-18</x:v>
      </x:c>
      <x:c r="D125" s="7" t="str">
        <x:v>RFP-B1</x:v>
      </x:c>
      <x:c r="E125" s="7" t="str">
        <x:v>AM-05</x:v>
      </x:c>
      <x:c r="F125" s="7" t="str">
        <x:v>TR-A</x:v>
      </x:c>
      <x:c r="G125" s="7" t="str">
        <x:v>QE-02</x:v>
      </x:c>
      <x:c r="H125" s="7" t="str">
        <x:v>pre-event background</x:v>
      </x:c>
      <x:c r="I125" s="10" t="str"/>
      <x:c r="J125" s="7" t="str"/>
      <x:c r="K125" s="7" t="str">
        <x:v>OPEN</x:v>
      </x:c>
    </x:row>
    <x:row r="126" ht="34" customHeight="1">
      <x:c r="B126" s="7" t="str">
        <x:v>RAE-S-120</x:v>
      </x:c>
      <x:c r="C126" s="7" t="str">
        <x:v>RAE-E-18</x:v>
      </x:c>
      <x:c r="D126" s="7" t="str">
        <x:v>RFP-B1</x:v>
      </x:c>
      <x:c r="E126" s="7" t="str">
        <x:v>AM-05</x:v>
      </x:c>
      <x:c r="F126" s="7" t="str">
        <x:v>TR-A</x:v>
      </x:c>
      <x:c r="G126" s="7" t="str">
        <x:v>QE-02</x:v>
      </x:c>
      <x:c r="H126" s="7" t="str">
        <x:v>post-event pan</x:v>
      </x:c>
      <x:c r="I126" s="10" t="str"/>
      <x:c r="J126" s="7" t="str"/>
      <x:c r="K126" s="7" t="str">
        <x:v>OPEN</x:v>
      </x:c>
    </x:row>
    <x:row r="127" ht="34" customHeight="1">
      <x:c r="B127" s="7" t="str">
        <x:v>RAE-S-121</x:v>
      </x:c>
      <x:c r="C127" s="7" t="str">
        <x:v>RAE-E-18</x:v>
      </x:c>
      <x:c r="D127" s="7" t="str">
        <x:v>RFP-B1</x:v>
      </x:c>
      <x:c r="E127" s="7" t="str">
        <x:v>AM-05</x:v>
      </x:c>
      <x:c r="F127" s="7" t="str">
        <x:v>TR-A</x:v>
      </x:c>
      <x:c r="G127" s="7" t="str">
        <x:v>QE-02</x:v>
      </x:c>
      <x:c r="H127" s="7" t="str">
        <x:v>post-event catchment</x:v>
      </x:c>
      <x:c r="I127" s="10" t="str"/>
      <x:c r="J127" s="7" t="str"/>
      <x:c r="K127" s="7" t="str">
        <x:v>OPEN</x:v>
      </x:c>
    </x:row>
    <x:row r="128" ht="34" customHeight="1">
      <x:c r="B128" s="7" t="str">
        <x:v>RAE-S-122</x:v>
      </x:c>
      <x:c r="C128" s="7" t="str">
        <x:v>RAE-E-18</x:v>
      </x:c>
      <x:c r="D128" s="7" t="str">
        <x:v>RFP-B1</x:v>
      </x:c>
      <x:c r="E128" s="7" t="str">
        <x:v>AM-05</x:v>
      </x:c>
      <x:c r="F128" s="7" t="str">
        <x:v>TR-A</x:v>
      </x:c>
      <x:c r="G128" s="7" t="str">
        <x:v>QE-02</x:v>
      </x:c>
      <x:c r="H128" s="7" t="str">
        <x:v>downwind boundary</x:v>
      </x:c>
      <x:c r="I128" s="10" t="str"/>
      <x:c r="J128" s="7" t="str"/>
      <x:c r="K128" s="7" t="str">
        <x:v>OPEN</x:v>
      </x:c>
    </x:row>
    <x:row r="129" ht="34" customHeight="1">
      <x:c r="B129" s="7" t="str">
        <x:v>RAE-S-123</x:v>
      </x:c>
      <x:c r="C129" s="7" t="str">
        <x:v>RAE-E-18</x:v>
      </x:c>
      <x:c r="D129" s="7" t="str">
        <x:v>RFP-B1</x:v>
      </x:c>
      <x:c r="E129" s="7" t="str">
        <x:v>AM-05</x:v>
      </x:c>
      <x:c r="F129" s="7" t="str">
        <x:v>TR-A</x:v>
      </x:c>
      <x:c r="G129" s="7" t="str">
        <x:v>QE-02</x:v>
      </x:c>
      <x:c r="H129" s="7" t="str">
        <x:v>water receiver</x:v>
      </x:c>
      <x:c r="I129" s="10" t="str"/>
      <x:c r="J129" s="7" t="str"/>
      <x:c r="K129" s="7" t="str">
        <x:v>OPEN</x:v>
      </x:c>
    </x:row>
    <x:row r="130" ht="34" customHeight="1">
      <x:c r="B130" s="7" t="str">
        <x:v>RAE-S-124</x:v>
      </x:c>
      <x:c r="C130" s="7" t="str">
        <x:v>RAE-E-18</x:v>
      </x:c>
      <x:c r="D130" s="7" t="str">
        <x:v>RFP-B1</x:v>
      </x:c>
      <x:c r="E130" s="7" t="str">
        <x:v>AM-05</x:v>
      </x:c>
      <x:c r="F130" s="7" t="str">
        <x:v>TR-A</x:v>
      </x:c>
      <x:c r="G130" s="7" t="str">
        <x:v>QE-02</x:v>
      </x:c>
      <x:c r="H130" s="7" t="str">
        <x:v>archive control</x:v>
      </x:c>
      <x:c r="I130" s="10" t="str"/>
      <x:c r="J130" s="7" t="str"/>
      <x:c r="K130" s="7" t="str">
        <x:v>OPEN</x:v>
      </x:c>
    </x:row>
    <x:row r="131" ht="34" customHeight="1">
      <x:c r="B131" s="7" t="str">
        <x:v>RAE-S-125</x:v>
      </x:c>
      <x:c r="C131" s="7" t="str">
        <x:v>RAE-E-18</x:v>
      </x:c>
      <x:c r="D131" s="7" t="str">
        <x:v>RFP-B1</x:v>
      </x:c>
      <x:c r="E131" s="7" t="str">
        <x:v>AM-05</x:v>
      </x:c>
      <x:c r="F131" s="7" t="str">
        <x:v>TR-A</x:v>
      </x:c>
      <x:c r="G131" s="7" t="str">
        <x:v>QE-02</x:v>
      </x:c>
      <x:c r="H131" s="7" t="str">
        <x:v>source pre-event</x:v>
      </x:c>
      <x:c r="I131" s="10" t="str"/>
      <x:c r="J131" s="7" t="str"/>
      <x:c r="K131" s="7" t="str">
        <x:v>OPEN</x:v>
      </x:c>
    </x:row>
    <x:row r="132" ht="34" customHeight="1">
      <x:c r="B132" s="7" t="str">
        <x:v>RAE-S-126</x:v>
      </x:c>
      <x:c r="C132" s="7" t="str">
        <x:v>RAE-E-18</x:v>
      </x:c>
      <x:c r="D132" s="7" t="str">
        <x:v>RFP-B1</x:v>
      </x:c>
      <x:c r="E132" s="7" t="str">
        <x:v>AM-05</x:v>
      </x:c>
      <x:c r="F132" s="7" t="str">
        <x:v>TR-A</x:v>
      </x:c>
      <x:c r="G132" s="7" t="str">
        <x:v>QE-02</x:v>
      </x:c>
      <x:c r="H132" s="7" t="str">
        <x:v>source post-event</x:v>
      </x:c>
      <x:c r="I132" s="10" t="str"/>
      <x:c r="J132" s="7" t="str"/>
      <x:c r="K132" s="7" t="str">
        <x:v>OPEN</x:v>
      </x:c>
    </x:row>
    <x:row r="133" ht="34" customHeight="1">
      <x:c r="B133" s="7" t="str">
        <x:v>RAE-S-127</x:v>
      </x:c>
      <x:c r="C133" s="7" t="str">
        <x:v>RAE-E-19</x:v>
      </x:c>
      <x:c r="D133" s="7" t="str">
        <x:v>RFP-B1</x:v>
      </x:c>
      <x:c r="E133" s="7" t="str">
        <x:v>AM-05</x:v>
      </x:c>
      <x:c r="F133" s="7" t="str">
        <x:v>TR-B</x:v>
      </x:c>
      <x:c r="G133" s="7" t="str">
        <x:v>QE-01</x:v>
      </x:c>
      <x:c r="H133" s="7" t="str">
        <x:v>pre-event background</x:v>
      </x:c>
      <x:c r="I133" s="10" t="str"/>
      <x:c r="J133" s="7" t="str"/>
      <x:c r="K133" s="7" t="str">
        <x:v>OPEN</x:v>
      </x:c>
    </x:row>
    <x:row r="134" ht="34" customHeight="1">
      <x:c r="B134" s="7" t="str">
        <x:v>RAE-S-128</x:v>
      </x:c>
      <x:c r="C134" s="7" t="str">
        <x:v>RAE-E-19</x:v>
      </x:c>
      <x:c r="D134" s="7" t="str">
        <x:v>RFP-B1</x:v>
      </x:c>
      <x:c r="E134" s="7" t="str">
        <x:v>AM-05</x:v>
      </x:c>
      <x:c r="F134" s="7" t="str">
        <x:v>TR-B</x:v>
      </x:c>
      <x:c r="G134" s="7" t="str">
        <x:v>QE-01</x:v>
      </x:c>
      <x:c r="H134" s="7" t="str">
        <x:v>post-event pan</x:v>
      </x:c>
      <x:c r="I134" s="10" t="str"/>
      <x:c r="J134" s="7" t="str"/>
      <x:c r="K134" s="7" t="str">
        <x:v>OPEN</x:v>
      </x:c>
    </x:row>
    <x:row r="135" ht="34" customHeight="1">
      <x:c r="B135" s="7" t="str">
        <x:v>RAE-S-129</x:v>
      </x:c>
      <x:c r="C135" s="7" t="str">
        <x:v>RAE-E-19</x:v>
      </x:c>
      <x:c r="D135" s="7" t="str">
        <x:v>RFP-B1</x:v>
      </x:c>
      <x:c r="E135" s="7" t="str">
        <x:v>AM-05</x:v>
      </x:c>
      <x:c r="F135" s="7" t="str">
        <x:v>TR-B</x:v>
      </x:c>
      <x:c r="G135" s="7" t="str">
        <x:v>QE-01</x:v>
      </x:c>
      <x:c r="H135" s="7" t="str">
        <x:v>post-event catchment</x:v>
      </x:c>
      <x:c r="I135" s="10" t="str"/>
      <x:c r="J135" s="7" t="str"/>
      <x:c r="K135" s="7" t="str">
        <x:v>OPEN</x:v>
      </x:c>
    </x:row>
    <x:row r="136" ht="34" customHeight="1">
      <x:c r="B136" s="7" t="str">
        <x:v>RAE-S-130</x:v>
      </x:c>
      <x:c r="C136" s="7" t="str">
        <x:v>RAE-E-19</x:v>
      </x:c>
      <x:c r="D136" s="7" t="str">
        <x:v>RFP-B1</x:v>
      </x:c>
      <x:c r="E136" s="7" t="str">
        <x:v>AM-05</x:v>
      </x:c>
      <x:c r="F136" s="7" t="str">
        <x:v>TR-B</x:v>
      </x:c>
      <x:c r="G136" s="7" t="str">
        <x:v>QE-01</x:v>
      </x:c>
      <x:c r="H136" s="7" t="str">
        <x:v>downwind boundary</x:v>
      </x:c>
      <x:c r="I136" s="10" t="str"/>
      <x:c r="J136" s="7" t="str"/>
      <x:c r="K136" s="7" t="str">
        <x:v>OPEN</x:v>
      </x:c>
    </x:row>
    <x:row r="137" ht="34" customHeight="1">
      <x:c r="B137" s="7" t="str">
        <x:v>RAE-S-131</x:v>
      </x:c>
      <x:c r="C137" s="7" t="str">
        <x:v>RAE-E-19</x:v>
      </x:c>
      <x:c r="D137" s="7" t="str">
        <x:v>RFP-B1</x:v>
      </x:c>
      <x:c r="E137" s="7" t="str">
        <x:v>AM-05</x:v>
      </x:c>
      <x:c r="F137" s="7" t="str">
        <x:v>TR-B</x:v>
      </x:c>
      <x:c r="G137" s="7" t="str">
        <x:v>QE-01</x:v>
      </x:c>
      <x:c r="H137" s="7" t="str">
        <x:v>water receiver</x:v>
      </x:c>
      <x:c r="I137" s="10" t="str"/>
      <x:c r="J137" s="7" t="str"/>
      <x:c r="K137" s="7" t="str">
        <x:v>OPEN</x:v>
      </x:c>
    </x:row>
    <x:row r="138" ht="34" customHeight="1">
      <x:c r="B138" s="7" t="str">
        <x:v>RAE-S-132</x:v>
      </x:c>
      <x:c r="C138" s="7" t="str">
        <x:v>RAE-E-19</x:v>
      </x:c>
      <x:c r="D138" s="7" t="str">
        <x:v>RFP-B1</x:v>
      </x:c>
      <x:c r="E138" s="7" t="str">
        <x:v>AM-05</x:v>
      </x:c>
      <x:c r="F138" s="7" t="str">
        <x:v>TR-B</x:v>
      </x:c>
      <x:c r="G138" s="7" t="str">
        <x:v>QE-01</x:v>
      </x:c>
      <x:c r="H138" s="7" t="str">
        <x:v>archive control</x:v>
      </x:c>
      <x:c r="I138" s="10" t="str"/>
      <x:c r="J138" s="7" t="str"/>
      <x:c r="K138" s="7" t="str">
        <x:v>OPEN</x:v>
      </x:c>
    </x:row>
    <x:row r="139" ht="34" customHeight="1">
      <x:c r="B139" s="7" t="str">
        <x:v>RAE-S-133</x:v>
      </x:c>
      <x:c r="C139" s="7" t="str">
        <x:v>RAE-E-20</x:v>
      </x:c>
      <x:c r="D139" s="7" t="str">
        <x:v>RFP-B1</x:v>
      </x:c>
      <x:c r="E139" s="7" t="str">
        <x:v>AM-05</x:v>
      </x:c>
      <x:c r="F139" s="7" t="str">
        <x:v>TR-B</x:v>
      </x:c>
      <x:c r="G139" s="7" t="str">
        <x:v>QE-02</x:v>
      </x:c>
      <x:c r="H139" s="7" t="str">
        <x:v>pre-event background</x:v>
      </x:c>
      <x:c r="I139" s="10" t="str"/>
      <x:c r="J139" s="7" t="str"/>
      <x:c r="K139" s="7" t="str">
        <x:v>OPEN</x:v>
      </x:c>
    </x:row>
    <x:row r="140" ht="34" customHeight="1">
      <x:c r="B140" s="7" t="str">
        <x:v>RAE-S-134</x:v>
      </x:c>
      <x:c r="C140" s="7" t="str">
        <x:v>RAE-E-20</x:v>
      </x:c>
      <x:c r="D140" s="7" t="str">
        <x:v>RFP-B1</x:v>
      </x:c>
      <x:c r="E140" s="7" t="str">
        <x:v>AM-05</x:v>
      </x:c>
      <x:c r="F140" s="7" t="str">
        <x:v>TR-B</x:v>
      </x:c>
      <x:c r="G140" s="7" t="str">
        <x:v>QE-02</x:v>
      </x:c>
      <x:c r="H140" s="7" t="str">
        <x:v>post-event pan</x:v>
      </x:c>
      <x:c r="I140" s="10" t="str"/>
      <x:c r="J140" s="7" t="str"/>
      <x:c r="K140" s="7" t="str">
        <x:v>OPEN</x:v>
      </x:c>
    </x:row>
    <x:row r="141" ht="34" customHeight="1">
      <x:c r="B141" s="7" t="str">
        <x:v>RAE-S-135</x:v>
      </x:c>
      <x:c r="C141" s="7" t="str">
        <x:v>RAE-E-20</x:v>
      </x:c>
      <x:c r="D141" s="7" t="str">
        <x:v>RFP-B1</x:v>
      </x:c>
      <x:c r="E141" s="7" t="str">
        <x:v>AM-05</x:v>
      </x:c>
      <x:c r="F141" s="7" t="str">
        <x:v>TR-B</x:v>
      </x:c>
      <x:c r="G141" s="7" t="str">
        <x:v>QE-02</x:v>
      </x:c>
      <x:c r="H141" s="7" t="str">
        <x:v>post-event catchment</x:v>
      </x:c>
      <x:c r="I141" s="10" t="str"/>
      <x:c r="J141" s="7" t="str"/>
      <x:c r="K141" s="7" t="str">
        <x:v>OPEN</x:v>
      </x:c>
    </x:row>
    <x:row r="142" ht="34" customHeight="1">
      <x:c r="B142" s="7" t="str">
        <x:v>RAE-S-136</x:v>
      </x:c>
      <x:c r="C142" s="7" t="str">
        <x:v>RAE-E-20</x:v>
      </x:c>
      <x:c r="D142" s="7" t="str">
        <x:v>RFP-B1</x:v>
      </x:c>
      <x:c r="E142" s="7" t="str">
        <x:v>AM-05</x:v>
      </x:c>
      <x:c r="F142" s="7" t="str">
        <x:v>TR-B</x:v>
      </x:c>
      <x:c r="G142" s="7" t="str">
        <x:v>QE-02</x:v>
      </x:c>
      <x:c r="H142" s="7" t="str">
        <x:v>downwind boundary</x:v>
      </x:c>
      <x:c r="I142" s="10" t="str"/>
      <x:c r="J142" s="7" t="str"/>
      <x:c r="K142" s="7" t="str">
        <x:v>OPEN</x:v>
      </x:c>
    </x:row>
    <x:row r="143" ht="34" customHeight="1">
      <x:c r="B143" s="7" t="str">
        <x:v>RAE-S-137</x:v>
      </x:c>
      <x:c r="C143" s="7" t="str">
        <x:v>RAE-E-20</x:v>
      </x:c>
      <x:c r="D143" s="7" t="str">
        <x:v>RFP-B1</x:v>
      </x:c>
      <x:c r="E143" s="7" t="str">
        <x:v>AM-05</x:v>
      </x:c>
      <x:c r="F143" s="7" t="str">
        <x:v>TR-B</x:v>
      </x:c>
      <x:c r="G143" s="7" t="str">
        <x:v>QE-02</x:v>
      </x:c>
      <x:c r="H143" s="7" t="str">
        <x:v>water receiver</x:v>
      </x:c>
      <x:c r="I143" s="10" t="str"/>
      <x:c r="J143" s="7" t="str"/>
      <x:c r="K143" s="7" t="str">
        <x:v>OPEN</x:v>
      </x:c>
    </x:row>
    <x:row r="144" ht="34" customHeight="1">
      <x:c r="B144" s="7" t="str">
        <x:v>RAE-S-138</x:v>
      </x:c>
      <x:c r="C144" s="7" t="str">
        <x:v>RAE-E-20</x:v>
      </x:c>
      <x:c r="D144" s="7" t="str">
        <x:v>RFP-B1</x:v>
      </x:c>
      <x:c r="E144" s="7" t="str">
        <x:v>AM-05</x:v>
      </x:c>
      <x:c r="F144" s="7" t="str">
        <x:v>TR-B</x:v>
      </x:c>
      <x:c r="G144" s="7" t="str">
        <x:v>QE-02</x:v>
      </x:c>
      <x:c r="H144" s="7" t="str">
        <x:v>archive control</x:v>
      </x:c>
      <x:c r="I144" s="10" t="str"/>
      <x:c r="J144" s="7" t="str"/>
      <x:c r="K144" s="7" t="str">
        <x:v>OPEN</x:v>
      </x:c>
    </x:row>
    <x:row r="145" ht="34" customHeight="1">
      <x:c r="B145" s="7" t="str">
        <x:v>RAE-S-139</x:v>
      </x:c>
      <x:c r="C145" s="7" t="str">
        <x:v>RAE-E-20</x:v>
      </x:c>
      <x:c r="D145" s="7" t="str">
        <x:v>RFP-B1</x:v>
      </x:c>
      <x:c r="E145" s="7" t="str">
        <x:v>AM-05</x:v>
      </x:c>
      <x:c r="F145" s="7" t="str">
        <x:v>TR-B</x:v>
      </x:c>
      <x:c r="G145" s="7" t="str">
        <x:v>QE-02</x:v>
      </x:c>
      <x:c r="H145" s="7" t="str">
        <x:v>source pre-event</x:v>
      </x:c>
      <x:c r="I145" s="10" t="str"/>
      <x:c r="J145" s="7" t="str"/>
      <x:c r="K145" s="7" t="str">
        <x:v>OPEN</x:v>
      </x:c>
    </x:row>
    <x:row r="146" ht="34" customHeight="1">
      <x:c r="B146" s="7" t="str">
        <x:v>RAE-S-140</x:v>
      </x:c>
      <x:c r="C146" s="7" t="str">
        <x:v>RAE-E-20</x:v>
      </x:c>
      <x:c r="D146" s="7" t="str">
        <x:v>RFP-B1</x:v>
      </x:c>
      <x:c r="E146" s="7" t="str">
        <x:v>AM-05</x:v>
      </x:c>
      <x:c r="F146" s="7" t="str">
        <x:v>TR-B</x:v>
      </x:c>
      <x:c r="G146" s="7" t="str">
        <x:v>QE-02</x:v>
      </x:c>
      <x:c r="H146" s="7" t="str">
        <x:v>source post-event</x:v>
      </x:c>
      <x:c r="I146" s="10" t="str"/>
      <x:c r="J146" s="7" t="str"/>
      <x:c r="K146" s="7" t="str">
        <x:v>OPEN</x:v>
      </x:c>
    </x:row>
    <x:row r="147" ht="34" customHeight="1">
      <x:c r="B147" s="7" t="str">
        <x:v>RAE-S-141</x:v>
      </x:c>
      <x:c r="C147" s="7" t="str">
        <x:v>RAE-E-21</x:v>
      </x:c>
      <x:c r="D147" s="7" t="str">
        <x:v>RFP-B1</x:v>
      </x:c>
      <x:c r="E147" s="7" t="str">
        <x:v>AM-06</x:v>
      </x:c>
      <x:c r="F147" s="7" t="str">
        <x:v>TR-A</x:v>
      </x:c>
      <x:c r="G147" s="7" t="str">
        <x:v>QE-01</x:v>
      </x:c>
      <x:c r="H147" s="7" t="str">
        <x:v>pre-event background</x:v>
      </x:c>
      <x:c r="I147" s="10" t="str"/>
      <x:c r="J147" s="7" t="str"/>
      <x:c r="K147" s="7" t="str">
        <x:v>OPEN</x:v>
      </x:c>
    </x:row>
    <x:row r="148" ht="34" customHeight="1">
      <x:c r="B148" s="7" t="str">
        <x:v>RAE-S-142</x:v>
      </x:c>
      <x:c r="C148" s="7" t="str">
        <x:v>RAE-E-21</x:v>
      </x:c>
      <x:c r="D148" s="7" t="str">
        <x:v>RFP-B1</x:v>
      </x:c>
      <x:c r="E148" s="7" t="str">
        <x:v>AM-06</x:v>
      </x:c>
      <x:c r="F148" s="7" t="str">
        <x:v>TR-A</x:v>
      </x:c>
      <x:c r="G148" s="7" t="str">
        <x:v>QE-01</x:v>
      </x:c>
      <x:c r="H148" s="7" t="str">
        <x:v>post-event pan</x:v>
      </x:c>
      <x:c r="I148" s="10" t="str"/>
      <x:c r="J148" s="7" t="str"/>
      <x:c r="K148" s="7" t="str">
        <x:v>OPEN</x:v>
      </x:c>
    </x:row>
    <x:row r="149" ht="34" customHeight="1">
      <x:c r="B149" s="7" t="str">
        <x:v>RAE-S-143</x:v>
      </x:c>
      <x:c r="C149" s="7" t="str">
        <x:v>RAE-E-21</x:v>
      </x:c>
      <x:c r="D149" s="7" t="str">
        <x:v>RFP-B1</x:v>
      </x:c>
      <x:c r="E149" s="7" t="str">
        <x:v>AM-06</x:v>
      </x:c>
      <x:c r="F149" s="7" t="str">
        <x:v>TR-A</x:v>
      </x:c>
      <x:c r="G149" s="7" t="str">
        <x:v>QE-01</x:v>
      </x:c>
      <x:c r="H149" s="7" t="str">
        <x:v>post-event catchment</x:v>
      </x:c>
      <x:c r="I149" s="10" t="str"/>
      <x:c r="J149" s="7" t="str"/>
      <x:c r="K149" s="7" t="str">
        <x:v>OPEN</x:v>
      </x:c>
    </x:row>
    <x:row r="150" ht="34" customHeight="1">
      <x:c r="B150" s="7" t="str">
        <x:v>RAE-S-144</x:v>
      </x:c>
      <x:c r="C150" s="7" t="str">
        <x:v>RAE-E-21</x:v>
      </x:c>
      <x:c r="D150" s="7" t="str">
        <x:v>RFP-B1</x:v>
      </x:c>
      <x:c r="E150" s="7" t="str">
        <x:v>AM-06</x:v>
      </x:c>
      <x:c r="F150" s="7" t="str">
        <x:v>TR-A</x:v>
      </x:c>
      <x:c r="G150" s="7" t="str">
        <x:v>QE-01</x:v>
      </x:c>
      <x:c r="H150" s="7" t="str">
        <x:v>downwind boundary</x:v>
      </x:c>
      <x:c r="I150" s="10" t="str"/>
      <x:c r="J150" s="7" t="str"/>
      <x:c r="K150" s="7" t="str">
        <x:v>OPEN</x:v>
      </x:c>
    </x:row>
    <x:row r="151" ht="34" customHeight="1">
      <x:c r="B151" s="7" t="str">
        <x:v>RAE-S-145</x:v>
      </x:c>
      <x:c r="C151" s="7" t="str">
        <x:v>RAE-E-21</x:v>
      </x:c>
      <x:c r="D151" s="7" t="str">
        <x:v>RFP-B1</x:v>
      </x:c>
      <x:c r="E151" s="7" t="str">
        <x:v>AM-06</x:v>
      </x:c>
      <x:c r="F151" s="7" t="str">
        <x:v>TR-A</x:v>
      </x:c>
      <x:c r="G151" s="7" t="str">
        <x:v>QE-01</x:v>
      </x:c>
      <x:c r="H151" s="7" t="str">
        <x:v>water receiver</x:v>
      </x:c>
      <x:c r="I151" s="10" t="str"/>
      <x:c r="J151" s="7" t="str"/>
      <x:c r="K151" s="7" t="str">
        <x:v>OPEN</x:v>
      </x:c>
    </x:row>
    <x:row r="152" ht="34" customHeight="1">
      <x:c r="B152" s="7" t="str">
        <x:v>RAE-S-146</x:v>
      </x:c>
      <x:c r="C152" s="7" t="str">
        <x:v>RAE-E-21</x:v>
      </x:c>
      <x:c r="D152" s="7" t="str">
        <x:v>RFP-B1</x:v>
      </x:c>
      <x:c r="E152" s="7" t="str">
        <x:v>AM-06</x:v>
      </x:c>
      <x:c r="F152" s="7" t="str">
        <x:v>TR-A</x:v>
      </x:c>
      <x:c r="G152" s="7" t="str">
        <x:v>QE-01</x:v>
      </x:c>
      <x:c r="H152" s="7" t="str">
        <x:v>archive control</x:v>
      </x:c>
      <x:c r="I152" s="10" t="str"/>
      <x:c r="J152" s="7" t="str"/>
      <x:c r="K152" s="7" t="str">
        <x:v>OPEN</x:v>
      </x:c>
    </x:row>
    <x:row r="153" ht="34" customHeight="1">
      <x:c r="B153" s="7" t="str">
        <x:v>RAE-S-147</x:v>
      </x:c>
      <x:c r="C153" s="7" t="str">
        <x:v>RAE-E-22</x:v>
      </x:c>
      <x:c r="D153" s="7" t="str">
        <x:v>RFP-B1</x:v>
      </x:c>
      <x:c r="E153" s="7" t="str">
        <x:v>AM-06</x:v>
      </x:c>
      <x:c r="F153" s="7" t="str">
        <x:v>TR-A</x:v>
      </x:c>
      <x:c r="G153" s="7" t="str">
        <x:v>QE-02</x:v>
      </x:c>
      <x:c r="H153" s="7" t="str">
        <x:v>pre-event background</x:v>
      </x:c>
      <x:c r="I153" s="10" t="str"/>
      <x:c r="J153" s="7" t="str"/>
      <x:c r="K153" s="7" t="str">
        <x:v>OPEN</x:v>
      </x:c>
    </x:row>
    <x:row r="154" ht="34" customHeight="1">
      <x:c r="B154" s="7" t="str">
        <x:v>RAE-S-148</x:v>
      </x:c>
      <x:c r="C154" s="7" t="str">
        <x:v>RAE-E-22</x:v>
      </x:c>
      <x:c r="D154" s="7" t="str">
        <x:v>RFP-B1</x:v>
      </x:c>
      <x:c r="E154" s="7" t="str">
        <x:v>AM-06</x:v>
      </x:c>
      <x:c r="F154" s="7" t="str">
        <x:v>TR-A</x:v>
      </x:c>
      <x:c r="G154" s="7" t="str">
        <x:v>QE-02</x:v>
      </x:c>
      <x:c r="H154" s="7" t="str">
        <x:v>post-event pan</x:v>
      </x:c>
      <x:c r="I154" s="10" t="str"/>
      <x:c r="J154" s="7" t="str"/>
      <x:c r="K154" s="7" t="str">
        <x:v>OPEN</x:v>
      </x:c>
    </x:row>
    <x:row r="155" ht="34" customHeight="1">
      <x:c r="B155" s="7" t="str">
        <x:v>RAE-S-149</x:v>
      </x:c>
      <x:c r="C155" s="7" t="str">
        <x:v>RAE-E-22</x:v>
      </x:c>
      <x:c r="D155" s="7" t="str">
        <x:v>RFP-B1</x:v>
      </x:c>
      <x:c r="E155" s="7" t="str">
        <x:v>AM-06</x:v>
      </x:c>
      <x:c r="F155" s="7" t="str">
        <x:v>TR-A</x:v>
      </x:c>
      <x:c r="G155" s="7" t="str">
        <x:v>QE-02</x:v>
      </x:c>
      <x:c r="H155" s="7" t="str">
        <x:v>post-event catchment</x:v>
      </x:c>
      <x:c r="I155" s="10" t="str"/>
      <x:c r="J155" s="7" t="str"/>
      <x:c r="K155" s="7" t="str">
        <x:v>OPEN</x:v>
      </x:c>
    </x:row>
    <x:row r="156" ht="34" customHeight="1">
      <x:c r="B156" s="7" t="str">
        <x:v>RAE-S-150</x:v>
      </x:c>
      <x:c r="C156" s="7" t="str">
        <x:v>RAE-E-22</x:v>
      </x:c>
      <x:c r="D156" s="7" t="str">
        <x:v>RFP-B1</x:v>
      </x:c>
      <x:c r="E156" s="7" t="str">
        <x:v>AM-06</x:v>
      </x:c>
      <x:c r="F156" s="7" t="str">
        <x:v>TR-A</x:v>
      </x:c>
      <x:c r="G156" s="7" t="str">
        <x:v>QE-02</x:v>
      </x:c>
      <x:c r="H156" s="7" t="str">
        <x:v>downwind boundary</x:v>
      </x:c>
      <x:c r="I156" s="10" t="str"/>
      <x:c r="J156" s="7" t="str"/>
      <x:c r="K156" s="7" t="str">
        <x:v>OPEN</x:v>
      </x:c>
    </x:row>
    <x:row r="157" ht="34" customHeight="1">
      <x:c r="B157" s="7" t="str">
        <x:v>RAE-S-151</x:v>
      </x:c>
      <x:c r="C157" s="7" t="str">
        <x:v>RAE-E-22</x:v>
      </x:c>
      <x:c r="D157" s="7" t="str">
        <x:v>RFP-B1</x:v>
      </x:c>
      <x:c r="E157" s="7" t="str">
        <x:v>AM-06</x:v>
      </x:c>
      <x:c r="F157" s="7" t="str">
        <x:v>TR-A</x:v>
      </x:c>
      <x:c r="G157" s="7" t="str">
        <x:v>QE-02</x:v>
      </x:c>
      <x:c r="H157" s="7" t="str">
        <x:v>water receiver</x:v>
      </x:c>
      <x:c r="I157" s="10" t="str"/>
      <x:c r="J157" s="7" t="str"/>
      <x:c r="K157" s="7" t="str">
        <x:v>OPEN</x:v>
      </x:c>
    </x:row>
    <x:row r="158" ht="34" customHeight="1">
      <x:c r="B158" s="7" t="str">
        <x:v>RAE-S-152</x:v>
      </x:c>
      <x:c r="C158" s="7" t="str">
        <x:v>RAE-E-22</x:v>
      </x:c>
      <x:c r="D158" s="7" t="str">
        <x:v>RFP-B1</x:v>
      </x:c>
      <x:c r="E158" s="7" t="str">
        <x:v>AM-06</x:v>
      </x:c>
      <x:c r="F158" s="7" t="str">
        <x:v>TR-A</x:v>
      </x:c>
      <x:c r="G158" s="7" t="str">
        <x:v>QE-02</x:v>
      </x:c>
      <x:c r="H158" s="7" t="str">
        <x:v>archive control</x:v>
      </x:c>
      <x:c r="I158" s="10" t="str"/>
      <x:c r="J158" s="7" t="str"/>
      <x:c r="K158" s="7" t="str">
        <x:v>OPEN</x:v>
      </x:c>
    </x:row>
    <x:row r="159" ht="34" customHeight="1">
      <x:c r="B159" s="7" t="str">
        <x:v>RAE-S-153</x:v>
      </x:c>
      <x:c r="C159" s="7" t="str">
        <x:v>RAE-E-22</x:v>
      </x:c>
      <x:c r="D159" s="7" t="str">
        <x:v>RFP-B1</x:v>
      </x:c>
      <x:c r="E159" s="7" t="str">
        <x:v>AM-06</x:v>
      </x:c>
      <x:c r="F159" s="7" t="str">
        <x:v>TR-A</x:v>
      </x:c>
      <x:c r="G159" s="7" t="str">
        <x:v>QE-02</x:v>
      </x:c>
      <x:c r="H159" s="7" t="str">
        <x:v>source pre-event</x:v>
      </x:c>
      <x:c r="I159" s="10" t="str"/>
      <x:c r="J159" s="7" t="str"/>
      <x:c r="K159" s="7" t="str">
        <x:v>OPEN</x:v>
      </x:c>
    </x:row>
    <x:row r="160" ht="34" customHeight="1">
      <x:c r="B160" s="7" t="str">
        <x:v>RAE-S-154</x:v>
      </x:c>
      <x:c r="C160" s="7" t="str">
        <x:v>RAE-E-22</x:v>
      </x:c>
      <x:c r="D160" s="7" t="str">
        <x:v>RFP-B1</x:v>
      </x:c>
      <x:c r="E160" s="7" t="str">
        <x:v>AM-06</x:v>
      </x:c>
      <x:c r="F160" s="7" t="str">
        <x:v>TR-A</x:v>
      </x:c>
      <x:c r="G160" s="7" t="str">
        <x:v>QE-02</x:v>
      </x:c>
      <x:c r="H160" s="7" t="str">
        <x:v>source post-event</x:v>
      </x:c>
      <x:c r="I160" s="10" t="str"/>
      <x:c r="J160" s="7" t="str"/>
      <x:c r="K160" s="7" t="str">
        <x:v>OPEN</x:v>
      </x:c>
    </x:row>
    <x:row r="161" ht="34" customHeight="1">
      <x:c r="B161" s="7" t="str">
        <x:v>RAE-S-155</x:v>
      </x:c>
      <x:c r="C161" s="7" t="str">
        <x:v>RAE-E-23</x:v>
      </x:c>
      <x:c r="D161" s="7" t="str">
        <x:v>RFP-B1</x:v>
      </x:c>
      <x:c r="E161" s="7" t="str">
        <x:v>AM-06</x:v>
      </x:c>
      <x:c r="F161" s="7" t="str">
        <x:v>TR-B</x:v>
      </x:c>
      <x:c r="G161" s="7" t="str">
        <x:v>QE-01</x:v>
      </x:c>
      <x:c r="H161" s="7" t="str">
        <x:v>pre-event background</x:v>
      </x:c>
      <x:c r="I161" s="10" t="str"/>
      <x:c r="J161" s="7" t="str"/>
      <x:c r="K161" s="7" t="str">
        <x:v>OPEN</x:v>
      </x:c>
    </x:row>
    <x:row r="162" ht="34" customHeight="1">
      <x:c r="B162" s="7" t="str">
        <x:v>RAE-S-156</x:v>
      </x:c>
      <x:c r="C162" s="7" t="str">
        <x:v>RAE-E-23</x:v>
      </x:c>
      <x:c r="D162" s="7" t="str">
        <x:v>RFP-B1</x:v>
      </x:c>
      <x:c r="E162" s="7" t="str">
        <x:v>AM-06</x:v>
      </x:c>
      <x:c r="F162" s="7" t="str">
        <x:v>TR-B</x:v>
      </x:c>
      <x:c r="G162" s="7" t="str">
        <x:v>QE-01</x:v>
      </x:c>
      <x:c r="H162" s="7" t="str">
        <x:v>post-event pan</x:v>
      </x:c>
      <x:c r="I162" s="10" t="str"/>
      <x:c r="J162" s="7" t="str"/>
      <x:c r="K162" s="7" t="str">
        <x:v>OPEN</x:v>
      </x:c>
    </x:row>
    <x:row r="163" ht="34" customHeight="1">
      <x:c r="B163" s="7" t="str">
        <x:v>RAE-S-157</x:v>
      </x:c>
      <x:c r="C163" s="7" t="str">
        <x:v>RAE-E-23</x:v>
      </x:c>
      <x:c r="D163" s="7" t="str">
        <x:v>RFP-B1</x:v>
      </x:c>
      <x:c r="E163" s="7" t="str">
        <x:v>AM-06</x:v>
      </x:c>
      <x:c r="F163" s="7" t="str">
        <x:v>TR-B</x:v>
      </x:c>
      <x:c r="G163" s="7" t="str">
        <x:v>QE-01</x:v>
      </x:c>
      <x:c r="H163" s="7" t="str">
        <x:v>post-event catchment</x:v>
      </x:c>
      <x:c r="I163" s="10" t="str"/>
      <x:c r="J163" s="7" t="str"/>
      <x:c r="K163" s="7" t="str">
        <x:v>OPEN</x:v>
      </x:c>
    </x:row>
    <x:row r="164" ht="34" customHeight="1">
      <x:c r="B164" s="7" t="str">
        <x:v>RAE-S-158</x:v>
      </x:c>
      <x:c r="C164" s="7" t="str">
        <x:v>RAE-E-23</x:v>
      </x:c>
      <x:c r="D164" s="7" t="str">
        <x:v>RFP-B1</x:v>
      </x:c>
      <x:c r="E164" s="7" t="str">
        <x:v>AM-06</x:v>
      </x:c>
      <x:c r="F164" s="7" t="str">
        <x:v>TR-B</x:v>
      </x:c>
      <x:c r="G164" s="7" t="str">
        <x:v>QE-01</x:v>
      </x:c>
      <x:c r="H164" s="7" t="str">
        <x:v>downwind boundary</x:v>
      </x:c>
      <x:c r="I164" s="10" t="str"/>
      <x:c r="J164" s="7" t="str"/>
      <x:c r="K164" s="7" t="str">
        <x:v>OPEN</x:v>
      </x:c>
    </x:row>
    <x:row r="165" ht="34" customHeight="1">
      <x:c r="B165" s="7" t="str">
        <x:v>RAE-S-159</x:v>
      </x:c>
      <x:c r="C165" s="7" t="str">
        <x:v>RAE-E-23</x:v>
      </x:c>
      <x:c r="D165" s="7" t="str">
        <x:v>RFP-B1</x:v>
      </x:c>
      <x:c r="E165" s="7" t="str">
        <x:v>AM-06</x:v>
      </x:c>
      <x:c r="F165" s="7" t="str">
        <x:v>TR-B</x:v>
      </x:c>
      <x:c r="G165" s="7" t="str">
        <x:v>QE-01</x:v>
      </x:c>
      <x:c r="H165" s="7" t="str">
        <x:v>water receiver</x:v>
      </x:c>
      <x:c r="I165" s="10" t="str"/>
      <x:c r="J165" s="7" t="str"/>
      <x:c r="K165" s="7" t="str">
        <x:v>OPEN</x:v>
      </x:c>
    </x:row>
    <x:row r="166" ht="34" customHeight="1">
      <x:c r="B166" s="7" t="str">
        <x:v>RAE-S-160</x:v>
      </x:c>
      <x:c r="C166" s="7" t="str">
        <x:v>RAE-E-23</x:v>
      </x:c>
      <x:c r="D166" s="7" t="str">
        <x:v>RFP-B1</x:v>
      </x:c>
      <x:c r="E166" s="7" t="str">
        <x:v>AM-06</x:v>
      </x:c>
      <x:c r="F166" s="7" t="str">
        <x:v>TR-B</x:v>
      </x:c>
      <x:c r="G166" s="7" t="str">
        <x:v>QE-01</x:v>
      </x:c>
      <x:c r="H166" s="7" t="str">
        <x:v>archive control</x:v>
      </x:c>
      <x:c r="I166" s="10" t="str"/>
      <x:c r="J166" s="7" t="str"/>
      <x:c r="K166" s="7" t="str">
        <x:v>OPEN</x:v>
      </x:c>
    </x:row>
    <x:row r="167" ht="34" customHeight="1">
      <x:c r="B167" s="7" t="str">
        <x:v>RAE-S-161</x:v>
      </x:c>
      <x:c r="C167" s="7" t="str">
        <x:v>RAE-E-24</x:v>
      </x:c>
      <x:c r="D167" s="7" t="str">
        <x:v>RFP-B1</x:v>
      </x:c>
      <x:c r="E167" s="7" t="str">
        <x:v>AM-06</x:v>
      </x:c>
      <x:c r="F167" s="7" t="str">
        <x:v>TR-B</x:v>
      </x:c>
      <x:c r="G167" s="7" t="str">
        <x:v>QE-02</x:v>
      </x:c>
      <x:c r="H167" s="7" t="str">
        <x:v>pre-event background</x:v>
      </x:c>
      <x:c r="I167" s="10" t="str"/>
      <x:c r="J167" s="7" t="str"/>
      <x:c r="K167" s="7" t="str">
        <x:v>OPEN</x:v>
      </x:c>
    </x:row>
    <x:row r="168" ht="34" customHeight="1">
      <x:c r="B168" s="7" t="str">
        <x:v>RAE-S-162</x:v>
      </x:c>
      <x:c r="C168" s="7" t="str">
        <x:v>RAE-E-24</x:v>
      </x:c>
      <x:c r="D168" s="7" t="str">
        <x:v>RFP-B1</x:v>
      </x:c>
      <x:c r="E168" s="7" t="str">
        <x:v>AM-06</x:v>
      </x:c>
      <x:c r="F168" s="7" t="str">
        <x:v>TR-B</x:v>
      </x:c>
      <x:c r="G168" s="7" t="str">
        <x:v>QE-02</x:v>
      </x:c>
      <x:c r="H168" s="7" t="str">
        <x:v>post-event pan</x:v>
      </x:c>
      <x:c r="I168" s="10" t="str"/>
      <x:c r="J168" s="7" t="str"/>
      <x:c r="K168" s="7" t="str">
        <x:v>OPEN</x:v>
      </x:c>
    </x:row>
    <x:row r="169" ht="34" customHeight="1">
      <x:c r="B169" s="7" t="str">
        <x:v>RAE-S-163</x:v>
      </x:c>
      <x:c r="C169" s="7" t="str">
        <x:v>RAE-E-24</x:v>
      </x:c>
      <x:c r="D169" s="7" t="str">
        <x:v>RFP-B1</x:v>
      </x:c>
      <x:c r="E169" s="7" t="str">
        <x:v>AM-06</x:v>
      </x:c>
      <x:c r="F169" s="7" t="str">
        <x:v>TR-B</x:v>
      </x:c>
      <x:c r="G169" s="7" t="str">
        <x:v>QE-02</x:v>
      </x:c>
      <x:c r="H169" s="7" t="str">
        <x:v>post-event catchment</x:v>
      </x:c>
      <x:c r="I169" s="10" t="str"/>
      <x:c r="J169" s="7" t="str"/>
      <x:c r="K169" s="7" t="str">
        <x:v>OPEN</x:v>
      </x:c>
    </x:row>
    <x:row r="170" ht="34" customHeight="1">
      <x:c r="B170" s="7" t="str">
        <x:v>RAE-S-164</x:v>
      </x:c>
      <x:c r="C170" s="7" t="str">
        <x:v>RAE-E-24</x:v>
      </x:c>
      <x:c r="D170" s="7" t="str">
        <x:v>RFP-B1</x:v>
      </x:c>
      <x:c r="E170" s="7" t="str">
        <x:v>AM-06</x:v>
      </x:c>
      <x:c r="F170" s="7" t="str">
        <x:v>TR-B</x:v>
      </x:c>
      <x:c r="G170" s="7" t="str">
        <x:v>QE-02</x:v>
      </x:c>
      <x:c r="H170" s="7" t="str">
        <x:v>downwind boundary</x:v>
      </x:c>
      <x:c r="I170" s="10" t="str"/>
      <x:c r="J170" s="7" t="str"/>
      <x:c r="K170" s="7" t="str">
        <x:v>OPEN</x:v>
      </x:c>
    </x:row>
    <x:row r="171" ht="34" customHeight="1">
      <x:c r="B171" s="7" t="str">
        <x:v>RAE-S-165</x:v>
      </x:c>
      <x:c r="C171" s="7" t="str">
        <x:v>RAE-E-24</x:v>
      </x:c>
      <x:c r="D171" s="7" t="str">
        <x:v>RFP-B1</x:v>
      </x:c>
      <x:c r="E171" s="7" t="str">
        <x:v>AM-06</x:v>
      </x:c>
      <x:c r="F171" s="7" t="str">
        <x:v>TR-B</x:v>
      </x:c>
      <x:c r="G171" s="7" t="str">
        <x:v>QE-02</x:v>
      </x:c>
      <x:c r="H171" s="7" t="str">
        <x:v>water receiver</x:v>
      </x:c>
      <x:c r="I171" s="10" t="str"/>
      <x:c r="J171" s="7" t="str"/>
      <x:c r="K171" s="7" t="str">
        <x:v>OPEN</x:v>
      </x:c>
    </x:row>
    <x:row r="172" ht="34" customHeight="1">
      <x:c r="B172" s="7" t="str">
        <x:v>RAE-S-166</x:v>
      </x:c>
      <x:c r="C172" s="7" t="str">
        <x:v>RAE-E-24</x:v>
      </x:c>
      <x:c r="D172" s="7" t="str">
        <x:v>RFP-B1</x:v>
      </x:c>
      <x:c r="E172" s="7" t="str">
        <x:v>AM-06</x:v>
      </x:c>
      <x:c r="F172" s="7" t="str">
        <x:v>TR-B</x:v>
      </x:c>
      <x:c r="G172" s="7" t="str">
        <x:v>QE-02</x:v>
      </x:c>
      <x:c r="H172" s="7" t="str">
        <x:v>archive control</x:v>
      </x:c>
      <x:c r="I172" s="10" t="str"/>
      <x:c r="J172" s="7" t="str"/>
      <x:c r="K172" s="7" t="str">
        <x:v>OPEN</x:v>
      </x:c>
    </x:row>
    <x:row r="173" ht="34" customHeight="1">
      <x:c r="B173" s="7" t="str">
        <x:v>RAE-S-167</x:v>
      </x:c>
      <x:c r="C173" s="7" t="str">
        <x:v>RAE-E-24</x:v>
      </x:c>
      <x:c r="D173" s="7" t="str">
        <x:v>RFP-B1</x:v>
      </x:c>
      <x:c r="E173" s="7" t="str">
        <x:v>AM-06</x:v>
      </x:c>
      <x:c r="F173" s="7" t="str">
        <x:v>TR-B</x:v>
      </x:c>
      <x:c r="G173" s="7" t="str">
        <x:v>QE-02</x:v>
      </x:c>
      <x:c r="H173" s="7" t="str">
        <x:v>source pre-event</x:v>
      </x:c>
      <x:c r="I173" s="10" t="str"/>
      <x:c r="J173" s="7" t="str"/>
      <x:c r="K173" s="7" t="str">
        <x:v>OPEN</x:v>
      </x:c>
    </x:row>
    <x:row r="174" ht="34" customHeight="1">
      <x:c r="B174" s="7" t="str">
        <x:v>RAE-S-168</x:v>
      </x:c>
      <x:c r="C174" s="7" t="str">
        <x:v>RAE-E-24</x:v>
      </x:c>
      <x:c r="D174" s="7" t="str">
        <x:v>RFP-B1</x:v>
      </x:c>
      <x:c r="E174" s="7" t="str">
        <x:v>AM-06</x:v>
      </x:c>
      <x:c r="F174" s="7" t="str">
        <x:v>TR-B</x:v>
      </x:c>
      <x:c r="G174" s="7" t="str">
        <x:v>QE-02</x:v>
      </x:c>
      <x:c r="H174" s="7" t="str">
        <x:v>source post-event</x:v>
      </x:c>
      <x:c r="I174" s="10" t="str"/>
      <x:c r="J174" s="7" t="str"/>
      <x:c r="K174" s="7" t="str">
        <x:v>OPEN</x:v>
      </x:c>
    </x:row>
    <x:row r="175" ht="34" customHeight="1">
      <x:c r="B175" s="7" t="str">
        <x:v>RAE-S-169</x:v>
      </x:c>
      <x:c r="C175" s="7" t="str">
        <x:v>RAE-E-25</x:v>
      </x:c>
      <x:c r="D175" s="7" t="str">
        <x:v>RFP-B2</x:v>
      </x:c>
      <x:c r="E175" s="7" t="str">
        <x:v>AM-05</x:v>
      </x:c>
      <x:c r="F175" s="7" t="str">
        <x:v>TR-A</x:v>
      </x:c>
      <x:c r="G175" s="7" t="str">
        <x:v>QE-01</x:v>
      </x:c>
      <x:c r="H175" s="7" t="str">
        <x:v>pre-event background</x:v>
      </x:c>
      <x:c r="I175" s="10" t="str"/>
      <x:c r="J175" s="7" t="str"/>
      <x:c r="K175" s="7" t="str">
        <x:v>OPEN</x:v>
      </x:c>
    </x:row>
    <x:row r="176" ht="34" customHeight="1">
      <x:c r="B176" s="7" t="str">
        <x:v>RAE-S-170</x:v>
      </x:c>
      <x:c r="C176" s="7" t="str">
        <x:v>RAE-E-25</x:v>
      </x:c>
      <x:c r="D176" s="7" t="str">
        <x:v>RFP-B2</x:v>
      </x:c>
      <x:c r="E176" s="7" t="str">
        <x:v>AM-05</x:v>
      </x:c>
      <x:c r="F176" s="7" t="str">
        <x:v>TR-A</x:v>
      </x:c>
      <x:c r="G176" s="7" t="str">
        <x:v>QE-01</x:v>
      </x:c>
      <x:c r="H176" s="7" t="str">
        <x:v>post-event pan</x:v>
      </x:c>
      <x:c r="I176" s="10" t="str"/>
      <x:c r="J176" s="7" t="str"/>
      <x:c r="K176" s="7" t="str">
        <x:v>OPEN</x:v>
      </x:c>
    </x:row>
    <x:row r="177" ht="34" customHeight="1">
      <x:c r="B177" s="7" t="str">
        <x:v>RAE-S-171</x:v>
      </x:c>
      <x:c r="C177" s="7" t="str">
        <x:v>RAE-E-25</x:v>
      </x:c>
      <x:c r="D177" s="7" t="str">
        <x:v>RFP-B2</x:v>
      </x:c>
      <x:c r="E177" s="7" t="str">
        <x:v>AM-05</x:v>
      </x:c>
      <x:c r="F177" s="7" t="str">
        <x:v>TR-A</x:v>
      </x:c>
      <x:c r="G177" s="7" t="str">
        <x:v>QE-01</x:v>
      </x:c>
      <x:c r="H177" s="7" t="str">
        <x:v>post-event catchment</x:v>
      </x:c>
      <x:c r="I177" s="10" t="str"/>
      <x:c r="J177" s="7" t="str"/>
      <x:c r="K177" s="7" t="str">
        <x:v>OPEN</x:v>
      </x:c>
    </x:row>
    <x:row r="178" ht="34" customHeight="1">
      <x:c r="B178" s="7" t="str">
        <x:v>RAE-S-172</x:v>
      </x:c>
      <x:c r="C178" s="7" t="str">
        <x:v>RAE-E-25</x:v>
      </x:c>
      <x:c r="D178" s="7" t="str">
        <x:v>RFP-B2</x:v>
      </x:c>
      <x:c r="E178" s="7" t="str">
        <x:v>AM-05</x:v>
      </x:c>
      <x:c r="F178" s="7" t="str">
        <x:v>TR-A</x:v>
      </x:c>
      <x:c r="G178" s="7" t="str">
        <x:v>QE-01</x:v>
      </x:c>
      <x:c r="H178" s="7" t="str">
        <x:v>downwind boundary</x:v>
      </x:c>
      <x:c r="I178" s="10" t="str"/>
      <x:c r="J178" s="7" t="str"/>
      <x:c r="K178" s="7" t="str">
        <x:v>OPEN</x:v>
      </x:c>
    </x:row>
    <x:row r="179" ht="34" customHeight="1">
      <x:c r="B179" s="7" t="str">
        <x:v>RAE-S-173</x:v>
      </x:c>
      <x:c r="C179" s="7" t="str">
        <x:v>RAE-E-25</x:v>
      </x:c>
      <x:c r="D179" s="7" t="str">
        <x:v>RFP-B2</x:v>
      </x:c>
      <x:c r="E179" s="7" t="str">
        <x:v>AM-05</x:v>
      </x:c>
      <x:c r="F179" s="7" t="str">
        <x:v>TR-A</x:v>
      </x:c>
      <x:c r="G179" s="7" t="str">
        <x:v>QE-01</x:v>
      </x:c>
      <x:c r="H179" s="7" t="str">
        <x:v>water receiver</x:v>
      </x:c>
      <x:c r="I179" s="10" t="str"/>
      <x:c r="J179" s="7" t="str"/>
      <x:c r="K179" s="7" t="str">
        <x:v>OPEN</x:v>
      </x:c>
    </x:row>
    <x:row r="180" ht="34" customHeight="1">
      <x:c r="B180" s="7" t="str">
        <x:v>RAE-S-174</x:v>
      </x:c>
      <x:c r="C180" s="7" t="str">
        <x:v>RAE-E-25</x:v>
      </x:c>
      <x:c r="D180" s="7" t="str">
        <x:v>RFP-B2</x:v>
      </x:c>
      <x:c r="E180" s="7" t="str">
        <x:v>AM-05</x:v>
      </x:c>
      <x:c r="F180" s="7" t="str">
        <x:v>TR-A</x:v>
      </x:c>
      <x:c r="G180" s="7" t="str">
        <x:v>QE-01</x:v>
      </x:c>
      <x:c r="H180" s="7" t="str">
        <x:v>archive control</x:v>
      </x:c>
      <x:c r="I180" s="10" t="str"/>
      <x:c r="J180" s="7" t="str"/>
      <x:c r="K180" s="7" t="str">
        <x:v>OPEN</x:v>
      </x:c>
    </x:row>
    <x:row r="181" ht="34" customHeight="1">
      <x:c r="B181" s="7" t="str">
        <x:v>RAE-S-175</x:v>
      </x:c>
      <x:c r="C181" s="7" t="str">
        <x:v>RAE-E-26</x:v>
      </x:c>
      <x:c r="D181" s="7" t="str">
        <x:v>RFP-B2</x:v>
      </x:c>
      <x:c r="E181" s="7" t="str">
        <x:v>AM-05</x:v>
      </x:c>
      <x:c r="F181" s="7" t="str">
        <x:v>TR-A</x:v>
      </x:c>
      <x:c r="G181" s="7" t="str">
        <x:v>QE-02</x:v>
      </x:c>
      <x:c r="H181" s="7" t="str">
        <x:v>pre-event background</x:v>
      </x:c>
      <x:c r="I181" s="10" t="str"/>
      <x:c r="J181" s="7" t="str"/>
      <x:c r="K181" s="7" t="str">
        <x:v>OPEN</x:v>
      </x:c>
    </x:row>
    <x:row r="182" ht="34" customHeight="1">
      <x:c r="B182" s="7" t="str">
        <x:v>RAE-S-176</x:v>
      </x:c>
      <x:c r="C182" s="7" t="str">
        <x:v>RAE-E-26</x:v>
      </x:c>
      <x:c r="D182" s="7" t="str">
        <x:v>RFP-B2</x:v>
      </x:c>
      <x:c r="E182" s="7" t="str">
        <x:v>AM-05</x:v>
      </x:c>
      <x:c r="F182" s="7" t="str">
        <x:v>TR-A</x:v>
      </x:c>
      <x:c r="G182" s="7" t="str">
        <x:v>QE-02</x:v>
      </x:c>
      <x:c r="H182" s="7" t="str">
        <x:v>post-event pan</x:v>
      </x:c>
      <x:c r="I182" s="10" t="str"/>
      <x:c r="J182" s="7" t="str"/>
      <x:c r="K182" s="7" t="str">
        <x:v>OPEN</x:v>
      </x:c>
    </x:row>
    <x:row r="183" ht="34" customHeight="1">
      <x:c r="B183" s="7" t="str">
        <x:v>RAE-S-177</x:v>
      </x:c>
      <x:c r="C183" s="7" t="str">
        <x:v>RAE-E-26</x:v>
      </x:c>
      <x:c r="D183" s="7" t="str">
        <x:v>RFP-B2</x:v>
      </x:c>
      <x:c r="E183" s="7" t="str">
        <x:v>AM-05</x:v>
      </x:c>
      <x:c r="F183" s="7" t="str">
        <x:v>TR-A</x:v>
      </x:c>
      <x:c r="G183" s="7" t="str">
        <x:v>QE-02</x:v>
      </x:c>
      <x:c r="H183" s="7" t="str">
        <x:v>post-event catchment</x:v>
      </x:c>
      <x:c r="I183" s="10" t="str"/>
      <x:c r="J183" s="7" t="str"/>
      <x:c r="K183" s="7" t="str">
        <x:v>OPEN</x:v>
      </x:c>
    </x:row>
    <x:row r="184" ht="34" customHeight="1">
      <x:c r="B184" s="7" t="str">
        <x:v>RAE-S-178</x:v>
      </x:c>
      <x:c r="C184" s="7" t="str">
        <x:v>RAE-E-26</x:v>
      </x:c>
      <x:c r="D184" s="7" t="str">
        <x:v>RFP-B2</x:v>
      </x:c>
      <x:c r="E184" s="7" t="str">
        <x:v>AM-05</x:v>
      </x:c>
      <x:c r="F184" s="7" t="str">
        <x:v>TR-A</x:v>
      </x:c>
      <x:c r="G184" s="7" t="str">
        <x:v>QE-02</x:v>
      </x:c>
      <x:c r="H184" s="7" t="str">
        <x:v>downwind boundary</x:v>
      </x:c>
      <x:c r="I184" s="10" t="str"/>
      <x:c r="J184" s="7" t="str"/>
      <x:c r="K184" s="7" t="str">
        <x:v>OPEN</x:v>
      </x:c>
    </x:row>
    <x:row r="185" ht="34" customHeight="1">
      <x:c r="B185" s="7" t="str">
        <x:v>RAE-S-179</x:v>
      </x:c>
      <x:c r="C185" s="7" t="str">
        <x:v>RAE-E-26</x:v>
      </x:c>
      <x:c r="D185" s="7" t="str">
        <x:v>RFP-B2</x:v>
      </x:c>
      <x:c r="E185" s="7" t="str">
        <x:v>AM-05</x:v>
      </x:c>
      <x:c r="F185" s="7" t="str">
        <x:v>TR-A</x:v>
      </x:c>
      <x:c r="G185" s="7" t="str">
        <x:v>QE-02</x:v>
      </x:c>
      <x:c r="H185" s="7" t="str">
        <x:v>water receiver</x:v>
      </x:c>
      <x:c r="I185" s="10" t="str"/>
      <x:c r="J185" s="7" t="str"/>
      <x:c r="K185" s="7" t="str">
        <x:v>OPEN</x:v>
      </x:c>
    </x:row>
    <x:row r="186" ht="34" customHeight="1">
      <x:c r="B186" s="7" t="str">
        <x:v>RAE-S-180</x:v>
      </x:c>
      <x:c r="C186" s="7" t="str">
        <x:v>RAE-E-26</x:v>
      </x:c>
      <x:c r="D186" s="7" t="str">
        <x:v>RFP-B2</x:v>
      </x:c>
      <x:c r="E186" s="7" t="str">
        <x:v>AM-05</x:v>
      </x:c>
      <x:c r="F186" s="7" t="str">
        <x:v>TR-A</x:v>
      </x:c>
      <x:c r="G186" s="7" t="str">
        <x:v>QE-02</x:v>
      </x:c>
      <x:c r="H186" s="7" t="str">
        <x:v>archive control</x:v>
      </x:c>
      <x:c r="I186" s="10" t="str"/>
      <x:c r="J186" s="7" t="str"/>
      <x:c r="K186" s="7" t="str">
        <x:v>OPEN</x:v>
      </x:c>
    </x:row>
    <x:row r="187" ht="34" customHeight="1">
      <x:c r="B187" s="7" t="str">
        <x:v>RAE-S-181</x:v>
      </x:c>
      <x:c r="C187" s="7" t="str">
        <x:v>RAE-E-26</x:v>
      </x:c>
      <x:c r="D187" s="7" t="str">
        <x:v>RFP-B2</x:v>
      </x:c>
      <x:c r="E187" s="7" t="str">
        <x:v>AM-05</x:v>
      </x:c>
      <x:c r="F187" s="7" t="str">
        <x:v>TR-A</x:v>
      </x:c>
      <x:c r="G187" s="7" t="str">
        <x:v>QE-02</x:v>
      </x:c>
      <x:c r="H187" s="7" t="str">
        <x:v>source pre-event</x:v>
      </x:c>
      <x:c r="I187" s="10" t="str"/>
      <x:c r="J187" s="7" t="str"/>
      <x:c r="K187" s="7" t="str">
        <x:v>OPEN</x:v>
      </x:c>
    </x:row>
    <x:row r="188" ht="34" customHeight="1">
      <x:c r="B188" s="7" t="str">
        <x:v>RAE-S-182</x:v>
      </x:c>
      <x:c r="C188" s="7" t="str">
        <x:v>RAE-E-26</x:v>
      </x:c>
      <x:c r="D188" s="7" t="str">
        <x:v>RFP-B2</x:v>
      </x:c>
      <x:c r="E188" s="7" t="str">
        <x:v>AM-05</x:v>
      </x:c>
      <x:c r="F188" s="7" t="str">
        <x:v>TR-A</x:v>
      </x:c>
      <x:c r="G188" s="7" t="str">
        <x:v>QE-02</x:v>
      </x:c>
      <x:c r="H188" s="7" t="str">
        <x:v>source post-event</x:v>
      </x:c>
      <x:c r="I188" s="10" t="str"/>
      <x:c r="J188" s="7" t="str"/>
      <x:c r="K188" s="7" t="str">
        <x:v>OPEN</x:v>
      </x:c>
    </x:row>
    <x:row r="189" ht="34" customHeight="1">
      <x:c r="B189" s="7" t="str">
        <x:v>RAE-S-183</x:v>
      </x:c>
      <x:c r="C189" s="7" t="str">
        <x:v>RAE-E-27</x:v>
      </x:c>
      <x:c r="D189" s="7" t="str">
        <x:v>RFP-B2</x:v>
      </x:c>
      <x:c r="E189" s="7" t="str">
        <x:v>AM-05</x:v>
      </x:c>
      <x:c r="F189" s="7" t="str">
        <x:v>TR-B</x:v>
      </x:c>
      <x:c r="G189" s="7" t="str">
        <x:v>QE-01</x:v>
      </x:c>
      <x:c r="H189" s="7" t="str">
        <x:v>pre-event background</x:v>
      </x:c>
      <x:c r="I189" s="10" t="str"/>
      <x:c r="J189" s="7" t="str"/>
      <x:c r="K189" s="7" t="str">
        <x:v>OPEN</x:v>
      </x:c>
    </x:row>
    <x:row r="190" ht="34" customHeight="1">
      <x:c r="B190" s="7" t="str">
        <x:v>RAE-S-184</x:v>
      </x:c>
      <x:c r="C190" s="7" t="str">
        <x:v>RAE-E-27</x:v>
      </x:c>
      <x:c r="D190" s="7" t="str">
        <x:v>RFP-B2</x:v>
      </x:c>
      <x:c r="E190" s="7" t="str">
        <x:v>AM-05</x:v>
      </x:c>
      <x:c r="F190" s="7" t="str">
        <x:v>TR-B</x:v>
      </x:c>
      <x:c r="G190" s="7" t="str">
        <x:v>QE-01</x:v>
      </x:c>
      <x:c r="H190" s="7" t="str">
        <x:v>post-event pan</x:v>
      </x:c>
      <x:c r="I190" s="10" t="str"/>
      <x:c r="J190" s="7" t="str"/>
      <x:c r="K190" s="7" t="str">
        <x:v>OPEN</x:v>
      </x:c>
    </x:row>
    <x:row r="191" ht="34" customHeight="1">
      <x:c r="B191" s="7" t="str">
        <x:v>RAE-S-185</x:v>
      </x:c>
      <x:c r="C191" s="7" t="str">
        <x:v>RAE-E-27</x:v>
      </x:c>
      <x:c r="D191" s="7" t="str">
        <x:v>RFP-B2</x:v>
      </x:c>
      <x:c r="E191" s="7" t="str">
        <x:v>AM-05</x:v>
      </x:c>
      <x:c r="F191" s="7" t="str">
        <x:v>TR-B</x:v>
      </x:c>
      <x:c r="G191" s="7" t="str">
        <x:v>QE-01</x:v>
      </x:c>
      <x:c r="H191" s="7" t="str">
        <x:v>post-event catchment</x:v>
      </x:c>
      <x:c r="I191" s="10" t="str"/>
      <x:c r="J191" s="7" t="str"/>
      <x:c r="K191" s="7" t="str">
        <x:v>OPEN</x:v>
      </x:c>
    </x:row>
    <x:row r="192" ht="34" customHeight="1">
      <x:c r="B192" s="7" t="str">
        <x:v>RAE-S-186</x:v>
      </x:c>
      <x:c r="C192" s="7" t="str">
        <x:v>RAE-E-27</x:v>
      </x:c>
      <x:c r="D192" s="7" t="str">
        <x:v>RFP-B2</x:v>
      </x:c>
      <x:c r="E192" s="7" t="str">
        <x:v>AM-05</x:v>
      </x:c>
      <x:c r="F192" s="7" t="str">
        <x:v>TR-B</x:v>
      </x:c>
      <x:c r="G192" s="7" t="str">
        <x:v>QE-01</x:v>
      </x:c>
      <x:c r="H192" s="7" t="str">
        <x:v>downwind boundary</x:v>
      </x:c>
      <x:c r="I192" s="10" t="str"/>
      <x:c r="J192" s="7" t="str"/>
      <x:c r="K192" s="7" t="str">
        <x:v>OPEN</x:v>
      </x:c>
    </x:row>
    <x:row r="193" ht="34" customHeight="1">
      <x:c r="B193" s="7" t="str">
        <x:v>RAE-S-187</x:v>
      </x:c>
      <x:c r="C193" s="7" t="str">
        <x:v>RAE-E-27</x:v>
      </x:c>
      <x:c r="D193" s="7" t="str">
        <x:v>RFP-B2</x:v>
      </x:c>
      <x:c r="E193" s="7" t="str">
        <x:v>AM-05</x:v>
      </x:c>
      <x:c r="F193" s="7" t="str">
        <x:v>TR-B</x:v>
      </x:c>
      <x:c r="G193" s="7" t="str">
        <x:v>QE-01</x:v>
      </x:c>
      <x:c r="H193" s="7" t="str">
        <x:v>water receiver</x:v>
      </x:c>
      <x:c r="I193" s="10" t="str"/>
      <x:c r="J193" s="7" t="str"/>
      <x:c r="K193" s="7" t="str">
        <x:v>OPEN</x:v>
      </x:c>
    </x:row>
    <x:row r="194" ht="34" customHeight="1">
      <x:c r="B194" s="7" t="str">
        <x:v>RAE-S-188</x:v>
      </x:c>
      <x:c r="C194" s="7" t="str">
        <x:v>RAE-E-27</x:v>
      </x:c>
      <x:c r="D194" s="7" t="str">
        <x:v>RFP-B2</x:v>
      </x:c>
      <x:c r="E194" s="7" t="str">
        <x:v>AM-05</x:v>
      </x:c>
      <x:c r="F194" s="7" t="str">
        <x:v>TR-B</x:v>
      </x:c>
      <x:c r="G194" s="7" t="str">
        <x:v>QE-01</x:v>
      </x:c>
      <x:c r="H194" s="7" t="str">
        <x:v>archive control</x:v>
      </x:c>
      <x:c r="I194" s="10" t="str"/>
      <x:c r="J194" s="7" t="str"/>
      <x:c r="K194" s="7" t="str">
        <x:v>OPEN</x:v>
      </x:c>
    </x:row>
    <x:row r="195" ht="34" customHeight="1">
      <x:c r="B195" s="7" t="str">
        <x:v>RAE-S-189</x:v>
      </x:c>
      <x:c r="C195" s="7" t="str">
        <x:v>RAE-E-28</x:v>
      </x:c>
      <x:c r="D195" s="7" t="str">
        <x:v>RFP-B2</x:v>
      </x:c>
      <x:c r="E195" s="7" t="str">
        <x:v>AM-05</x:v>
      </x:c>
      <x:c r="F195" s="7" t="str">
        <x:v>TR-B</x:v>
      </x:c>
      <x:c r="G195" s="7" t="str">
        <x:v>QE-02</x:v>
      </x:c>
      <x:c r="H195" s="7" t="str">
        <x:v>pre-event background</x:v>
      </x:c>
      <x:c r="I195" s="10" t="str"/>
      <x:c r="J195" s="7" t="str"/>
      <x:c r="K195" s="7" t="str">
        <x:v>OPEN</x:v>
      </x:c>
    </x:row>
    <x:row r="196" ht="34" customHeight="1">
      <x:c r="B196" s="7" t="str">
        <x:v>RAE-S-190</x:v>
      </x:c>
      <x:c r="C196" s="7" t="str">
        <x:v>RAE-E-28</x:v>
      </x:c>
      <x:c r="D196" s="7" t="str">
        <x:v>RFP-B2</x:v>
      </x:c>
      <x:c r="E196" s="7" t="str">
        <x:v>AM-05</x:v>
      </x:c>
      <x:c r="F196" s="7" t="str">
        <x:v>TR-B</x:v>
      </x:c>
      <x:c r="G196" s="7" t="str">
        <x:v>QE-02</x:v>
      </x:c>
      <x:c r="H196" s="7" t="str">
        <x:v>post-event pan</x:v>
      </x:c>
      <x:c r="I196" s="10" t="str"/>
      <x:c r="J196" s="7" t="str"/>
      <x:c r="K196" s="7" t="str">
        <x:v>OPEN</x:v>
      </x:c>
    </x:row>
    <x:row r="197" ht="34" customHeight="1">
      <x:c r="B197" s="7" t="str">
        <x:v>RAE-S-191</x:v>
      </x:c>
      <x:c r="C197" s="7" t="str">
        <x:v>RAE-E-28</x:v>
      </x:c>
      <x:c r="D197" s="7" t="str">
        <x:v>RFP-B2</x:v>
      </x:c>
      <x:c r="E197" s="7" t="str">
        <x:v>AM-05</x:v>
      </x:c>
      <x:c r="F197" s="7" t="str">
        <x:v>TR-B</x:v>
      </x:c>
      <x:c r="G197" s="7" t="str">
        <x:v>QE-02</x:v>
      </x:c>
      <x:c r="H197" s="7" t="str">
        <x:v>post-event catchment</x:v>
      </x:c>
      <x:c r="I197" s="10" t="str"/>
      <x:c r="J197" s="7" t="str"/>
      <x:c r="K197" s="7" t="str">
        <x:v>OPEN</x:v>
      </x:c>
    </x:row>
    <x:row r="198" ht="34" customHeight="1">
      <x:c r="B198" s="7" t="str">
        <x:v>RAE-S-192</x:v>
      </x:c>
      <x:c r="C198" s="7" t="str">
        <x:v>RAE-E-28</x:v>
      </x:c>
      <x:c r="D198" s="7" t="str">
        <x:v>RFP-B2</x:v>
      </x:c>
      <x:c r="E198" s="7" t="str">
        <x:v>AM-05</x:v>
      </x:c>
      <x:c r="F198" s="7" t="str">
        <x:v>TR-B</x:v>
      </x:c>
      <x:c r="G198" s="7" t="str">
        <x:v>QE-02</x:v>
      </x:c>
      <x:c r="H198" s="7" t="str">
        <x:v>downwind boundary</x:v>
      </x:c>
      <x:c r="I198" s="10" t="str"/>
      <x:c r="J198" s="7" t="str"/>
      <x:c r="K198" s="7" t="str">
        <x:v>OPEN</x:v>
      </x:c>
    </x:row>
    <x:row r="199" ht="34" customHeight="1">
      <x:c r="B199" s="7" t="str">
        <x:v>RAE-S-193</x:v>
      </x:c>
      <x:c r="C199" s="7" t="str">
        <x:v>RAE-E-28</x:v>
      </x:c>
      <x:c r="D199" s="7" t="str">
        <x:v>RFP-B2</x:v>
      </x:c>
      <x:c r="E199" s="7" t="str">
        <x:v>AM-05</x:v>
      </x:c>
      <x:c r="F199" s="7" t="str">
        <x:v>TR-B</x:v>
      </x:c>
      <x:c r="G199" s="7" t="str">
        <x:v>QE-02</x:v>
      </x:c>
      <x:c r="H199" s="7" t="str">
        <x:v>water receiver</x:v>
      </x:c>
      <x:c r="I199" s="10" t="str"/>
      <x:c r="J199" s="7" t="str"/>
      <x:c r="K199" s="7" t="str">
        <x:v>OPEN</x:v>
      </x:c>
    </x:row>
    <x:row r="200" ht="34" customHeight="1">
      <x:c r="B200" s="7" t="str">
        <x:v>RAE-S-194</x:v>
      </x:c>
      <x:c r="C200" s="7" t="str">
        <x:v>RAE-E-28</x:v>
      </x:c>
      <x:c r="D200" s="7" t="str">
        <x:v>RFP-B2</x:v>
      </x:c>
      <x:c r="E200" s="7" t="str">
        <x:v>AM-05</x:v>
      </x:c>
      <x:c r="F200" s="7" t="str">
        <x:v>TR-B</x:v>
      </x:c>
      <x:c r="G200" s="7" t="str">
        <x:v>QE-02</x:v>
      </x:c>
      <x:c r="H200" s="7" t="str">
        <x:v>archive control</x:v>
      </x:c>
      <x:c r="I200" s="10" t="str"/>
      <x:c r="J200" s="7" t="str"/>
      <x:c r="K200" s="7" t="str">
        <x:v>OPEN</x:v>
      </x:c>
    </x:row>
    <x:row r="201" ht="34" customHeight="1">
      <x:c r="B201" s="7" t="str">
        <x:v>RAE-S-195</x:v>
      </x:c>
      <x:c r="C201" s="7" t="str">
        <x:v>RAE-E-28</x:v>
      </x:c>
      <x:c r="D201" s="7" t="str">
        <x:v>RFP-B2</x:v>
      </x:c>
      <x:c r="E201" s="7" t="str">
        <x:v>AM-05</x:v>
      </x:c>
      <x:c r="F201" s="7" t="str">
        <x:v>TR-B</x:v>
      </x:c>
      <x:c r="G201" s="7" t="str">
        <x:v>QE-02</x:v>
      </x:c>
      <x:c r="H201" s="7" t="str">
        <x:v>source pre-event</x:v>
      </x:c>
      <x:c r="I201" s="10" t="str"/>
      <x:c r="J201" s="7" t="str"/>
      <x:c r="K201" s="7" t="str">
        <x:v>OPEN</x:v>
      </x:c>
    </x:row>
    <x:row r="202" ht="34" customHeight="1">
      <x:c r="B202" s="7" t="str">
        <x:v>RAE-S-196</x:v>
      </x:c>
      <x:c r="C202" s="7" t="str">
        <x:v>RAE-E-28</x:v>
      </x:c>
      <x:c r="D202" s="7" t="str">
        <x:v>RFP-B2</x:v>
      </x:c>
      <x:c r="E202" s="7" t="str">
        <x:v>AM-05</x:v>
      </x:c>
      <x:c r="F202" s="7" t="str">
        <x:v>TR-B</x:v>
      </x:c>
      <x:c r="G202" s="7" t="str">
        <x:v>QE-02</x:v>
      </x:c>
      <x:c r="H202" s="7" t="str">
        <x:v>source post-event</x:v>
      </x:c>
      <x:c r="I202" s="10" t="str"/>
      <x:c r="J202" s="7" t="str"/>
      <x:c r="K202" s="7" t="str">
        <x:v>OPEN</x:v>
      </x:c>
    </x:row>
    <x:row r="203" ht="34" customHeight="1">
      <x:c r="B203" s="7" t="str">
        <x:v>RAE-S-197</x:v>
      </x:c>
      <x:c r="C203" s="7" t="str">
        <x:v>RAE-E-29</x:v>
      </x:c>
      <x:c r="D203" s="7" t="str">
        <x:v>RFP-B2</x:v>
      </x:c>
      <x:c r="E203" s="7" t="str">
        <x:v>AM-06</x:v>
      </x:c>
      <x:c r="F203" s="7" t="str">
        <x:v>TR-A</x:v>
      </x:c>
      <x:c r="G203" s="7" t="str">
        <x:v>QE-01</x:v>
      </x:c>
      <x:c r="H203" s="7" t="str">
        <x:v>pre-event background</x:v>
      </x:c>
      <x:c r="I203" s="10" t="str"/>
      <x:c r="J203" s="7" t="str"/>
      <x:c r="K203" s="7" t="str">
        <x:v>OPEN</x:v>
      </x:c>
    </x:row>
    <x:row r="204" ht="34" customHeight="1">
      <x:c r="B204" s="7" t="str">
        <x:v>RAE-S-198</x:v>
      </x:c>
      <x:c r="C204" s="7" t="str">
        <x:v>RAE-E-29</x:v>
      </x:c>
      <x:c r="D204" s="7" t="str">
        <x:v>RFP-B2</x:v>
      </x:c>
      <x:c r="E204" s="7" t="str">
        <x:v>AM-06</x:v>
      </x:c>
      <x:c r="F204" s="7" t="str">
        <x:v>TR-A</x:v>
      </x:c>
      <x:c r="G204" s="7" t="str">
        <x:v>QE-01</x:v>
      </x:c>
      <x:c r="H204" s="7" t="str">
        <x:v>post-event pan</x:v>
      </x:c>
      <x:c r="I204" s="10" t="str"/>
      <x:c r="J204" s="7" t="str"/>
      <x:c r="K204" s="7" t="str">
        <x:v>OPEN</x:v>
      </x:c>
    </x:row>
    <x:row r="205" ht="34" customHeight="1">
      <x:c r="B205" s="7" t="str">
        <x:v>RAE-S-199</x:v>
      </x:c>
      <x:c r="C205" s="7" t="str">
        <x:v>RAE-E-29</x:v>
      </x:c>
      <x:c r="D205" s="7" t="str">
        <x:v>RFP-B2</x:v>
      </x:c>
      <x:c r="E205" s="7" t="str">
        <x:v>AM-06</x:v>
      </x:c>
      <x:c r="F205" s="7" t="str">
        <x:v>TR-A</x:v>
      </x:c>
      <x:c r="G205" s="7" t="str">
        <x:v>QE-01</x:v>
      </x:c>
      <x:c r="H205" s="7" t="str">
        <x:v>post-event catchment</x:v>
      </x:c>
      <x:c r="I205" s="10" t="str"/>
      <x:c r="J205" s="7" t="str"/>
      <x:c r="K205" s="7" t="str">
        <x:v>OPEN</x:v>
      </x:c>
    </x:row>
    <x:row r="206" ht="34" customHeight="1">
      <x:c r="B206" s="7" t="str">
        <x:v>RAE-S-200</x:v>
      </x:c>
      <x:c r="C206" s="7" t="str">
        <x:v>RAE-E-29</x:v>
      </x:c>
      <x:c r="D206" s="7" t="str">
        <x:v>RFP-B2</x:v>
      </x:c>
      <x:c r="E206" s="7" t="str">
        <x:v>AM-06</x:v>
      </x:c>
      <x:c r="F206" s="7" t="str">
        <x:v>TR-A</x:v>
      </x:c>
      <x:c r="G206" s="7" t="str">
        <x:v>QE-01</x:v>
      </x:c>
      <x:c r="H206" s="7" t="str">
        <x:v>downwind boundary</x:v>
      </x:c>
      <x:c r="I206" s="10" t="str"/>
      <x:c r="J206" s="7" t="str"/>
      <x:c r="K206" s="7" t="str">
        <x:v>OPEN</x:v>
      </x:c>
    </x:row>
    <x:row r="207" ht="34" customHeight="1">
      <x:c r="B207" s="7" t="str">
        <x:v>RAE-S-201</x:v>
      </x:c>
      <x:c r="C207" s="7" t="str">
        <x:v>RAE-E-29</x:v>
      </x:c>
      <x:c r="D207" s="7" t="str">
        <x:v>RFP-B2</x:v>
      </x:c>
      <x:c r="E207" s="7" t="str">
        <x:v>AM-06</x:v>
      </x:c>
      <x:c r="F207" s="7" t="str">
        <x:v>TR-A</x:v>
      </x:c>
      <x:c r="G207" s="7" t="str">
        <x:v>QE-01</x:v>
      </x:c>
      <x:c r="H207" s="7" t="str">
        <x:v>water receiver</x:v>
      </x:c>
      <x:c r="I207" s="10" t="str"/>
      <x:c r="J207" s="7" t="str"/>
      <x:c r="K207" s="7" t="str">
        <x:v>OPEN</x:v>
      </x:c>
    </x:row>
    <x:row r="208" ht="34" customHeight="1">
      <x:c r="B208" s="7" t="str">
        <x:v>RAE-S-202</x:v>
      </x:c>
      <x:c r="C208" s="7" t="str">
        <x:v>RAE-E-29</x:v>
      </x:c>
      <x:c r="D208" s="7" t="str">
        <x:v>RFP-B2</x:v>
      </x:c>
      <x:c r="E208" s="7" t="str">
        <x:v>AM-06</x:v>
      </x:c>
      <x:c r="F208" s="7" t="str">
        <x:v>TR-A</x:v>
      </x:c>
      <x:c r="G208" s="7" t="str">
        <x:v>QE-01</x:v>
      </x:c>
      <x:c r="H208" s="7" t="str">
        <x:v>archive control</x:v>
      </x:c>
      <x:c r="I208" s="10" t="str"/>
      <x:c r="J208" s="7" t="str"/>
      <x:c r="K208" s="7" t="str">
        <x:v>OPEN</x:v>
      </x:c>
    </x:row>
    <x:row r="209" ht="34" customHeight="1">
      <x:c r="B209" s="7" t="str">
        <x:v>RAE-S-203</x:v>
      </x:c>
      <x:c r="C209" s="7" t="str">
        <x:v>RAE-E-30</x:v>
      </x:c>
      <x:c r="D209" s="7" t="str">
        <x:v>RFP-B2</x:v>
      </x:c>
      <x:c r="E209" s="7" t="str">
        <x:v>AM-06</x:v>
      </x:c>
      <x:c r="F209" s="7" t="str">
        <x:v>TR-A</x:v>
      </x:c>
      <x:c r="G209" s="7" t="str">
        <x:v>QE-02</x:v>
      </x:c>
      <x:c r="H209" s="7" t="str">
        <x:v>pre-event background</x:v>
      </x:c>
      <x:c r="I209" s="10" t="str"/>
      <x:c r="J209" s="7" t="str"/>
      <x:c r="K209" s="7" t="str">
        <x:v>OPEN</x:v>
      </x:c>
    </x:row>
    <x:row r="210" ht="34" customHeight="1">
      <x:c r="B210" s="7" t="str">
        <x:v>RAE-S-204</x:v>
      </x:c>
      <x:c r="C210" s="7" t="str">
        <x:v>RAE-E-30</x:v>
      </x:c>
      <x:c r="D210" s="7" t="str">
        <x:v>RFP-B2</x:v>
      </x:c>
      <x:c r="E210" s="7" t="str">
        <x:v>AM-06</x:v>
      </x:c>
      <x:c r="F210" s="7" t="str">
        <x:v>TR-A</x:v>
      </x:c>
      <x:c r="G210" s="7" t="str">
        <x:v>QE-02</x:v>
      </x:c>
      <x:c r="H210" s="7" t="str">
        <x:v>post-event pan</x:v>
      </x:c>
      <x:c r="I210" s="10" t="str"/>
      <x:c r="J210" s="7" t="str"/>
      <x:c r="K210" s="7" t="str">
        <x:v>OPEN</x:v>
      </x:c>
    </x:row>
    <x:row r="211" ht="34" customHeight="1">
      <x:c r="B211" s="7" t="str">
        <x:v>RAE-S-205</x:v>
      </x:c>
      <x:c r="C211" s="7" t="str">
        <x:v>RAE-E-30</x:v>
      </x:c>
      <x:c r="D211" s="7" t="str">
        <x:v>RFP-B2</x:v>
      </x:c>
      <x:c r="E211" s="7" t="str">
        <x:v>AM-06</x:v>
      </x:c>
      <x:c r="F211" s="7" t="str">
        <x:v>TR-A</x:v>
      </x:c>
      <x:c r="G211" s="7" t="str">
        <x:v>QE-02</x:v>
      </x:c>
      <x:c r="H211" s="7" t="str">
        <x:v>post-event catchment</x:v>
      </x:c>
      <x:c r="I211" s="10" t="str"/>
      <x:c r="J211" s="7" t="str"/>
      <x:c r="K211" s="7" t="str">
        <x:v>OPEN</x:v>
      </x:c>
    </x:row>
    <x:row r="212" ht="34" customHeight="1">
      <x:c r="B212" s="7" t="str">
        <x:v>RAE-S-206</x:v>
      </x:c>
      <x:c r="C212" s="7" t="str">
        <x:v>RAE-E-30</x:v>
      </x:c>
      <x:c r="D212" s="7" t="str">
        <x:v>RFP-B2</x:v>
      </x:c>
      <x:c r="E212" s="7" t="str">
        <x:v>AM-06</x:v>
      </x:c>
      <x:c r="F212" s="7" t="str">
        <x:v>TR-A</x:v>
      </x:c>
      <x:c r="G212" s="7" t="str">
        <x:v>QE-02</x:v>
      </x:c>
      <x:c r="H212" s="7" t="str">
        <x:v>downwind boundary</x:v>
      </x:c>
      <x:c r="I212" s="10" t="str"/>
      <x:c r="J212" s="7" t="str"/>
      <x:c r="K212" s="7" t="str">
        <x:v>OPEN</x:v>
      </x:c>
    </x:row>
    <x:row r="213" ht="34" customHeight="1">
      <x:c r="B213" s="7" t="str">
        <x:v>RAE-S-207</x:v>
      </x:c>
      <x:c r="C213" s="7" t="str">
        <x:v>RAE-E-30</x:v>
      </x:c>
      <x:c r="D213" s="7" t="str">
        <x:v>RFP-B2</x:v>
      </x:c>
      <x:c r="E213" s="7" t="str">
        <x:v>AM-06</x:v>
      </x:c>
      <x:c r="F213" s="7" t="str">
        <x:v>TR-A</x:v>
      </x:c>
      <x:c r="G213" s="7" t="str">
        <x:v>QE-02</x:v>
      </x:c>
      <x:c r="H213" s="7" t="str">
        <x:v>water receiver</x:v>
      </x:c>
      <x:c r="I213" s="10" t="str"/>
      <x:c r="J213" s="7" t="str"/>
      <x:c r="K213" s="7" t="str">
        <x:v>OPEN</x:v>
      </x:c>
    </x:row>
    <x:row r="214" ht="34" customHeight="1">
      <x:c r="B214" s="7" t="str">
        <x:v>RAE-S-208</x:v>
      </x:c>
      <x:c r="C214" s="7" t="str">
        <x:v>RAE-E-30</x:v>
      </x:c>
      <x:c r="D214" s="7" t="str">
        <x:v>RFP-B2</x:v>
      </x:c>
      <x:c r="E214" s="7" t="str">
        <x:v>AM-06</x:v>
      </x:c>
      <x:c r="F214" s="7" t="str">
        <x:v>TR-A</x:v>
      </x:c>
      <x:c r="G214" s="7" t="str">
        <x:v>QE-02</x:v>
      </x:c>
      <x:c r="H214" s="7" t="str">
        <x:v>archive control</x:v>
      </x:c>
      <x:c r="I214" s="10" t="str"/>
      <x:c r="J214" s="7" t="str"/>
      <x:c r="K214" s="7" t="str">
        <x:v>OPEN</x:v>
      </x:c>
    </x:row>
    <x:row r="215" ht="34" customHeight="1">
      <x:c r="B215" s="7" t="str">
        <x:v>RAE-S-209</x:v>
      </x:c>
      <x:c r="C215" s="7" t="str">
        <x:v>RAE-E-30</x:v>
      </x:c>
      <x:c r="D215" s="7" t="str">
        <x:v>RFP-B2</x:v>
      </x:c>
      <x:c r="E215" s="7" t="str">
        <x:v>AM-06</x:v>
      </x:c>
      <x:c r="F215" s="7" t="str">
        <x:v>TR-A</x:v>
      </x:c>
      <x:c r="G215" s="7" t="str">
        <x:v>QE-02</x:v>
      </x:c>
      <x:c r="H215" s="7" t="str">
        <x:v>source pre-event</x:v>
      </x:c>
      <x:c r="I215" s="10" t="str"/>
      <x:c r="J215" s="7" t="str"/>
      <x:c r="K215" s="7" t="str">
        <x:v>OPEN</x:v>
      </x:c>
    </x:row>
    <x:row r="216" ht="34" customHeight="1">
      <x:c r="B216" s="7" t="str">
        <x:v>RAE-S-210</x:v>
      </x:c>
      <x:c r="C216" s="7" t="str">
        <x:v>RAE-E-30</x:v>
      </x:c>
      <x:c r="D216" s="7" t="str">
        <x:v>RFP-B2</x:v>
      </x:c>
      <x:c r="E216" s="7" t="str">
        <x:v>AM-06</x:v>
      </x:c>
      <x:c r="F216" s="7" t="str">
        <x:v>TR-A</x:v>
      </x:c>
      <x:c r="G216" s="7" t="str">
        <x:v>QE-02</x:v>
      </x:c>
      <x:c r="H216" s="7" t="str">
        <x:v>source post-event</x:v>
      </x:c>
      <x:c r="I216" s="10" t="str"/>
      <x:c r="J216" s="7" t="str"/>
      <x:c r="K216" s="7" t="str">
        <x:v>OPEN</x:v>
      </x:c>
    </x:row>
    <x:row r="217" ht="34" customHeight="1">
      <x:c r="B217" s="7" t="str">
        <x:v>RAE-S-211</x:v>
      </x:c>
      <x:c r="C217" s="7" t="str">
        <x:v>RAE-E-31</x:v>
      </x:c>
      <x:c r="D217" s="7" t="str">
        <x:v>RFP-B2</x:v>
      </x:c>
      <x:c r="E217" s="7" t="str">
        <x:v>AM-06</x:v>
      </x:c>
      <x:c r="F217" s="7" t="str">
        <x:v>TR-B</x:v>
      </x:c>
      <x:c r="G217" s="7" t="str">
        <x:v>QE-01</x:v>
      </x:c>
      <x:c r="H217" s="7" t="str">
        <x:v>pre-event background</x:v>
      </x:c>
      <x:c r="I217" s="10" t="str"/>
      <x:c r="J217" s="7" t="str"/>
      <x:c r="K217" s="7" t="str">
        <x:v>OPEN</x:v>
      </x:c>
    </x:row>
    <x:row r="218" ht="34" customHeight="1">
      <x:c r="B218" s="7" t="str">
        <x:v>RAE-S-212</x:v>
      </x:c>
      <x:c r="C218" s="7" t="str">
        <x:v>RAE-E-31</x:v>
      </x:c>
      <x:c r="D218" s="7" t="str">
        <x:v>RFP-B2</x:v>
      </x:c>
      <x:c r="E218" s="7" t="str">
        <x:v>AM-06</x:v>
      </x:c>
      <x:c r="F218" s="7" t="str">
        <x:v>TR-B</x:v>
      </x:c>
      <x:c r="G218" s="7" t="str">
        <x:v>QE-01</x:v>
      </x:c>
      <x:c r="H218" s="7" t="str">
        <x:v>post-event pan</x:v>
      </x:c>
      <x:c r="I218" s="10" t="str"/>
      <x:c r="J218" s="7" t="str"/>
      <x:c r="K218" s="7" t="str">
        <x:v>OPEN</x:v>
      </x:c>
    </x:row>
    <x:row r="219" ht="34" customHeight="1">
      <x:c r="B219" s="7" t="str">
        <x:v>RAE-S-213</x:v>
      </x:c>
      <x:c r="C219" s="7" t="str">
        <x:v>RAE-E-31</x:v>
      </x:c>
      <x:c r="D219" s="7" t="str">
        <x:v>RFP-B2</x:v>
      </x:c>
      <x:c r="E219" s="7" t="str">
        <x:v>AM-06</x:v>
      </x:c>
      <x:c r="F219" s="7" t="str">
        <x:v>TR-B</x:v>
      </x:c>
      <x:c r="G219" s="7" t="str">
        <x:v>QE-01</x:v>
      </x:c>
      <x:c r="H219" s="7" t="str">
        <x:v>post-event catchment</x:v>
      </x:c>
      <x:c r="I219" s="10" t="str"/>
      <x:c r="J219" s="7" t="str"/>
      <x:c r="K219" s="7" t="str">
        <x:v>OPEN</x:v>
      </x:c>
    </x:row>
    <x:row r="220" ht="34" customHeight="1">
      <x:c r="B220" s="7" t="str">
        <x:v>RAE-S-214</x:v>
      </x:c>
      <x:c r="C220" s="7" t="str">
        <x:v>RAE-E-31</x:v>
      </x:c>
      <x:c r="D220" s="7" t="str">
        <x:v>RFP-B2</x:v>
      </x:c>
      <x:c r="E220" s="7" t="str">
        <x:v>AM-06</x:v>
      </x:c>
      <x:c r="F220" s="7" t="str">
        <x:v>TR-B</x:v>
      </x:c>
      <x:c r="G220" s="7" t="str">
        <x:v>QE-01</x:v>
      </x:c>
      <x:c r="H220" s="7" t="str">
        <x:v>downwind boundary</x:v>
      </x:c>
      <x:c r="I220" s="10" t="str"/>
      <x:c r="J220" s="7" t="str"/>
      <x:c r="K220" s="7" t="str">
        <x:v>OPEN</x:v>
      </x:c>
    </x:row>
    <x:row r="221" ht="34" customHeight="1">
      <x:c r="B221" s="7" t="str">
        <x:v>RAE-S-215</x:v>
      </x:c>
      <x:c r="C221" s="7" t="str">
        <x:v>RAE-E-31</x:v>
      </x:c>
      <x:c r="D221" s="7" t="str">
        <x:v>RFP-B2</x:v>
      </x:c>
      <x:c r="E221" s="7" t="str">
        <x:v>AM-06</x:v>
      </x:c>
      <x:c r="F221" s="7" t="str">
        <x:v>TR-B</x:v>
      </x:c>
      <x:c r="G221" s="7" t="str">
        <x:v>QE-01</x:v>
      </x:c>
      <x:c r="H221" s="7" t="str">
        <x:v>water receiver</x:v>
      </x:c>
      <x:c r="I221" s="10" t="str"/>
      <x:c r="J221" s="7" t="str"/>
      <x:c r="K221" s="7" t="str">
        <x:v>OPEN</x:v>
      </x:c>
    </x:row>
    <x:row r="222" ht="34" customHeight="1">
      <x:c r="B222" s="7" t="str">
        <x:v>RAE-S-216</x:v>
      </x:c>
      <x:c r="C222" s="7" t="str">
        <x:v>RAE-E-31</x:v>
      </x:c>
      <x:c r="D222" s="7" t="str">
        <x:v>RFP-B2</x:v>
      </x:c>
      <x:c r="E222" s="7" t="str">
        <x:v>AM-06</x:v>
      </x:c>
      <x:c r="F222" s="7" t="str">
        <x:v>TR-B</x:v>
      </x:c>
      <x:c r="G222" s="7" t="str">
        <x:v>QE-01</x:v>
      </x:c>
      <x:c r="H222" s="7" t="str">
        <x:v>archive control</x:v>
      </x:c>
      <x:c r="I222" s="10" t="str"/>
      <x:c r="J222" s="7" t="str"/>
      <x:c r="K222" s="7" t="str">
        <x:v>OPEN</x:v>
      </x:c>
    </x:row>
    <x:row r="223" ht="34" customHeight="1">
      <x:c r="B223" s="7" t="str">
        <x:v>RAE-S-217</x:v>
      </x:c>
      <x:c r="C223" s="7" t="str">
        <x:v>RAE-E-32</x:v>
      </x:c>
      <x:c r="D223" s="7" t="str">
        <x:v>RFP-B2</x:v>
      </x:c>
      <x:c r="E223" s="7" t="str">
        <x:v>AM-06</x:v>
      </x:c>
      <x:c r="F223" s="7" t="str">
        <x:v>TR-B</x:v>
      </x:c>
      <x:c r="G223" s="7" t="str">
        <x:v>QE-02</x:v>
      </x:c>
      <x:c r="H223" s="7" t="str">
        <x:v>pre-event background</x:v>
      </x:c>
      <x:c r="I223" s="10" t="str"/>
      <x:c r="J223" s="7" t="str"/>
      <x:c r="K223" s="7" t="str">
        <x:v>OPEN</x:v>
      </x:c>
    </x:row>
    <x:row r="224" ht="34" customHeight="1">
      <x:c r="B224" s="7" t="str">
        <x:v>RAE-S-218</x:v>
      </x:c>
      <x:c r="C224" s="7" t="str">
        <x:v>RAE-E-32</x:v>
      </x:c>
      <x:c r="D224" s="7" t="str">
        <x:v>RFP-B2</x:v>
      </x:c>
      <x:c r="E224" s="7" t="str">
        <x:v>AM-06</x:v>
      </x:c>
      <x:c r="F224" s="7" t="str">
        <x:v>TR-B</x:v>
      </x:c>
      <x:c r="G224" s="7" t="str">
        <x:v>QE-02</x:v>
      </x:c>
      <x:c r="H224" s="7" t="str">
        <x:v>post-event pan</x:v>
      </x:c>
      <x:c r="I224" s="10" t="str"/>
      <x:c r="J224" s="7" t="str"/>
      <x:c r="K224" s="7" t="str">
        <x:v>OPEN</x:v>
      </x:c>
    </x:row>
    <x:row r="225" ht="34" customHeight="1">
      <x:c r="B225" s="7" t="str">
        <x:v>RAE-S-219</x:v>
      </x:c>
      <x:c r="C225" s="7" t="str">
        <x:v>RAE-E-32</x:v>
      </x:c>
      <x:c r="D225" s="7" t="str">
        <x:v>RFP-B2</x:v>
      </x:c>
      <x:c r="E225" s="7" t="str">
        <x:v>AM-06</x:v>
      </x:c>
      <x:c r="F225" s="7" t="str">
        <x:v>TR-B</x:v>
      </x:c>
      <x:c r="G225" s="7" t="str">
        <x:v>QE-02</x:v>
      </x:c>
      <x:c r="H225" s="7" t="str">
        <x:v>post-event catchment</x:v>
      </x:c>
      <x:c r="I225" s="10" t="str"/>
      <x:c r="J225" s="7" t="str"/>
      <x:c r="K225" s="7" t="str">
        <x:v>OPEN</x:v>
      </x:c>
    </x:row>
    <x:row r="226" ht="34" customHeight="1">
      <x:c r="B226" s="7" t="str">
        <x:v>RAE-S-220</x:v>
      </x:c>
      <x:c r="C226" s="7" t="str">
        <x:v>RAE-E-32</x:v>
      </x:c>
      <x:c r="D226" s="7" t="str">
        <x:v>RFP-B2</x:v>
      </x:c>
      <x:c r="E226" s="7" t="str">
        <x:v>AM-06</x:v>
      </x:c>
      <x:c r="F226" s="7" t="str">
        <x:v>TR-B</x:v>
      </x:c>
      <x:c r="G226" s="7" t="str">
        <x:v>QE-02</x:v>
      </x:c>
      <x:c r="H226" s="7" t="str">
        <x:v>downwind boundary</x:v>
      </x:c>
      <x:c r="I226" s="10" t="str"/>
      <x:c r="J226" s="7" t="str"/>
      <x:c r="K226" s="7" t="str">
        <x:v>OPEN</x:v>
      </x:c>
    </x:row>
    <x:row r="227" ht="34" customHeight="1">
      <x:c r="B227" s="7" t="str">
        <x:v>RAE-S-221</x:v>
      </x:c>
      <x:c r="C227" s="7" t="str">
        <x:v>RAE-E-32</x:v>
      </x:c>
      <x:c r="D227" s="7" t="str">
        <x:v>RFP-B2</x:v>
      </x:c>
      <x:c r="E227" s="7" t="str">
        <x:v>AM-06</x:v>
      </x:c>
      <x:c r="F227" s="7" t="str">
        <x:v>TR-B</x:v>
      </x:c>
      <x:c r="G227" s="7" t="str">
        <x:v>QE-02</x:v>
      </x:c>
      <x:c r="H227" s="7" t="str">
        <x:v>water receiver</x:v>
      </x:c>
      <x:c r="I227" s="10" t="str"/>
      <x:c r="J227" s="7" t="str"/>
      <x:c r="K227" s="7" t="str">
        <x:v>OPEN</x:v>
      </x:c>
    </x:row>
    <x:row r="228" ht="34" customHeight="1">
      <x:c r="B228" s="7" t="str">
        <x:v>RAE-S-222</x:v>
      </x:c>
      <x:c r="C228" s="7" t="str">
        <x:v>RAE-E-32</x:v>
      </x:c>
      <x:c r="D228" s="7" t="str">
        <x:v>RFP-B2</x:v>
      </x:c>
      <x:c r="E228" s="7" t="str">
        <x:v>AM-06</x:v>
      </x:c>
      <x:c r="F228" s="7" t="str">
        <x:v>TR-B</x:v>
      </x:c>
      <x:c r="G228" s="7" t="str">
        <x:v>QE-02</x:v>
      </x:c>
      <x:c r="H228" s="7" t="str">
        <x:v>archive control</x:v>
      </x:c>
      <x:c r="I228" s="10" t="str"/>
      <x:c r="J228" s="7" t="str"/>
      <x:c r="K228" s="7" t="str">
        <x:v>OPEN</x:v>
      </x:c>
    </x:row>
    <x:row r="229" ht="34" customHeight="1">
      <x:c r="B229" s="7" t="str">
        <x:v>RAE-S-223</x:v>
      </x:c>
      <x:c r="C229" s="7" t="str">
        <x:v>RAE-E-32</x:v>
      </x:c>
      <x:c r="D229" s="7" t="str">
        <x:v>RFP-B2</x:v>
      </x:c>
      <x:c r="E229" s="7" t="str">
        <x:v>AM-06</x:v>
      </x:c>
      <x:c r="F229" s="7" t="str">
        <x:v>TR-B</x:v>
      </x:c>
      <x:c r="G229" s="7" t="str">
        <x:v>QE-02</x:v>
      </x:c>
      <x:c r="H229" s="7" t="str">
        <x:v>source pre-event</x:v>
      </x:c>
      <x:c r="I229" s="10" t="str"/>
      <x:c r="J229" s="7" t="str"/>
      <x:c r="K229" s="7" t="str">
        <x:v>OPEN</x:v>
      </x:c>
    </x:row>
    <x:row r="230" ht="34" customHeight="1">
      <x:c r="B230" s="7" t="str">
        <x:v>RAE-S-224</x:v>
      </x:c>
      <x:c r="C230" s="7" t="str">
        <x:v>RAE-E-32</x:v>
      </x:c>
      <x:c r="D230" s="7" t="str">
        <x:v>RFP-B2</x:v>
      </x:c>
      <x:c r="E230" s="7" t="str">
        <x:v>AM-06</x:v>
      </x:c>
      <x:c r="F230" s="7" t="str">
        <x:v>TR-B</x:v>
      </x:c>
      <x:c r="G230" s="7" t="str">
        <x:v>QE-02</x:v>
      </x:c>
      <x:c r="H230" s="7" t="str">
        <x:v>source post-event</x:v>
      </x:c>
      <x:c r="I230" s="10" t="str"/>
      <x:c r="J230" s="7" t="str"/>
      <x:c r="K230" s="7" t="str">
        <x:v>OPEN</x:v>
      </x:c>
    </x:row>
    <x:row r="231" ht="34" customHeight="1">
      <x:c r="B231" s="7" t="str">
        <x:v>RAE-S-225</x:v>
      </x:c>
      <x:c r="C231" s="7" t="str">
        <x:v>RAE-E-33</x:v>
      </x:c>
      <x:c r="D231" s="7" t="str">
        <x:v>RFP-C1</x:v>
      </x:c>
      <x:c r="E231" s="7" t="str">
        <x:v>AM-05</x:v>
      </x:c>
      <x:c r="F231" s="7" t="str">
        <x:v>TR-A</x:v>
      </x:c>
      <x:c r="G231" s="7" t="str">
        <x:v>QE-01</x:v>
      </x:c>
      <x:c r="H231" s="7" t="str">
        <x:v>pre-event background</x:v>
      </x:c>
      <x:c r="I231" s="10" t="str"/>
      <x:c r="J231" s="7" t="str"/>
      <x:c r="K231" s="7" t="str">
        <x:v>OPEN</x:v>
      </x:c>
    </x:row>
    <x:row r="232" ht="34" customHeight="1">
      <x:c r="B232" s="7" t="str">
        <x:v>RAE-S-226</x:v>
      </x:c>
      <x:c r="C232" s="7" t="str">
        <x:v>RAE-E-33</x:v>
      </x:c>
      <x:c r="D232" s="7" t="str">
        <x:v>RFP-C1</x:v>
      </x:c>
      <x:c r="E232" s="7" t="str">
        <x:v>AM-05</x:v>
      </x:c>
      <x:c r="F232" s="7" t="str">
        <x:v>TR-A</x:v>
      </x:c>
      <x:c r="G232" s="7" t="str">
        <x:v>QE-01</x:v>
      </x:c>
      <x:c r="H232" s="7" t="str">
        <x:v>post-event pan</x:v>
      </x:c>
      <x:c r="I232" s="10" t="str"/>
      <x:c r="J232" s="7" t="str"/>
      <x:c r="K232" s="7" t="str">
        <x:v>OPEN</x:v>
      </x:c>
    </x:row>
    <x:row r="233" ht="34" customHeight="1">
      <x:c r="B233" s="7" t="str">
        <x:v>RAE-S-227</x:v>
      </x:c>
      <x:c r="C233" s="7" t="str">
        <x:v>RAE-E-33</x:v>
      </x:c>
      <x:c r="D233" s="7" t="str">
        <x:v>RFP-C1</x:v>
      </x:c>
      <x:c r="E233" s="7" t="str">
        <x:v>AM-05</x:v>
      </x:c>
      <x:c r="F233" s="7" t="str">
        <x:v>TR-A</x:v>
      </x:c>
      <x:c r="G233" s="7" t="str">
        <x:v>QE-01</x:v>
      </x:c>
      <x:c r="H233" s="7" t="str">
        <x:v>post-event catchment</x:v>
      </x:c>
      <x:c r="I233" s="10" t="str"/>
      <x:c r="J233" s="7" t="str"/>
      <x:c r="K233" s="7" t="str">
        <x:v>OPEN</x:v>
      </x:c>
    </x:row>
    <x:row r="234" ht="34" customHeight="1">
      <x:c r="B234" s="7" t="str">
        <x:v>RAE-S-228</x:v>
      </x:c>
      <x:c r="C234" s="7" t="str">
        <x:v>RAE-E-33</x:v>
      </x:c>
      <x:c r="D234" s="7" t="str">
        <x:v>RFP-C1</x:v>
      </x:c>
      <x:c r="E234" s="7" t="str">
        <x:v>AM-05</x:v>
      </x:c>
      <x:c r="F234" s="7" t="str">
        <x:v>TR-A</x:v>
      </x:c>
      <x:c r="G234" s="7" t="str">
        <x:v>QE-01</x:v>
      </x:c>
      <x:c r="H234" s="7" t="str">
        <x:v>downwind boundary</x:v>
      </x:c>
      <x:c r="I234" s="10" t="str"/>
      <x:c r="J234" s="7" t="str"/>
      <x:c r="K234" s="7" t="str">
        <x:v>OPEN</x:v>
      </x:c>
    </x:row>
    <x:row r="235" ht="34" customHeight="1">
      <x:c r="B235" s="7" t="str">
        <x:v>RAE-S-229</x:v>
      </x:c>
      <x:c r="C235" s="7" t="str">
        <x:v>RAE-E-33</x:v>
      </x:c>
      <x:c r="D235" s="7" t="str">
        <x:v>RFP-C1</x:v>
      </x:c>
      <x:c r="E235" s="7" t="str">
        <x:v>AM-05</x:v>
      </x:c>
      <x:c r="F235" s="7" t="str">
        <x:v>TR-A</x:v>
      </x:c>
      <x:c r="G235" s="7" t="str">
        <x:v>QE-01</x:v>
      </x:c>
      <x:c r="H235" s="7" t="str">
        <x:v>water receiver</x:v>
      </x:c>
      <x:c r="I235" s="10" t="str"/>
      <x:c r="J235" s="7" t="str"/>
      <x:c r="K235" s="7" t="str">
        <x:v>OPEN</x:v>
      </x:c>
    </x:row>
    <x:row r="236" ht="34" customHeight="1">
      <x:c r="B236" s="7" t="str">
        <x:v>RAE-S-230</x:v>
      </x:c>
      <x:c r="C236" s="7" t="str">
        <x:v>RAE-E-33</x:v>
      </x:c>
      <x:c r="D236" s="7" t="str">
        <x:v>RFP-C1</x:v>
      </x:c>
      <x:c r="E236" s="7" t="str">
        <x:v>AM-05</x:v>
      </x:c>
      <x:c r="F236" s="7" t="str">
        <x:v>TR-A</x:v>
      </x:c>
      <x:c r="G236" s="7" t="str">
        <x:v>QE-01</x:v>
      </x:c>
      <x:c r="H236" s="7" t="str">
        <x:v>archive control</x:v>
      </x:c>
      <x:c r="I236" s="10" t="str"/>
      <x:c r="J236" s="7" t="str"/>
      <x:c r="K236" s="7" t="str">
        <x:v>OPEN</x:v>
      </x:c>
    </x:row>
    <x:row r="237" ht="34" customHeight="1">
      <x:c r="B237" s="7" t="str">
        <x:v>RAE-S-231</x:v>
      </x:c>
      <x:c r="C237" s="7" t="str">
        <x:v>RAE-E-34</x:v>
      </x:c>
      <x:c r="D237" s="7" t="str">
        <x:v>RFP-C1</x:v>
      </x:c>
      <x:c r="E237" s="7" t="str">
        <x:v>AM-05</x:v>
      </x:c>
      <x:c r="F237" s="7" t="str">
        <x:v>TR-A</x:v>
      </x:c>
      <x:c r="G237" s="7" t="str">
        <x:v>QE-02</x:v>
      </x:c>
      <x:c r="H237" s="7" t="str">
        <x:v>pre-event background</x:v>
      </x:c>
      <x:c r="I237" s="10" t="str"/>
      <x:c r="J237" s="7" t="str"/>
      <x:c r="K237" s="7" t="str">
        <x:v>OPEN</x:v>
      </x:c>
    </x:row>
    <x:row r="238" ht="34" customHeight="1">
      <x:c r="B238" s="7" t="str">
        <x:v>RAE-S-232</x:v>
      </x:c>
      <x:c r="C238" s="7" t="str">
        <x:v>RAE-E-34</x:v>
      </x:c>
      <x:c r="D238" s="7" t="str">
        <x:v>RFP-C1</x:v>
      </x:c>
      <x:c r="E238" s="7" t="str">
        <x:v>AM-05</x:v>
      </x:c>
      <x:c r="F238" s="7" t="str">
        <x:v>TR-A</x:v>
      </x:c>
      <x:c r="G238" s="7" t="str">
        <x:v>QE-02</x:v>
      </x:c>
      <x:c r="H238" s="7" t="str">
        <x:v>post-event pan</x:v>
      </x:c>
      <x:c r="I238" s="10" t="str"/>
      <x:c r="J238" s="7" t="str"/>
      <x:c r="K238" s="7" t="str">
        <x:v>OPEN</x:v>
      </x:c>
    </x:row>
    <x:row r="239" ht="34" customHeight="1">
      <x:c r="B239" s="7" t="str">
        <x:v>RAE-S-233</x:v>
      </x:c>
      <x:c r="C239" s="7" t="str">
        <x:v>RAE-E-34</x:v>
      </x:c>
      <x:c r="D239" s="7" t="str">
        <x:v>RFP-C1</x:v>
      </x:c>
      <x:c r="E239" s="7" t="str">
        <x:v>AM-05</x:v>
      </x:c>
      <x:c r="F239" s="7" t="str">
        <x:v>TR-A</x:v>
      </x:c>
      <x:c r="G239" s="7" t="str">
        <x:v>QE-02</x:v>
      </x:c>
      <x:c r="H239" s="7" t="str">
        <x:v>post-event catchment</x:v>
      </x:c>
      <x:c r="I239" s="10" t="str"/>
      <x:c r="J239" s="7" t="str"/>
      <x:c r="K239" s="7" t="str">
        <x:v>OPEN</x:v>
      </x:c>
    </x:row>
    <x:row r="240" ht="34" customHeight="1">
      <x:c r="B240" s="7" t="str">
        <x:v>RAE-S-234</x:v>
      </x:c>
      <x:c r="C240" s="7" t="str">
        <x:v>RAE-E-34</x:v>
      </x:c>
      <x:c r="D240" s="7" t="str">
        <x:v>RFP-C1</x:v>
      </x:c>
      <x:c r="E240" s="7" t="str">
        <x:v>AM-05</x:v>
      </x:c>
      <x:c r="F240" s="7" t="str">
        <x:v>TR-A</x:v>
      </x:c>
      <x:c r="G240" s="7" t="str">
        <x:v>QE-02</x:v>
      </x:c>
      <x:c r="H240" s="7" t="str">
        <x:v>downwind boundary</x:v>
      </x:c>
      <x:c r="I240" s="10" t="str"/>
      <x:c r="J240" s="7" t="str"/>
      <x:c r="K240" s="7" t="str">
        <x:v>OPEN</x:v>
      </x:c>
    </x:row>
    <x:row r="241" ht="34" customHeight="1">
      <x:c r="B241" s="7" t="str">
        <x:v>RAE-S-235</x:v>
      </x:c>
      <x:c r="C241" s="7" t="str">
        <x:v>RAE-E-34</x:v>
      </x:c>
      <x:c r="D241" s="7" t="str">
        <x:v>RFP-C1</x:v>
      </x:c>
      <x:c r="E241" s="7" t="str">
        <x:v>AM-05</x:v>
      </x:c>
      <x:c r="F241" s="7" t="str">
        <x:v>TR-A</x:v>
      </x:c>
      <x:c r="G241" s="7" t="str">
        <x:v>QE-02</x:v>
      </x:c>
      <x:c r="H241" s="7" t="str">
        <x:v>water receiver</x:v>
      </x:c>
      <x:c r="I241" s="10" t="str"/>
      <x:c r="J241" s="7" t="str"/>
      <x:c r="K241" s="7" t="str">
        <x:v>OPEN</x:v>
      </x:c>
    </x:row>
    <x:row r="242" ht="34" customHeight="1">
      <x:c r="B242" s="7" t="str">
        <x:v>RAE-S-236</x:v>
      </x:c>
      <x:c r="C242" s="7" t="str">
        <x:v>RAE-E-34</x:v>
      </x:c>
      <x:c r="D242" s="7" t="str">
        <x:v>RFP-C1</x:v>
      </x:c>
      <x:c r="E242" s="7" t="str">
        <x:v>AM-05</x:v>
      </x:c>
      <x:c r="F242" s="7" t="str">
        <x:v>TR-A</x:v>
      </x:c>
      <x:c r="G242" s="7" t="str">
        <x:v>QE-02</x:v>
      </x:c>
      <x:c r="H242" s="7" t="str">
        <x:v>archive control</x:v>
      </x:c>
      <x:c r="I242" s="10" t="str"/>
      <x:c r="J242" s="7" t="str"/>
      <x:c r="K242" s="7" t="str">
        <x:v>OPEN</x:v>
      </x:c>
    </x:row>
    <x:row r="243" ht="34" customHeight="1">
      <x:c r="B243" s="7" t="str">
        <x:v>RAE-S-237</x:v>
      </x:c>
      <x:c r="C243" s="7" t="str">
        <x:v>RAE-E-34</x:v>
      </x:c>
      <x:c r="D243" s="7" t="str">
        <x:v>RFP-C1</x:v>
      </x:c>
      <x:c r="E243" s="7" t="str">
        <x:v>AM-05</x:v>
      </x:c>
      <x:c r="F243" s="7" t="str">
        <x:v>TR-A</x:v>
      </x:c>
      <x:c r="G243" s="7" t="str">
        <x:v>QE-02</x:v>
      </x:c>
      <x:c r="H243" s="7" t="str">
        <x:v>source pre-event</x:v>
      </x:c>
      <x:c r="I243" s="10" t="str"/>
      <x:c r="J243" s="7" t="str"/>
      <x:c r="K243" s="7" t="str">
        <x:v>OPEN</x:v>
      </x:c>
    </x:row>
    <x:row r="244" ht="34" customHeight="1">
      <x:c r="B244" s="7" t="str">
        <x:v>RAE-S-238</x:v>
      </x:c>
      <x:c r="C244" s="7" t="str">
        <x:v>RAE-E-34</x:v>
      </x:c>
      <x:c r="D244" s="7" t="str">
        <x:v>RFP-C1</x:v>
      </x:c>
      <x:c r="E244" s="7" t="str">
        <x:v>AM-05</x:v>
      </x:c>
      <x:c r="F244" s="7" t="str">
        <x:v>TR-A</x:v>
      </x:c>
      <x:c r="G244" s="7" t="str">
        <x:v>QE-02</x:v>
      </x:c>
      <x:c r="H244" s="7" t="str">
        <x:v>source post-event</x:v>
      </x:c>
      <x:c r="I244" s="10" t="str"/>
      <x:c r="J244" s="7" t="str"/>
      <x:c r="K244" s="7" t="str">
        <x:v>OPEN</x:v>
      </x:c>
    </x:row>
    <x:row r="245" ht="34" customHeight="1">
      <x:c r="B245" s="7" t="str">
        <x:v>RAE-S-239</x:v>
      </x:c>
      <x:c r="C245" s="7" t="str">
        <x:v>RAE-E-35</x:v>
      </x:c>
      <x:c r="D245" s="7" t="str">
        <x:v>RFP-C1</x:v>
      </x:c>
      <x:c r="E245" s="7" t="str">
        <x:v>AM-05</x:v>
      </x:c>
      <x:c r="F245" s="7" t="str">
        <x:v>TR-B</x:v>
      </x:c>
      <x:c r="G245" s="7" t="str">
        <x:v>QE-01</x:v>
      </x:c>
      <x:c r="H245" s="7" t="str">
        <x:v>pre-event background</x:v>
      </x:c>
      <x:c r="I245" s="10" t="str"/>
      <x:c r="J245" s="7" t="str"/>
      <x:c r="K245" s="7" t="str">
        <x:v>OPEN</x:v>
      </x:c>
    </x:row>
    <x:row r="246" ht="34" customHeight="1">
      <x:c r="B246" s="7" t="str">
        <x:v>RAE-S-240</x:v>
      </x:c>
      <x:c r="C246" s="7" t="str">
        <x:v>RAE-E-35</x:v>
      </x:c>
      <x:c r="D246" s="7" t="str">
        <x:v>RFP-C1</x:v>
      </x:c>
      <x:c r="E246" s="7" t="str">
        <x:v>AM-05</x:v>
      </x:c>
      <x:c r="F246" s="7" t="str">
        <x:v>TR-B</x:v>
      </x:c>
      <x:c r="G246" s="7" t="str">
        <x:v>QE-01</x:v>
      </x:c>
      <x:c r="H246" s="7" t="str">
        <x:v>post-event pan</x:v>
      </x:c>
      <x:c r="I246" s="10" t="str"/>
      <x:c r="J246" s="7" t="str"/>
      <x:c r="K246" s="7" t="str">
        <x:v>OPEN</x:v>
      </x:c>
    </x:row>
    <x:row r="247" ht="34" customHeight="1">
      <x:c r="B247" s="7" t="str">
        <x:v>RAE-S-241</x:v>
      </x:c>
      <x:c r="C247" s="7" t="str">
        <x:v>RAE-E-35</x:v>
      </x:c>
      <x:c r="D247" s="7" t="str">
        <x:v>RFP-C1</x:v>
      </x:c>
      <x:c r="E247" s="7" t="str">
        <x:v>AM-05</x:v>
      </x:c>
      <x:c r="F247" s="7" t="str">
        <x:v>TR-B</x:v>
      </x:c>
      <x:c r="G247" s="7" t="str">
        <x:v>QE-01</x:v>
      </x:c>
      <x:c r="H247" s="7" t="str">
        <x:v>post-event catchment</x:v>
      </x:c>
      <x:c r="I247" s="10" t="str"/>
      <x:c r="J247" s="7" t="str"/>
      <x:c r="K247" s="7" t="str">
        <x:v>OPEN</x:v>
      </x:c>
    </x:row>
    <x:row r="248" ht="34" customHeight="1">
      <x:c r="B248" s="7" t="str">
        <x:v>RAE-S-242</x:v>
      </x:c>
      <x:c r="C248" s="7" t="str">
        <x:v>RAE-E-35</x:v>
      </x:c>
      <x:c r="D248" s="7" t="str">
        <x:v>RFP-C1</x:v>
      </x:c>
      <x:c r="E248" s="7" t="str">
        <x:v>AM-05</x:v>
      </x:c>
      <x:c r="F248" s="7" t="str">
        <x:v>TR-B</x:v>
      </x:c>
      <x:c r="G248" s="7" t="str">
        <x:v>QE-01</x:v>
      </x:c>
      <x:c r="H248" s="7" t="str">
        <x:v>downwind boundary</x:v>
      </x:c>
      <x:c r="I248" s="10" t="str"/>
      <x:c r="J248" s="7" t="str"/>
      <x:c r="K248" s="7" t="str">
        <x:v>OPEN</x:v>
      </x:c>
    </x:row>
    <x:row r="249" ht="34" customHeight="1">
      <x:c r="B249" s="7" t="str">
        <x:v>RAE-S-243</x:v>
      </x:c>
      <x:c r="C249" s="7" t="str">
        <x:v>RAE-E-35</x:v>
      </x:c>
      <x:c r="D249" s="7" t="str">
        <x:v>RFP-C1</x:v>
      </x:c>
      <x:c r="E249" s="7" t="str">
        <x:v>AM-05</x:v>
      </x:c>
      <x:c r="F249" s="7" t="str">
        <x:v>TR-B</x:v>
      </x:c>
      <x:c r="G249" s="7" t="str">
        <x:v>QE-01</x:v>
      </x:c>
      <x:c r="H249" s="7" t="str">
        <x:v>water receiver</x:v>
      </x:c>
      <x:c r="I249" s="10" t="str"/>
      <x:c r="J249" s="7" t="str"/>
      <x:c r="K249" s="7" t="str">
        <x:v>OPEN</x:v>
      </x:c>
    </x:row>
    <x:row r="250" ht="34" customHeight="1">
      <x:c r="B250" s="7" t="str">
        <x:v>RAE-S-244</x:v>
      </x:c>
      <x:c r="C250" s="7" t="str">
        <x:v>RAE-E-35</x:v>
      </x:c>
      <x:c r="D250" s="7" t="str">
        <x:v>RFP-C1</x:v>
      </x:c>
      <x:c r="E250" s="7" t="str">
        <x:v>AM-05</x:v>
      </x:c>
      <x:c r="F250" s="7" t="str">
        <x:v>TR-B</x:v>
      </x:c>
      <x:c r="G250" s="7" t="str">
        <x:v>QE-01</x:v>
      </x:c>
      <x:c r="H250" s="7" t="str">
        <x:v>archive control</x:v>
      </x:c>
      <x:c r="I250" s="10" t="str"/>
      <x:c r="J250" s="7" t="str"/>
      <x:c r="K250" s="7" t="str">
        <x:v>OPEN</x:v>
      </x:c>
    </x:row>
    <x:row r="251" ht="34" customHeight="1">
      <x:c r="B251" s="7" t="str">
        <x:v>RAE-S-245</x:v>
      </x:c>
      <x:c r="C251" s="7" t="str">
        <x:v>RAE-E-36</x:v>
      </x:c>
      <x:c r="D251" s="7" t="str">
        <x:v>RFP-C1</x:v>
      </x:c>
      <x:c r="E251" s="7" t="str">
        <x:v>AM-05</x:v>
      </x:c>
      <x:c r="F251" s="7" t="str">
        <x:v>TR-B</x:v>
      </x:c>
      <x:c r="G251" s="7" t="str">
        <x:v>QE-02</x:v>
      </x:c>
      <x:c r="H251" s="7" t="str">
        <x:v>pre-event background</x:v>
      </x:c>
      <x:c r="I251" s="10" t="str"/>
      <x:c r="J251" s="7" t="str"/>
      <x:c r="K251" s="7" t="str">
        <x:v>OPEN</x:v>
      </x:c>
    </x:row>
    <x:row r="252" ht="34" customHeight="1">
      <x:c r="B252" s="7" t="str">
        <x:v>RAE-S-246</x:v>
      </x:c>
      <x:c r="C252" s="7" t="str">
        <x:v>RAE-E-36</x:v>
      </x:c>
      <x:c r="D252" s="7" t="str">
        <x:v>RFP-C1</x:v>
      </x:c>
      <x:c r="E252" s="7" t="str">
        <x:v>AM-05</x:v>
      </x:c>
      <x:c r="F252" s="7" t="str">
        <x:v>TR-B</x:v>
      </x:c>
      <x:c r="G252" s="7" t="str">
        <x:v>QE-02</x:v>
      </x:c>
      <x:c r="H252" s="7" t="str">
        <x:v>post-event pan</x:v>
      </x:c>
      <x:c r="I252" s="10" t="str"/>
      <x:c r="J252" s="7" t="str"/>
      <x:c r="K252" s="7" t="str">
        <x:v>OPEN</x:v>
      </x:c>
    </x:row>
    <x:row r="253" ht="34" customHeight="1">
      <x:c r="B253" s="7" t="str">
        <x:v>RAE-S-247</x:v>
      </x:c>
      <x:c r="C253" s="7" t="str">
        <x:v>RAE-E-36</x:v>
      </x:c>
      <x:c r="D253" s="7" t="str">
        <x:v>RFP-C1</x:v>
      </x:c>
      <x:c r="E253" s="7" t="str">
        <x:v>AM-05</x:v>
      </x:c>
      <x:c r="F253" s="7" t="str">
        <x:v>TR-B</x:v>
      </x:c>
      <x:c r="G253" s="7" t="str">
        <x:v>QE-02</x:v>
      </x:c>
      <x:c r="H253" s="7" t="str">
        <x:v>post-event catchment</x:v>
      </x:c>
      <x:c r="I253" s="10" t="str"/>
      <x:c r="J253" s="7" t="str"/>
      <x:c r="K253" s="7" t="str">
        <x:v>OPEN</x:v>
      </x:c>
    </x:row>
    <x:row r="254" ht="34" customHeight="1">
      <x:c r="B254" s="7" t="str">
        <x:v>RAE-S-248</x:v>
      </x:c>
      <x:c r="C254" s="7" t="str">
        <x:v>RAE-E-36</x:v>
      </x:c>
      <x:c r="D254" s="7" t="str">
        <x:v>RFP-C1</x:v>
      </x:c>
      <x:c r="E254" s="7" t="str">
        <x:v>AM-05</x:v>
      </x:c>
      <x:c r="F254" s="7" t="str">
        <x:v>TR-B</x:v>
      </x:c>
      <x:c r="G254" s="7" t="str">
        <x:v>QE-02</x:v>
      </x:c>
      <x:c r="H254" s="7" t="str">
        <x:v>downwind boundary</x:v>
      </x:c>
      <x:c r="I254" s="10" t="str"/>
      <x:c r="J254" s="7" t="str"/>
      <x:c r="K254" s="7" t="str">
        <x:v>OPEN</x:v>
      </x:c>
    </x:row>
    <x:row r="255" ht="34" customHeight="1">
      <x:c r="B255" s="7" t="str">
        <x:v>RAE-S-249</x:v>
      </x:c>
      <x:c r="C255" s="7" t="str">
        <x:v>RAE-E-36</x:v>
      </x:c>
      <x:c r="D255" s="7" t="str">
        <x:v>RFP-C1</x:v>
      </x:c>
      <x:c r="E255" s="7" t="str">
        <x:v>AM-05</x:v>
      </x:c>
      <x:c r="F255" s="7" t="str">
        <x:v>TR-B</x:v>
      </x:c>
      <x:c r="G255" s="7" t="str">
        <x:v>QE-02</x:v>
      </x:c>
      <x:c r="H255" s="7" t="str">
        <x:v>water receiver</x:v>
      </x:c>
      <x:c r="I255" s="10" t="str"/>
      <x:c r="J255" s="7" t="str"/>
      <x:c r="K255" s="7" t="str">
        <x:v>OPEN</x:v>
      </x:c>
    </x:row>
    <x:row r="256" ht="34" customHeight="1">
      <x:c r="B256" s="7" t="str">
        <x:v>RAE-S-250</x:v>
      </x:c>
      <x:c r="C256" s="7" t="str">
        <x:v>RAE-E-36</x:v>
      </x:c>
      <x:c r="D256" s="7" t="str">
        <x:v>RFP-C1</x:v>
      </x:c>
      <x:c r="E256" s="7" t="str">
        <x:v>AM-05</x:v>
      </x:c>
      <x:c r="F256" s="7" t="str">
        <x:v>TR-B</x:v>
      </x:c>
      <x:c r="G256" s="7" t="str">
        <x:v>QE-02</x:v>
      </x:c>
      <x:c r="H256" s="7" t="str">
        <x:v>archive control</x:v>
      </x:c>
      <x:c r="I256" s="10" t="str"/>
      <x:c r="J256" s="7" t="str"/>
      <x:c r="K256" s="7" t="str">
        <x:v>OPEN</x:v>
      </x:c>
    </x:row>
    <x:row r="257" ht="34" customHeight="1">
      <x:c r="B257" s="7" t="str">
        <x:v>RAE-S-251</x:v>
      </x:c>
      <x:c r="C257" s="7" t="str">
        <x:v>RAE-E-36</x:v>
      </x:c>
      <x:c r="D257" s="7" t="str">
        <x:v>RFP-C1</x:v>
      </x:c>
      <x:c r="E257" s="7" t="str">
        <x:v>AM-05</x:v>
      </x:c>
      <x:c r="F257" s="7" t="str">
        <x:v>TR-B</x:v>
      </x:c>
      <x:c r="G257" s="7" t="str">
        <x:v>QE-02</x:v>
      </x:c>
      <x:c r="H257" s="7" t="str">
        <x:v>source pre-event</x:v>
      </x:c>
      <x:c r="I257" s="10" t="str"/>
      <x:c r="J257" s="7" t="str"/>
      <x:c r="K257" s="7" t="str">
        <x:v>OPEN</x:v>
      </x:c>
    </x:row>
    <x:row r="258" ht="34" customHeight="1">
      <x:c r="B258" s="7" t="str">
        <x:v>RAE-S-252</x:v>
      </x:c>
      <x:c r="C258" s="7" t="str">
        <x:v>RAE-E-36</x:v>
      </x:c>
      <x:c r="D258" s="7" t="str">
        <x:v>RFP-C1</x:v>
      </x:c>
      <x:c r="E258" s="7" t="str">
        <x:v>AM-05</x:v>
      </x:c>
      <x:c r="F258" s="7" t="str">
        <x:v>TR-B</x:v>
      </x:c>
      <x:c r="G258" s="7" t="str">
        <x:v>QE-02</x:v>
      </x:c>
      <x:c r="H258" s="7" t="str">
        <x:v>source post-event</x:v>
      </x:c>
      <x:c r="I258" s="10" t="str"/>
      <x:c r="J258" s="7" t="str"/>
      <x:c r="K258" s="7" t="str">
        <x:v>OPEN</x:v>
      </x:c>
    </x:row>
    <x:row r="259" ht="34" customHeight="1">
      <x:c r="B259" s="7" t="str">
        <x:v>RAE-S-253</x:v>
      </x:c>
      <x:c r="C259" s="7" t="str">
        <x:v>RAE-E-37</x:v>
      </x:c>
      <x:c r="D259" s="7" t="str">
        <x:v>RFP-C1</x:v>
      </x:c>
      <x:c r="E259" s="7" t="str">
        <x:v>AM-06</x:v>
      </x:c>
      <x:c r="F259" s="7" t="str">
        <x:v>TR-A</x:v>
      </x:c>
      <x:c r="G259" s="7" t="str">
        <x:v>QE-01</x:v>
      </x:c>
      <x:c r="H259" s="7" t="str">
        <x:v>pre-event background</x:v>
      </x:c>
      <x:c r="I259" s="10" t="str"/>
      <x:c r="J259" s="7" t="str"/>
      <x:c r="K259" s="7" t="str">
        <x:v>OPEN</x:v>
      </x:c>
    </x:row>
    <x:row r="260" ht="34" customHeight="1">
      <x:c r="B260" s="7" t="str">
        <x:v>RAE-S-254</x:v>
      </x:c>
      <x:c r="C260" s="7" t="str">
        <x:v>RAE-E-37</x:v>
      </x:c>
      <x:c r="D260" s="7" t="str">
        <x:v>RFP-C1</x:v>
      </x:c>
      <x:c r="E260" s="7" t="str">
        <x:v>AM-06</x:v>
      </x:c>
      <x:c r="F260" s="7" t="str">
        <x:v>TR-A</x:v>
      </x:c>
      <x:c r="G260" s="7" t="str">
        <x:v>QE-01</x:v>
      </x:c>
      <x:c r="H260" s="7" t="str">
        <x:v>post-event pan</x:v>
      </x:c>
      <x:c r="I260" s="10" t="str"/>
      <x:c r="J260" s="7" t="str"/>
      <x:c r="K260" s="7" t="str">
        <x:v>OPEN</x:v>
      </x:c>
    </x:row>
    <x:row r="261" ht="34" customHeight="1">
      <x:c r="B261" s="7" t="str">
        <x:v>RAE-S-255</x:v>
      </x:c>
      <x:c r="C261" s="7" t="str">
        <x:v>RAE-E-37</x:v>
      </x:c>
      <x:c r="D261" s="7" t="str">
        <x:v>RFP-C1</x:v>
      </x:c>
      <x:c r="E261" s="7" t="str">
        <x:v>AM-06</x:v>
      </x:c>
      <x:c r="F261" s="7" t="str">
        <x:v>TR-A</x:v>
      </x:c>
      <x:c r="G261" s="7" t="str">
        <x:v>QE-01</x:v>
      </x:c>
      <x:c r="H261" s="7" t="str">
        <x:v>post-event catchment</x:v>
      </x:c>
      <x:c r="I261" s="10" t="str"/>
      <x:c r="J261" s="7" t="str"/>
      <x:c r="K261" s="7" t="str">
        <x:v>OPEN</x:v>
      </x:c>
    </x:row>
    <x:row r="262" ht="34" customHeight="1">
      <x:c r="B262" s="7" t="str">
        <x:v>RAE-S-256</x:v>
      </x:c>
      <x:c r="C262" s="7" t="str">
        <x:v>RAE-E-37</x:v>
      </x:c>
      <x:c r="D262" s="7" t="str">
        <x:v>RFP-C1</x:v>
      </x:c>
      <x:c r="E262" s="7" t="str">
        <x:v>AM-06</x:v>
      </x:c>
      <x:c r="F262" s="7" t="str">
        <x:v>TR-A</x:v>
      </x:c>
      <x:c r="G262" s="7" t="str">
        <x:v>QE-01</x:v>
      </x:c>
      <x:c r="H262" s="7" t="str">
        <x:v>downwind boundary</x:v>
      </x:c>
      <x:c r="I262" s="10" t="str"/>
      <x:c r="J262" s="7" t="str"/>
      <x:c r="K262" s="7" t="str">
        <x:v>OPEN</x:v>
      </x:c>
    </x:row>
    <x:row r="263" ht="34" customHeight="1">
      <x:c r="B263" s="7" t="str">
        <x:v>RAE-S-257</x:v>
      </x:c>
      <x:c r="C263" s="7" t="str">
        <x:v>RAE-E-37</x:v>
      </x:c>
      <x:c r="D263" s="7" t="str">
        <x:v>RFP-C1</x:v>
      </x:c>
      <x:c r="E263" s="7" t="str">
        <x:v>AM-06</x:v>
      </x:c>
      <x:c r="F263" s="7" t="str">
        <x:v>TR-A</x:v>
      </x:c>
      <x:c r="G263" s="7" t="str">
        <x:v>QE-01</x:v>
      </x:c>
      <x:c r="H263" s="7" t="str">
        <x:v>water receiver</x:v>
      </x:c>
      <x:c r="I263" s="10" t="str"/>
      <x:c r="J263" s="7" t="str"/>
      <x:c r="K263" s="7" t="str">
        <x:v>OPEN</x:v>
      </x:c>
    </x:row>
    <x:row r="264" ht="34" customHeight="1">
      <x:c r="B264" s="7" t="str">
        <x:v>RAE-S-258</x:v>
      </x:c>
      <x:c r="C264" s="7" t="str">
        <x:v>RAE-E-37</x:v>
      </x:c>
      <x:c r="D264" s="7" t="str">
        <x:v>RFP-C1</x:v>
      </x:c>
      <x:c r="E264" s="7" t="str">
        <x:v>AM-06</x:v>
      </x:c>
      <x:c r="F264" s="7" t="str">
        <x:v>TR-A</x:v>
      </x:c>
      <x:c r="G264" s="7" t="str">
        <x:v>QE-01</x:v>
      </x:c>
      <x:c r="H264" s="7" t="str">
        <x:v>archive control</x:v>
      </x:c>
      <x:c r="I264" s="10" t="str"/>
      <x:c r="J264" s="7" t="str"/>
      <x:c r="K264" s="7" t="str">
        <x:v>OPEN</x:v>
      </x:c>
    </x:row>
    <x:row r="265" ht="34" customHeight="1">
      <x:c r="B265" s="7" t="str">
        <x:v>RAE-S-259</x:v>
      </x:c>
      <x:c r="C265" s="7" t="str">
        <x:v>RAE-E-38</x:v>
      </x:c>
      <x:c r="D265" s="7" t="str">
        <x:v>RFP-C1</x:v>
      </x:c>
      <x:c r="E265" s="7" t="str">
        <x:v>AM-06</x:v>
      </x:c>
      <x:c r="F265" s="7" t="str">
        <x:v>TR-A</x:v>
      </x:c>
      <x:c r="G265" s="7" t="str">
        <x:v>QE-02</x:v>
      </x:c>
      <x:c r="H265" s="7" t="str">
        <x:v>pre-event background</x:v>
      </x:c>
      <x:c r="I265" s="10" t="str"/>
      <x:c r="J265" s="7" t="str"/>
      <x:c r="K265" s="7" t="str">
        <x:v>OPEN</x:v>
      </x:c>
    </x:row>
    <x:row r="266" ht="34" customHeight="1">
      <x:c r="B266" s="7" t="str">
        <x:v>RAE-S-260</x:v>
      </x:c>
      <x:c r="C266" s="7" t="str">
        <x:v>RAE-E-38</x:v>
      </x:c>
      <x:c r="D266" s="7" t="str">
        <x:v>RFP-C1</x:v>
      </x:c>
      <x:c r="E266" s="7" t="str">
        <x:v>AM-06</x:v>
      </x:c>
      <x:c r="F266" s="7" t="str">
        <x:v>TR-A</x:v>
      </x:c>
      <x:c r="G266" s="7" t="str">
        <x:v>QE-02</x:v>
      </x:c>
      <x:c r="H266" s="7" t="str">
        <x:v>post-event pan</x:v>
      </x:c>
      <x:c r="I266" s="10" t="str"/>
      <x:c r="J266" s="7" t="str"/>
      <x:c r="K266" s="7" t="str">
        <x:v>OPEN</x:v>
      </x:c>
    </x:row>
    <x:row r="267" ht="34" customHeight="1">
      <x:c r="B267" s="7" t="str">
        <x:v>RAE-S-261</x:v>
      </x:c>
      <x:c r="C267" s="7" t="str">
        <x:v>RAE-E-38</x:v>
      </x:c>
      <x:c r="D267" s="7" t="str">
        <x:v>RFP-C1</x:v>
      </x:c>
      <x:c r="E267" s="7" t="str">
        <x:v>AM-06</x:v>
      </x:c>
      <x:c r="F267" s="7" t="str">
        <x:v>TR-A</x:v>
      </x:c>
      <x:c r="G267" s="7" t="str">
        <x:v>QE-02</x:v>
      </x:c>
      <x:c r="H267" s="7" t="str">
        <x:v>post-event catchment</x:v>
      </x:c>
      <x:c r="I267" s="10" t="str"/>
      <x:c r="J267" s="7" t="str"/>
      <x:c r="K267" s="7" t="str">
        <x:v>OPEN</x:v>
      </x:c>
    </x:row>
    <x:row r="268" ht="34" customHeight="1">
      <x:c r="B268" s="7" t="str">
        <x:v>RAE-S-262</x:v>
      </x:c>
      <x:c r="C268" s="7" t="str">
        <x:v>RAE-E-38</x:v>
      </x:c>
      <x:c r="D268" s="7" t="str">
        <x:v>RFP-C1</x:v>
      </x:c>
      <x:c r="E268" s="7" t="str">
        <x:v>AM-06</x:v>
      </x:c>
      <x:c r="F268" s="7" t="str">
        <x:v>TR-A</x:v>
      </x:c>
      <x:c r="G268" s="7" t="str">
        <x:v>QE-02</x:v>
      </x:c>
      <x:c r="H268" s="7" t="str">
        <x:v>downwind boundary</x:v>
      </x:c>
      <x:c r="I268" s="10" t="str"/>
      <x:c r="J268" s="7" t="str"/>
      <x:c r="K268" s="7" t="str">
        <x:v>OPEN</x:v>
      </x:c>
    </x:row>
    <x:row r="269" ht="34" customHeight="1">
      <x:c r="B269" s="7" t="str">
        <x:v>RAE-S-263</x:v>
      </x:c>
      <x:c r="C269" s="7" t="str">
        <x:v>RAE-E-38</x:v>
      </x:c>
      <x:c r="D269" s="7" t="str">
        <x:v>RFP-C1</x:v>
      </x:c>
      <x:c r="E269" s="7" t="str">
        <x:v>AM-06</x:v>
      </x:c>
      <x:c r="F269" s="7" t="str">
        <x:v>TR-A</x:v>
      </x:c>
      <x:c r="G269" s="7" t="str">
        <x:v>QE-02</x:v>
      </x:c>
      <x:c r="H269" s="7" t="str">
        <x:v>water receiver</x:v>
      </x:c>
      <x:c r="I269" s="10" t="str"/>
      <x:c r="J269" s="7" t="str"/>
      <x:c r="K269" s="7" t="str">
        <x:v>OPEN</x:v>
      </x:c>
    </x:row>
    <x:row r="270" ht="34" customHeight="1">
      <x:c r="B270" s="7" t="str">
        <x:v>RAE-S-264</x:v>
      </x:c>
      <x:c r="C270" s="7" t="str">
        <x:v>RAE-E-38</x:v>
      </x:c>
      <x:c r="D270" s="7" t="str">
        <x:v>RFP-C1</x:v>
      </x:c>
      <x:c r="E270" s="7" t="str">
        <x:v>AM-06</x:v>
      </x:c>
      <x:c r="F270" s="7" t="str">
        <x:v>TR-A</x:v>
      </x:c>
      <x:c r="G270" s="7" t="str">
        <x:v>QE-02</x:v>
      </x:c>
      <x:c r="H270" s="7" t="str">
        <x:v>archive control</x:v>
      </x:c>
      <x:c r="I270" s="10" t="str"/>
      <x:c r="J270" s="7" t="str"/>
      <x:c r="K270" s="7" t="str">
        <x:v>OPEN</x:v>
      </x:c>
    </x:row>
    <x:row r="271" ht="34" customHeight="1">
      <x:c r="B271" s="7" t="str">
        <x:v>RAE-S-265</x:v>
      </x:c>
      <x:c r="C271" s="7" t="str">
        <x:v>RAE-E-38</x:v>
      </x:c>
      <x:c r="D271" s="7" t="str">
        <x:v>RFP-C1</x:v>
      </x:c>
      <x:c r="E271" s="7" t="str">
        <x:v>AM-06</x:v>
      </x:c>
      <x:c r="F271" s="7" t="str">
        <x:v>TR-A</x:v>
      </x:c>
      <x:c r="G271" s="7" t="str">
        <x:v>QE-02</x:v>
      </x:c>
      <x:c r="H271" s="7" t="str">
        <x:v>source pre-event</x:v>
      </x:c>
      <x:c r="I271" s="10" t="str"/>
      <x:c r="J271" s="7" t="str"/>
      <x:c r="K271" s="7" t="str">
        <x:v>OPEN</x:v>
      </x:c>
    </x:row>
    <x:row r="272" ht="34" customHeight="1">
      <x:c r="B272" s="7" t="str">
        <x:v>RAE-S-266</x:v>
      </x:c>
      <x:c r="C272" s="7" t="str">
        <x:v>RAE-E-38</x:v>
      </x:c>
      <x:c r="D272" s="7" t="str">
        <x:v>RFP-C1</x:v>
      </x:c>
      <x:c r="E272" s="7" t="str">
        <x:v>AM-06</x:v>
      </x:c>
      <x:c r="F272" s="7" t="str">
        <x:v>TR-A</x:v>
      </x:c>
      <x:c r="G272" s="7" t="str">
        <x:v>QE-02</x:v>
      </x:c>
      <x:c r="H272" s="7" t="str">
        <x:v>source post-event</x:v>
      </x:c>
      <x:c r="I272" s="10" t="str"/>
      <x:c r="J272" s="7" t="str"/>
      <x:c r="K272" s="7" t="str">
        <x:v>OPEN</x:v>
      </x:c>
    </x:row>
    <x:row r="273" ht="34" customHeight="1">
      <x:c r="B273" s="7" t="str">
        <x:v>RAE-S-267</x:v>
      </x:c>
      <x:c r="C273" s="7" t="str">
        <x:v>RAE-E-39</x:v>
      </x:c>
      <x:c r="D273" s="7" t="str">
        <x:v>RFP-C1</x:v>
      </x:c>
      <x:c r="E273" s="7" t="str">
        <x:v>AM-06</x:v>
      </x:c>
      <x:c r="F273" s="7" t="str">
        <x:v>TR-B</x:v>
      </x:c>
      <x:c r="G273" s="7" t="str">
        <x:v>QE-01</x:v>
      </x:c>
      <x:c r="H273" s="7" t="str">
        <x:v>pre-event background</x:v>
      </x:c>
      <x:c r="I273" s="10" t="str"/>
      <x:c r="J273" s="7" t="str"/>
      <x:c r="K273" s="7" t="str">
        <x:v>OPEN</x:v>
      </x:c>
    </x:row>
    <x:row r="274" ht="34" customHeight="1">
      <x:c r="B274" s="7" t="str">
        <x:v>RAE-S-268</x:v>
      </x:c>
      <x:c r="C274" s="7" t="str">
        <x:v>RAE-E-39</x:v>
      </x:c>
      <x:c r="D274" s="7" t="str">
        <x:v>RFP-C1</x:v>
      </x:c>
      <x:c r="E274" s="7" t="str">
        <x:v>AM-06</x:v>
      </x:c>
      <x:c r="F274" s="7" t="str">
        <x:v>TR-B</x:v>
      </x:c>
      <x:c r="G274" s="7" t="str">
        <x:v>QE-01</x:v>
      </x:c>
      <x:c r="H274" s="7" t="str">
        <x:v>post-event pan</x:v>
      </x:c>
      <x:c r="I274" s="10" t="str"/>
      <x:c r="J274" s="7" t="str"/>
      <x:c r="K274" s="7" t="str">
        <x:v>OPEN</x:v>
      </x:c>
    </x:row>
    <x:row r="275" ht="34" customHeight="1">
      <x:c r="B275" s="7" t="str">
        <x:v>RAE-S-269</x:v>
      </x:c>
      <x:c r="C275" s="7" t="str">
        <x:v>RAE-E-39</x:v>
      </x:c>
      <x:c r="D275" s="7" t="str">
        <x:v>RFP-C1</x:v>
      </x:c>
      <x:c r="E275" s="7" t="str">
        <x:v>AM-06</x:v>
      </x:c>
      <x:c r="F275" s="7" t="str">
        <x:v>TR-B</x:v>
      </x:c>
      <x:c r="G275" s="7" t="str">
        <x:v>QE-01</x:v>
      </x:c>
      <x:c r="H275" s="7" t="str">
        <x:v>post-event catchment</x:v>
      </x:c>
      <x:c r="I275" s="10" t="str"/>
      <x:c r="J275" s="7" t="str"/>
      <x:c r="K275" s="7" t="str">
        <x:v>OPEN</x:v>
      </x:c>
    </x:row>
    <x:row r="276" ht="34" customHeight="1">
      <x:c r="B276" s="7" t="str">
        <x:v>RAE-S-270</x:v>
      </x:c>
      <x:c r="C276" s="7" t="str">
        <x:v>RAE-E-39</x:v>
      </x:c>
      <x:c r="D276" s="7" t="str">
        <x:v>RFP-C1</x:v>
      </x:c>
      <x:c r="E276" s="7" t="str">
        <x:v>AM-06</x:v>
      </x:c>
      <x:c r="F276" s="7" t="str">
        <x:v>TR-B</x:v>
      </x:c>
      <x:c r="G276" s="7" t="str">
        <x:v>QE-01</x:v>
      </x:c>
      <x:c r="H276" s="7" t="str">
        <x:v>downwind boundary</x:v>
      </x:c>
      <x:c r="I276" s="10" t="str"/>
      <x:c r="J276" s="7" t="str"/>
      <x:c r="K276" s="7" t="str">
        <x:v>OPEN</x:v>
      </x:c>
    </x:row>
    <x:row r="277" ht="34" customHeight="1">
      <x:c r="B277" s="7" t="str">
        <x:v>RAE-S-271</x:v>
      </x:c>
      <x:c r="C277" s="7" t="str">
        <x:v>RAE-E-39</x:v>
      </x:c>
      <x:c r="D277" s="7" t="str">
        <x:v>RFP-C1</x:v>
      </x:c>
      <x:c r="E277" s="7" t="str">
        <x:v>AM-06</x:v>
      </x:c>
      <x:c r="F277" s="7" t="str">
        <x:v>TR-B</x:v>
      </x:c>
      <x:c r="G277" s="7" t="str">
        <x:v>QE-01</x:v>
      </x:c>
      <x:c r="H277" s="7" t="str">
        <x:v>water receiver</x:v>
      </x:c>
      <x:c r="I277" s="10" t="str"/>
      <x:c r="J277" s="7" t="str"/>
      <x:c r="K277" s="7" t="str">
        <x:v>OPEN</x:v>
      </x:c>
    </x:row>
    <x:row r="278" ht="34" customHeight="1">
      <x:c r="B278" s="7" t="str">
        <x:v>RAE-S-272</x:v>
      </x:c>
      <x:c r="C278" s="7" t="str">
        <x:v>RAE-E-39</x:v>
      </x:c>
      <x:c r="D278" s="7" t="str">
        <x:v>RFP-C1</x:v>
      </x:c>
      <x:c r="E278" s="7" t="str">
        <x:v>AM-06</x:v>
      </x:c>
      <x:c r="F278" s="7" t="str">
        <x:v>TR-B</x:v>
      </x:c>
      <x:c r="G278" s="7" t="str">
        <x:v>QE-01</x:v>
      </x:c>
      <x:c r="H278" s="7" t="str">
        <x:v>archive control</x:v>
      </x:c>
      <x:c r="I278" s="10" t="str"/>
      <x:c r="J278" s="7" t="str"/>
      <x:c r="K278" s="7" t="str">
        <x:v>OPEN</x:v>
      </x:c>
    </x:row>
    <x:row r="279" ht="34" customHeight="1">
      <x:c r="B279" s="7" t="str">
        <x:v>RAE-S-273</x:v>
      </x:c>
      <x:c r="C279" s="7" t="str">
        <x:v>RAE-E-40</x:v>
      </x:c>
      <x:c r="D279" s="7" t="str">
        <x:v>RFP-C1</x:v>
      </x:c>
      <x:c r="E279" s="7" t="str">
        <x:v>AM-06</x:v>
      </x:c>
      <x:c r="F279" s="7" t="str">
        <x:v>TR-B</x:v>
      </x:c>
      <x:c r="G279" s="7" t="str">
        <x:v>QE-02</x:v>
      </x:c>
      <x:c r="H279" s="7" t="str">
        <x:v>pre-event background</x:v>
      </x:c>
      <x:c r="I279" s="10" t="str"/>
      <x:c r="J279" s="7" t="str"/>
      <x:c r="K279" s="7" t="str">
        <x:v>OPEN</x:v>
      </x:c>
    </x:row>
    <x:row r="280" ht="34" customHeight="1">
      <x:c r="B280" s="7" t="str">
        <x:v>RAE-S-274</x:v>
      </x:c>
      <x:c r="C280" s="7" t="str">
        <x:v>RAE-E-40</x:v>
      </x:c>
      <x:c r="D280" s="7" t="str">
        <x:v>RFP-C1</x:v>
      </x:c>
      <x:c r="E280" s="7" t="str">
        <x:v>AM-06</x:v>
      </x:c>
      <x:c r="F280" s="7" t="str">
        <x:v>TR-B</x:v>
      </x:c>
      <x:c r="G280" s="7" t="str">
        <x:v>QE-02</x:v>
      </x:c>
      <x:c r="H280" s="7" t="str">
        <x:v>post-event pan</x:v>
      </x:c>
      <x:c r="I280" s="10" t="str"/>
      <x:c r="J280" s="7" t="str"/>
      <x:c r="K280" s="7" t="str">
        <x:v>OPEN</x:v>
      </x:c>
    </x:row>
    <x:row r="281" ht="34" customHeight="1">
      <x:c r="B281" s="7" t="str">
        <x:v>RAE-S-275</x:v>
      </x:c>
      <x:c r="C281" s="7" t="str">
        <x:v>RAE-E-40</x:v>
      </x:c>
      <x:c r="D281" s="7" t="str">
        <x:v>RFP-C1</x:v>
      </x:c>
      <x:c r="E281" s="7" t="str">
        <x:v>AM-06</x:v>
      </x:c>
      <x:c r="F281" s="7" t="str">
        <x:v>TR-B</x:v>
      </x:c>
      <x:c r="G281" s="7" t="str">
        <x:v>QE-02</x:v>
      </x:c>
      <x:c r="H281" s="7" t="str">
        <x:v>post-event catchment</x:v>
      </x:c>
      <x:c r="I281" s="10" t="str"/>
      <x:c r="J281" s="7" t="str"/>
      <x:c r="K281" s="7" t="str">
        <x:v>OPEN</x:v>
      </x:c>
    </x:row>
    <x:row r="282" ht="34" customHeight="1">
      <x:c r="B282" s="7" t="str">
        <x:v>RAE-S-276</x:v>
      </x:c>
      <x:c r="C282" s="7" t="str">
        <x:v>RAE-E-40</x:v>
      </x:c>
      <x:c r="D282" s="7" t="str">
        <x:v>RFP-C1</x:v>
      </x:c>
      <x:c r="E282" s="7" t="str">
        <x:v>AM-06</x:v>
      </x:c>
      <x:c r="F282" s="7" t="str">
        <x:v>TR-B</x:v>
      </x:c>
      <x:c r="G282" s="7" t="str">
        <x:v>QE-02</x:v>
      </x:c>
      <x:c r="H282" s="7" t="str">
        <x:v>downwind boundary</x:v>
      </x:c>
      <x:c r="I282" s="10" t="str"/>
      <x:c r="J282" s="7" t="str"/>
      <x:c r="K282" s="7" t="str">
        <x:v>OPEN</x:v>
      </x:c>
    </x:row>
    <x:row r="283" ht="34" customHeight="1">
      <x:c r="B283" s="7" t="str">
        <x:v>RAE-S-277</x:v>
      </x:c>
      <x:c r="C283" s="7" t="str">
        <x:v>RAE-E-40</x:v>
      </x:c>
      <x:c r="D283" s="7" t="str">
        <x:v>RFP-C1</x:v>
      </x:c>
      <x:c r="E283" s="7" t="str">
        <x:v>AM-06</x:v>
      </x:c>
      <x:c r="F283" s="7" t="str">
        <x:v>TR-B</x:v>
      </x:c>
      <x:c r="G283" s="7" t="str">
        <x:v>QE-02</x:v>
      </x:c>
      <x:c r="H283" s="7" t="str">
        <x:v>water receiver</x:v>
      </x:c>
      <x:c r="I283" s="10" t="str"/>
      <x:c r="J283" s="7" t="str"/>
      <x:c r="K283" s="7" t="str">
        <x:v>OPEN</x:v>
      </x:c>
    </x:row>
    <x:row r="284" ht="34" customHeight="1">
      <x:c r="B284" s="7" t="str">
        <x:v>RAE-S-278</x:v>
      </x:c>
      <x:c r="C284" s="7" t="str">
        <x:v>RAE-E-40</x:v>
      </x:c>
      <x:c r="D284" s="7" t="str">
        <x:v>RFP-C1</x:v>
      </x:c>
      <x:c r="E284" s="7" t="str">
        <x:v>AM-06</x:v>
      </x:c>
      <x:c r="F284" s="7" t="str">
        <x:v>TR-B</x:v>
      </x:c>
      <x:c r="G284" s="7" t="str">
        <x:v>QE-02</x:v>
      </x:c>
      <x:c r="H284" s="7" t="str">
        <x:v>archive control</x:v>
      </x:c>
      <x:c r="I284" s="10" t="str"/>
      <x:c r="J284" s="7" t="str"/>
      <x:c r="K284" s="7" t="str">
        <x:v>OPEN</x:v>
      </x:c>
    </x:row>
    <x:row r="285" ht="34" customHeight="1">
      <x:c r="B285" s="7" t="str">
        <x:v>RAE-S-279</x:v>
      </x:c>
      <x:c r="C285" s="7" t="str">
        <x:v>RAE-E-40</x:v>
      </x:c>
      <x:c r="D285" s="7" t="str">
        <x:v>RFP-C1</x:v>
      </x:c>
      <x:c r="E285" s="7" t="str">
        <x:v>AM-06</x:v>
      </x:c>
      <x:c r="F285" s="7" t="str">
        <x:v>TR-B</x:v>
      </x:c>
      <x:c r="G285" s="7" t="str">
        <x:v>QE-02</x:v>
      </x:c>
      <x:c r="H285" s="7" t="str">
        <x:v>source pre-event</x:v>
      </x:c>
      <x:c r="I285" s="10" t="str"/>
      <x:c r="J285" s="7" t="str"/>
      <x:c r="K285" s="7" t="str">
        <x:v>OPEN</x:v>
      </x:c>
    </x:row>
    <x:row r="286" ht="34" customHeight="1">
      <x:c r="B286" s="7" t="str">
        <x:v>RAE-S-280</x:v>
      </x:c>
      <x:c r="C286" s="7" t="str">
        <x:v>RAE-E-40</x:v>
      </x:c>
      <x:c r="D286" s="7" t="str">
        <x:v>RFP-C1</x:v>
      </x:c>
      <x:c r="E286" s="7" t="str">
        <x:v>AM-06</x:v>
      </x:c>
      <x:c r="F286" s="7" t="str">
        <x:v>TR-B</x:v>
      </x:c>
      <x:c r="G286" s="7" t="str">
        <x:v>QE-02</x:v>
      </x:c>
      <x:c r="H286" s="7" t="str">
        <x:v>source post-event</x:v>
      </x:c>
      <x:c r="I286" s="10" t="str"/>
      <x:c r="J286" s="7" t="str"/>
      <x:c r="K286" s="7" t="str">
        <x:v>OPEN</x:v>
      </x:c>
    </x:row>
    <x:row r="287" ht="34" customHeight="1">
      <x:c r="B287" s="7" t="str">
        <x:v>RAE-S-281</x:v>
      </x:c>
      <x:c r="C287" s="7" t="str">
        <x:v>RAE-E-41</x:v>
      </x:c>
      <x:c r="D287" s="7" t="str">
        <x:v>RFP-C2</x:v>
      </x:c>
      <x:c r="E287" s="7" t="str">
        <x:v>AM-05</x:v>
      </x:c>
      <x:c r="F287" s="7" t="str">
        <x:v>TR-A</x:v>
      </x:c>
      <x:c r="G287" s="7" t="str">
        <x:v>QE-01</x:v>
      </x:c>
      <x:c r="H287" s="7" t="str">
        <x:v>pre-event background</x:v>
      </x:c>
      <x:c r="I287" s="10" t="str"/>
      <x:c r="J287" s="7" t="str"/>
      <x:c r="K287" s="7" t="str">
        <x:v>OPEN</x:v>
      </x:c>
    </x:row>
    <x:row r="288" ht="34" customHeight="1">
      <x:c r="B288" s="7" t="str">
        <x:v>RAE-S-282</x:v>
      </x:c>
      <x:c r="C288" s="7" t="str">
        <x:v>RAE-E-41</x:v>
      </x:c>
      <x:c r="D288" s="7" t="str">
        <x:v>RFP-C2</x:v>
      </x:c>
      <x:c r="E288" s="7" t="str">
        <x:v>AM-05</x:v>
      </x:c>
      <x:c r="F288" s="7" t="str">
        <x:v>TR-A</x:v>
      </x:c>
      <x:c r="G288" s="7" t="str">
        <x:v>QE-01</x:v>
      </x:c>
      <x:c r="H288" s="7" t="str">
        <x:v>post-event pan</x:v>
      </x:c>
      <x:c r="I288" s="10" t="str"/>
      <x:c r="J288" s="7" t="str"/>
      <x:c r="K288" s="7" t="str">
        <x:v>OPEN</x:v>
      </x:c>
    </x:row>
    <x:row r="289" ht="34" customHeight="1">
      <x:c r="B289" s="7" t="str">
        <x:v>RAE-S-283</x:v>
      </x:c>
      <x:c r="C289" s="7" t="str">
        <x:v>RAE-E-41</x:v>
      </x:c>
      <x:c r="D289" s="7" t="str">
        <x:v>RFP-C2</x:v>
      </x:c>
      <x:c r="E289" s="7" t="str">
        <x:v>AM-05</x:v>
      </x:c>
      <x:c r="F289" s="7" t="str">
        <x:v>TR-A</x:v>
      </x:c>
      <x:c r="G289" s="7" t="str">
        <x:v>QE-01</x:v>
      </x:c>
      <x:c r="H289" s="7" t="str">
        <x:v>post-event catchment</x:v>
      </x:c>
      <x:c r="I289" s="10" t="str"/>
      <x:c r="J289" s="7" t="str"/>
      <x:c r="K289" s="7" t="str">
        <x:v>OPEN</x:v>
      </x:c>
    </x:row>
    <x:row r="290" ht="34" customHeight="1">
      <x:c r="B290" s="7" t="str">
        <x:v>RAE-S-284</x:v>
      </x:c>
      <x:c r="C290" s="7" t="str">
        <x:v>RAE-E-41</x:v>
      </x:c>
      <x:c r="D290" s="7" t="str">
        <x:v>RFP-C2</x:v>
      </x:c>
      <x:c r="E290" s="7" t="str">
        <x:v>AM-05</x:v>
      </x:c>
      <x:c r="F290" s="7" t="str">
        <x:v>TR-A</x:v>
      </x:c>
      <x:c r="G290" s="7" t="str">
        <x:v>QE-01</x:v>
      </x:c>
      <x:c r="H290" s="7" t="str">
        <x:v>downwind boundary</x:v>
      </x:c>
      <x:c r="I290" s="10" t="str"/>
      <x:c r="J290" s="7" t="str"/>
      <x:c r="K290" s="7" t="str">
        <x:v>OPEN</x:v>
      </x:c>
    </x:row>
    <x:row r="291" ht="34" customHeight="1">
      <x:c r="B291" s="7" t="str">
        <x:v>RAE-S-285</x:v>
      </x:c>
      <x:c r="C291" s="7" t="str">
        <x:v>RAE-E-41</x:v>
      </x:c>
      <x:c r="D291" s="7" t="str">
        <x:v>RFP-C2</x:v>
      </x:c>
      <x:c r="E291" s="7" t="str">
        <x:v>AM-05</x:v>
      </x:c>
      <x:c r="F291" s="7" t="str">
        <x:v>TR-A</x:v>
      </x:c>
      <x:c r="G291" s="7" t="str">
        <x:v>QE-01</x:v>
      </x:c>
      <x:c r="H291" s="7" t="str">
        <x:v>water receiver</x:v>
      </x:c>
      <x:c r="I291" s="10" t="str"/>
      <x:c r="J291" s="7" t="str"/>
      <x:c r="K291" s="7" t="str">
        <x:v>OPEN</x:v>
      </x:c>
    </x:row>
    <x:row r="292" ht="34" customHeight="1">
      <x:c r="B292" s="7" t="str">
        <x:v>RAE-S-286</x:v>
      </x:c>
      <x:c r="C292" s="7" t="str">
        <x:v>RAE-E-41</x:v>
      </x:c>
      <x:c r="D292" s="7" t="str">
        <x:v>RFP-C2</x:v>
      </x:c>
      <x:c r="E292" s="7" t="str">
        <x:v>AM-05</x:v>
      </x:c>
      <x:c r="F292" s="7" t="str">
        <x:v>TR-A</x:v>
      </x:c>
      <x:c r="G292" s="7" t="str">
        <x:v>QE-01</x:v>
      </x:c>
      <x:c r="H292" s="7" t="str">
        <x:v>archive control</x:v>
      </x:c>
      <x:c r="I292" s="10" t="str"/>
      <x:c r="J292" s="7" t="str"/>
      <x:c r="K292" s="7" t="str">
        <x:v>OPEN</x:v>
      </x:c>
    </x:row>
    <x:row r="293" ht="34" customHeight="1">
      <x:c r="B293" s="7" t="str">
        <x:v>RAE-S-287</x:v>
      </x:c>
      <x:c r="C293" s="7" t="str">
        <x:v>RAE-E-42</x:v>
      </x:c>
      <x:c r="D293" s="7" t="str">
        <x:v>RFP-C2</x:v>
      </x:c>
      <x:c r="E293" s="7" t="str">
        <x:v>AM-05</x:v>
      </x:c>
      <x:c r="F293" s="7" t="str">
        <x:v>TR-A</x:v>
      </x:c>
      <x:c r="G293" s="7" t="str">
        <x:v>QE-02</x:v>
      </x:c>
      <x:c r="H293" s="7" t="str">
        <x:v>pre-event background</x:v>
      </x:c>
      <x:c r="I293" s="10" t="str"/>
      <x:c r="J293" s="7" t="str"/>
      <x:c r="K293" s="7" t="str">
        <x:v>OPEN</x:v>
      </x:c>
    </x:row>
    <x:row r="294" ht="34" customHeight="1">
      <x:c r="B294" s="7" t="str">
        <x:v>RAE-S-288</x:v>
      </x:c>
      <x:c r="C294" s="7" t="str">
        <x:v>RAE-E-42</x:v>
      </x:c>
      <x:c r="D294" s="7" t="str">
        <x:v>RFP-C2</x:v>
      </x:c>
      <x:c r="E294" s="7" t="str">
        <x:v>AM-05</x:v>
      </x:c>
      <x:c r="F294" s="7" t="str">
        <x:v>TR-A</x:v>
      </x:c>
      <x:c r="G294" s="7" t="str">
        <x:v>QE-02</x:v>
      </x:c>
      <x:c r="H294" s="7" t="str">
        <x:v>post-event pan</x:v>
      </x:c>
      <x:c r="I294" s="10" t="str"/>
      <x:c r="J294" s="7" t="str"/>
      <x:c r="K294" s="7" t="str">
        <x:v>OPEN</x:v>
      </x:c>
    </x:row>
    <x:row r="295" ht="34" customHeight="1">
      <x:c r="B295" s="7" t="str">
        <x:v>RAE-S-289</x:v>
      </x:c>
      <x:c r="C295" s="7" t="str">
        <x:v>RAE-E-42</x:v>
      </x:c>
      <x:c r="D295" s="7" t="str">
        <x:v>RFP-C2</x:v>
      </x:c>
      <x:c r="E295" s="7" t="str">
        <x:v>AM-05</x:v>
      </x:c>
      <x:c r="F295" s="7" t="str">
        <x:v>TR-A</x:v>
      </x:c>
      <x:c r="G295" s="7" t="str">
        <x:v>QE-02</x:v>
      </x:c>
      <x:c r="H295" s="7" t="str">
        <x:v>post-event catchment</x:v>
      </x:c>
      <x:c r="I295" s="10" t="str"/>
      <x:c r="J295" s="7" t="str"/>
      <x:c r="K295" s="7" t="str">
        <x:v>OPEN</x:v>
      </x:c>
    </x:row>
    <x:row r="296" ht="34" customHeight="1">
      <x:c r="B296" s="7" t="str">
        <x:v>RAE-S-290</x:v>
      </x:c>
      <x:c r="C296" s="7" t="str">
        <x:v>RAE-E-42</x:v>
      </x:c>
      <x:c r="D296" s="7" t="str">
        <x:v>RFP-C2</x:v>
      </x:c>
      <x:c r="E296" s="7" t="str">
        <x:v>AM-05</x:v>
      </x:c>
      <x:c r="F296" s="7" t="str">
        <x:v>TR-A</x:v>
      </x:c>
      <x:c r="G296" s="7" t="str">
        <x:v>QE-02</x:v>
      </x:c>
      <x:c r="H296" s="7" t="str">
        <x:v>downwind boundary</x:v>
      </x:c>
      <x:c r="I296" s="10" t="str"/>
      <x:c r="J296" s="7" t="str"/>
      <x:c r="K296" s="7" t="str">
        <x:v>OPEN</x:v>
      </x:c>
    </x:row>
    <x:row r="297" ht="34" customHeight="1">
      <x:c r="B297" s="7" t="str">
        <x:v>RAE-S-291</x:v>
      </x:c>
      <x:c r="C297" s="7" t="str">
        <x:v>RAE-E-42</x:v>
      </x:c>
      <x:c r="D297" s="7" t="str">
        <x:v>RFP-C2</x:v>
      </x:c>
      <x:c r="E297" s="7" t="str">
        <x:v>AM-05</x:v>
      </x:c>
      <x:c r="F297" s="7" t="str">
        <x:v>TR-A</x:v>
      </x:c>
      <x:c r="G297" s="7" t="str">
        <x:v>QE-02</x:v>
      </x:c>
      <x:c r="H297" s="7" t="str">
        <x:v>water receiver</x:v>
      </x:c>
      <x:c r="I297" s="10" t="str"/>
      <x:c r="J297" s="7" t="str"/>
      <x:c r="K297" s="7" t="str">
        <x:v>OPEN</x:v>
      </x:c>
    </x:row>
    <x:row r="298" ht="34" customHeight="1">
      <x:c r="B298" s="7" t="str">
        <x:v>RAE-S-292</x:v>
      </x:c>
      <x:c r="C298" s="7" t="str">
        <x:v>RAE-E-42</x:v>
      </x:c>
      <x:c r="D298" s="7" t="str">
        <x:v>RFP-C2</x:v>
      </x:c>
      <x:c r="E298" s="7" t="str">
        <x:v>AM-05</x:v>
      </x:c>
      <x:c r="F298" s="7" t="str">
        <x:v>TR-A</x:v>
      </x:c>
      <x:c r="G298" s="7" t="str">
        <x:v>QE-02</x:v>
      </x:c>
      <x:c r="H298" s="7" t="str">
        <x:v>archive control</x:v>
      </x:c>
      <x:c r="I298" s="10" t="str"/>
      <x:c r="J298" s="7" t="str"/>
      <x:c r="K298" s="7" t="str">
        <x:v>OPEN</x:v>
      </x:c>
    </x:row>
    <x:row r="299" ht="34" customHeight="1">
      <x:c r="B299" s="7" t="str">
        <x:v>RAE-S-293</x:v>
      </x:c>
      <x:c r="C299" s="7" t="str">
        <x:v>RAE-E-42</x:v>
      </x:c>
      <x:c r="D299" s="7" t="str">
        <x:v>RFP-C2</x:v>
      </x:c>
      <x:c r="E299" s="7" t="str">
        <x:v>AM-05</x:v>
      </x:c>
      <x:c r="F299" s="7" t="str">
        <x:v>TR-A</x:v>
      </x:c>
      <x:c r="G299" s="7" t="str">
        <x:v>QE-02</x:v>
      </x:c>
      <x:c r="H299" s="7" t="str">
        <x:v>source pre-event</x:v>
      </x:c>
      <x:c r="I299" s="10" t="str"/>
      <x:c r="J299" s="7" t="str"/>
      <x:c r="K299" s="7" t="str">
        <x:v>OPEN</x:v>
      </x:c>
    </x:row>
    <x:row r="300" ht="34" customHeight="1">
      <x:c r="B300" s="7" t="str">
        <x:v>RAE-S-294</x:v>
      </x:c>
      <x:c r="C300" s="7" t="str">
        <x:v>RAE-E-42</x:v>
      </x:c>
      <x:c r="D300" s="7" t="str">
        <x:v>RFP-C2</x:v>
      </x:c>
      <x:c r="E300" s="7" t="str">
        <x:v>AM-05</x:v>
      </x:c>
      <x:c r="F300" s="7" t="str">
        <x:v>TR-A</x:v>
      </x:c>
      <x:c r="G300" s="7" t="str">
        <x:v>QE-02</x:v>
      </x:c>
      <x:c r="H300" s="7" t="str">
        <x:v>source post-event</x:v>
      </x:c>
      <x:c r="I300" s="10" t="str"/>
      <x:c r="J300" s="7" t="str"/>
      <x:c r="K300" s="7" t="str">
        <x:v>OPEN</x:v>
      </x:c>
    </x:row>
    <x:row r="301" ht="34" customHeight="1">
      <x:c r="B301" s="7" t="str">
        <x:v>RAE-S-295</x:v>
      </x:c>
      <x:c r="C301" s="7" t="str">
        <x:v>RAE-E-43</x:v>
      </x:c>
      <x:c r="D301" s="7" t="str">
        <x:v>RFP-C2</x:v>
      </x:c>
      <x:c r="E301" s="7" t="str">
        <x:v>AM-05</x:v>
      </x:c>
      <x:c r="F301" s="7" t="str">
        <x:v>TR-B</x:v>
      </x:c>
      <x:c r="G301" s="7" t="str">
        <x:v>QE-01</x:v>
      </x:c>
      <x:c r="H301" s="7" t="str">
        <x:v>pre-event background</x:v>
      </x:c>
      <x:c r="I301" s="10" t="str"/>
      <x:c r="J301" s="7" t="str"/>
      <x:c r="K301" s="7" t="str">
        <x:v>OPEN</x:v>
      </x:c>
    </x:row>
    <x:row r="302" ht="34" customHeight="1">
      <x:c r="B302" s="7" t="str">
        <x:v>RAE-S-296</x:v>
      </x:c>
      <x:c r="C302" s="7" t="str">
        <x:v>RAE-E-43</x:v>
      </x:c>
      <x:c r="D302" s="7" t="str">
        <x:v>RFP-C2</x:v>
      </x:c>
      <x:c r="E302" s="7" t="str">
        <x:v>AM-05</x:v>
      </x:c>
      <x:c r="F302" s="7" t="str">
        <x:v>TR-B</x:v>
      </x:c>
      <x:c r="G302" s="7" t="str">
        <x:v>QE-01</x:v>
      </x:c>
      <x:c r="H302" s="7" t="str">
        <x:v>post-event pan</x:v>
      </x:c>
      <x:c r="I302" s="10" t="str"/>
      <x:c r="J302" s="7" t="str"/>
      <x:c r="K302" s="7" t="str">
        <x:v>OPEN</x:v>
      </x:c>
    </x:row>
    <x:row r="303" ht="34" customHeight="1">
      <x:c r="B303" s="7" t="str">
        <x:v>RAE-S-297</x:v>
      </x:c>
      <x:c r="C303" s="7" t="str">
        <x:v>RAE-E-43</x:v>
      </x:c>
      <x:c r="D303" s="7" t="str">
        <x:v>RFP-C2</x:v>
      </x:c>
      <x:c r="E303" s="7" t="str">
        <x:v>AM-05</x:v>
      </x:c>
      <x:c r="F303" s="7" t="str">
        <x:v>TR-B</x:v>
      </x:c>
      <x:c r="G303" s="7" t="str">
        <x:v>QE-01</x:v>
      </x:c>
      <x:c r="H303" s="7" t="str">
        <x:v>post-event catchment</x:v>
      </x:c>
      <x:c r="I303" s="10" t="str"/>
      <x:c r="J303" s="7" t="str"/>
      <x:c r="K303" s="7" t="str">
        <x:v>OPEN</x:v>
      </x:c>
    </x:row>
    <x:row r="304" ht="34" customHeight="1">
      <x:c r="B304" s="7" t="str">
        <x:v>RAE-S-298</x:v>
      </x:c>
      <x:c r="C304" s="7" t="str">
        <x:v>RAE-E-43</x:v>
      </x:c>
      <x:c r="D304" s="7" t="str">
        <x:v>RFP-C2</x:v>
      </x:c>
      <x:c r="E304" s="7" t="str">
        <x:v>AM-05</x:v>
      </x:c>
      <x:c r="F304" s="7" t="str">
        <x:v>TR-B</x:v>
      </x:c>
      <x:c r="G304" s="7" t="str">
        <x:v>QE-01</x:v>
      </x:c>
      <x:c r="H304" s="7" t="str">
        <x:v>downwind boundary</x:v>
      </x:c>
      <x:c r="I304" s="10" t="str"/>
      <x:c r="J304" s="7" t="str"/>
      <x:c r="K304" s="7" t="str">
        <x:v>OPEN</x:v>
      </x:c>
    </x:row>
    <x:row r="305" ht="34" customHeight="1">
      <x:c r="B305" s="7" t="str">
        <x:v>RAE-S-299</x:v>
      </x:c>
      <x:c r="C305" s="7" t="str">
        <x:v>RAE-E-43</x:v>
      </x:c>
      <x:c r="D305" s="7" t="str">
        <x:v>RFP-C2</x:v>
      </x:c>
      <x:c r="E305" s="7" t="str">
        <x:v>AM-05</x:v>
      </x:c>
      <x:c r="F305" s="7" t="str">
        <x:v>TR-B</x:v>
      </x:c>
      <x:c r="G305" s="7" t="str">
        <x:v>QE-01</x:v>
      </x:c>
      <x:c r="H305" s="7" t="str">
        <x:v>water receiver</x:v>
      </x:c>
      <x:c r="I305" s="10" t="str"/>
      <x:c r="J305" s="7" t="str"/>
      <x:c r="K305" s="7" t="str">
        <x:v>OPEN</x:v>
      </x:c>
    </x:row>
    <x:row r="306" ht="34" customHeight="1">
      <x:c r="B306" s="7" t="str">
        <x:v>RAE-S-300</x:v>
      </x:c>
      <x:c r="C306" s="7" t="str">
        <x:v>RAE-E-43</x:v>
      </x:c>
      <x:c r="D306" s="7" t="str">
        <x:v>RFP-C2</x:v>
      </x:c>
      <x:c r="E306" s="7" t="str">
        <x:v>AM-05</x:v>
      </x:c>
      <x:c r="F306" s="7" t="str">
        <x:v>TR-B</x:v>
      </x:c>
      <x:c r="G306" s="7" t="str">
        <x:v>QE-01</x:v>
      </x:c>
      <x:c r="H306" s="7" t="str">
        <x:v>archive control</x:v>
      </x:c>
      <x:c r="I306" s="10" t="str"/>
      <x:c r="J306" s="7" t="str"/>
      <x:c r="K306" s="7" t="str">
        <x:v>OPEN</x:v>
      </x:c>
    </x:row>
    <x:row r="307" ht="34" customHeight="1">
      <x:c r="B307" s="7" t="str">
        <x:v>RAE-S-301</x:v>
      </x:c>
      <x:c r="C307" s="7" t="str">
        <x:v>RAE-E-44</x:v>
      </x:c>
      <x:c r="D307" s="7" t="str">
        <x:v>RFP-C2</x:v>
      </x:c>
      <x:c r="E307" s="7" t="str">
        <x:v>AM-05</x:v>
      </x:c>
      <x:c r="F307" s="7" t="str">
        <x:v>TR-B</x:v>
      </x:c>
      <x:c r="G307" s="7" t="str">
        <x:v>QE-02</x:v>
      </x:c>
      <x:c r="H307" s="7" t="str">
        <x:v>pre-event background</x:v>
      </x:c>
      <x:c r="I307" s="10" t="str"/>
      <x:c r="J307" s="7" t="str"/>
      <x:c r="K307" s="7" t="str">
        <x:v>OPEN</x:v>
      </x:c>
    </x:row>
    <x:row r="308" ht="34" customHeight="1">
      <x:c r="B308" s="7" t="str">
        <x:v>RAE-S-302</x:v>
      </x:c>
      <x:c r="C308" s="7" t="str">
        <x:v>RAE-E-44</x:v>
      </x:c>
      <x:c r="D308" s="7" t="str">
        <x:v>RFP-C2</x:v>
      </x:c>
      <x:c r="E308" s="7" t="str">
        <x:v>AM-05</x:v>
      </x:c>
      <x:c r="F308" s="7" t="str">
        <x:v>TR-B</x:v>
      </x:c>
      <x:c r="G308" s="7" t="str">
        <x:v>QE-02</x:v>
      </x:c>
      <x:c r="H308" s="7" t="str">
        <x:v>post-event pan</x:v>
      </x:c>
      <x:c r="I308" s="10" t="str"/>
      <x:c r="J308" s="7" t="str"/>
      <x:c r="K308" s="7" t="str">
        <x:v>OPEN</x:v>
      </x:c>
    </x:row>
    <x:row r="309" ht="34" customHeight="1">
      <x:c r="B309" s="7" t="str">
        <x:v>RAE-S-303</x:v>
      </x:c>
      <x:c r="C309" s="7" t="str">
        <x:v>RAE-E-44</x:v>
      </x:c>
      <x:c r="D309" s="7" t="str">
        <x:v>RFP-C2</x:v>
      </x:c>
      <x:c r="E309" s="7" t="str">
        <x:v>AM-05</x:v>
      </x:c>
      <x:c r="F309" s="7" t="str">
        <x:v>TR-B</x:v>
      </x:c>
      <x:c r="G309" s="7" t="str">
        <x:v>QE-02</x:v>
      </x:c>
      <x:c r="H309" s="7" t="str">
        <x:v>post-event catchment</x:v>
      </x:c>
      <x:c r="I309" s="10" t="str"/>
      <x:c r="J309" s="7" t="str"/>
      <x:c r="K309" s="7" t="str">
        <x:v>OPEN</x:v>
      </x:c>
    </x:row>
    <x:row r="310" ht="34" customHeight="1">
      <x:c r="B310" s="7" t="str">
        <x:v>RAE-S-304</x:v>
      </x:c>
      <x:c r="C310" s="7" t="str">
        <x:v>RAE-E-44</x:v>
      </x:c>
      <x:c r="D310" s="7" t="str">
        <x:v>RFP-C2</x:v>
      </x:c>
      <x:c r="E310" s="7" t="str">
        <x:v>AM-05</x:v>
      </x:c>
      <x:c r="F310" s="7" t="str">
        <x:v>TR-B</x:v>
      </x:c>
      <x:c r="G310" s="7" t="str">
        <x:v>QE-02</x:v>
      </x:c>
      <x:c r="H310" s="7" t="str">
        <x:v>downwind boundary</x:v>
      </x:c>
      <x:c r="I310" s="10" t="str"/>
      <x:c r="J310" s="7" t="str"/>
      <x:c r="K310" s="7" t="str">
        <x:v>OPEN</x:v>
      </x:c>
    </x:row>
    <x:row r="311" ht="34" customHeight="1">
      <x:c r="B311" s="7" t="str">
        <x:v>RAE-S-305</x:v>
      </x:c>
      <x:c r="C311" s="7" t="str">
        <x:v>RAE-E-44</x:v>
      </x:c>
      <x:c r="D311" s="7" t="str">
        <x:v>RFP-C2</x:v>
      </x:c>
      <x:c r="E311" s="7" t="str">
        <x:v>AM-05</x:v>
      </x:c>
      <x:c r="F311" s="7" t="str">
        <x:v>TR-B</x:v>
      </x:c>
      <x:c r="G311" s="7" t="str">
        <x:v>QE-02</x:v>
      </x:c>
      <x:c r="H311" s="7" t="str">
        <x:v>water receiver</x:v>
      </x:c>
      <x:c r="I311" s="10" t="str"/>
      <x:c r="J311" s="7" t="str"/>
      <x:c r="K311" s="7" t="str">
        <x:v>OPEN</x:v>
      </x:c>
    </x:row>
    <x:row r="312" ht="34" customHeight="1">
      <x:c r="B312" s="7" t="str">
        <x:v>RAE-S-306</x:v>
      </x:c>
      <x:c r="C312" s="7" t="str">
        <x:v>RAE-E-44</x:v>
      </x:c>
      <x:c r="D312" s="7" t="str">
        <x:v>RFP-C2</x:v>
      </x:c>
      <x:c r="E312" s="7" t="str">
        <x:v>AM-05</x:v>
      </x:c>
      <x:c r="F312" s="7" t="str">
        <x:v>TR-B</x:v>
      </x:c>
      <x:c r="G312" s="7" t="str">
        <x:v>QE-02</x:v>
      </x:c>
      <x:c r="H312" s="7" t="str">
        <x:v>archive control</x:v>
      </x:c>
      <x:c r="I312" s="10" t="str"/>
      <x:c r="J312" s="7" t="str"/>
      <x:c r="K312" s="7" t="str">
        <x:v>OPEN</x:v>
      </x:c>
    </x:row>
    <x:row r="313" ht="34" customHeight="1">
      <x:c r="B313" s="7" t="str">
        <x:v>RAE-S-307</x:v>
      </x:c>
      <x:c r="C313" s="7" t="str">
        <x:v>RAE-E-44</x:v>
      </x:c>
      <x:c r="D313" s="7" t="str">
        <x:v>RFP-C2</x:v>
      </x:c>
      <x:c r="E313" s="7" t="str">
        <x:v>AM-05</x:v>
      </x:c>
      <x:c r="F313" s="7" t="str">
        <x:v>TR-B</x:v>
      </x:c>
      <x:c r="G313" s="7" t="str">
        <x:v>QE-02</x:v>
      </x:c>
      <x:c r="H313" s="7" t="str">
        <x:v>source pre-event</x:v>
      </x:c>
      <x:c r="I313" s="10" t="str"/>
      <x:c r="J313" s="7" t="str"/>
      <x:c r="K313" s="7" t="str">
        <x:v>OPEN</x:v>
      </x:c>
    </x:row>
    <x:row r="314" ht="34" customHeight="1">
      <x:c r="B314" s="7" t="str">
        <x:v>RAE-S-308</x:v>
      </x:c>
      <x:c r="C314" s="7" t="str">
        <x:v>RAE-E-44</x:v>
      </x:c>
      <x:c r="D314" s="7" t="str">
        <x:v>RFP-C2</x:v>
      </x:c>
      <x:c r="E314" s="7" t="str">
        <x:v>AM-05</x:v>
      </x:c>
      <x:c r="F314" s="7" t="str">
        <x:v>TR-B</x:v>
      </x:c>
      <x:c r="G314" s="7" t="str">
        <x:v>QE-02</x:v>
      </x:c>
      <x:c r="H314" s="7" t="str">
        <x:v>source post-event</x:v>
      </x:c>
      <x:c r="I314" s="10" t="str"/>
      <x:c r="J314" s="7" t="str"/>
      <x:c r="K314" s="7" t="str">
        <x:v>OPEN</x:v>
      </x:c>
    </x:row>
    <x:row r="315" ht="34" customHeight="1">
      <x:c r="B315" s="7" t="str">
        <x:v>RAE-S-309</x:v>
      </x:c>
      <x:c r="C315" s="7" t="str">
        <x:v>RAE-E-45</x:v>
      </x:c>
      <x:c r="D315" s="7" t="str">
        <x:v>RFP-C2</x:v>
      </x:c>
      <x:c r="E315" s="7" t="str">
        <x:v>AM-06</x:v>
      </x:c>
      <x:c r="F315" s="7" t="str">
        <x:v>TR-A</x:v>
      </x:c>
      <x:c r="G315" s="7" t="str">
        <x:v>QE-01</x:v>
      </x:c>
      <x:c r="H315" s="7" t="str">
        <x:v>pre-event background</x:v>
      </x:c>
      <x:c r="I315" s="10" t="str"/>
      <x:c r="J315" s="7" t="str"/>
      <x:c r="K315" s="7" t="str">
        <x:v>OPEN</x:v>
      </x:c>
    </x:row>
    <x:row r="316" ht="34" customHeight="1">
      <x:c r="B316" s="7" t="str">
        <x:v>RAE-S-310</x:v>
      </x:c>
      <x:c r="C316" s="7" t="str">
        <x:v>RAE-E-45</x:v>
      </x:c>
      <x:c r="D316" s="7" t="str">
        <x:v>RFP-C2</x:v>
      </x:c>
      <x:c r="E316" s="7" t="str">
        <x:v>AM-06</x:v>
      </x:c>
      <x:c r="F316" s="7" t="str">
        <x:v>TR-A</x:v>
      </x:c>
      <x:c r="G316" s="7" t="str">
        <x:v>QE-01</x:v>
      </x:c>
      <x:c r="H316" s="7" t="str">
        <x:v>post-event pan</x:v>
      </x:c>
      <x:c r="I316" s="10" t="str"/>
      <x:c r="J316" s="7" t="str"/>
      <x:c r="K316" s="7" t="str">
        <x:v>OPEN</x:v>
      </x:c>
    </x:row>
    <x:row r="317" ht="34" customHeight="1">
      <x:c r="B317" s="7" t="str">
        <x:v>RAE-S-311</x:v>
      </x:c>
      <x:c r="C317" s="7" t="str">
        <x:v>RAE-E-45</x:v>
      </x:c>
      <x:c r="D317" s="7" t="str">
        <x:v>RFP-C2</x:v>
      </x:c>
      <x:c r="E317" s="7" t="str">
        <x:v>AM-06</x:v>
      </x:c>
      <x:c r="F317" s="7" t="str">
        <x:v>TR-A</x:v>
      </x:c>
      <x:c r="G317" s="7" t="str">
        <x:v>QE-01</x:v>
      </x:c>
      <x:c r="H317" s="7" t="str">
        <x:v>post-event catchment</x:v>
      </x:c>
      <x:c r="I317" s="10" t="str"/>
      <x:c r="J317" s="7" t="str"/>
      <x:c r="K317" s="7" t="str">
        <x:v>OPEN</x:v>
      </x:c>
    </x:row>
    <x:row r="318" ht="34" customHeight="1">
      <x:c r="B318" s="7" t="str">
        <x:v>RAE-S-312</x:v>
      </x:c>
      <x:c r="C318" s="7" t="str">
        <x:v>RAE-E-45</x:v>
      </x:c>
      <x:c r="D318" s="7" t="str">
        <x:v>RFP-C2</x:v>
      </x:c>
      <x:c r="E318" s="7" t="str">
        <x:v>AM-06</x:v>
      </x:c>
      <x:c r="F318" s="7" t="str">
        <x:v>TR-A</x:v>
      </x:c>
      <x:c r="G318" s="7" t="str">
        <x:v>QE-01</x:v>
      </x:c>
      <x:c r="H318" s="7" t="str">
        <x:v>downwind boundary</x:v>
      </x:c>
      <x:c r="I318" s="10" t="str"/>
      <x:c r="J318" s="7" t="str"/>
      <x:c r="K318" s="7" t="str">
        <x:v>OPEN</x:v>
      </x:c>
    </x:row>
    <x:row r="319" ht="34" customHeight="1">
      <x:c r="B319" s="7" t="str">
        <x:v>RAE-S-313</x:v>
      </x:c>
      <x:c r="C319" s="7" t="str">
        <x:v>RAE-E-45</x:v>
      </x:c>
      <x:c r="D319" s="7" t="str">
        <x:v>RFP-C2</x:v>
      </x:c>
      <x:c r="E319" s="7" t="str">
        <x:v>AM-06</x:v>
      </x:c>
      <x:c r="F319" s="7" t="str">
        <x:v>TR-A</x:v>
      </x:c>
      <x:c r="G319" s="7" t="str">
        <x:v>QE-01</x:v>
      </x:c>
      <x:c r="H319" s="7" t="str">
        <x:v>water receiver</x:v>
      </x:c>
      <x:c r="I319" s="10" t="str"/>
      <x:c r="J319" s="7" t="str"/>
      <x:c r="K319" s="7" t="str">
        <x:v>OPEN</x:v>
      </x:c>
    </x:row>
    <x:row r="320" ht="34" customHeight="1">
      <x:c r="B320" s="7" t="str">
        <x:v>RAE-S-314</x:v>
      </x:c>
      <x:c r="C320" s="7" t="str">
        <x:v>RAE-E-45</x:v>
      </x:c>
      <x:c r="D320" s="7" t="str">
        <x:v>RFP-C2</x:v>
      </x:c>
      <x:c r="E320" s="7" t="str">
        <x:v>AM-06</x:v>
      </x:c>
      <x:c r="F320" s="7" t="str">
        <x:v>TR-A</x:v>
      </x:c>
      <x:c r="G320" s="7" t="str">
        <x:v>QE-01</x:v>
      </x:c>
      <x:c r="H320" s="7" t="str">
        <x:v>archive control</x:v>
      </x:c>
      <x:c r="I320" s="10" t="str"/>
      <x:c r="J320" s="7" t="str"/>
      <x:c r="K320" s="7" t="str">
        <x:v>OPEN</x:v>
      </x:c>
    </x:row>
    <x:row r="321" ht="34" customHeight="1">
      <x:c r="B321" s="7" t="str">
        <x:v>RAE-S-315</x:v>
      </x:c>
      <x:c r="C321" s="7" t="str">
        <x:v>RAE-E-46</x:v>
      </x:c>
      <x:c r="D321" s="7" t="str">
        <x:v>RFP-C2</x:v>
      </x:c>
      <x:c r="E321" s="7" t="str">
        <x:v>AM-06</x:v>
      </x:c>
      <x:c r="F321" s="7" t="str">
        <x:v>TR-A</x:v>
      </x:c>
      <x:c r="G321" s="7" t="str">
        <x:v>QE-02</x:v>
      </x:c>
      <x:c r="H321" s="7" t="str">
        <x:v>pre-event background</x:v>
      </x:c>
      <x:c r="I321" s="10" t="str"/>
      <x:c r="J321" s="7" t="str"/>
      <x:c r="K321" s="7" t="str">
        <x:v>OPEN</x:v>
      </x:c>
    </x:row>
    <x:row r="322" ht="34" customHeight="1">
      <x:c r="B322" s="7" t="str">
        <x:v>RAE-S-316</x:v>
      </x:c>
      <x:c r="C322" s="7" t="str">
        <x:v>RAE-E-46</x:v>
      </x:c>
      <x:c r="D322" s="7" t="str">
        <x:v>RFP-C2</x:v>
      </x:c>
      <x:c r="E322" s="7" t="str">
        <x:v>AM-06</x:v>
      </x:c>
      <x:c r="F322" s="7" t="str">
        <x:v>TR-A</x:v>
      </x:c>
      <x:c r="G322" s="7" t="str">
        <x:v>QE-02</x:v>
      </x:c>
      <x:c r="H322" s="7" t="str">
        <x:v>post-event pan</x:v>
      </x:c>
      <x:c r="I322" s="10" t="str"/>
      <x:c r="J322" s="7" t="str"/>
      <x:c r="K322" s="7" t="str">
        <x:v>OPEN</x:v>
      </x:c>
    </x:row>
    <x:row r="323" ht="34" customHeight="1">
      <x:c r="B323" s="7" t="str">
        <x:v>RAE-S-317</x:v>
      </x:c>
      <x:c r="C323" s="7" t="str">
        <x:v>RAE-E-46</x:v>
      </x:c>
      <x:c r="D323" s="7" t="str">
        <x:v>RFP-C2</x:v>
      </x:c>
      <x:c r="E323" s="7" t="str">
        <x:v>AM-06</x:v>
      </x:c>
      <x:c r="F323" s="7" t="str">
        <x:v>TR-A</x:v>
      </x:c>
      <x:c r="G323" s="7" t="str">
        <x:v>QE-02</x:v>
      </x:c>
      <x:c r="H323" s="7" t="str">
        <x:v>post-event catchment</x:v>
      </x:c>
      <x:c r="I323" s="10" t="str"/>
      <x:c r="J323" s="7" t="str"/>
      <x:c r="K323" s="7" t="str">
        <x:v>OPEN</x:v>
      </x:c>
    </x:row>
    <x:row r="324" ht="34" customHeight="1">
      <x:c r="B324" s="7" t="str">
        <x:v>RAE-S-318</x:v>
      </x:c>
      <x:c r="C324" s="7" t="str">
        <x:v>RAE-E-46</x:v>
      </x:c>
      <x:c r="D324" s="7" t="str">
        <x:v>RFP-C2</x:v>
      </x:c>
      <x:c r="E324" s="7" t="str">
        <x:v>AM-06</x:v>
      </x:c>
      <x:c r="F324" s="7" t="str">
        <x:v>TR-A</x:v>
      </x:c>
      <x:c r="G324" s="7" t="str">
        <x:v>QE-02</x:v>
      </x:c>
      <x:c r="H324" s="7" t="str">
        <x:v>downwind boundary</x:v>
      </x:c>
      <x:c r="I324" s="10" t="str"/>
      <x:c r="J324" s="7" t="str"/>
      <x:c r="K324" s="7" t="str">
        <x:v>OPEN</x:v>
      </x:c>
    </x:row>
    <x:row r="325" ht="34" customHeight="1">
      <x:c r="B325" s="7" t="str">
        <x:v>RAE-S-319</x:v>
      </x:c>
      <x:c r="C325" s="7" t="str">
        <x:v>RAE-E-46</x:v>
      </x:c>
      <x:c r="D325" s="7" t="str">
        <x:v>RFP-C2</x:v>
      </x:c>
      <x:c r="E325" s="7" t="str">
        <x:v>AM-06</x:v>
      </x:c>
      <x:c r="F325" s="7" t="str">
        <x:v>TR-A</x:v>
      </x:c>
      <x:c r="G325" s="7" t="str">
        <x:v>QE-02</x:v>
      </x:c>
      <x:c r="H325" s="7" t="str">
        <x:v>water receiver</x:v>
      </x:c>
      <x:c r="I325" s="10" t="str"/>
      <x:c r="J325" s="7" t="str"/>
      <x:c r="K325" s="7" t="str">
        <x:v>OPEN</x:v>
      </x:c>
    </x:row>
    <x:row r="326" ht="34" customHeight="1">
      <x:c r="B326" s="7" t="str">
        <x:v>RAE-S-320</x:v>
      </x:c>
      <x:c r="C326" s="7" t="str">
        <x:v>RAE-E-46</x:v>
      </x:c>
      <x:c r="D326" s="7" t="str">
        <x:v>RFP-C2</x:v>
      </x:c>
      <x:c r="E326" s="7" t="str">
        <x:v>AM-06</x:v>
      </x:c>
      <x:c r="F326" s="7" t="str">
        <x:v>TR-A</x:v>
      </x:c>
      <x:c r="G326" s="7" t="str">
        <x:v>QE-02</x:v>
      </x:c>
      <x:c r="H326" s="7" t="str">
        <x:v>archive control</x:v>
      </x:c>
      <x:c r="I326" s="10" t="str"/>
      <x:c r="J326" s="7" t="str"/>
      <x:c r="K326" s="7" t="str">
        <x:v>OPEN</x:v>
      </x:c>
    </x:row>
    <x:row r="327" ht="34" customHeight="1">
      <x:c r="B327" s="7" t="str">
        <x:v>RAE-S-321</x:v>
      </x:c>
      <x:c r="C327" s="7" t="str">
        <x:v>RAE-E-46</x:v>
      </x:c>
      <x:c r="D327" s="7" t="str">
        <x:v>RFP-C2</x:v>
      </x:c>
      <x:c r="E327" s="7" t="str">
        <x:v>AM-06</x:v>
      </x:c>
      <x:c r="F327" s="7" t="str">
        <x:v>TR-A</x:v>
      </x:c>
      <x:c r="G327" s="7" t="str">
        <x:v>QE-02</x:v>
      </x:c>
      <x:c r="H327" s="7" t="str">
        <x:v>source pre-event</x:v>
      </x:c>
      <x:c r="I327" s="10" t="str"/>
      <x:c r="J327" s="7" t="str"/>
      <x:c r="K327" s="7" t="str">
        <x:v>OPEN</x:v>
      </x:c>
    </x:row>
    <x:row r="328" ht="34" customHeight="1">
      <x:c r="B328" s="7" t="str">
        <x:v>RAE-S-322</x:v>
      </x:c>
      <x:c r="C328" s="7" t="str">
        <x:v>RAE-E-46</x:v>
      </x:c>
      <x:c r="D328" s="7" t="str">
        <x:v>RFP-C2</x:v>
      </x:c>
      <x:c r="E328" s="7" t="str">
        <x:v>AM-06</x:v>
      </x:c>
      <x:c r="F328" s="7" t="str">
        <x:v>TR-A</x:v>
      </x:c>
      <x:c r="G328" s="7" t="str">
        <x:v>QE-02</x:v>
      </x:c>
      <x:c r="H328" s="7" t="str">
        <x:v>source post-event</x:v>
      </x:c>
      <x:c r="I328" s="10" t="str"/>
      <x:c r="J328" s="7" t="str"/>
      <x:c r="K328" s="7" t="str">
        <x:v>OPEN</x:v>
      </x:c>
    </x:row>
    <x:row r="329" ht="34" customHeight="1">
      <x:c r="B329" s="7" t="str">
        <x:v>RAE-S-323</x:v>
      </x:c>
      <x:c r="C329" s="7" t="str">
        <x:v>RAE-E-47</x:v>
      </x:c>
      <x:c r="D329" s="7" t="str">
        <x:v>RFP-C2</x:v>
      </x:c>
      <x:c r="E329" s="7" t="str">
        <x:v>AM-06</x:v>
      </x:c>
      <x:c r="F329" s="7" t="str">
        <x:v>TR-B</x:v>
      </x:c>
      <x:c r="G329" s="7" t="str">
        <x:v>QE-01</x:v>
      </x:c>
      <x:c r="H329" s="7" t="str">
        <x:v>pre-event background</x:v>
      </x:c>
      <x:c r="I329" s="10" t="str"/>
      <x:c r="J329" s="7" t="str"/>
      <x:c r="K329" s="7" t="str">
        <x:v>OPEN</x:v>
      </x:c>
    </x:row>
    <x:row r="330" ht="34" customHeight="1">
      <x:c r="B330" s="7" t="str">
        <x:v>RAE-S-324</x:v>
      </x:c>
      <x:c r="C330" s="7" t="str">
        <x:v>RAE-E-47</x:v>
      </x:c>
      <x:c r="D330" s="7" t="str">
        <x:v>RFP-C2</x:v>
      </x:c>
      <x:c r="E330" s="7" t="str">
        <x:v>AM-06</x:v>
      </x:c>
      <x:c r="F330" s="7" t="str">
        <x:v>TR-B</x:v>
      </x:c>
      <x:c r="G330" s="7" t="str">
        <x:v>QE-01</x:v>
      </x:c>
      <x:c r="H330" s="7" t="str">
        <x:v>post-event pan</x:v>
      </x:c>
      <x:c r="I330" s="10" t="str"/>
      <x:c r="J330" s="7" t="str"/>
      <x:c r="K330" s="7" t="str">
        <x:v>OPEN</x:v>
      </x:c>
    </x:row>
    <x:row r="331" ht="34" customHeight="1">
      <x:c r="B331" s="7" t="str">
        <x:v>RAE-S-325</x:v>
      </x:c>
      <x:c r="C331" s="7" t="str">
        <x:v>RAE-E-47</x:v>
      </x:c>
      <x:c r="D331" s="7" t="str">
        <x:v>RFP-C2</x:v>
      </x:c>
      <x:c r="E331" s="7" t="str">
        <x:v>AM-06</x:v>
      </x:c>
      <x:c r="F331" s="7" t="str">
        <x:v>TR-B</x:v>
      </x:c>
      <x:c r="G331" s="7" t="str">
        <x:v>QE-01</x:v>
      </x:c>
      <x:c r="H331" s="7" t="str">
        <x:v>post-event catchment</x:v>
      </x:c>
      <x:c r="I331" s="10" t="str"/>
      <x:c r="J331" s="7" t="str"/>
      <x:c r="K331" s="7" t="str">
        <x:v>OPEN</x:v>
      </x:c>
    </x:row>
    <x:row r="332" ht="34" customHeight="1">
      <x:c r="B332" s="7" t="str">
        <x:v>RAE-S-326</x:v>
      </x:c>
      <x:c r="C332" s="7" t="str">
        <x:v>RAE-E-47</x:v>
      </x:c>
      <x:c r="D332" s="7" t="str">
        <x:v>RFP-C2</x:v>
      </x:c>
      <x:c r="E332" s="7" t="str">
        <x:v>AM-06</x:v>
      </x:c>
      <x:c r="F332" s="7" t="str">
        <x:v>TR-B</x:v>
      </x:c>
      <x:c r="G332" s="7" t="str">
        <x:v>QE-01</x:v>
      </x:c>
      <x:c r="H332" s="7" t="str">
        <x:v>downwind boundary</x:v>
      </x:c>
      <x:c r="I332" s="10" t="str"/>
      <x:c r="J332" s="7" t="str"/>
      <x:c r="K332" s="7" t="str">
        <x:v>OPEN</x:v>
      </x:c>
    </x:row>
    <x:row r="333" ht="34" customHeight="1">
      <x:c r="B333" s="7" t="str">
        <x:v>RAE-S-327</x:v>
      </x:c>
      <x:c r="C333" s="7" t="str">
        <x:v>RAE-E-47</x:v>
      </x:c>
      <x:c r="D333" s="7" t="str">
        <x:v>RFP-C2</x:v>
      </x:c>
      <x:c r="E333" s="7" t="str">
        <x:v>AM-06</x:v>
      </x:c>
      <x:c r="F333" s="7" t="str">
        <x:v>TR-B</x:v>
      </x:c>
      <x:c r="G333" s="7" t="str">
        <x:v>QE-01</x:v>
      </x:c>
      <x:c r="H333" s="7" t="str">
        <x:v>water receiver</x:v>
      </x:c>
      <x:c r="I333" s="10" t="str"/>
      <x:c r="J333" s="7" t="str"/>
      <x:c r="K333" s="7" t="str">
        <x:v>OPEN</x:v>
      </x:c>
    </x:row>
    <x:row r="334" ht="34" customHeight="1">
      <x:c r="B334" s="7" t="str">
        <x:v>RAE-S-328</x:v>
      </x:c>
      <x:c r="C334" s="7" t="str">
        <x:v>RAE-E-47</x:v>
      </x:c>
      <x:c r="D334" s="7" t="str">
        <x:v>RFP-C2</x:v>
      </x:c>
      <x:c r="E334" s="7" t="str">
        <x:v>AM-06</x:v>
      </x:c>
      <x:c r="F334" s="7" t="str">
        <x:v>TR-B</x:v>
      </x:c>
      <x:c r="G334" s="7" t="str">
        <x:v>QE-01</x:v>
      </x:c>
      <x:c r="H334" s="7" t="str">
        <x:v>archive control</x:v>
      </x:c>
      <x:c r="I334" s="10" t="str"/>
      <x:c r="J334" s="7" t="str"/>
      <x:c r="K334" s="7" t="str">
        <x:v>OPEN</x:v>
      </x:c>
    </x:row>
    <x:row r="335" ht="34" customHeight="1">
      <x:c r="B335" s="7" t="str">
        <x:v>RAE-S-329</x:v>
      </x:c>
      <x:c r="C335" s="7" t="str">
        <x:v>RAE-E-48</x:v>
      </x:c>
      <x:c r="D335" s="7" t="str">
        <x:v>RFP-C2</x:v>
      </x:c>
      <x:c r="E335" s="7" t="str">
        <x:v>AM-06</x:v>
      </x:c>
      <x:c r="F335" s="7" t="str">
        <x:v>TR-B</x:v>
      </x:c>
      <x:c r="G335" s="7" t="str">
        <x:v>QE-02</x:v>
      </x:c>
      <x:c r="H335" s="7" t="str">
        <x:v>pre-event background</x:v>
      </x:c>
      <x:c r="I335" s="10" t="str"/>
      <x:c r="J335" s="7" t="str"/>
      <x:c r="K335" s="7" t="str">
        <x:v>OPEN</x:v>
      </x:c>
    </x:row>
    <x:row r="336" ht="34" customHeight="1">
      <x:c r="B336" s="7" t="str">
        <x:v>RAE-S-330</x:v>
      </x:c>
      <x:c r="C336" s="7" t="str">
        <x:v>RAE-E-48</x:v>
      </x:c>
      <x:c r="D336" s="7" t="str">
        <x:v>RFP-C2</x:v>
      </x:c>
      <x:c r="E336" s="7" t="str">
        <x:v>AM-06</x:v>
      </x:c>
      <x:c r="F336" s="7" t="str">
        <x:v>TR-B</x:v>
      </x:c>
      <x:c r="G336" s="7" t="str">
        <x:v>QE-02</x:v>
      </x:c>
      <x:c r="H336" s="7" t="str">
        <x:v>post-event pan</x:v>
      </x:c>
      <x:c r="I336" s="10" t="str"/>
      <x:c r="J336" s="7" t="str"/>
      <x:c r="K336" s="7" t="str">
        <x:v>OPEN</x:v>
      </x:c>
    </x:row>
    <x:row r="337" ht="34" customHeight="1">
      <x:c r="B337" s="7" t="str">
        <x:v>RAE-S-331</x:v>
      </x:c>
      <x:c r="C337" s="7" t="str">
        <x:v>RAE-E-48</x:v>
      </x:c>
      <x:c r="D337" s="7" t="str">
        <x:v>RFP-C2</x:v>
      </x:c>
      <x:c r="E337" s="7" t="str">
        <x:v>AM-06</x:v>
      </x:c>
      <x:c r="F337" s="7" t="str">
        <x:v>TR-B</x:v>
      </x:c>
      <x:c r="G337" s="7" t="str">
        <x:v>QE-02</x:v>
      </x:c>
      <x:c r="H337" s="7" t="str">
        <x:v>post-event catchment</x:v>
      </x:c>
      <x:c r="I337" s="10" t="str"/>
      <x:c r="J337" s="7" t="str"/>
      <x:c r="K337" s="7" t="str">
        <x:v>OPEN</x:v>
      </x:c>
    </x:row>
    <x:row r="338" ht="34" customHeight="1">
      <x:c r="B338" s="7" t="str">
        <x:v>RAE-S-332</x:v>
      </x:c>
      <x:c r="C338" s="7" t="str">
        <x:v>RAE-E-48</x:v>
      </x:c>
      <x:c r="D338" s="7" t="str">
        <x:v>RFP-C2</x:v>
      </x:c>
      <x:c r="E338" s="7" t="str">
        <x:v>AM-06</x:v>
      </x:c>
      <x:c r="F338" s="7" t="str">
        <x:v>TR-B</x:v>
      </x:c>
      <x:c r="G338" s="7" t="str">
        <x:v>QE-02</x:v>
      </x:c>
      <x:c r="H338" s="7" t="str">
        <x:v>downwind boundary</x:v>
      </x:c>
      <x:c r="I338" s="10" t="str"/>
      <x:c r="J338" s="7" t="str"/>
      <x:c r="K338" s="7" t="str">
        <x:v>OPEN</x:v>
      </x:c>
    </x:row>
    <x:row r="339" ht="34" customHeight="1">
      <x:c r="B339" s="7" t="str">
        <x:v>RAE-S-333</x:v>
      </x:c>
      <x:c r="C339" s="7" t="str">
        <x:v>RAE-E-48</x:v>
      </x:c>
      <x:c r="D339" s="7" t="str">
        <x:v>RFP-C2</x:v>
      </x:c>
      <x:c r="E339" s="7" t="str">
        <x:v>AM-06</x:v>
      </x:c>
      <x:c r="F339" s="7" t="str">
        <x:v>TR-B</x:v>
      </x:c>
      <x:c r="G339" s="7" t="str">
        <x:v>QE-02</x:v>
      </x:c>
      <x:c r="H339" s="7" t="str">
        <x:v>water receiver</x:v>
      </x:c>
      <x:c r="I339" s="10" t="str"/>
      <x:c r="J339" s="7" t="str"/>
      <x:c r="K339" s="7" t="str">
        <x:v>OPEN</x:v>
      </x:c>
    </x:row>
    <x:row r="340" ht="34" customHeight="1">
      <x:c r="B340" s="7" t="str">
        <x:v>RAE-S-334</x:v>
      </x:c>
      <x:c r="C340" s="7" t="str">
        <x:v>RAE-E-48</x:v>
      </x:c>
      <x:c r="D340" s="7" t="str">
        <x:v>RFP-C2</x:v>
      </x:c>
      <x:c r="E340" s="7" t="str">
        <x:v>AM-06</x:v>
      </x:c>
      <x:c r="F340" s="7" t="str">
        <x:v>TR-B</x:v>
      </x:c>
      <x:c r="G340" s="7" t="str">
        <x:v>QE-02</x:v>
      </x:c>
      <x:c r="H340" s="7" t="str">
        <x:v>archive control</x:v>
      </x:c>
      <x:c r="I340" s="10" t="str"/>
      <x:c r="J340" s="7" t="str"/>
      <x:c r="K340" s="7" t="str">
        <x:v>OPEN</x:v>
      </x:c>
    </x:row>
    <x:row r="341" ht="34" customHeight="1">
      <x:c r="B341" s="7" t="str">
        <x:v>RAE-S-335</x:v>
      </x:c>
      <x:c r="C341" s="7" t="str">
        <x:v>RAE-E-48</x:v>
      </x:c>
      <x:c r="D341" s="7" t="str">
        <x:v>RFP-C2</x:v>
      </x:c>
      <x:c r="E341" s="7" t="str">
        <x:v>AM-06</x:v>
      </x:c>
      <x:c r="F341" s="7" t="str">
        <x:v>TR-B</x:v>
      </x:c>
      <x:c r="G341" s="7" t="str">
        <x:v>QE-02</x:v>
      </x:c>
      <x:c r="H341" s="7" t="str">
        <x:v>source pre-event</x:v>
      </x:c>
      <x:c r="I341" s="10" t="str"/>
      <x:c r="J341" s="7" t="str"/>
      <x:c r="K341" s="7" t="str">
        <x:v>OPEN</x:v>
      </x:c>
    </x:row>
    <x:row r="342" ht="34" customHeight="1">
      <x:c r="B342" s="7" t="str">
        <x:v>RAE-S-336</x:v>
      </x:c>
      <x:c r="C342" s="7" t="str">
        <x:v>RAE-E-48</x:v>
      </x:c>
      <x:c r="D342" s="7" t="str">
        <x:v>RFP-C2</x:v>
      </x:c>
      <x:c r="E342" s="7" t="str">
        <x:v>AM-06</x:v>
      </x:c>
      <x:c r="F342" s="7" t="str">
        <x:v>TR-B</x:v>
      </x:c>
      <x:c r="G342" s="7" t="str">
        <x:v>QE-02</x:v>
      </x:c>
      <x:c r="H342" s="7" t="str">
        <x:v>source post-event</x:v>
      </x:c>
      <x:c r="I342" s="10" t="str"/>
      <x:c r="J342" s="7" t="str"/>
      <x:c r="K342" s="7" t="str">
        <x:v>OPEN</x:v>
      </x:c>
    </x:row>
  </x:sheetData>
  <x:conditionalFormatting sqref="K7:K342">
    <x:cfRule type="containsText" dxfId="153" priority="1" operator="containsText" text="FAIL"/>
    <x:cfRule type="containsText" dxfId="154" priority="2" operator="containsText" text="INVALID"/>
    <x:cfRule type="containsText" dxfId="155" priority="3" operator="containsText" text="BLOCKED"/>
    <x:cfRule type="containsText" dxfId="156" priority="4" operator="containsText" text="OPEN"/>
    <x:cfRule type="containsText" dxfId="157" priority="5" operator="containsText" text="HELD"/>
    <x:cfRule type="containsText" dxfId="158" priority="6" operator="containsText" text="DORMANT"/>
    <x:cfRule type="containsText" dxfId="159" priority="7" operator="containsText" text="PASS"/>
    <x:cfRule type="containsText" dxfId="160" priority="8" operator="containsText" text="VALID"/>
    <x:cfRule type="containsText" dxfId="161" priority="9" operator="containsText" text="ISSUED"/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2" hidden="0" customWidth="1"/>
    <x:col min="3" max="3" width="16" hidden="0" customWidth="1"/>
    <x:col min="4" max="4" width="14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6" hidden="0" customWidth="1"/>
    <x:col min="10" max="10" width="16" hidden="0" customWidth="1"/>
    <x:col min="11" max="11" width="16" hidden="0" customWidth="1"/>
    <x:col min="12" max="12" width="22" hidden="0" customWidth="1"/>
    <x:col min="13" max="13" width="15" hidden="0" customWidth="1"/>
    <x:col min="14" max="14" width="17" hidden="0" customWidth="1"/>
    <x:col min="15" max="15" width="16" hidden="0" customWidth="1"/>
    <x:col min="16" max="16" width="14" hidden="0" customWidth="1"/>
    <x:col min="17" max="17" width="14" hidden="0" customWidth="1"/>
    <x:col min="18" max="18" width="13" hidden="0" customWidth="1"/>
    <x:col min="19" max="19" width="12" hidden="0" customWidth="1"/>
    <x:col min="20" max="20" width="17" hidden="0" customWidth="1"/>
    <x:col min="21" max="21" width="12" hidden="0" customWidth="1"/>
    <x:col min="22" max="22" width="25" hidden="0" customWidth="1"/>
    <x:col min="23" max="23" width="14" hidden="0" customWidth="1"/>
  </x:cols>
  <x:sheetData>
    <x:row r="2">
      <x:c r="B2" s="1" t="str">
        <x:v>Forty-eight executable event-issue dossiers</x:v>
      </x:c>
    </x:row>
    <x:row r="3">
      <x:c r="B3" s="2" t="str">
        <x:v>Counts express the minimum accepted physical objects required for the registered event. The issuer remains blank until those objects are accepted on one baseline.</x:v>
      </x:c>
    </x:row>
    <x:row r="6" ht="24" customHeight="1">
      <x:c r="B6" s="6" t="str">
        <x:v>Issue record</x:v>
      </x:c>
      <x:c r="C6" s="6" t="str">
        <x:v>Event</x:v>
      </x:c>
      <x:c r="D6" s="6" t="str">
        <x:v>Rig</x:v>
      </x:c>
      <x:c r="E6" s="6" t="str">
        <x:v>Method</x:v>
      </x:c>
      <x:c r="F6" s="6" t="str">
        <x:v>Root</x:v>
      </x:c>
      <x:c r="G6" s="6" t="str">
        <x:v>Class</x:v>
      </x:c>
      <x:c r="H6" s="6" t="str">
        <x:v>Article</x:v>
      </x:c>
      <x:c r="I6" s="6" t="str">
        <x:v>Cell sections</x:v>
      </x:c>
      <x:c r="J6" s="6" t="str">
        <x:v>Config master</x:v>
      </x:c>
      <x:c r="K6" s="6" t="str">
        <x:v>Source package</x:v>
      </x:c>
      <x:c r="L6" s="6" t="str">
        <x:v>Source characteristics</x:v>
      </x:c>
      <x:c r="M6" s="6" t="str">
        <x:v>Water package</x:v>
      </x:c>
      <x:c r="N6" s="6" t="str">
        <x:v>Control elements</x:v>
      </x:c>
      <x:c r="O6" s="6" t="str">
        <x:v>Safeing paths</x:v>
      </x:c>
      <x:c r="P6" s="6" t="str">
        <x:v>Path proofs</x:v>
      </x:c>
      <x:c r="Q6" s="6" t="str">
        <x:v>Walkdowns</x:v>
      </x:c>
      <x:c r="R6" s="6" t="str">
        <x:v>Neighbors</x:v>
      </x:c>
      <x:c r="S6" s="6" t="str">
        <x:v>Holds</x:v>
      </x:c>
      <x:c r="T6" s="6" t="str">
        <x:v>Evidence objects</x:v>
      </x:c>
      <x:c r="U6" s="6" t="str">
        <x:v>Samples</x:v>
      </x:c>
      <x:c r="V6" s="6" t="str">
        <x:v>Issuer and UTC</x:v>
      </x:c>
      <x:c r="W6" s="6" t="str">
        <x:v>State</x:v>
      </x:c>
    </x:row>
    <x:row r="7">
      <x:c r="B7" s="7" t="str">
        <x:v>RAE-E-01-ISSUE</x:v>
      </x:c>
      <x:c r="C7" s="7" t="str">
        <x:v>RAE-E-01</x:v>
      </x:c>
      <x:c r="D7" s="7" t="str">
        <x:v>RFP-A1</x:v>
      </x:c>
      <x:c r="E7" s="7" t="str">
        <x:v>AM-05</x:v>
      </x:c>
      <x:c r="F7" s="7" t="str">
        <x:v>TR-A</x:v>
      </x:c>
      <x:c r="G7" s="7" t="str">
        <x:v>QE-01</x:v>
      </x:c>
      <x:c r="H7" s="7" t="n">
        <x:v>1</x:v>
      </x:c>
      <x:c r="I7" s="7" t="n">
        <x:v>20</x:v>
      </x:c>
      <x:c r="J7" s="7" t="n">
        <x:v>1</x:v>
      </x:c>
      <x:c r="K7" s="7" t="n">
        <x:v>0</x:v>
      </x:c>
      <x:c r="L7" s="7" t="n">
        <x:v>0</x:v>
      </x:c>
      <x:c r="M7" s="7" t="n">
        <x:v>1</x:v>
      </x:c>
      <x:c r="N7" s="7" t="n">
        <x:v>12</x:v>
      </x:c>
      <x:c r="O7" s="7" t="n">
        <x:v>36</x:v>
      </x:c>
      <x:c r="P7" s="7" t="n">
        <x:v>36</x:v>
      </x:c>
      <x:c r="Q7" s="7" t="n">
        <x:v>32</x:v>
      </x:c>
      <x:c r="R7" s="7" t="n">
        <x:v>3</x:v>
      </x:c>
      <x:c r="S7" s="7" t="n">
        <x:v>32</x:v>
      </x:c>
      <x:c r="T7" s="7" t="n">
        <x:v>12</x:v>
      </x:c>
      <x:c r="U7" s="7" t="n">
        <x:v>6</x:v>
      </x:c>
      <x:c r="V7" s="7" t="str"/>
      <x:c r="W7" s="7" t="str">
        <x:v>OPEN</x:v>
      </x:c>
    </x:row>
    <x:row r="8">
      <x:c r="B8" s="7" t="str">
        <x:v>RAE-E-02-ISSUE</x:v>
      </x:c>
      <x:c r="C8" s="7" t="str">
        <x:v>RAE-E-02</x:v>
      </x:c>
      <x:c r="D8" s="7" t="str">
        <x:v>RFP-A1</x:v>
      </x:c>
      <x:c r="E8" s="7" t="str">
        <x:v>AM-05</x:v>
      </x:c>
      <x:c r="F8" s="7" t="str">
        <x:v>TR-A</x:v>
      </x:c>
      <x:c r="G8" s="7" t="str">
        <x:v>QE-02</x:v>
      </x:c>
      <x:c r="H8" s="7" t="n">
        <x:v>1</x:v>
      </x:c>
      <x:c r="I8" s="7" t="n">
        <x:v>20</x:v>
      </x:c>
      <x:c r="J8" s="7" t="n">
        <x:v>1</x:v>
      </x:c>
      <x:c r="K8" s="7" t="n">
        <x:v>1</x:v>
      </x:c>
      <x:c r="L8" s="7" t="n">
        <x:v>10</x:v>
      </x:c>
      <x:c r="M8" s="7" t="n">
        <x:v>1</x:v>
      </x:c>
      <x:c r="N8" s="7" t="n">
        <x:v>12</x:v>
      </x:c>
      <x:c r="O8" s="7" t="n">
        <x:v>36</x:v>
      </x:c>
      <x:c r="P8" s="7" t="n">
        <x:v>36</x:v>
      </x:c>
      <x:c r="Q8" s="7" t="n">
        <x:v>32</x:v>
      </x:c>
      <x:c r="R8" s="7" t="n">
        <x:v>3</x:v>
      </x:c>
      <x:c r="S8" s="7" t="n">
        <x:v>32</x:v>
      </x:c>
      <x:c r="T8" s="7" t="n">
        <x:v>12</x:v>
      </x:c>
      <x:c r="U8" s="7" t="n">
        <x:v>8</x:v>
      </x:c>
      <x:c r="V8" s="7" t="str"/>
      <x:c r="W8" s="7" t="str">
        <x:v>OPEN</x:v>
      </x:c>
    </x:row>
    <x:row r="9">
      <x:c r="B9" s="7" t="str">
        <x:v>RAE-E-03-ISSUE</x:v>
      </x:c>
      <x:c r="C9" s="7" t="str">
        <x:v>RAE-E-03</x:v>
      </x:c>
      <x:c r="D9" s="7" t="str">
        <x:v>RFP-A1</x:v>
      </x:c>
      <x:c r="E9" s="7" t="str">
        <x:v>AM-05</x:v>
      </x:c>
      <x:c r="F9" s="7" t="str">
        <x:v>TR-B</x:v>
      </x:c>
      <x:c r="G9" s="7" t="str">
        <x:v>QE-01</x:v>
      </x:c>
      <x:c r="H9" s="7" t="n">
        <x:v>1</x:v>
      </x:c>
      <x:c r="I9" s="7" t="n">
        <x:v>20</x:v>
      </x:c>
      <x:c r="J9" s="7" t="n">
        <x:v>1</x:v>
      </x:c>
      <x:c r="K9" s="7" t="n">
        <x:v>0</x:v>
      </x:c>
      <x:c r="L9" s="7" t="n">
        <x:v>0</x:v>
      </x:c>
      <x:c r="M9" s="7" t="n">
        <x:v>1</x:v>
      </x:c>
      <x:c r="N9" s="7" t="n">
        <x:v>12</x:v>
      </x:c>
      <x:c r="O9" s="7" t="n">
        <x:v>36</x:v>
      </x:c>
      <x:c r="P9" s="7" t="n">
        <x:v>36</x:v>
      </x:c>
      <x:c r="Q9" s="7" t="n">
        <x:v>32</x:v>
      </x:c>
      <x:c r="R9" s="7" t="n">
        <x:v>3</x:v>
      </x:c>
      <x:c r="S9" s="7" t="n">
        <x:v>32</x:v>
      </x:c>
      <x:c r="T9" s="7" t="n">
        <x:v>12</x:v>
      </x:c>
      <x:c r="U9" s="7" t="n">
        <x:v>6</x:v>
      </x:c>
      <x:c r="V9" s="7" t="str"/>
      <x:c r="W9" s="7" t="str">
        <x:v>OPEN</x:v>
      </x:c>
    </x:row>
    <x:row r="10">
      <x:c r="B10" s="7" t="str">
        <x:v>RAE-E-04-ISSUE</x:v>
      </x:c>
      <x:c r="C10" s="7" t="str">
        <x:v>RAE-E-04</x:v>
      </x:c>
      <x:c r="D10" s="7" t="str">
        <x:v>RFP-A1</x:v>
      </x:c>
      <x:c r="E10" s="7" t="str">
        <x:v>AM-05</x:v>
      </x:c>
      <x:c r="F10" s="7" t="str">
        <x:v>TR-B</x:v>
      </x:c>
      <x:c r="G10" s="7" t="str">
        <x:v>QE-02</x:v>
      </x:c>
      <x:c r="H10" s="7" t="n">
        <x:v>1</x:v>
      </x:c>
      <x:c r="I10" s="7" t="n">
        <x:v>20</x:v>
      </x:c>
      <x:c r="J10" s="7" t="n">
        <x:v>1</x:v>
      </x:c>
      <x:c r="K10" s="7" t="n">
        <x:v>1</x:v>
      </x:c>
      <x:c r="L10" s="7" t="n">
        <x:v>10</x:v>
      </x:c>
      <x:c r="M10" s="7" t="n">
        <x:v>1</x:v>
      </x:c>
      <x:c r="N10" s="7" t="n">
        <x:v>12</x:v>
      </x:c>
      <x:c r="O10" s="7" t="n">
        <x:v>36</x:v>
      </x:c>
      <x:c r="P10" s="7" t="n">
        <x:v>36</x:v>
      </x:c>
      <x:c r="Q10" s="7" t="n">
        <x:v>32</x:v>
      </x:c>
      <x:c r="R10" s="7" t="n">
        <x:v>3</x:v>
      </x:c>
      <x:c r="S10" s="7" t="n">
        <x:v>32</x:v>
      </x:c>
      <x:c r="T10" s="7" t="n">
        <x:v>12</x:v>
      </x:c>
      <x:c r="U10" s="7" t="n">
        <x:v>8</x:v>
      </x:c>
      <x:c r="V10" s="7" t="str"/>
      <x:c r="W10" s="7" t="str">
        <x:v>OPEN</x:v>
      </x:c>
    </x:row>
    <x:row r="11">
      <x:c r="B11" s="7" t="str">
        <x:v>RAE-E-05-ISSUE</x:v>
      </x:c>
      <x:c r="C11" s="7" t="str">
        <x:v>RAE-E-05</x:v>
      </x:c>
      <x:c r="D11" s="7" t="str">
        <x:v>RFP-A1</x:v>
      </x:c>
      <x:c r="E11" s="7" t="str">
        <x:v>AM-06</x:v>
      </x:c>
      <x:c r="F11" s="7" t="str">
        <x:v>TR-A</x:v>
      </x:c>
      <x:c r="G11" s="7" t="str">
        <x:v>QE-01</x:v>
      </x:c>
      <x:c r="H11" s="7" t="n">
        <x:v>1</x:v>
      </x:c>
      <x:c r="I11" s="7" t="n">
        <x:v>20</x:v>
      </x:c>
      <x:c r="J11" s="7" t="n">
        <x:v>1</x:v>
      </x:c>
      <x:c r="K11" s="7" t="n">
        <x:v>0</x:v>
      </x:c>
      <x:c r="L11" s="7" t="n">
        <x:v>0</x:v>
      </x:c>
      <x:c r="M11" s="7" t="n">
        <x:v>1</x:v>
      </x:c>
      <x:c r="N11" s="7" t="n">
        <x:v>12</x:v>
      </x:c>
      <x:c r="O11" s="7" t="n">
        <x:v>36</x:v>
      </x:c>
      <x:c r="P11" s="7" t="n">
        <x:v>36</x:v>
      </x:c>
      <x:c r="Q11" s="7" t="n">
        <x:v>32</x:v>
      </x:c>
      <x:c r="R11" s="7" t="n">
        <x:v>3</x:v>
      </x:c>
      <x:c r="S11" s="7" t="n">
        <x:v>32</x:v>
      </x:c>
      <x:c r="T11" s="7" t="n">
        <x:v>12</x:v>
      </x:c>
      <x:c r="U11" s="7" t="n">
        <x:v>6</x:v>
      </x:c>
      <x:c r="V11" s="7" t="str"/>
      <x:c r="W11" s="7" t="str">
        <x:v>OPEN</x:v>
      </x:c>
    </x:row>
    <x:row r="12">
      <x:c r="B12" s="7" t="str">
        <x:v>RAE-E-06-ISSUE</x:v>
      </x:c>
      <x:c r="C12" s="7" t="str">
        <x:v>RAE-E-06</x:v>
      </x:c>
      <x:c r="D12" s="7" t="str">
        <x:v>RFP-A1</x:v>
      </x:c>
      <x:c r="E12" s="7" t="str">
        <x:v>AM-06</x:v>
      </x:c>
      <x:c r="F12" s="7" t="str">
        <x:v>TR-A</x:v>
      </x:c>
      <x:c r="G12" s="7" t="str">
        <x:v>QE-02</x:v>
      </x:c>
      <x:c r="H12" s="7" t="n">
        <x:v>1</x:v>
      </x:c>
      <x:c r="I12" s="7" t="n">
        <x:v>20</x:v>
      </x:c>
      <x:c r="J12" s="7" t="n">
        <x:v>1</x:v>
      </x:c>
      <x:c r="K12" s="7" t="n">
        <x:v>1</x:v>
      </x:c>
      <x:c r="L12" s="7" t="n">
        <x:v>10</x:v>
      </x:c>
      <x:c r="M12" s="7" t="n">
        <x:v>1</x:v>
      </x:c>
      <x:c r="N12" s="7" t="n">
        <x:v>12</x:v>
      </x:c>
      <x:c r="O12" s="7" t="n">
        <x:v>36</x:v>
      </x:c>
      <x:c r="P12" s="7" t="n">
        <x:v>36</x:v>
      </x:c>
      <x:c r="Q12" s="7" t="n">
        <x:v>32</x:v>
      </x:c>
      <x:c r="R12" s="7" t="n">
        <x:v>3</x:v>
      </x:c>
      <x:c r="S12" s="7" t="n">
        <x:v>32</x:v>
      </x:c>
      <x:c r="T12" s="7" t="n">
        <x:v>12</x:v>
      </x:c>
      <x:c r="U12" s="7" t="n">
        <x:v>8</x:v>
      </x:c>
      <x:c r="V12" s="7" t="str"/>
      <x:c r="W12" s="7" t="str">
        <x:v>OPEN</x:v>
      </x:c>
    </x:row>
    <x:row r="13">
      <x:c r="B13" s="7" t="str">
        <x:v>RAE-E-07-ISSUE</x:v>
      </x:c>
      <x:c r="C13" s="7" t="str">
        <x:v>RAE-E-07</x:v>
      </x:c>
      <x:c r="D13" s="7" t="str">
        <x:v>RFP-A1</x:v>
      </x:c>
      <x:c r="E13" s="7" t="str">
        <x:v>AM-06</x:v>
      </x:c>
      <x:c r="F13" s="7" t="str">
        <x:v>TR-B</x:v>
      </x:c>
      <x:c r="G13" s="7" t="str">
        <x:v>QE-01</x:v>
      </x:c>
      <x:c r="H13" s="7" t="n">
        <x:v>1</x:v>
      </x:c>
      <x:c r="I13" s="7" t="n">
        <x:v>20</x:v>
      </x:c>
      <x:c r="J13" s="7" t="n">
        <x:v>1</x:v>
      </x:c>
      <x:c r="K13" s="7" t="n">
        <x:v>0</x:v>
      </x:c>
      <x:c r="L13" s="7" t="n">
        <x:v>0</x:v>
      </x:c>
      <x:c r="M13" s="7" t="n">
        <x:v>1</x:v>
      </x:c>
      <x:c r="N13" s="7" t="n">
        <x:v>12</x:v>
      </x:c>
      <x:c r="O13" s="7" t="n">
        <x:v>36</x:v>
      </x:c>
      <x:c r="P13" s="7" t="n">
        <x:v>36</x:v>
      </x:c>
      <x:c r="Q13" s="7" t="n">
        <x:v>32</x:v>
      </x:c>
      <x:c r="R13" s="7" t="n">
        <x:v>3</x:v>
      </x:c>
      <x:c r="S13" s="7" t="n">
        <x:v>32</x:v>
      </x:c>
      <x:c r="T13" s="7" t="n">
        <x:v>12</x:v>
      </x:c>
      <x:c r="U13" s="7" t="n">
        <x:v>6</x:v>
      </x:c>
      <x:c r="V13" s="7" t="str"/>
      <x:c r="W13" s="7" t="str">
        <x:v>OPEN</x:v>
      </x:c>
    </x:row>
    <x:row r="14">
      <x:c r="B14" s="7" t="str">
        <x:v>RAE-E-08-ISSUE</x:v>
      </x:c>
      <x:c r="C14" s="7" t="str">
        <x:v>RAE-E-08</x:v>
      </x:c>
      <x:c r="D14" s="7" t="str">
        <x:v>RFP-A1</x:v>
      </x:c>
      <x:c r="E14" s="7" t="str">
        <x:v>AM-06</x:v>
      </x:c>
      <x:c r="F14" s="7" t="str">
        <x:v>TR-B</x:v>
      </x:c>
      <x:c r="G14" s="7" t="str">
        <x:v>QE-02</x:v>
      </x:c>
      <x:c r="H14" s="7" t="n">
        <x:v>1</x:v>
      </x:c>
      <x:c r="I14" s="7" t="n">
        <x:v>20</x:v>
      </x:c>
      <x:c r="J14" s="7" t="n">
        <x:v>1</x:v>
      </x:c>
      <x:c r="K14" s="7" t="n">
        <x:v>1</x:v>
      </x:c>
      <x:c r="L14" s="7" t="n">
        <x:v>10</x:v>
      </x:c>
      <x:c r="M14" s="7" t="n">
        <x:v>1</x:v>
      </x:c>
      <x:c r="N14" s="7" t="n">
        <x:v>12</x:v>
      </x:c>
      <x:c r="O14" s="7" t="n">
        <x:v>36</x:v>
      </x:c>
      <x:c r="P14" s="7" t="n">
        <x:v>36</x:v>
      </x:c>
      <x:c r="Q14" s="7" t="n">
        <x:v>32</x:v>
      </x:c>
      <x:c r="R14" s="7" t="n">
        <x:v>3</x:v>
      </x:c>
      <x:c r="S14" s="7" t="n">
        <x:v>32</x:v>
      </x:c>
      <x:c r="T14" s="7" t="n">
        <x:v>12</x:v>
      </x:c>
      <x:c r="U14" s="7" t="n">
        <x:v>8</x:v>
      </x:c>
      <x:c r="V14" s="7" t="str"/>
      <x:c r="W14" s="7" t="str">
        <x:v>OPEN</x:v>
      </x:c>
    </x:row>
    <x:row r="15">
      <x:c r="B15" s="7" t="str">
        <x:v>RAE-E-09-ISSUE</x:v>
      </x:c>
      <x:c r="C15" s="7" t="str">
        <x:v>RAE-E-09</x:v>
      </x:c>
      <x:c r="D15" s="7" t="str">
        <x:v>RFP-A2</x:v>
      </x:c>
      <x:c r="E15" s="7" t="str">
        <x:v>AM-05</x:v>
      </x:c>
      <x:c r="F15" s="7" t="str">
        <x:v>TR-A</x:v>
      </x:c>
      <x:c r="G15" s="7" t="str">
        <x:v>QE-01</x:v>
      </x:c>
      <x:c r="H15" s="7" t="n">
        <x:v>1</x:v>
      </x:c>
      <x:c r="I15" s="7" t="n">
        <x:v>20</x:v>
      </x:c>
      <x:c r="J15" s="7" t="n">
        <x:v>1</x:v>
      </x:c>
      <x:c r="K15" s="7" t="n">
        <x:v>0</x:v>
      </x:c>
      <x:c r="L15" s="7" t="n">
        <x:v>0</x:v>
      </x:c>
      <x:c r="M15" s="7" t="n">
        <x:v>1</x:v>
      </x:c>
      <x:c r="N15" s="7" t="n">
        <x:v>12</x:v>
      </x:c>
      <x:c r="O15" s="7" t="n">
        <x:v>36</x:v>
      </x:c>
      <x:c r="P15" s="7" t="n">
        <x:v>36</x:v>
      </x:c>
      <x:c r="Q15" s="7" t="n">
        <x:v>32</x:v>
      </x:c>
      <x:c r="R15" s="7" t="n">
        <x:v>3</x:v>
      </x:c>
      <x:c r="S15" s="7" t="n">
        <x:v>32</x:v>
      </x:c>
      <x:c r="T15" s="7" t="n">
        <x:v>12</x:v>
      </x:c>
      <x:c r="U15" s="7" t="n">
        <x:v>6</x:v>
      </x:c>
      <x:c r="V15" s="7" t="str"/>
      <x:c r="W15" s="7" t="str">
        <x:v>OPEN</x:v>
      </x:c>
    </x:row>
    <x:row r="16">
      <x:c r="B16" s="7" t="str">
        <x:v>RAE-E-10-ISSUE</x:v>
      </x:c>
      <x:c r="C16" s="7" t="str">
        <x:v>RAE-E-10</x:v>
      </x:c>
      <x:c r="D16" s="7" t="str">
        <x:v>RFP-A2</x:v>
      </x:c>
      <x:c r="E16" s="7" t="str">
        <x:v>AM-05</x:v>
      </x:c>
      <x:c r="F16" s="7" t="str">
        <x:v>TR-A</x:v>
      </x:c>
      <x:c r="G16" s="7" t="str">
        <x:v>QE-02</x:v>
      </x:c>
      <x:c r="H16" s="7" t="n">
        <x:v>1</x:v>
      </x:c>
      <x:c r="I16" s="7" t="n">
        <x:v>20</x:v>
      </x:c>
      <x:c r="J16" s="7" t="n">
        <x:v>1</x:v>
      </x:c>
      <x:c r="K16" s="7" t="n">
        <x:v>1</x:v>
      </x:c>
      <x:c r="L16" s="7" t="n">
        <x:v>10</x:v>
      </x:c>
      <x:c r="M16" s="7" t="n">
        <x:v>1</x:v>
      </x:c>
      <x:c r="N16" s="7" t="n">
        <x:v>12</x:v>
      </x:c>
      <x:c r="O16" s="7" t="n">
        <x:v>36</x:v>
      </x:c>
      <x:c r="P16" s="7" t="n">
        <x:v>36</x:v>
      </x:c>
      <x:c r="Q16" s="7" t="n">
        <x:v>32</x:v>
      </x:c>
      <x:c r="R16" s="7" t="n">
        <x:v>3</x:v>
      </x:c>
      <x:c r="S16" s="7" t="n">
        <x:v>32</x:v>
      </x:c>
      <x:c r="T16" s="7" t="n">
        <x:v>12</x:v>
      </x:c>
      <x:c r="U16" s="7" t="n">
        <x:v>8</x:v>
      </x:c>
      <x:c r="V16" s="7" t="str"/>
      <x:c r="W16" s="7" t="str">
        <x:v>OPEN</x:v>
      </x:c>
    </x:row>
    <x:row r="17">
      <x:c r="B17" s="7" t="str">
        <x:v>RAE-E-11-ISSUE</x:v>
      </x:c>
      <x:c r="C17" s="7" t="str">
        <x:v>RAE-E-11</x:v>
      </x:c>
      <x:c r="D17" s="7" t="str">
        <x:v>RFP-A2</x:v>
      </x:c>
      <x:c r="E17" s="7" t="str">
        <x:v>AM-05</x:v>
      </x:c>
      <x:c r="F17" s="7" t="str">
        <x:v>TR-B</x:v>
      </x:c>
      <x:c r="G17" s="7" t="str">
        <x:v>QE-01</x:v>
      </x:c>
      <x:c r="H17" s="7" t="n">
        <x:v>1</x:v>
      </x:c>
      <x:c r="I17" s="7" t="n">
        <x:v>20</x:v>
      </x:c>
      <x:c r="J17" s="7" t="n">
        <x:v>1</x:v>
      </x:c>
      <x:c r="K17" s="7" t="n">
        <x:v>0</x:v>
      </x:c>
      <x:c r="L17" s="7" t="n">
        <x:v>0</x:v>
      </x:c>
      <x:c r="M17" s="7" t="n">
        <x:v>1</x:v>
      </x:c>
      <x:c r="N17" s="7" t="n">
        <x:v>12</x:v>
      </x:c>
      <x:c r="O17" s="7" t="n">
        <x:v>36</x:v>
      </x:c>
      <x:c r="P17" s="7" t="n">
        <x:v>36</x:v>
      </x:c>
      <x:c r="Q17" s="7" t="n">
        <x:v>32</x:v>
      </x:c>
      <x:c r="R17" s="7" t="n">
        <x:v>3</x:v>
      </x:c>
      <x:c r="S17" s="7" t="n">
        <x:v>32</x:v>
      </x:c>
      <x:c r="T17" s="7" t="n">
        <x:v>12</x:v>
      </x:c>
      <x:c r="U17" s="7" t="n">
        <x:v>6</x:v>
      </x:c>
      <x:c r="V17" s="7" t="str"/>
      <x:c r="W17" s="7" t="str">
        <x:v>OPEN</x:v>
      </x:c>
    </x:row>
    <x:row r="18">
      <x:c r="B18" s="7" t="str">
        <x:v>RAE-E-12-ISSUE</x:v>
      </x:c>
      <x:c r="C18" s="7" t="str">
        <x:v>RAE-E-12</x:v>
      </x:c>
      <x:c r="D18" s="7" t="str">
        <x:v>RFP-A2</x:v>
      </x:c>
      <x:c r="E18" s="7" t="str">
        <x:v>AM-05</x:v>
      </x:c>
      <x:c r="F18" s="7" t="str">
        <x:v>TR-B</x:v>
      </x:c>
      <x:c r="G18" s="7" t="str">
        <x:v>QE-02</x:v>
      </x:c>
      <x:c r="H18" s="7" t="n">
        <x:v>1</x:v>
      </x:c>
      <x:c r="I18" s="7" t="n">
        <x:v>20</x:v>
      </x:c>
      <x:c r="J18" s="7" t="n">
        <x:v>1</x:v>
      </x:c>
      <x:c r="K18" s="7" t="n">
        <x:v>1</x:v>
      </x:c>
      <x:c r="L18" s="7" t="n">
        <x:v>10</x:v>
      </x:c>
      <x:c r="M18" s="7" t="n">
        <x:v>1</x:v>
      </x:c>
      <x:c r="N18" s="7" t="n">
        <x:v>12</x:v>
      </x:c>
      <x:c r="O18" s="7" t="n">
        <x:v>36</x:v>
      </x:c>
      <x:c r="P18" s="7" t="n">
        <x:v>36</x:v>
      </x:c>
      <x:c r="Q18" s="7" t="n">
        <x:v>32</x:v>
      </x:c>
      <x:c r="R18" s="7" t="n">
        <x:v>3</x:v>
      </x:c>
      <x:c r="S18" s="7" t="n">
        <x:v>32</x:v>
      </x:c>
      <x:c r="T18" s="7" t="n">
        <x:v>12</x:v>
      </x:c>
      <x:c r="U18" s="7" t="n">
        <x:v>8</x:v>
      </x:c>
      <x:c r="V18" s="7" t="str"/>
      <x:c r="W18" s="7" t="str">
        <x:v>OPEN</x:v>
      </x:c>
    </x:row>
    <x:row r="19">
      <x:c r="B19" s="7" t="str">
        <x:v>RAE-E-13-ISSUE</x:v>
      </x:c>
      <x:c r="C19" s="7" t="str">
        <x:v>RAE-E-13</x:v>
      </x:c>
      <x:c r="D19" s="7" t="str">
        <x:v>RFP-A2</x:v>
      </x:c>
      <x:c r="E19" s="7" t="str">
        <x:v>AM-06</x:v>
      </x:c>
      <x:c r="F19" s="7" t="str">
        <x:v>TR-A</x:v>
      </x:c>
      <x:c r="G19" s="7" t="str">
        <x:v>QE-01</x:v>
      </x:c>
      <x:c r="H19" s="7" t="n">
        <x:v>1</x:v>
      </x:c>
      <x:c r="I19" s="7" t="n">
        <x:v>20</x:v>
      </x:c>
      <x:c r="J19" s="7" t="n">
        <x:v>1</x:v>
      </x:c>
      <x:c r="K19" s="7" t="n">
        <x:v>0</x:v>
      </x:c>
      <x:c r="L19" s="7" t="n">
        <x:v>0</x:v>
      </x:c>
      <x:c r="M19" s="7" t="n">
        <x:v>1</x:v>
      </x:c>
      <x:c r="N19" s="7" t="n">
        <x:v>12</x:v>
      </x:c>
      <x:c r="O19" s="7" t="n">
        <x:v>36</x:v>
      </x:c>
      <x:c r="P19" s="7" t="n">
        <x:v>36</x:v>
      </x:c>
      <x:c r="Q19" s="7" t="n">
        <x:v>32</x:v>
      </x:c>
      <x:c r="R19" s="7" t="n">
        <x:v>3</x:v>
      </x:c>
      <x:c r="S19" s="7" t="n">
        <x:v>32</x:v>
      </x:c>
      <x:c r="T19" s="7" t="n">
        <x:v>12</x:v>
      </x:c>
      <x:c r="U19" s="7" t="n">
        <x:v>6</x:v>
      </x:c>
      <x:c r="V19" s="7" t="str"/>
      <x:c r="W19" s="7" t="str">
        <x:v>OPEN</x:v>
      </x:c>
    </x:row>
    <x:row r="20">
      <x:c r="B20" s="7" t="str">
        <x:v>RAE-E-14-ISSUE</x:v>
      </x:c>
      <x:c r="C20" s="7" t="str">
        <x:v>RAE-E-14</x:v>
      </x:c>
      <x:c r="D20" s="7" t="str">
        <x:v>RFP-A2</x:v>
      </x:c>
      <x:c r="E20" s="7" t="str">
        <x:v>AM-06</x:v>
      </x:c>
      <x:c r="F20" s="7" t="str">
        <x:v>TR-A</x:v>
      </x:c>
      <x:c r="G20" s="7" t="str">
        <x:v>QE-02</x:v>
      </x:c>
      <x:c r="H20" s="7" t="n">
        <x:v>1</x:v>
      </x:c>
      <x:c r="I20" s="7" t="n">
        <x:v>20</x:v>
      </x:c>
      <x:c r="J20" s="7" t="n">
        <x:v>1</x:v>
      </x:c>
      <x:c r="K20" s="7" t="n">
        <x:v>1</x:v>
      </x:c>
      <x:c r="L20" s="7" t="n">
        <x:v>10</x:v>
      </x:c>
      <x:c r="M20" s="7" t="n">
        <x:v>1</x:v>
      </x:c>
      <x:c r="N20" s="7" t="n">
        <x:v>12</x:v>
      </x:c>
      <x:c r="O20" s="7" t="n">
        <x:v>36</x:v>
      </x:c>
      <x:c r="P20" s="7" t="n">
        <x:v>36</x:v>
      </x:c>
      <x:c r="Q20" s="7" t="n">
        <x:v>32</x:v>
      </x:c>
      <x:c r="R20" s="7" t="n">
        <x:v>3</x:v>
      </x:c>
      <x:c r="S20" s="7" t="n">
        <x:v>32</x:v>
      </x:c>
      <x:c r="T20" s="7" t="n">
        <x:v>12</x:v>
      </x:c>
      <x:c r="U20" s="7" t="n">
        <x:v>8</x:v>
      </x:c>
      <x:c r="V20" s="7" t="str"/>
      <x:c r="W20" s="7" t="str">
        <x:v>OPEN</x:v>
      </x:c>
    </x:row>
    <x:row r="21">
      <x:c r="B21" s="7" t="str">
        <x:v>RAE-E-15-ISSUE</x:v>
      </x:c>
      <x:c r="C21" s="7" t="str">
        <x:v>RAE-E-15</x:v>
      </x:c>
      <x:c r="D21" s="7" t="str">
        <x:v>RFP-A2</x:v>
      </x:c>
      <x:c r="E21" s="7" t="str">
        <x:v>AM-06</x:v>
      </x:c>
      <x:c r="F21" s="7" t="str">
        <x:v>TR-B</x:v>
      </x:c>
      <x:c r="G21" s="7" t="str">
        <x:v>QE-01</x:v>
      </x:c>
      <x:c r="H21" s="7" t="n">
        <x:v>1</x:v>
      </x:c>
      <x:c r="I21" s="7" t="n">
        <x:v>20</x:v>
      </x:c>
      <x:c r="J21" s="7" t="n">
        <x:v>1</x:v>
      </x:c>
      <x:c r="K21" s="7" t="n">
        <x:v>0</x:v>
      </x:c>
      <x:c r="L21" s="7" t="n">
        <x:v>0</x:v>
      </x:c>
      <x:c r="M21" s="7" t="n">
        <x:v>1</x:v>
      </x:c>
      <x:c r="N21" s="7" t="n">
        <x:v>12</x:v>
      </x:c>
      <x:c r="O21" s="7" t="n">
        <x:v>36</x:v>
      </x:c>
      <x:c r="P21" s="7" t="n">
        <x:v>36</x:v>
      </x:c>
      <x:c r="Q21" s="7" t="n">
        <x:v>32</x:v>
      </x:c>
      <x:c r="R21" s="7" t="n">
        <x:v>3</x:v>
      </x:c>
      <x:c r="S21" s="7" t="n">
        <x:v>32</x:v>
      </x:c>
      <x:c r="T21" s="7" t="n">
        <x:v>12</x:v>
      </x:c>
      <x:c r="U21" s="7" t="n">
        <x:v>6</x:v>
      </x:c>
      <x:c r="V21" s="7" t="str"/>
      <x:c r="W21" s="7" t="str">
        <x:v>OPEN</x:v>
      </x:c>
    </x:row>
    <x:row r="22">
      <x:c r="B22" s="7" t="str">
        <x:v>RAE-E-16-ISSUE</x:v>
      </x:c>
      <x:c r="C22" s="7" t="str">
        <x:v>RAE-E-16</x:v>
      </x:c>
      <x:c r="D22" s="7" t="str">
        <x:v>RFP-A2</x:v>
      </x:c>
      <x:c r="E22" s="7" t="str">
        <x:v>AM-06</x:v>
      </x:c>
      <x:c r="F22" s="7" t="str">
        <x:v>TR-B</x:v>
      </x:c>
      <x:c r="G22" s="7" t="str">
        <x:v>QE-02</x:v>
      </x:c>
      <x:c r="H22" s="7" t="n">
        <x:v>1</x:v>
      </x:c>
      <x:c r="I22" s="7" t="n">
        <x:v>20</x:v>
      </x:c>
      <x:c r="J22" s="7" t="n">
        <x:v>1</x:v>
      </x:c>
      <x:c r="K22" s="7" t="n">
        <x:v>1</x:v>
      </x:c>
      <x:c r="L22" s="7" t="n">
        <x:v>10</x:v>
      </x:c>
      <x:c r="M22" s="7" t="n">
        <x:v>1</x:v>
      </x:c>
      <x:c r="N22" s="7" t="n">
        <x:v>12</x:v>
      </x:c>
      <x:c r="O22" s="7" t="n">
        <x:v>36</x:v>
      </x:c>
      <x:c r="P22" s="7" t="n">
        <x:v>36</x:v>
      </x:c>
      <x:c r="Q22" s="7" t="n">
        <x:v>32</x:v>
      </x:c>
      <x:c r="R22" s="7" t="n">
        <x:v>3</x:v>
      </x:c>
      <x:c r="S22" s="7" t="n">
        <x:v>32</x:v>
      </x:c>
      <x:c r="T22" s="7" t="n">
        <x:v>12</x:v>
      </x:c>
      <x:c r="U22" s="7" t="n">
        <x:v>8</x:v>
      </x:c>
      <x:c r="V22" s="7" t="str"/>
      <x:c r="W22" s="7" t="str">
        <x:v>OPEN</x:v>
      </x:c>
    </x:row>
    <x:row r="23">
      <x:c r="B23" s="7" t="str">
        <x:v>RAE-E-17-ISSUE</x:v>
      </x:c>
      <x:c r="C23" s="7" t="str">
        <x:v>RAE-E-17</x:v>
      </x:c>
      <x:c r="D23" s="7" t="str">
        <x:v>RFP-B1</x:v>
      </x:c>
      <x:c r="E23" s="7" t="str">
        <x:v>AM-05</x:v>
      </x:c>
      <x:c r="F23" s="7" t="str">
        <x:v>TR-A</x:v>
      </x:c>
      <x:c r="G23" s="7" t="str">
        <x:v>QE-01</x:v>
      </x:c>
      <x:c r="H23" s="7" t="n">
        <x:v>1</x:v>
      </x:c>
      <x:c r="I23" s="7" t="n">
        <x:v>20</x:v>
      </x:c>
      <x:c r="J23" s="7" t="n">
        <x:v>1</x:v>
      </x:c>
      <x:c r="K23" s="7" t="n">
        <x:v>0</x:v>
      </x:c>
      <x:c r="L23" s="7" t="n">
        <x:v>0</x:v>
      </x:c>
      <x:c r="M23" s="7" t="n">
        <x:v>1</x:v>
      </x:c>
      <x:c r="N23" s="7" t="n">
        <x:v>12</x:v>
      </x:c>
      <x:c r="O23" s="7" t="n">
        <x:v>36</x:v>
      </x:c>
      <x:c r="P23" s="7" t="n">
        <x:v>36</x:v>
      </x:c>
      <x:c r="Q23" s="7" t="n">
        <x:v>32</x:v>
      </x:c>
      <x:c r="R23" s="7" t="n">
        <x:v>3</x:v>
      </x:c>
      <x:c r="S23" s="7" t="n">
        <x:v>32</x:v>
      </x:c>
      <x:c r="T23" s="7" t="n">
        <x:v>12</x:v>
      </x:c>
      <x:c r="U23" s="7" t="n">
        <x:v>6</x:v>
      </x:c>
      <x:c r="V23" s="7" t="str"/>
      <x:c r="W23" s="7" t="str">
        <x:v>OPEN</x:v>
      </x:c>
    </x:row>
    <x:row r="24">
      <x:c r="B24" s="7" t="str">
        <x:v>RAE-E-18-ISSUE</x:v>
      </x:c>
      <x:c r="C24" s="7" t="str">
        <x:v>RAE-E-18</x:v>
      </x:c>
      <x:c r="D24" s="7" t="str">
        <x:v>RFP-B1</x:v>
      </x:c>
      <x:c r="E24" s="7" t="str">
        <x:v>AM-05</x:v>
      </x:c>
      <x:c r="F24" s="7" t="str">
        <x:v>TR-A</x:v>
      </x:c>
      <x:c r="G24" s="7" t="str">
        <x:v>QE-02</x:v>
      </x:c>
      <x:c r="H24" s="7" t="n">
        <x:v>1</x:v>
      </x:c>
      <x:c r="I24" s="7" t="n">
        <x:v>20</x:v>
      </x:c>
      <x:c r="J24" s="7" t="n">
        <x:v>1</x:v>
      </x:c>
      <x:c r="K24" s="7" t="n">
        <x:v>1</x:v>
      </x:c>
      <x:c r="L24" s="7" t="n">
        <x:v>10</x:v>
      </x:c>
      <x:c r="M24" s="7" t="n">
        <x:v>1</x:v>
      </x:c>
      <x:c r="N24" s="7" t="n">
        <x:v>12</x:v>
      </x:c>
      <x:c r="O24" s="7" t="n">
        <x:v>36</x:v>
      </x:c>
      <x:c r="P24" s="7" t="n">
        <x:v>36</x:v>
      </x:c>
      <x:c r="Q24" s="7" t="n">
        <x:v>32</x:v>
      </x:c>
      <x:c r="R24" s="7" t="n">
        <x:v>3</x:v>
      </x:c>
      <x:c r="S24" s="7" t="n">
        <x:v>32</x:v>
      </x:c>
      <x:c r="T24" s="7" t="n">
        <x:v>12</x:v>
      </x:c>
      <x:c r="U24" s="7" t="n">
        <x:v>8</x:v>
      </x:c>
      <x:c r="V24" s="7" t="str"/>
      <x:c r="W24" s="7" t="str">
        <x:v>OPEN</x:v>
      </x:c>
    </x:row>
    <x:row r="25">
      <x:c r="B25" s="7" t="str">
        <x:v>RAE-E-19-ISSUE</x:v>
      </x:c>
      <x:c r="C25" s="7" t="str">
        <x:v>RAE-E-19</x:v>
      </x:c>
      <x:c r="D25" s="7" t="str">
        <x:v>RFP-B1</x:v>
      </x:c>
      <x:c r="E25" s="7" t="str">
        <x:v>AM-05</x:v>
      </x:c>
      <x:c r="F25" s="7" t="str">
        <x:v>TR-B</x:v>
      </x:c>
      <x:c r="G25" s="7" t="str">
        <x:v>QE-01</x:v>
      </x:c>
      <x:c r="H25" s="7" t="n">
        <x:v>1</x:v>
      </x:c>
      <x:c r="I25" s="7" t="n">
        <x:v>20</x:v>
      </x:c>
      <x:c r="J25" s="7" t="n">
        <x:v>1</x:v>
      </x:c>
      <x:c r="K25" s="7" t="n">
        <x:v>0</x:v>
      </x:c>
      <x:c r="L25" s="7" t="n">
        <x:v>0</x:v>
      </x:c>
      <x:c r="M25" s="7" t="n">
        <x:v>1</x:v>
      </x:c>
      <x:c r="N25" s="7" t="n">
        <x:v>12</x:v>
      </x:c>
      <x:c r="O25" s="7" t="n">
        <x:v>36</x:v>
      </x:c>
      <x:c r="P25" s="7" t="n">
        <x:v>36</x:v>
      </x:c>
      <x:c r="Q25" s="7" t="n">
        <x:v>32</x:v>
      </x:c>
      <x:c r="R25" s="7" t="n">
        <x:v>3</x:v>
      </x:c>
      <x:c r="S25" s="7" t="n">
        <x:v>32</x:v>
      </x:c>
      <x:c r="T25" s="7" t="n">
        <x:v>12</x:v>
      </x:c>
      <x:c r="U25" s="7" t="n">
        <x:v>6</x:v>
      </x:c>
      <x:c r="V25" s="7" t="str"/>
      <x:c r="W25" s="7" t="str">
        <x:v>OPEN</x:v>
      </x:c>
    </x:row>
    <x:row r="26">
      <x:c r="B26" s="7" t="str">
        <x:v>RAE-E-20-ISSUE</x:v>
      </x:c>
      <x:c r="C26" s="7" t="str">
        <x:v>RAE-E-20</x:v>
      </x:c>
      <x:c r="D26" s="7" t="str">
        <x:v>RFP-B1</x:v>
      </x:c>
      <x:c r="E26" s="7" t="str">
        <x:v>AM-05</x:v>
      </x:c>
      <x:c r="F26" s="7" t="str">
        <x:v>TR-B</x:v>
      </x:c>
      <x:c r="G26" s="7" t="str">
        <x:v>QE-02</x:v>
      </x:c>
      <x:c r="H26" s="7" t="n">
        <x:v>1</x:v>
      </x:c>
      <x:c r="I26" s="7" t="n">
        <x:v>20</x:v>
      </x:c>
      <x:c r="J26" s="7" t="n">
        <x:v>1</x:v>
      </x:c>
      <x:c r="K26" s="7" t="n">
        <x:v>1</x:v>
      </x:c>
      <x:c r="L26" s="7" t="n">
        <x:v>10</x:v>
      </x:c>
      <x:c r="M26" s="7" t="n">
        <x:v>1</x:v>
      </x:c>
      <x:c r="N26" s="7" t="n">
        <x:v>12</x:v>
      </x:c>
      <x:c r="O26" s="7" t="n">
        <x:v>36</x:v>
      </x:c>
      <x:c r="P26" s="7" t="n">
        <x:v>36</x:v>
      </x:c>
      <x:c r="Q26" s="7" t="n">
        <x:v>32</x:v>
      </x:c>
      <x:c r="R26" s="7" t="n">
        <x:v>3</x:v>
      </x:c>
      <x:c r="S26" s="7" t="n">
        <x:v>32</x:v>
      </x:c>
      <x:c r="T26" s="7" t="n">
        <x:v>12</x:v>
      </x:c>
      <x:c r="U26" s="7" t="n">
        <x:v>8</x:v>
      </x:c>
      <x:c r="V26" s="7" t="str"/>
      <x:c r="W26" s="7" t="str">
        <x:v>OPEN</x:v>
      </x:c>
    </x:row>
    <x:row r="27">
      <x:c r="B27" s="7" t="str">
        <x:v>RAE-E-21-ISSUE</x:v>
      </x:c>
      <x:c r="C27" s="7" t="str">
        <x:v>RAE-E-21</x:v>
      </x:c>
      <x:c r="D27" s="7" t="str">
        <x:v>RFP-B1</x:v>
      </x:c>
      <x:c r="E27" s="7" t="str">
        <x:v>AM-06</x:v>
      </x:c>
      <x:c r="F27" s="7" t="str">
        <x:v>TR-A</x:v>
      </x:c>
      <x:c r="G27" s="7" t="str">
        <x:v>QE-01</x:v>
      </x:c>
      <x:c r="H27" s="7" t="n">
        <x:v>1</x:v>
      </x:c>
      <x:c r="I27" s="7" t="n">
        <x:v>20</x:v>
      </x:c>
      <x:c r="J27" s="7" t="n">
        <x:v>1</x:v>
      </x:c>
      <x:c r="K27" s="7" t="n">
        <x:v>0</x:v>
      </x:c>
      <x:c r="L27" s="7" t="n">
        <x:v>0</x:v>
      </x:c>
      <x:c r="M27" s="7" t="n">
        <x:v>1</x:v>
      </x:c>
      <x:c r="N27" s="7" t="n">
        <x:v>12</x:v>
      </x:c>
      <x:c r="O27" s="7" t="n">
        <x:v>36</x:v>
      </x:c>
      <x:c r="P27" s="7" t="n">
        <x:v>36</x:v>
      </x:c>
      <x:c r="Q27" s="7" t="n">
        <x:v>32</x:v>
      </x:c>
      <x:c r="R27" s="7" t="n">
        <x:v>3</x:v>
      </x:c>
      <x:c r="S27" s="7" t="n">
        <x:v>32</x:v>
      </x:c>
      <x:c r="T27" s="7" t="n">
        <x:v>12</x:v>
      </x:c>
      <x:c r="U27" s="7" t="n">
        <x:v>6</x:v>
      </x:c>
      <x:c r="V27" s="7" t="str"/>
      <x:c r="W27" s="7" t="str">
        <x:v>OPEN</x:v>
      </x:c>
    </x:row>
    <x:row r="28">
      <x:c r="B28" s="7" t="str">
        <x:v>RAE-E-22-ISSUE</x:v>
      </x:c>
      <x:c r="C28" s="7" t="str">
        <x:v>RAE-E-22</x:v>
      </x:c>
      <x:c r="D28" s="7" t="str">
        <x:v>RFP-B1</x:v>
      </x:c>
      <x:c r="E28" s="7" t="str">
        <x:v>AM-06</x:v>
      </x:c>
      <x:c r="F28" s="7" t="str">
        <x:v>TR-A</x:v>
      </x:c>
      <x:c r="G28" s="7" t="str">
        <x:v>QE-02</x:v>
      </x:c>
      <x:c r="H28" s="7" t="n">
        <x:v>1</x:v>
      </x:c>
      <x:c r="I28" s="7" t="n">
        <x:v>20</x:v>
      </x:c>
      <x:c r="J28" s="7" t="n">
        <x:v>1</x:v>
      </x:c>
      <x:c r="K28" s="7" t="n">
        <x:v>1</x:v>
      </x:c>
      <x:c r="L28" s="7" t="n">
        <x:v>10</x:v>
      </x:c>
      <x:c r="M28" s="7" t="n">
        <x:v>1</x:v>
      </x:c>
      <x:c r="N28" s="7" t="n">
        <x:v>12</x:v>
      </x:c>
      <x:c r="O28" s="7" t="n">
        <x:v>36</x:v>
      </x:c>
      <x:c r="P28" s="7" t="n">
        <x:v>36</x:v>
      </x:c>
      <x:c r="Q28" s="7" t="n">
        <x:v>32</x:v>
      </x:c>
      <x:c r="R28" s="7" t="n">
        <x:v>3</x:v>
      </x:c>
      <x:c r="S28" s="7" t="n">
        <x:v>32</x:v>
      </x:c>
      <x:c r="T28" s="7" t="n">
        <x:v>12</x:v>
      </x:c>
      <x:c r="U28" s="7" t="n">
        <x:v>8</x:v>
      </x:c>
      <x:c r="V28" s="7" t="str"/>
      <x:c r="W28" s="7" t="str">
        <x:v>OPEN</x:v>
      </x:c>
    </x:row>
    <x:row r="29">
      <x:c r="B29" s="7" t="str">
        <x:v>RAE-E-23-ISSUE</x:v>
      </x:c>
      <x:c r="C29" s="7" t="str">
        <x:v>RAE-E-23</x:v>
      </x:c>
      <x:c r="D29" s="7" t="str">
        <x:v>RFP-B1</x:v>
      </x:c>
      <x:c r="E29" s="7" t="str">
        <x:v>AM-06</x:v>
      </x:c>
      <x:c r="F29" s="7" t="str">
        <x:v>TR-B</x:v>
      </x:c>
      <x:c r="G29" s="7" t="str">
        <x:v>QE-01</x:v>
      </x:c>
      <x:c r="H29" s="7" t="n">
        <x:v>1</x:v>
      </x:c>
      <x:c r="I29" s="7" t="n">
        <x:v>20</x:v>
      </x:c>
      <x:c r="J29" s="7" t="n">
        <x:v>1</x:v>
      </x:c>
      <x:c r="K29" s="7" t="n">
        <x:v>0</x:v>
      </x:c>
      <x:c r="L29" s="7" t="n">
        <x:v>0</x:v>
      </x:c>
      <x:c r="M29" s="7" t="n">
        <x:v>1</x:v>
      </x:c>
      <x:c r="N29" s="7" t="n">
        <x:v>12</x:v>
      </x:c>
      <x:c r="O29" s="7" t="n">
        <x:v>36</x:v>
      </x:c>
      <x:c r="P29" s="7" t="n">
        <x:v>36</x:v>
      </x:c>
      <x:c r="Q29" s="7" t="n">
        <x:v>32</x:v>
      </x:c>
      <x:c r="R29" s="7" t="n">
        <x:v>3</x:v>
      </x:c>
      <x:c r="S29" s="7" t="n">
        <x:v>32</x:v>
      </x:c>
      <x:c r="T29" s="7" t="n">
        <x:v>12</x:v>
      </x:c>
      <x:c r="U29" s="7" t="n">
        <x:v>6</x:v>
      </x:c>
      <x:c r="V29" s="7" t="str"/>
      <x:c r="W29" s="7" t="str">
        <x:v>OPEN</x:v>
      </x:c>
    </x:row>
    <x:row r="30">
      <x:c r="B30" s="7" t="str">
        <x:v>RAE-E-24-ISSUE</x:v>
      </x:c>
      <x:c r="C30" s="7" t="str">
        <x:v>RAE-E-24</x:v>
      </x:c>
      <x:c r="D30" s="7" t="str">
        <x:v>RFP-B1</x:v>
      </x:c>
      <x:c r="E30" s="7" t="str">
        <x:v>AM-06</x:v>
      </x:c>
      <x:c r="F30" s="7" t="str">
        <x:v>TR-B</x:v>
      </x:c>
      <x:c r="G30" s="7" t="str">
        <x:v>QE-02</x:v>
      </x:c>
      <x:c r="H30" s="7" t="n">
        <x:v>1</x:v>
      </x:c>
      <x:c r="I30" s="7" t="n">
        <x:v>20</x:v>
      </x:c>
      <x:c r="J30" s="7" t="n">
        <x:v>1</x:v>
      </x:c>
      <x:c r="K30" s="7" t="n">
        <x:v>1</x:v>
      </x:c>
      <x:c r="L30" s="7" t="n">
        <x:v>10</x:v>
      </x:c>
      <x:c r="M30" s="7" t="n">
        <x:v>1</x:v>
      </x:c>
      <x:c r="N30" s="7" t="n">
        <x:v>12</x:v>
      </x:c>
      <x:c r="O30" s="7" t="n">
        <x:v>36</x:v>
      </x:c>
      <x:c r="P30" s="7" t="n">
        <x:v>36</x:v>
      </x:c>
      <x:c r="Q30" s="7" t="n">
        <x:v>32</x:v>
      </x:c>
      <x:c r="R30" s="7" t="n">
        <x:v>3</x:v>
      </x:c>
      <x:c r="S30" s="7" t="n">
        <x:v>32</x:v>
      </x:c>
      <x:c r="T30" s="7" t="n">
        <x:v>12</x:v>
      </x:c>
      <x:c r="U30" s="7" t="n">
        <x:v>8</x:v>
      </x:c>
      <x:c r="V30" s="7" t="str"/>
      <x:c r="W30" s="7" t="str">
        <x:v>OPEN</x:v>
      </x:c>
    </x:row>
    <x:row r="31">
      <x:c r="B31" s="7" t="str">
        <x:v>RAE-E-25-ISSUE</x:v>
      </x:c>
      <x:c r="C31" s="7" t="str">
        <x:v>RAE-E-25</x:v>
      </x:c>
      <x:c r="D31" s="7" t="str">
        <x:v>RFP-B2</x:v>
      </x:c>
      <x:c r="E31" s="7" t="str">
        <x:v>AM-05</x:v>
      </x:c>
      <x:c r="F31" s="7" t="str">
        <x:v>TR-A</x:v>
      </x:c>
      <x:c r="G31" s="7" t="str">
        <x:v>QE-01</x:v>
      </x:c>
      <x:c r="H31" s="7" t="n">
        <x:v>1</x:v>
      </x:c>
      <x:c r="I31" s="7" t="n">
        <x:v>20</x:v>
      </x:c>
      <x:c r="J31" s="7" t="n">
        <x:v>1</x:v>
      </x:c>
      <x:c r="K31" s="7" t="n">
        <x:v>0</x:v>
      </x:c>
      <x:c r="L31" s="7" t="n">
        <x:v>0</x:v>
      </x:c>
      <x:c r="M31" s="7" t="n">
        <x:v>1</x:v>
      </x:c>
      <x:c r="N31" s="7" t="n">
        <x:v>12</x:v>
      </x:c>
      <x:c r="O31" s="7" t="n">
        <x:v>36</x:v>
      </x:c>
      <x:c r="P31" s="7" t="n">
        <x:v>36</x:v>
      </x:c>
      <x:c r="Q31" s="7" t="n">
        <x:v>32</x:v>
      </x:c>
      <x:c r="R31" s="7" t="n">
        <x:v>3</x:v>
      </x:c>
      <x:c r="S31" s="7" t="n">
        <x:v>32</x:v>
      </x:c>
      <x:c r="T31" s="7" t="n">
        <x:v>12</x:v>
      </x:c>
      <x:c r="U31" s="7" t="n">
        <x:v>6</x:v>
      </x:c>
      <x:c r="V31" s="7" t="str"/>
      <x:c r="W31" s="7" t="str">
        <x:v>OPEN</x:v>
      </x:c>
    </x:row>
    <x:row r="32">
      <x:c r="B32" s="7" t="str">
        <x:v>RAE-E-26-ISSUE</x:v>
      </x:c>
      <x:c r="C32" s="7" t="str">
        <x:v>RAE-E-26</x:v>
      </x:c>
      <x:c r="D32" s="7" t="str">
        <x:v>RFP-B2</x:v>
      </x:c>
      <x:c r="E32" s="7" t="str">
        <x:v>AM-05</x:v>
      </x:c>
      <x:c r="F32" s="7" t="str">
        <x:v>TR-A</x:v>
      </x:c>
      <x:c r="G32" s="7" t="str">
        <x:v>QE-02</x:v>
      </x:c>
      <x:c r="H32" s="7" t="n">
        <x:v>1</x:v>
      </x:c>
      <x:c r="I32" s="7" t="n">
        <x:v>20</x:v>
      </x:c>
      <x:c r="J32" s="7" t="n">
        <x:v>1</x:v>
      </x:c>
      <x:c r="K32" s="7" t="n">
        <x:v>1</x:v>
      </x:c>
      <x:c r="L32" s="7" t="n">
        <x:v>10</x:v>
      </x:c>
      <x:c r="M32" s="7" t="n">
        <x:v>1</x:v>
      </x:c>
      <x:c r="N32" s="7" t="n">
        <x:v>12</x:v>
      </x:c>
      <x:c r="O32" s="7" t="n">
        <x:v>36</x:v>
      </x:c>
      <x:c r="P32" s="7" t="n">
        <x:v>36</x:v>
      </x:c>
      <x:c r="Q32" s="7" t="n">
        <x:v>32</x:v>
      </x:c>
      <x:c r="R32" s="7" t="n">
        <x:v>3</x:v>
      </x:c>
      <x:c r="S32" s="7" t="n">
        <x:v>32</x:v>
      </x:c>
      <x:c r="T32" s="7" t="n">
        <x:v>12</x:v>
      </x:c>
      <x:c r="U32" s="7" t="n">
        <x:v>8</x:v>
      </x:c>
      <x:c r="V32" s="7" t="str"/>
      <x:c r="W32" s="7" t="str">
        <x:v>OPEN</x:v>
      </x:c>
    </x:row>
    <x:row r="33">
      <x:c r="B33" s="7" t="str">
        <x:v>RAE-E-27-ISSUE</x:v>
      </x:c>
      <x:c r="C33" s="7" t="str">
        <x:v>RAE-E-27</x:v>
      </x:c>
      <x:c r="D33" s="7" t="str">
        <x:v>RFP-B2</x:v>
      </x:c>
      <x:c r="E33" s="7" t="str">
        <x:v>AM-05</x:v>
      </x:c>
      <x:c r="F33" s="7" t="str">
        <x:v>TR-B</x:v>
      </x:c>
      <x:c r="G33" s="7" t="str">
        <x:v>QE-01</x:v>
      </x:c>
      <x:c r="H33" s="7" t="n">
        <x:v>1</x:v>
      </x:c>
      <x:c r="I33" s="7" t="n">
        <x:v>20</x:v>
      </x:c>
      <x:c r="J33" s="7" t="n">
        <x:v>1</x:v>
      </x:c>
      <x:c r="K33" s="7" t="n">
        <x:v>0</x:v>
      </x:c>
      <x:c r="L33" s="7" t="n">
        <x:v>0</x:v>
      </x:c>
      <x:c r="M33" s="7" t="n">
        <x:v>1</x:v>
      </x:c>
      <x:c r="N33" s="7" t="n">
        <x:v>12</x:v>
      </x:c>
      <x:c r="O33" s="7" t="n">
        <x:v>36</x:v>
      </x:c>
      <x:c r="P33" s="7" t="n">
        <x:v>36</x:v>
      </x:c>
      <x:c r="Q33" s="7" t="n">
        <x:v>32</x:v>
      </x:c>
      <x:c r="R33" s="7" t="n">
        <x:v>3</x:v>
      </x:c>
      <x:c r="S33" s="7" t="n">
        <x:v>32</x:v>
      </x:c>
      <x:c r="T33" s="7" t="n">
        <x:v>12</x:v>
      </x:c>
      <x:c r="U33" s="7" t="n">
        <x:v>6</x:v>
      </x:c>
      <x:c r="V33" s="7" t="str"/>
      <x:c r="W33" s="7" t="str">
        <x:v>OPEN</x:v>
      </x:c>
    </x:row>
    <x:row r="34">
      <x:c r="B34" s="7" t="str">
        <x:v>RAE-E-28-ISSUE</x:v>
      </x:c>
      <x:c r="C34" s="7" t="str">
        <x:v>RAE-E-28</x:v>
      </x:c>
      <x:c r="D34" s="7" t="str">
        <x:v>RFP-B2</x:v>
      </x:c>
      <x:c r="E34" s="7" t="str">
        <x:v>AM-05</x:v>
      </x:c>
      <x:c r="F34" s="7" t="str">
        <x:v>TR-B</x:v>
      </x:c>
      <x:c r="G34" s="7" t="str">
        <x:v>QE-02</x:v>
      </x:c>
      <x:c r="H34" s="7" t="n">
        <x:v>1</x:v>
      </x:c>
      <x:c r="I34" s="7" t="n">
        <x:v>20</x:v>
      </x:c>
      <x:c r="J34" s="7" t="n">
        <x:v>1</x:v>
      </x:c>
      <x:c r="K34" s="7" t="n">
        <x:v>1</x:v>
      </x:c>
      <x:c r="L34" s="7" t="n">
        <x:v>10</x:v>
      </x:c>
      <x:c r="M34" s="7" t="n">
        <x:v>1</x:v>
      </x:c>
      <x:c r="N34" s="7" t="n">
        <x:v>12</x:v>
      </x:c>
      <x:c r="O34" s="7" t="n">
        <x:v>36</x:v>
      </x:c>
      <x:c r="P34" s="7" t="n">
        <x:v>36</x:v>
      </x:c>
      <x:c r="Q34" s="7" t="n">
        <x:v>32</x:v>
      </x:c>
      <x:c r="R34" s="7" t="n">
        <x:v>3</x:v>
      </x:c>
      <x:c r="S34" s="7" t="n">
        <x:v>32</x:v>
      </x:c>
      <x:c r="T34" s="7" t="n">
        <x:v>12</x:v>
      </x:c>
      <x:c r="U34" s="7" t="n">
        <x:v>8</x:v>
      </x:c>
      <x:c r="V34" s="7" t="str"/>
      <x:c r="W34" s="7" t="str">
        <x:v>OPEN</x:v>
      </x:c>
    </x:row>
    <x:row r="35">
      <x:c r="B35" s="7" t="str">
        <x:v>RAE-E-29-ISSUE</x:v>
      </x:c>
      <x:c r="C35" s="7" t="str">
        <x:v>RAE-E-29</x:v>
      </x:c>
      <x:c r="D35" s="7" t="str">
        <x:v>RFP-B2</x:v>
      </x:c>
      <x:c r="E35" s="7" t="str">
        <x:v>AM-06</x:v>
      </x:c>
      <x:c r="F35" s="7" t="str">
        <x:v>TR-A</x:v>
      </x:c>
      <x:c r="G35" s="7" t="str">
        <x:v>QE-01</x:v>
      </x:c>
      <x:c r="H35" s="7" t="n">
        <x:v>1</x:v>
      </x:c>
      <x:c r="I35" s="7" t="n">
        <x:v>20</x:v>
      </x:c>
      <x:c r="J35" s="7" t="n">
        <x:v>1</x:v>
      </x:c>
      <x:c r="K35" s="7" t="n">
        <x:v>0</x:v>
      </x:c>
      <x:c r="L35" s="7" t="n">
        <x:v>0</x:v>
      </x:c>
      <x:c r="M35" s="7" t="n">
        <x:v>1</x:v>
      </x:c>
      <x:c r="N35" s="7" t="n">
        <x:v>12</x:v>
      </x:c>
      <x:c r="O35" s="7" t="n">
        <x:v>36</x:v>
      </x:c>
      <x:c r="P35" s="7" t="n">
        <x:v>36</x:v>
      </x:c>
      <x:c r="Q35" s="7" t="n">
        <x:v>32</x:v>
      </x:c>
      <x:c r="R35" s="7" t="n">
        <x:v>3</x:v>
      </x:c>
      <x:c r="S35" s="7" t="n">
        <x:v>32</x:v>
      </x:c>
      <x:c r="T35" s="7" t="n">
        <x:v>12</x:v>
      </x:c>
      <x:c r="U35" s="7" t="n">
        <x:v>6</x:v>
      </x:c>
      <x:c r="V35" s="7" t="str"/>
      <x:c r="W35" s="7" t="str">
        <x:v>OPEN</x:v>
      </x:c>
    </x:row>
    <x:row r="36">
      <x:c r="B36" s="7" t="str">
        <x:v>RAE-E-30-ISSUE</x:v>
      </x:c>
      <x:c r="C36" s="7" t="str">
        <x:v>RAE-E-30</x:v>
      </x:c>
      <x:c r="D36" s="7" t="str">
        <x:v>RFP-B2</x:v>
      </x:c>
      <x:c r="E36" s="7" t="str">
        <x:v>AM-06</x:v>
      </x:c>
      <x:c r="F36" s="7" t="str">
        <x:v>TR-A</x:v>
      </x:c>
      <x:c r="G36" s="7" t="str">
        <x:v>QE-02</x:v>
      </x:c>
      <x:c r="H36" s="7" t="n">
        <x:v>1</x:v>
      </x:c>
      <x:c r="I36" s="7" t="n">
        <x:v>20</x:v>
      </x:c>
      <x:c r="J36" s="7" t="n">
        <x:v>1</x:v>
      </x:c>
      <x:c r="K36" s="7" t="n">
        <x:v>1</x:v>
      </x:c>
      <x:c r="L36" s="7" t="n">
        <x:v>10</x:v>
      </x:c>
      <x:c r="M36" s="7" t="n">
        <x:v>1</x:v>
      </x:c>
      <x:c r="N36" s="7" t="n">
        <x:v>12</x:v>
      </x:c>
      <x:c r="O36" s="7" t="n">
        <x:v>36</x:v>
      </x:c>
      <x:c r="P36" s="7" t="n">
        <x:v>36</x:v>
      </x:c>
      <x:c r="Q36" s="7" t="n">
        <x:v>32</x:v>
      </x:c>
      <x:c r="R36" s="7" t="n">
        <x:v>3</x:v>
      </x:c>
      <x:c r="S36" s="7" t="n">
        <x:v>32</x:v>
      </x:c>
      <x:c r="T36" s="7" t="n">
        <x:v>12</x:v>
      </x:c>
      <x:c r="U36" s="7" t="n">
        <x:v>8</x:v>
      </x:c>
      <x:c r="V36" s="7" t="str"/>
      <x:c r="W36" s="7" t="str">
        <x:v>OPEN</x:v>
      </x:c>
    </x:row>
    <x:row r="37">
      <x:c r="B37" s="7" t="str">
        <x:v>RAE-E-31-ISSUE</x:v>
      </x:c>
      <x:c r="C37" s="7" t="str">
        <x:v>RAE-E-31</x:v>
      </x:c>
      <x:c r="D37" s="7" t="str">
        <x:v>RFP-B2</x:v>
      </x:c>
      <x:c r="E37" s="7" t="str">
        <x:v>AM-06</x:v>
      </x:c>
      <x:c r="F37" s="7" t="str">
        <x:v>TR-B</x:v>
      </x:c>
      <x:c r="G37" s="7" t="str">
        <x:v>QE-01</x:v>
      </x:c>
      <x:c r="H37" s="7" t="n">
        <x:v>1</x:v>
      </x:c>
      <x:c r="I37" s="7" t="n">
        <x:v>20</x:v>
      </x:c>
      <x:c r="J37" s="7" t="n">
        <x:v>1</x:v>
      </x:c>
      <x:c r="K37" s="7" t="n">
        <x:v>0</x:v>
      </x:c>
      <x:c r="L37" s="7" t="n">
        <x:v>0</x:v>
      </x:c>
      <x:c r="M37" s="7" t="n">
        <x:v>1</x:v>
      </x:c>
      <x:c r="N37" s="7" t="n">
        <x:v>12</x:v>
      </x:c>
      <x:c r="O37" s="7" t="n">
        <x:v>36</x:v>
      </x:c>
      <x:c r="P37" s="7" t="n">
        <x:v>36</x:v>
      </x:c>
      <x:c r="Q37" s="7" t="n">
        <x:v>32</x:v>
      </x:c>
      <x:c r="R37" s="7" t="n">
        <x:v>3</x:v>
      </x:c>
      <x:c r="S37" s="7" t="n">
        <x:v>32</x:v>
      </x:c>
      <x:c r="T37" s="7" t="n">
        <x:v>12</x:v>
      </x:c>
      <x:c r="U37" s="7" t="n">
        <x:v>6</x:v>
      </x:c>
      <x:c r="V37" s="7" t="str"/>
      <x:c r="W37" s="7" t="str">
        <x:v>OPEN</x:v>
      </x:c>
    </x:row>
    <x:row r="38">
      <x:c r="B38" s="7" t="str">
        <x:v>RAE-E-32-ISSUE</x:v>
      </x:c>
      <x:c r="C38" s="7" t="str">
        <x:v>RAE-E-32</x:v>
      </x:c>
      <x:c r="D38" s="7" t="str">
        <x:v>RFP-B2</x:v>
      </x:c>
      <x:c r="E38" s="7" t="str">
        <x:v>AM-06</x:v>
      </x:c>
      <x:c r="F38" s="7" t="str">
        <x:v>TR-B</x:v>
      </x:c>
      <x:c r="G38" s="7" t="str">
        <x:v>QE-02</x:v>
      </x:c>
      <x:c r="H38" s="7" t="n">
        <x:v>1</x:v>
      </x:c>
      <x:c r="I38" s="7" t="n">
        <x:v>20</x:v>
      </x:c>
      <x:c r="J38" s="7" t="n">
        <x:v>1</x:v>
      </x:c>
      <x:c r="K38" s="7" t="n">
        <x:v>1</x:v>
      </x:c>
      <x:c r="L38" s="7" t="n">
        <x:v>10</x:v>
      </x:c>
      <x:c r="M38" s="7" t="n">
        <x:v>1</x:v>
      </x:c>
      <x:c r="N38" s="7" t="n">
        <x:v>12</x:v>
      </x:c>
      <x:c r="O38" s="7" t="n">
        <x:v>36</x:v>
      </x:c>
      <x:c r="P38" s="7" t="n">
        <x:v>36</x:v>
      </x:c>
      <x:c r="Q38" s="7" t="n">
        <x:v>32</x:v>
      </x:c>
      <x:c r="R38" s="7" t="n">
        <x:v>3</x:v>
      </x:c>
      <x:c r="S38" s="7" t="n">
        <x:v>32</x:v>
      </x:c>
      <x:c r="T38" s="7" t="n">
        <x:v>12</x:v>
      </x:c>
      <x:c r="U38" s="7" t="n">
        <x:v>8</x:v>
      </x:c>
      <x:c r="V38" s="7" t="str"/>
      <x:c r="W38" s="7" t="str">
        <x:v>OPEN</x:v>
      </x:c>
    </x:row>
    <x:row r="39">
      <x:c r="B39" s="7" t="str">
        <x:v>RAE-E-33-ISSUE</x:v>
      </x:c>
      <x:c r="C39" s="7" t="str">
        <x:v>RAE-E-33</x:v>
      </x:c>
      <x:c r="D39" s="7" t="str">
        <x:v>RFP-C1</x:v>
      </x:c>
      <x:c r="E39" s="7" t="str">
        <x:v>AM-05</x:v>
      </x:c>
      <x:c r="F39" s="7" t="str">
        <x:v>TR-A</x:v>
      </x:c>
      <x:c r="G39" s="7" t="str">
        <x:v>QE-01</x:v>
      </x:c>
      <x:c r="H39" s="7" t="n">
        <x:v>1</x:v>
      </x:c>
      <x:c r="I39" s="7" t="n">
        <x:v>20</x:v>
      </x:c>
      <x:c r="J39" s="7" t="n">
        <x:v>1</x:v>
      </x:c>
      <x:c r="K39" s="7" t="n">
        <x:v>0</x:v>
      </x:c>
      <x:c r="L39" s="7" t="n">
        <x:v>0</x:v>
      </x:c>
      <x:c r="M39" s="7" t="n">
        <x:v>1</x:v>
      </x:c>
      <x:c r="N39" s="7" t="n">
        <x:v>12</x:v>
      </x:c>
      <x:c r="O39" s="7" t="n">
        <x:v>36</x:v>
      </x:c>
      <x:c r="P39" s="7" t="n">
        <x:v>36</x:v>
      </x:c>
      <x:c r="Q39" s="7" t="n">
        <x:v>32</x:v>
      </x:c>
      <x:c r="R39" s="7" t="n">
        <x:v>3</x:v>
      </x:c>
      <x:c r="S39" s="7" t="n">
        <x:v>32</x:v>
      </x:c>
      <x:c r="T39" s="7" t="n">
        <x:v>12</x:v>
      </x:c>
      <x:c r="U39" s="7" t="n">
        <x:v>6</x:v>
      </x:c>
      <x:c r="V39" s="7" t="str"/>
      <x:c r="W39" s="7" t="str">
        <x:v>OPEN</x:v>
      </x:c>
    </x:row>
    <x:row r="40">
      <x:c r="B40" s="7" t="str">
        <x:v>RAE-E-34-ISSUE</x:v>
      </x:c>
      <x:c r="C40" s="7" t="str">
        <x:v>RAE-E-34</x:v>
      </x:c>
      <x:c r="D40" s="7" t="str">
        <x:v>RFP-C1</x:v>
      </x:c>
      <x:c r="E40" s="7" t="str">
        <x:v>AM-05</x:v>
      </x:c>
      <x:c r="F40" s="7" t="str">
        <x:v>TR-A</x:v>
      </x:c>
      <x:c r="G40" s="7" t="str">
        <x:v>QE-02</x:v>
      </x:c>
      <x:c r="H40" s="7" t="n">
        <x:v>1</x:v>
      </x:c>
      <x:c r="I40" s="7" t="n">
        <x:v>20</x:v>
      </x:c>
      <x:c r="J40" s="7" t="n">
        <x:v>1</x:v>
      </x:c>
      <x:c r="K40" s="7" t="n">
        <x:v>1</x:v>
      </x:c>
      <x:c r="L40" s="7" t="n">
        <x:v>10</x:v>
      </x:c>
      <x:c r="M40" s="7" t="n">
        <x:v>1</x:v>
      </x:c>
      <x:c r="N40" s="7" t="n">
        <x:v>12</x:v>
      </x:c>
      <x:c r="O40" s="7" t="n">
        <x:v>36</x:v>
      </x:c>
      <x:c r="P40" s="7" t="n">
        <x:v>36</x:v>
      </x:c>
      <x:c r="Q40" s="7" t="n">
        <x:v>32</x:v>
      </x:c>
      <x:c r="R40" s="7" t="n">
        <x:v>3</x:v>
      </x:c>
      <x:c r="S40" s="7" t="n">
        <x:v>32</x:v>
      </x:c>
      <x:c r="T40" s="7" t="n">
        <x:v>12</x:v>
      </x:c>
      <x:c r="U40" s="7" t="n">
        <x:v>8</x:v>
      </x:c>
      <x:c r="V40" s="7" t="str"/>
      <x:c r="W40" s="7" t="str">
        <x:v>OPEN</x:v>
      </x:c>
    </x:row>
    <x:row r="41">
      <x:c r="B41" s="7" t="str">
        <x:v>RAE-E-35-ISSUE</x:v>
      </x:c>
      <x:c r="C41" s="7" t="str">
        <x:v>RAE-E-35</x:v>
      </x:c>
      <x:c r="D41" s="7" t="str">
        <x:v>RFP-C1</x:v>
      </x:c>
      <x:c r="E41" s="7" t="str">
        <x:v>AM-05</x:v>
      </x:c>
      <x:c r="F41" s="7" t="str">
        <x:v>TR-B</x:v>
      </x:c>
      <x:c r="G41" s="7" t="str">
        <x:v>QE-01</x:v>
      </x:c>
      <x:c r="H41" s="7" t="n">
        <x:v>1</x:v>
      </x:c>
      <x:c r="I41" s="7" t="n">
        <x:v>20</x:v>
      </x:c>
      <x:c r="J41" s="7" t="n">
        <x:v>1</x:v>
      </x:c>
      <x:c r="K41" s="7" t="n">
        <x:v>0</x:v>
      </x:c>
      <x:c r="L41" s="7" t="n">
        <x:v>0</x:v>
      </x:c>
      <x:c r="M41" s="7" t="n">
        <x:v>1</x:v>
      </x:c>
      <x:c r="N41" s="7" t="n">
        <x:v>12</x:v>
      </x:c>
      <x:c r="O41" s="7" t="n">
        <x:v>36</x:v>
      </x:c>
      <x:c r="P41" s="7" t="n">
        <x:v>36</x:v>
      </x:c>
      <x:c r="Q41" s="7" t="n">
        <x:v>32</x:v>
      </x:c>
      <x:c r="R41" s="7" t="n">
        <x:v>3</x:v>
      </x:c>
      <x:c r="S41" s="7" t="n">
        <x:v>32</x:v>
      </x:c>
      <x:c r="T41" s="7" t="n">
        <x:v>12</x:v>
      </x:c>
      <x:c r="U41" s="7" t="n">
        <x:v>6</x:v>
      </x:c>
      <x:c r="V41" s="7" t="str"/>
      <x:c r="W41" s="7" t="str">
        <x:v>OPEN</x:v>
      </x:c>
    </x:row>
    <x:row r="42">
      <x:c r="B42" s="7" t="str">
        <x:v>RAE-E-36-ISSUE</x:v>
      </x:c>
      <x:c r="C42" s="7" t="str">
        <x:v>RAE-E-36</x:v>
      </x:c>
      <x:c r="D42" s="7" t="str">
        <x:v>RFP-C1</x:v>
      </x:c>
      <x:c r="E42" s="7" t="str">
        <x:v>AM-05</x:v>
      </x:c>
      <x:c r="F42" s="7" t="str">
        <x:v>TR-B</x:v>
      </x:c>
      <x:c r="G42" s="7" t="str">
        <x:v>QE-02</x:v>
      </x:c>
      <x:c r="H42" s="7" t="n">
        <x:v>1</x:v>
      </x:c>
      <x:c r="I42" s="7" t="n">
        <x:v>20</x:v>
      </x:c>
      <x:c r="J42" s="7" t="n">
        <x:v>1</x:v>
      </x:c>
      <x:c r="K42" s="7" t="n">
        <x:v>1</x:v>
      </x:c>
      <x:c r="L42" s="7" t="n">
        <x:v>10</x:v>
      </x:c>
      <x:c r="M42" s="7" t="n">
        <x:v>1</x:v>
      </x:c>
      <x:c r="N42" s="7" t="n">
        <x:v>12</x:v>
      </x:c>
      <x:c r="O42" s="7" t="n">
        <x:v>36</x:v>
      </x:c>
      <x:c r="P42" s="7" t="n">
        <x:v>36</x:v>
      </x:c>
      <x:c r="Q42" s="7" t="n">
        <x:v>32</x:v>
      </x:c>
      <x:c r="R42" s="7" t="n">
        <x:v>3</x:v>
      </x:c>
      <x:c r="S42" s="7" t="n">
        <x:v>32</x:v>
      </x:c>
      <x:c r="T42" s="7" t="n">
        <x:v>12</x:v>
      </x:c>
      <x:c r="U42" s="7" t="n">
        <x:v>8</x:v>
      </x:c>
      <x:c r="V42" s="7" t="str"/>
      <x:c r="W42" s="7" t="str">
        <x:v>OPEN</x:v>
      </x:c>
    </x:row>
    <x:row r="43">
      <x:c r="B43" s="7" t="str">
        <x:v>RAE-E-37-ISSUE</x:v>
      </x:c>
      <x:c r="C43" s="7" t="str">
        <x:v>RAE-E-37</x:v>
      </x:c>
      <x:c r="D43" s="7" t="str">
        <x:v>RFP-C1</x:v>
      </x:c>
      <x:c r="E43" s="7" t="str">
        <x:v>AM-06</x:v>
      </x:c>
      <x:c r="F43" s="7" t="str">
        <x:v>TR-A</x:v>
      </x:c>
      <x:c r="G43" s="7" t="str">
        <x:v>QE-01</x:v>
      </x:c>
      <x:c r="H43" s="7" t="n">
        <x:v>1</x:v>
      </x:c>
      <x:c r="I43" s="7" t="n">
        <x:v>20</x:v>
      </x:c>
      <x:c r="J43" s="7" t="n">
        <x:v>1</x:v>
      </x:c>
      <x:c r="K43" s="7" t="n">
        <x:v>0</x:v>
      </x:c>
      <x:c r="L43" s="7" t="n">
        <x:v>0</x:v>
      </x:c>
      <x:c r="M43" s="7" t="n">
        <x:v>1</x:v>
      </x:c>
      <x:c r="N43" s="7" t="n">
        <x:v>12</x:v>
      </x:c>
      <x:c r="O43" s="7" t="n">
        <x:v>36</x:v>
      </x:c>
      <x:c r="P43" s="7" t="n">
        <x:v>36</x:v>
      </x:c>
      <x:c r="Q43" s="7" t="n">
        <x:v>32</x:v>
      </x:c>
      <x:c r="R43" s="7" t="n">
        <x:v>3</x:v>
      </x:c>
      <x:c r="S43" s="7" t="n">
        <x:v>32</x:v>
      </x:c>
      <x:c r="T43" s="7" t="n">
        <x:v>12</x:v>
      </x:c>
      <x:c r="U43" s="7" t="n">
        <x:v>6</x:v>
      </x:c>
      <x:c r="V43" s="7" t="str"/>
      <x:c r="W43" s="7" t="str">
        <x:v>OPEN</x:v>
      </x:c>
    </x:row>
    <x:row r="44">
      <x:c r="B44" s="7" t="str">
        <x:v>RAE-E-38-ISSUE</x:v>
      </x:c>
      <x:c r="C44" s="7" t="str">
        <x:v>RAE-E-38</x:v>
      </x:c>
      <x:c r="D44" s="7" t="str">
        <x:v>RFP-C1</x:v>
      </x:c>
      <x:c r="E44" s="7" t="str">
        <x:v>AM-06</x:v>
      </x:c>
      <x:c r="F44" s="7" t="str">
        <x:v>TR-A</x:v>
      </x:c>
      <x:c r="G44" s="7" t="str">
        <x:v>QE-02</x:v>
      </x:c>
      <x:c r="H44" s="7" t="n">
        <x:v>1</x:v>
      </x:c>
      <x:c r="I44" s="7" t="n">
        <x:v>20</x:v>
      </x:c>
      <x:c r="J44" s="7" t="n">
        <x:v>1</x:v>
      </x:c>
      <x:c r="K44" s="7" t="n">
        <x:v>1</x:v>
      </x:c>
      <x:c r="L44" s="7" t="n">
        <x:v>10</x:v>
      </x:c>
      <x:c r="M44" s="7" t="n">
        <x:v>1</x:v>
      </x:c>
      <x:c r="N44" s="7" t="n">
        <x:v>12</x:v>
      </x:c>
      <x:c r="O44" s="7" t="n">
        <x:v>36</x:v>
      </x:c>
      <x:c r="P44" s="7" t="n">
        <x:v>36</x:v>
      </x:c>
      <x:c r="Q44" s="7" t="n">
        <x:v>32</x:v>
      </x:c>
      <x:c r="R44" s="7" t="n">
        <x:v>3</x:v>
      </x:c>
      <x:c r="S44" s="7" t="n">
        <x:v>32</x:v>
      </x:c>
      <x:c r="T44" s="7" t="n">
        <x:v>12</x:v>
      </x:c>
      <x:c r="U44" s="7" t="n">
        <x:v>8</x:v>
      </x:c>
      <x:c r="V44" s="7" t="str"/>
      <x:c r="W44" s="7" t="str">
        <x:v>OPEN</x:v>
      </x:c>
    </x:row>
    <x:row r="45">
      <x:c r="B45" s="7" t="str">
        <x:v>RAE-E-39-ISSUE</x:v>
      </x:c>
      <x:c r="C45" s="7" t="str">
        <x:v>RAE-E-39</x:v>
      </x:c>
      <x:c r="D45" s="7" t="str">
        <x:v>RFP-C1</x:v>
      </x:c>
      <x:c r="E45" s="7" t="str">
        <x:v>AM-06</x:v>
      </x:c>
      <x:c r="F45" s="7" t="str">
        <x:v>TR-B</x:v>
      </x:c>
      <x:c r="G45" s="7" t="str">
        <x:v>QE-01</x:v>
      </x:c>
      <x:c r="H45" s="7" t="n">
        <x:v>1</x:v>
      </x:c>
      <x:c r="I45" s="7" t="n">
        <x:v>20</x:v>
      </x:c>
      <x:c r="J45" s="7" t="n">
        <x:v>1</x:v>
      </x:c>
      <x:c r="K45" s="7" t="n">
        <x:v>0</x:v>
      </x:c>
      <x:c r="L45" s="7" t="n">
        <x:v>0</x:v>
      </x:c>
      <x:c r="M45" s="7" t="n">
        <x:v>1</x:v>
      </x:c>
      <x:c r="N45" s="7" t="n">
        <x:v>12</x:v>
      </x:c>
      <x:c r="O45" s="7" t="n">
        <x:v>36</x:v>
      </x:c>
      <x:c r="P45" s="7" t="n">
        <x:v>36</x:v>
      </x:c>
      <x:c r="Q45" s="7" t="n">
        <x:v>32</x:v>
      </x:c>
      <x:c r="R45" s="7" t="n">
        <x:v>3</x:v>
      </x:c>
      <x:c r="S45" s="7" t="n">
        <x:v>32</x:v>
      </x:c>
      <x:c r="T45" s="7" t="n">
        <x:v>12</x:v>
      </x:c>
      <x:c r="U45" s="7" t="n">
        <x:v>6</x:v>
      </x:c>
      <x:c r="V45" s="7" t="str"/>
      <x:c r="W45" s="7" t="str">
        <x:v>OPEN</x:v>
      </x:c>
    </x:row>
    <x:row r="46">
      <x:c r="B46" s="7" t="str">
        <x:v>RAE-E-40-ISSUE</x:v>
      </x:c>
      <x:c r="C46" s="7" t="str">
        <x:v>RAE-E-40</x:v>
      </x:c>
      <x:c r="D46" s="7" t="str">
        <x:v>RFP-C1</x:v>
      </x:c>
      <x:c r="E46" s="7" t="str">
        <x:v>AM-06</x:v>
      </x:c>
      <x:c r="F46" s="7" t="str">
        <x:v>TR-B</x:v>
      </x:c>
      <x:c r="G46" s="7" t="str">
        <x:v>QE-02</x:v>
      </x:c>
      <x:c r="H46" s="7" t="n">
        <x:v>1</x:v>
      </x:c>
      <x:c r="I46" s="7" t="n">
        <x:v>20</x:v>
      </x:c>
      <x:c r="J46" s="7" t="n">
        <x:v>1</x:v>
      </x:c>
      <x:c r="K46" s="7" t="n">
        <x:v>1</x:v>
      </x:c>
      <x:c r="L46" s="7" t="n">
        <x:v>10</x:v>
      </x:c>
      <x:c r="M46" s="7" t="n">
        <x:v>1</x:v>
      </x:c>
      <x:c r="N46" s="7" t="n">
        <x:v>12</x:v>
      </x:c>
      <x:c r="O46" s="7" t="n">
        <x:v>36</x:v>
      </x:c>
      <x:c r="P46" s="7" t="n">
        <x:v>36</x:v>
      </x:c>
      <x:c r="Q46" s="7" t="n">
        <x:v>32</x:v>
      </x:c>
      <x:c r="R46" s="7" t="n">
        <x:v>3</x:v>
      </x:c>
      <x:c r="S46" s="7" t="n">
        <x:v>32</x:v>
      </x:c>
      <x:c r="T46" s="7" t="n">
        <x:v>12</x:v>
      </x:c>
      <x:c r="U46" s="7" t="n">
        <x:v>8</x:v>
      </x:c>
      <x:c r="V46" s="7" t="str"/>
      <x:c r="W46" s="7" t="str">
        <x:v>OPEN</x:v>
      </x:c>
    </x:row>
    <x:row r="47">
      <x:c r="B47" s="7" t="str">
        <x:v>RAE-E-41-ISSUE</x:v>
      </x:c>
      <x:c r="C47" s="7" t="str">
        <x:v>RAE-E-41</x:v>
      </x:c>
      <x:c r="D47" s="7" t="str">
        <x:v>RFP-C2</x:v>
      </x:c>
      <x:c r="E47" s="7" t="str">
        <x:v>AM-05</x:v>
      </x:c>
      <x:c r="F47" s="7" t="str">
        <x:v>TR-A</x:v>
      </x:c>
      <x:c r="G47" s="7" t="str">
        <x:v>QE-01</x:v>
      </x:c>
      <x:c r="H47" s="7" t="n">
        <x:v>1</x:v>
      </x:c>
      <x:c r="I47" s="7" t="n">
        <x:v>20</x:v>
      </x:c>
      <x:c r="J47" s="7" t="n">
        <x:v>1</x:v>
      </x:c>
      <x:c r="K47" s="7" t="n">
        <x:v>0</x:v>
      </x:c>
      <x:c r="L47" s="7" t="n">
        <x:v>0</x:v>
      </x:c>
      <x:c r="M47" s="7" t="n">
        <x:v>1</x:v>
      </x:c>
      <x:c r="N47" s="7" t="n">
        <x:v>12</x:v>
      </x:c>
      <x:c r="O47" s="7" t="n">
        <x:v>36</x:v>
      </x:c>
      <x:c r="P47" s="7" t="n">
        <x:v>36</x:v>
      </x:c>
      <x:c r="Q47" s="7" t="n">
        <x:v>32</x:v>
      </x:c>
      <x:c r="R47" s="7" t="n">
        <x:v>3</x:v>
      </x:c>
      <x:c r="S47" s="7" t="n">
        <x:v>32</x:v>
      </x:c>
      <x:c r="T47" s="7" t="n">
        <x:v>12</x:v>
      </x:c>
      <x:c r="U47" s="7" t="n">
        <x:v>6</x:v>
      </x:c>
      <x:c r="V47" s="7" t="str"/>
      <x:c r="W47" s="7" t="str">
        <x:v>OPEN</x:v>
      </x:c>
    </x:row>
    <x:row r="48">
      <x:c r="B48" s="7" t="str">
        <x:v>RAE-E-42-ISSUE</x:v>
      </x:c>
      <x:c r="C48" s="7" t="str">
        <x:v>RAE-E-42</x:v>
      </x:c>
      <x:c r="D48" s="7" t="str">
        <x:v>RFP-C2</x:v>
      </x:c>
      <x:c r="E48" s="7" t="str">
        <x:v>AM-05</x:v>
      </x:c>
      <x:c r="F48" s="7" t="str">
        <x:v>TR-A</x:v>
      </x:c>
      <x:c r="G48" s="7" t="str">
        <x:v>QE-02</x:v>
      </x:c>
      <x:c r="H48" s="7" t="n">
        <x:v>1</x:v>
      </x:c>
      <x:c r="I48" s="7" t="n">
        <x:v>20</x:v>
      </x:c>
      <x:c r="J48" s="7" t="n">
        <x:v>1</x:v>
      </x:c>
      <x:c r="K48" s="7" t="n">
        <x:v>1</x:v>
      </x:c>
      <x:c r="L48" s="7" t="n">
        <x:v>10</x:v>
      </x:c>
      <x:c r="M48" s="7" t="n">
        <x:v>1</x:v>
      </x:c>
      <x:c r="N48" s="7" t="n">
        <x:v>12</x:v>
      </x:c>
      <x:c r="O48" s="7" t="n">
        <x:v>36</x:v>
      </x:c>
      <x:c r="P48" s="7" t="n">
        <x:v>36</x:v>
      </x:c>
      <x:c r="Q48" s="7" t="n">
        <x:v>32</x:v>
      </x:c>
      <x:c r="R48" s="7" t="n">
        <x:v>3</x:v>
      </x:c>
      <x:c r="S48" s="7" t="n">
        <x:v>32</x:v>
      </x:c>
      <x:c r="T48" s="7" t="n">
        <x:v>12</x:v>
      </x:c>
      <x:c r="U48" s="7" t="n">
        <x:v>8</x:v>
      </x:c>
      <x:c r="V48" s="7" t="str"/>
      <x:c r="W48" s="7" t="str">
        <x:v>OPEN</x:v>
      </x:c>
    </x:row>
    <x:row r="49">
      <x:c r="B49" s="7" t="str">
        <x:v>RAE-E-43-ISSUE</x:v>
      </x:c>
      <x:c r="C49" s="7" t="str">
        <x:v>RAE-E-43</x:v>
      </x:c>
      <x:c r="D49" s="7" t="str">
        <x:v>RFP-C2</x:v>
      </x:c>
      <x:c r="E49" s="7" t="str">
        <x:v>AM-05</x:v>
      </x:c>
      <x:c r="F49" s="7" t="str">
        <x:v>TR-B</x:v>
      </x:c>
      <x:c r="G49" s="7" t="str">
        <x:v>QE-01</x:v>
      </x:c>
      <x:c r="H49" s="7" t="n">
        <x:v>1</x:v>
      </x:c>
      <x:c r="I49" s="7" t="n">
        <x:v>20</x:v>
      </x:c>
      <x:c r="J49" s="7" t="n">
        <x:v>1</x:v>
      </x:c>
      <x:c r="K49" s="7" t="n">
        <x:v>0</x:v>
      </x:c>
      <x:c r="L49" s="7" t="n">
        <x:v>0</x:v>
      </x:c>
      <x:c r="M49" s="7" t="n">
        <x:v>1</x:v>
      </x:c>
      <x:c r="N49" s="7" t="n">
        <x:v>12</x:v>
      </x:c>
      <x:c r="O49" s="7" t="n">
        <x:v>36</x:v>
      </x:c>
      <x:c r="P49" s="7" t="n">
        <x:v>36</x:v>
      </x:c>
      <x:c r="Q49" s="7" t="n">
        <x:v>32</x:v>
      </x:c>
      <x:c r="R49" s="7" t="n">
        <x:v>3</x:v>
      </x:c>
      <x:c r="S49" s="7" t="n">
        <x:v>32</x:v>
      </x:c>
      <x:c r="T49" s="7" t="n">
        <x:v>12</x:v>
      </x:c>
      <x:c r="U49" s="7" t="n">
        <x:v>6</x:v>
      </x:c>
      <x:c r="V49" s="7" t="str"/>
      <x:c r="W49" s="7" t="str">
        <x:v>OPEN</x:v>
      </x:c>
    </x:row>
    <x:row r="50">
      <x:c r="B50" s="7" t="str">
        <x:v>RAE-E-44-ISSUE</x:v>
      </x:c>
      <x:c r="C50" s="7" t="str">
        <x:v>RAE-E-44</x:v>
      </x:c>
      <x:c r="D50" s="7" t="str">
        <x:v>RFP-C2</x:v>
      </x:c>
      <x:c r="E50" s="7" t="str">
        <x:v>AM-05</x:v>
      </x:c>
      <x:c r="F50" s="7" t="str">
        <x:v>TR-B</x:v>
      </x:c>
      <x:c r="G50" s="7" t="str">
        <x:v>QE-02</x:v>
      </x:c>
      <x:c r="H50" s="7" t="n">
        <x:v>1</x:v>
      </x:c>
      <x:c r="I50" s="7" t="n">
        <x:v>20</x:v>
      </x:c>
      <x:c r="J50" s="7" t="n">
        <x:v>1</x:v>
      </x:c>
      <x:c r="K50" s="7" t="n">
        <x:v>1</x:v>
      </x:c>
      <x:c r="L50" s="7" t="n">
        <x:v>10</x:v>
      </x:c>
      <x:c r="M50" s="7" t="n">
        <x:v>1</x:v>
      </x:c>
      <x:c r="N50" s="7" t="n">
        <x:v>12</x:v>
      </x:c>
      <x:c r="O50" s="7" t="n">
        <x:v>36</x:v>
      </x:c>
      <x:c r="P50" s="7" t="n">
        <x:v>36</x:v>
      </x:c>
      <x:c r="Q50" s="7" t="n">
        <x:v>32</x:v>
      </x:c>
      <x:c r="R50" s="7" t="n">
        <x:v>3</x:v>
      </x:c>
      <x:c r="S50" s="7" t="n">
        <x:v>32</x:v>
      </x:c>
      <x:c r="T50" s="7" t="n">
        <x:v>12</x:v>
      </x:c>
      <x:c r="U50" s="7" t="n">
        <x:v>8</x:v>
      </x:c>
      <x:c r="V50" s="7" t="str"/>
      <x:c r="W50" s="7" t="str">
        <x:v>OPEN</x:v>
      </x:c>
    </x:row>
    <x:row r="51">
      <x:c r="B51" s="7" t="str">
        <x:v>RAE-E-45-ISSUE</x:v>
      </x:c>
      <x:c r="C51" s="7" t="str">
        <x:v>RAE-E-45</x:v>
      </x:c>
      <x:c r="D51" s="7" t="str">
        <x:v>RFP-C2</x:v>
      </x:c>
      <x:c r="E51" s="7" t="str">
        <x:v>AM-06</x:v>
      </x:c>
      <x:c r="F51" s="7" t="str">
        <x:v>TR-A</x:v>
      </x:c>
      <x:c r="G51" s="7" t="str">
        <x:v>QE-01</x:v>
      </x:c>
      <x:c r="H51" s="7" t="n">
        <x:v>1</x:v>
      </x:c>
      <x:c r="I51" s="7" t="n">
        <x:v>20</x:v>
      </x:c>
      <x:c r="J51" s="7" t="n">
        <x:v>1</x:v>
      </x:c>
      <x:c r="K51" s="7" t="n">
        <x:v>0</x:v>
      </x:c>
      <x:c r="L51" s="7" t="n">
        <x:v>0</x:v>
      </x:c>
      <x:c r="M51" s="7" t="n">
        <x:v>1</x:v>
      </x:c>
      <x:c r="N51" s="7" t="n">
        <x:v>12</x:v>
      </x:c>
      <x:c r="O51" s="7" t="n">
        <x:v>36</x:v>
      </x:c>
      <x:c r="P51" s="7" t="n">
        <x:v>36</x:v>
      </x:c>
      <x:c r="Q51" s="7" t="n">
        <x:v>32</x:v>
      </x:c>
      <x:c r="R51" s="7" t="n">
        <x:v>3</x:v>
      </x:c>
      <x:c r="S51" s="7" t="n">
        <x:v>32</x:v>
      </x:c>
      <x:c r="T51" s="7" t="n">
        <x:v>12</x:v>
      </x:c>
      <x:c r="U51" s="7" t="n">
        <x:v>6</x:v>
      </x:c>
      <x:c r="V51" s="7" t="str"/>
      <x:c r="W51" s="7" t="str">
        <x:v>OPEN</x:v>
      </x:c>
    </x:row>
    <x:row r="52">
      <x:c r="B52" s="7" t="str">
        <x:v>RAE-E-46-ISSUE</x:v>
      </x:c>
      <x:c r="C52" s="7" t="str">
        <x:v>RAE-E-46</x:v>
      </x:c>
      <x:c r="D52" s="7" t="str">
        <x:v>RFP-C2</x:v>
      </x:c>
      <x:c r="E52" s="7" t="str">
        <x:v>AM-06</x:v>
      </x:c>
      <x:c r="F52" s="7" t="str">
        <x:v>TR-A</x:v>
      </x:c>
      <x:c r="G52" s="7" t="str">
        <x:v>QE-02</x:v>
      </x:c>
      <x:c r="H52" s="7" t="n">
        <x:v>1</x:v>
      </x:c>
      <x:c r="I52" s="7" t="n">
        <x:v>20</x:v>
      </x:c>
      <x:c r="J52" s="7" t="n">
        <x:v>1</x:v>
      </x:c>
      <x:c r="K52" s="7" t="n">
        <x:v>1</x:v>
      </x:c>
      <x:c r="L52" s="7" t="n">
        <x:v>10</x:v>
      </x:c>
      <x:c r="M52" s="7" t="n">
        <x:v>1</x:v>
      </x:c>
      <x:c r="N52" s="7" t="n">
        <x:v>12</x:v>
      </x:c>
      <x:c r="O52" s="7" t="n">
        <x:v>36</x:v>
      </x:c>
      <x:c r="P52" s="7" t="n">
        <x:v>36</x:v>
      </x:c>
      <x:c r="Q52" s="7" t="n">
        <x:v>32</x:v>
      </x:c>
      <x:c r="R52" s="7" t="n">
        <x:v>3</x:v>
      </x:c>
      <x:c r="S52" s="7" t="n">
        <x:v>32</x:v>
      </x:c>
      <x:c r="T52" s="7" t="n">
        <x:v>12</x:v>
      </x:c>
      <x:c r="U52" s="7" t="n">
        <x:v>8</x:v>
      </x:c>
      <x:c r="V52" s="7" t="str"/>
      <x:c r="W52" s="7" t="str">
        <x:v>OPEN</x:v>
      </x:c>
    </x:row>
    <x:row r="53">
      <x:c r="B53" s="7" t="str">
        <x:v>RAE-E-47-ISSUE</x:v>
      </x:c>
      <x:c r="C53" s="7" t="str">
        <x:v>RAE-E-47</x:v>
      </x:c>
      <x:c r="D53" s="7" t="str">
        <x:v>RFP-C2</x:v>
      </x:c>
      <x:c r="E53" s="7" t="str">
        <x:v>AM-06</x:v>
      </x:c>
      <x:c r="F53" s="7" t="str">
        <x:v>TR-B</x:v>
      </x:c>
      <x:c r="G53" s="7" t="str">
        <x:v>QE-01</x:v>
      </x:c>
      <x:c r="H53" s="7" t="n">
        <x:v>1</x:v>
      </x:c>
      <x:c r="I53" s="7" t="n">
        <x:v>20</x:v>
      </x:c>
      <x:c r="J53" s="7" t="n">
        <x:v>1</x:v>
      </x:c>
      <x:c r="K53" s="7" t="n">
        <x:v>0</x:v>
      </x:c>
      <x:c r="L53" s="7" t="n">
        <x:v>0</x:v>
      </x:c>
      <x:c r="M53" s="7" t="n">
        <x:v>1</x:v>
      </x:c>
      <x:c r="N53" s="7" t="n">
        <x:v>12</x:v>
      </x:c>
      <x:c r="O53" s="7" t="n">
        <x:v>36</x:v>
      </x:c>
      <x:c r="P53" s="7" t="n">
        <x:v>36</x:v>
      </x:c>
      <x:c r="Q53" s="7" t="n">
        <x:v>32</x:v>
      </x:c>
      <x:c r="R53" s="7" t="n">
        <x:v>3</x:v>
      </x:c>
      <x:c r="S53" s="7" t="n">
        <x:v>32</x:v>
      </x:c>
      <x:c r="T53" s="7" t="n">
        <x:v>12</x:v>
      </x:c>
      <x:c r="U53" s="7" t="n">
        <x:v>6</x:v>
      </x:c>
      <x:c r="V53" s="7" t="str"/>
      <x:c r="W53" s="7" t="str">
        <x:v>OPEN</x:v>
      </x:c>
    </x:row>
    <x:row r="54">
      <x:c r="B54" s="7" t="str">
        <x:v>RAE-E-48-ISSUE</x:v>
      </x:c>
      <x:c r="C54" s="7" t="str">
        <x:v>RAE-E-48</x:v>
      </x:c>
      <x:c r="D54" s="7" t="str">
        <x:v>RFP-C2</x:v>
      </x:c>
      <x:c r="E54" s="7" t="str">
        <x:v>AM-06</x:v>
      </x:c>
      <x:c r="F54" s="7" t="str">
        <x:v>TR-B</x:v>
      </x:c>
      <x:c r="G54" s="7" t="str">
        <x:v>QE-02</x:v>
      </x:c>
      <x:c r="H54" s="7" t="n">
        <x:v>1</x:v>
      </x:c>
      <x:c r="I54" s="7" t="n">
        <x:v>20</x:v>
      </x:c>
      <x:c r="J54" s="7" t="n">
        <x:v>1</x:v>
      </x:c>
      <x:c r="K54" s="7" t="n">
        <x:v>1</x:v>
      </x:c>
      <x:c r="L54" s="7" t="n">
        <x:v>10</x:v>
      </x:c>
      <x:c r="M54" s="7" t="n">
        <x:v>1</x:v>
      </x:c>
      <x:c r="N54" s="7" t="n">
        <x:v>12</x:v>
      </x:c>
      <x:c r="O54" s="7" t="n">
        <x:v>36</x:v>
      </x:c>
      <x:c r="P54" s="7" t="n">
        <x:v>36</x:v>
      </x:c>
      <x:c r="Q54" s="7" t="n">
        <x:v>32</x:v>
      </x:c>
      <x:c r="R54" s="7" t="n">
        <x:v>3</x:v>
      </x:c>
      <x:c r="S54" s="7" t="n">
        <x:v>32</x:v>
      </x:c>
      <x:c r="T54" s="7" t="n">
        <x:v>12</x:v>
      </x:c>
      <x:c r="U54" s="7" t="n">
        <x:v>8</x:v>
      </x:c>
      <x:c r="V54" s="7" t="str"/>
      <x:c r="W54" s="7" t="str">
        <x:v>OPEN</x:v>
      </x:c>
    </x:row>
  </x:sheetData>
  <x:conditionalFormatting sqref="W7:W54">
    <x:cfRule type="containsText" dxfId="162" priority="1" operator="containsText" text="FAIL"/>
    <x:cfRule type="containsText" dxfId="163" priority="2" operator="containsText" text="INVALID"/>
    <x:cfRule type="containsText" dxfId="164" priority="3" operator="containsText" text="BLOCKED"/>
    <x:cfRule type="containsText" dxfId="165" priority="4" operator="containsText" text="OPEN"/>
    <x:cfRule type="containsText" dxfId="166" priority="5" operator="containsText" text="HELD"/>
    <x:cfRule type="containsText" dxfId="167" priority="6" operator="containsText" text="DORMANT"/>
    <x:cfRule type="containsText" dxfId="168" priority="7" operator="containsText" text="PASS"/>
    <x:cfRule type="containsText" dxfId="169" priority="8" operator="containsText" text="VALID"/>
    <x:cfRule type="containsText" dxfId="170" priority="9" operator="containsText" text="ISSUED"/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2" hidden="0" customWidth="1"/>
    <x:col min="3" max="3" width="16" hidden="0" customWidth="1"/>
    <x:col min="4" max="4" width="14" hidden="0" customWidth="1"/>
    <x:col min="5" max="5" width="13" hidden="0" customWidth="1"/>
    <x:col min="6" max="6" width="12" hidden="0" customWidth="1"/>
    <x:col min="7" max="7" width="12" hidden="0" customWidth="1"/>
    <x:col min="8" max="8" width="15" hidden="0" customWidth="1"/>
    <x:col min="9" max="9" width="18" hidden="0" customWidth="1"/>
    <x:col min="10" max="10" width="27" hidden="0" customWidth="1"/>
    <x:col min="11" max="11" width="31" hidden="0" customWidth="1"/>
    <x:col min="12" max="12" width="20" hidden="0" customWidth="1"/>
    <x:col min="13" max="13" width="28" hidden="0" customWidth="1"/>
    <x:col min="14" max="14" width="14" hidden="0" customWidth="1"/>
  </x:cols>
  <x:sheetData>
    <x:row r="2">
      <x:c r="B2" s="1" t="str">
        <x:v>Forty-eight validity and outcome dossiers</x:v>
      </x:c>
    </x:row>
    <x:row r="3">
      <x:c r="B3" s="2" t="str">
        <x:v>Validity asks whether the registered proposition occurred under an accepted baseline. Outcome asks what happened. The two decisions are never collapsed.</x:v>
      </x:c>
    </x:row>
    <x:row r="6" ht="24" customHeight="1">
      <x:c r="B6" s="6" t="str">
        <x:v>Result</x:v>
      </x:c>
      <x:c r="C6" s="6" t="str">
        <x:v>Event</x:v>
      </x:c>
      <x:c r="D6" s="6" t="str">
        <x:v>Rig</x:v>
      </x:c>
      <x:c r="E6" s="6" t="str">
        <x:v>Method</x:v>
      </x:c>
      <x:c r="F6" s="6" t="str">
        <x:v>Root</x:v>
      </x:c>
      <x:c r="G6" s="6" t="str">
        <x:v>Class</x:v>
      </x:c>
      <x:c r="H6" s="6" t="str">
        <x:v>Phase records</x:v>
      </x:c>
      <x:c r="I6" s="6" t="str">
        <x:v>Evidence objects</x:v>
      </x:c>
      <x:c r="J6" s="6" t="str">
        <x:v>Source closure criterion</x:v>
      </x:c>
      <x:c r="K6" s="6" t="str">
        <x:v>Thermal criterion</x:v>
      </x:c>
      <x:c r="L6" s="6" t="str">
        <x:v>Validity decision</x:v>
      </x:c>
      <x:c r="M6" s="6" t="str">
        <x:v>Board and UTC</x:v>
      </x:c>
      <x:c r="N6" s="6" t="str">
        <x:v>State</x:v>
      </x:c>
    </x:row>
    <x:row r="7" ht="38" customHeight="1">
      <x:c r="B7" s="7" t="str">
        <x:v>RAE-E-01-RESULT</x:v>
      </x:c>
      <x:c r="C7" s="7" t="str">
        <x:v>RAE-E-01</x:v>
      </x:c>
      <x:c r="D7" s="7" t="str">
        <x:v>RFP-A1</x:v>
      </x:c>
      <x:c r="E7" s="7" t="str">
        <x:v>AM-05</x:v>
      </x:c>
      <x:c r="F7" s="7" t="str">
        <x:v>TR-A</x:v>
      </x:c>
      <x:c r="G7" s="7" t="str">
        <x:v>QE-01</x:v>
      </x:c>
      <x:c r="H7" s="7" t="n">
        <x:v>24</x:v>
      </x:c>
      <x:c r="I7" s="7" t="n">
        <x:v>12</x:v>
      </x:c>
      <x:c r="J7" s="10" t="str">
        <x:v>zero-source state</x:v>
      </x:c>
      <x:c r="K7" s="10" t="str">
        <x:v>n.a.</x:v>
      </x:c>
      <x:c r="L7" s="7" t="str"/>
      <x:c r="M7" s="7" t="str"/>
      <x:c r="N7" s="7" t="str">
        <x:v>OPEN</x:v>
      </x:c>
    </x:row>
    <x:row r="8" ht="38" customHeight="1">
      <x:c r="B8" s="7" t="str">
        <x:v>RAE-E-02-RESULT</x:v>
      </x:c>
      <x:c r="C8" s="7" t="str">
        <x:v>RAE-E-02</x:v>
      </x:c>
      <x:c r="D8" s="7" t="str">
        <x:v>RFP-A1</x:v>
      </x:c>
      <x:c r="E8" s="7" t="str">
        <x:v>AM-05</x:v>
      </x:c>
      <x:c r="F8" s="7" t="str">
        <x:v>TR-A</x:v>
      </x:c>
      <x:c r="G8" s="7" t="str">
        <x:v>QE-02</x:v>
      </x:c>
      <x:c r="H8" s="7" t="n">
        <x:v>24</x:v>
      </x:c>
      <x:c r="I8" s="7" t="n">
        <x:v>12</x:v>
      </x:c>
      <x:c r="J8" s="10" t="str">
        <x:v>terminal source &lt;=30 s</x:v>
      </x:c>
      <x:c r="K8" s="10" t="str">
        <x:v>n.a.</x:v>
      </x:c>
      <x:c r="L8" s="7" t="str"/>
      <x:c r="M8" s="7" t="str"/>
      <x:c r="N8" s="7" t="str">
        <x:v>OPEN</x:v>
      </x:c>
    </x:row>
    <x:row r="9" ht="38" customHeight="1">
      <x:c r="B9" s="7" t="str">
        <x:v>RAE-E-03-RESULT</x:v>
      </x:c>
      <x:c r="C9" s="7" t="str">
        <x:v>RAE-E-03</x:v>
      </x:c>
      <x:c r="D9" s="7" t="str">
        <x:v>RFP-A1</x:v>
      </x:c>
      <x:c r="E9" s="7" t="str">
        <x:v>AM-05</x:v>
      </x:c>
      <x:c r="F9" s="7" t="str">
        <x:v>TR-B</x:v>
      </x:c>
      <x:c r="G9" s="7" t="str">
        <x:v>QE-01</x:v>
      </x:c>
      <x:c r="H9" s="7" t="n">
        <x:v>24</x:v>
      </x:c>
      <x:c r="I9" s="7" t="n">
        <x:v>12</x:v>
      </x:c>
      <x:c r="J9" s="10" t="str">
        <x:v>zero-source state</x:v>
      </x:c>
      <x:c r="K9" s="10" t="str">
        <x:v>n.a.</x:v>
      </x:c>
      <x:c r="L9" s="7" t="str"/>
      <x:c r="M9" s="7" t="str"/>
      <x:c r="N9" s="7" t="str">
        <x:v>OPEN</x:v>
      </x:c>
    </x:row>
    <x:row r="10" ht="38" customHeight="1">
      <x:c r="B10" s="7" t="str">
        <x:v>RAE-E-04-RESULT</x:v>
      </x:c>
      <x:c r="C10" s="7" t="str">
        <x:v>RAE-E-04</x:v>
      </x:c>
      <x:c r="D10" s="7" t="str">
        <x:v>RFP-A1</x:v>
      </x:c>
      <x:c r="E10" s="7" t="str">
        <x:v>AM-05</x:v>
      </x:c>
      <x:c r="F10" s="7" t="str">
        <x:v>TR-B</x:v>
      </x:c>
      <x:c r="G10" s="7" t="str">
        <x:v>QE-02</x:v>
      </x:c>
      <x:c r="H10" s="7" t="n">
        <x:v>24</x:v>
      </x:c>
      <x:c r="I10" s="7" t="n">
        <x:v>12</x:v>
      </x:c>
      <x:c r="J10" s="10" t="str">
        <x:v>terminal source &lt;=30 s</x:v>
      </x:c>
      <x:c r="K10" s="10" t="str">
        <x:v>n.a.</x:v>
      </x:c>
      <x:c r="L10" s="7" t="str"/>
      <x:c r="M10" s="7" t="str"/>
      <x:c r="N10" s="7" t="str">
        <x:v>OPEN</x:v>
      </x:c>
    </x:row>
    <x:row r="11" ht="38" customHeight="1">
      <x:c r="B11" s="7" t="str">
        <x:v>RAE-E-05-RESULT</x:v>
      </x:c>
      <x:c r="C11" s="7" t="str">
        <x:v>RAE-E-05</x:v>
      </x:c>
      <x:c r="D11" s="7" t="str">
        <x:v>RFP-A1</x:v>
      </x:c>
      <x:c r="E11" s="7" t="str">
        <x:v>AM-06</x:v>
      </x:c>
      <x:c r="F11" s="7" t="str">
        <x:v>TR-A</x:v>
      </x:c>
      <x:c r="G11" s="7" t="str">
        <x:v>QE-01</x:v>
      </x:c>
      <x:c r="H11" s="7" t="n">
        <x:v>24</x:v>
      </x:c>
      <x:c r="I11" s="7" t="n">
        <x:v>12</x:v>
      </x:c>
      <x:c r="J11" s="10" t="str">
        <x:v>zero-source state</x:v>
      </x:c>
      <x:c r="K11" s="10" t="str">
        <x:v>n.a.</x:v>
      </x:c>
      <x:c r="L11" s="7" t="str"/>
      <x:c r="M11" s="7" t="str"/>
      <x:c r="N11" s="7" t="str">
        <x:v>OPEN</x:v>
      </x:c>
    </x:row>
    <x:row r="12" ht="38" customHeight="1">
      <x:c r="B12" s="7" t="str">
        <x:v>RAE-E-06-RESULT</x:v>
      </x:c>
      <x:c r="C12" s="7" t="str">
        <x:v>RAE-E-06</x:v>
      </x:c>
      <x:c r="D12" s="7" t="str">
        <x:v>RFP-A1</x:v>
      </x:c>
      <x:c r="E12" s="7" t="str">
        <x:v>AM-06</x:v>
      </x:c>
      <x:c r="F12" s="7" t="str">
        <x:v>TR-A</x:v>
      </x:c>
      <x:c r="G12" s="7" t="str">
        <x:v>QE-02</x:v>
      </x:c>
      <x:c r="H12" s="7" t="n">
        <x:v>24</x:v>
      </x:c>
      <x:c r="I12" s="7" t="n">
        <x:v>12</x:v>
      </x:c>
      <x:c r="J12" s="10" t="str">
        <x:v>terminal source &lt;=30 s</x:v>
      </x:c>
      <x:c r="K12" s="10" t="str">
        <x:v>required</x:v>
      </x:c>
      <x:c r="L12" s="7" t="str"/>
      <x:c r="M12" s="7" t="str"/>
      <x:c r="N12" s="7" t="str">
        <x:v>OPEN</x:v>
      </x:c>
    </x:row>
    <x:row r="13" ht="38" customHeight="1">
      <x:c r="B13" s="7" t="str">
        <x:v>RAE-E-07-RESULT</x:v>
      </x:c>
      <x:c r="C13" s="7" t="str">
        <x:v>RAE-E-07</x:v>
      </x:c>
      <x:c r="D13" s="7" t="str">
        <x:v>RFP-A1</x:v>
      </x:c>
      <x:c r="E13" s="7" t="str">
        <x:v>AM-06</x:v>
      </x:c>
      <x:c r="F13" s="7" t="str">
        <x:v>TR-B</x:v>
      </x:c>
      <x:c r="G13" s="7" t="str">
        <x:v>QE-01</x:v>
      </x:c>
      <x:c r="H13" s="7" t="n">
        <x:v>24</x:v>
      </x:c>
      <x:c r="I13" s="7" t="n">
        <x:v>12</x:v>
      </x:c>
      <x:c r="J13" s="10" t="str">
        <x:v>zero-source state</x:v>
      </x:c>
      <x:c r="K13" s="10" t="str">
        <x:v>n.a.</x:v>
      </x:c>
      <x:c r="L13" s="7" t="str"/>
      <x:c r="M13" s="7" t="str"/>
      <x:c r="N13" s="7" t="str">
        <x:v>OPEN</x:v>
      </x:c>
    </x:row>
    <x:row r="14" ht="38" customHeight="1">
      <x:c r="B14" s="7" t="str">
        <x:v>RAE-E-08-RESULT</x:v>
      </x:c>
      <x:c r="C14" s="7" t="str">
        <x:v>RAE-E-08</x:v>
      </x:c>
      <x:c r="D14" s="7" t="str">
        <x:v>RFP-A1</x:v>
      </x:c>
      <x:c r="E14" s="7" t="str">
        <x:v>AM-06</x:v>
      </x:c>
      <x:c r="F14" s="7" t="str">
        <x:v>TR-B</x:v>
      </x:c>
      <x:c r="G14" s="7" t="str">
        <x:v>QE-02</x:v>
      </x:c>
      <x:c r="H14" s="7" t="n">
        <x:v>24</x:v>
      </x:c>
      <x:c r="I14" s="7" t="n">
        <x:v>12</x:v>
      </x:c>
      <x:c r="J14" s="10" t="str">
        <x:v>terminal source &lt;=30 s</x:v>
      </x:c>
      <x:c r="K14" s="10" t="str">
        <x:v>required</x:v>
      </x:c>
      <x:c r="L14" s="7" t="str"/>
      <x:c r="M14" s="7" t="str"/>
      <x:c r="N14" s="7" t="str">
        <x:v>OPEN</x:v>
      </x:c>
    </x:row>
    <x:row r="15" ht="38" customHeight="1">
      <x:c r="B15" s="7" t="str">
        <x:v>RAE-E-09-RESULT</x:v>
      </x:c>
      <x:c r="C15" s="7" t="str">
        <x:v>RAE-E-09</x:v>
      </x:c>
      <x:c r="D15" s="7" t="str">
        <x:v>RFP-A2</x:v>
      </x:c>
      <x:c r="E15" s="7" t="str">
        <x:v>AM-05</x:v>
      </x:c>
      <x:c r="F15" s="7" t="str">
        <x:v>TR-A</x:v>
      </x:c>
      <x:c r="G15" s="7" t="str">
        <x:v>QE-01</x:v>
      </x:c>
      <x:c r="H15" s="7" t="n">
        <x:v>24</x:v>
      </x:c>
      <x:c r="I15" s="7" t="n">
        <x:v>12</x:v>
      </x:c>
      <x:c r="J15" s="10" t="str">
        <x:v>zero-source state</x:v>
      </x:c>
      <x:c r="K15" s="10" t="str">
        <x:v>n.a.</x:v>
      </x:c>
      <x:c r="L15" s="7" t="str"/>
      <x:c r="M15" s="7" t="str"/>
      <x:c r="N15" s="7" t="str">
        <x:v>OPEN</x:v>
      </x:c>
    </x:row>
    <x:row r="16" ht="38" customHeight="1">
      <x:c r="B16" s="7" t="str">
        <x:v>RAE-E-10-RESULT</x:v>
      </x:c>
      <x:c r="C16" s="7" t="str">
        <x:v>RAE-E-10</x:v>
      </x:c>
      <x:c r="D16" s="7" t="str">
        <x:v>RFP-A2</x:v>
      </x:c>
      <x:c r="E16" s="7" t="str">
        <x:v>AM-05</x:v>
      </x:c>
      <x:c r="F16" s="7" t="str">
        <x:v>TR-A</x:v>
      </x:c>
      <x:c r="G16" s="7" t="str">
        <x:v>QE-02</x:v>
      </x:c>
      <x:c r="H16" s="7" t="n">
        <x:v>24</x:v>
      </x:c>
      <x:c r="I16" s="7" t="n">
        <x:v>12</x:v>
      </x:c>
      <x:c r="J16" s="10" t="str">
        <x:v>terminal source &lt;=30 s</x:v>
      </x:c>
      <x:c r="K16" s="10" t="str">
        <x:v>n.a.</x:v>
      </x:c>
      <x:c r="L16" s="7" t="str"/>
      <x:c r="M16" s="7" t="str"/>
      <x:c r="N16" s="7" t="str">
        <x:v>OPEN</x:v>
      </x:c>
    </x:row>
    <x:row r="17" ht="38" customHeight="1">
      <x:c r="B17" s="7" t="str">
        <x:v>RAE-E-11-RESULT</x:v>
      </x:c>
      <x:c r="C17" s="7" t="str">
        <x:v>RAE-E-11</x:v>
      </x:c>
      <x:c r="D17" s="7" t="str">
        <x:v>RFP-A2</x:v>
      </x:c>
      <x:c r="E17" s="7" t="str">
        <x:v>AM-05</x:v>
      </x:c>
      <x:c r="F17" s="7" t="str">
        <x:v>TR-B</x:v>
      </x:c>
      <x:c r="G17" s="7" t="str">
        <x:v>QE-01</x:v>
      </x:c>
      <x:c r="H17" s="7" t="n">
        <x:v>24</x:v>
      </x:c>
      <x:c r="I17" s="7" t="n">
        <x:v>12</x:v>
      </x:c>
      <x:c r="J17" s="10" t="str">
        <x:v>zero-source state</x:v>
      </x:c>
      <x:c r="K17" s="10" t="str">
        <x:v>n.a.</x:v>
      </x:c>
      <x:c r="L17" s="7" t="str"/>
      <x:c r="M17" s="7" t="str"/>
      <x:c r="N17" s="7" t="str">
        <x:v>OPEN</x:v>
      </x:c>
    </x:row>
    <x:row r="18" ht="38" customHeight="1">
      <x:c r="B18" s="7" t="str">
        <x:v>RAE-E-12-RESULT</x:v>
      </x:c>
      <x:c r="C18" s="7" t="str">
        <x:v>RAE-E-12</x:v>
      </x:c>
      <x:c r="D18" s="7" t="str">
        <x:v>RFP-A2</x:v>
      </x:c>
      <x:c r="E18" s="7" t="str">
        <x:v>AM-05</x:v>
      </x:c>
      <x:c r="F18" s="7" t="str">
        <x:v>TR-B</x:v>
      </x:c>
      <x:c r="G18" s="7" t="str">
        <x:v>QE-02</x:v>
      </x:c>
      <x:c r="H18" s="7" t="n">
        <x:v>24</x:v>
      </x:c>
      <x:c r="I18" s="7" t="n">
        <x:v>12</x:v>
      </x:c>
      <x:c r="J18" s="10" t="str">
        <x:v>terminal source &lt;=30 s</x:v>
      </x:c>
      <x:c r="K18" s="10" t="str">
        <x:v>n.a.</x:v>
      </x:c>
      <x:c r="L18" s="7" t="str"/>
      <x:c r="M18" s="7" t="str"/>
      <x:c r="N18" s="7" t="str">
        <x:v>OPEN</x:v>
      </x:c>
    </x:row>
    <x:row r="19" ht="38" customHeight="1">
      <x:c r="B19" s="7" t="str">
        <x:v>RAE-E-13-RESULT</x:v>
      </x:c>
      <x:c r="C19" s="7" t="str">
        <x:v>RAE-E-13</x:v>
      </x:c>
      <x:c r="D19" s="7" t="str">
        <x:v>RFP-A2</x:v>
      </x:c>
      <x:c r="E19" s="7" t="str">
        <x:v>AM-06</x:v>
      </x:c>
      <x:c r="F19" s="7" t="str">
        <x:v>TR-A</x:v>
      </x:c>
      <x:c r="G19" s="7" t="str">
        <x:v>QE-01</x:v>
      </x:c>
      <x:c r="H19" s="7" t="n">
        <x:v>24</x:v>
      </x:c>
      <x:c r="I19" s="7" t="n">
        <x:v>12</x:v>
      </x:c>
      <x:c r="J19" s="10" t="str">
        <x:v>zero-source state</x:v>
      </x:c>
      <x:c r="K19" s="10" t="str">
        <x:v>n.a.</x:v>
      </x:c>
      <x:c r="L19" s="7" t="str"/>
      <x:c r="M19" s="7" t="str"/>
      <x:c r="N19" s="7" t="str">
        <x:v>OPEN</x:v>
      </x:c>
    </x:row>
    <x:row r="20" ht="38" customHeight="1">
      <x:c r="B20" s="7" t="str">
        <x:v>RAE-E-14-RESULT</x:v>
      </x:c>
      <x:c r="C20" s="7" t="str">
        <x:v>RAE-E-14</x:v>
      </x:c>
      <x:c r="D20" s="7" t="str">
        <x:v>RFP-A2</x:v>
      </x:c>
      <x:c r="E20" s="7" t="str">
        <x:v>AM-06</x:v>
      </x:c>
      <x:c r="F20" s="7" t="str">
        <x:v>TR-A</x:v>
      </x:c>
      <x:c r="G20" s="7" t="str">
        <x:v>QE-02</x:v>
      </x:c>
      <x:c r="H20" s="7" t="n">
        <x:v>24</x:v>
      </x:c>
      <x:c r="I20" s="7" t="n">
        <x:v>12</x:v>
      </x:c>
      <x:c r="J20" s="10" t="str">
        <x:v>terminal source &lt;=30 s</x:v>
      </x:c>
      <x:c r="K20" s="10" t="str">
        <x:v>required</x:v>
      </x:c>
      <x:c r="L20" s="7" t="str"/>
      <x:c r="M20" s="7" t="str"/>
      <x:c r="N20" s="7" t="str">
        <x:v>OPEN</x:v>
      </x:c>
    </x:row>
    <x:row r="21" ht="38" customHeight="1">
      <x:c r="B21" s="7" t="str">
        <x:v>RAE-E-15-RESULT</x:v>
      </x:c>
      <x:c r="C21" s="7" t="str">
        <x:v>RAE-E-15</x:v>
      </x:c>
      <x:c r="D21" s="7" t="str">
        <x:v>RFP-A2</x:v>
      </x:c>
      <x:c r="E21" s="7" t="str">
        <x:v>AM-06</x:v>
      </x:c>
      <x:c r="F21" s="7" t="str">
        <x:v>TR-B</x:v>
      </x:c>
      <x:c r="G21" s="7" t="str">
        <x:v>QE-01</x:v>
      </x:c>
      <x:c r="H21" s="7" t="n">
        <x:v>24</x:v>
      </x:c>
      <x:c r="I21" s="7" t="n">
        <x:v>12</x:v>
      </x:c>
      <x:c r="J21" s="10" t="str">
        <x:v>zero-source state</x:v>
      </x:c>
      <x:c r="K21" s="10" t="str">
        <x:v>n.a.</x:v>
      </x:c>
      <x:c r="L21" s="7" t="str"/>
      <x:c r="M21" s="7" t="str"/>
      <x:c r="N21" s="7" t="str">
        <x:v>OPEN</x:v>
      </x:c>
    </x:row>
    <x:row r="22" ht="38" customHeight="1">
      <x:c r="B22" s="7" t="str">
        <x:v>RAE-E-16-RESULT</x:v>
      </x:c>
      <x:c r="C22" s="7" t="str">
        <x:v>RAE-E-16</x:v>
      </x:c>
      <x:c r="D22" s="7" t="str">
        <x:v>RFP-A2</x:v>
      </x:c>
      <x:c r="E22" s="7" t="str">
        <x:v>AM-06</x:v>
      </x:c>
      <x:c r="F22" s="7" t="str">
        <x:v>TR-B</x:v>
      </x:c>
      <x:c r="G22" s="7" t="str">
        <x:v>QE-02</x:v>
      </x:c>
      <x:c r="H22" s="7" t="n">
        <x:v>24</x:v>
      </x:c>
      <x:c r="I22" s="7" t="n">
        <x:v>12</x:v>
      </x:c>
      <x:c r="J22" s="10" t="str">
        <x:v>terminal source &lt;=30 s</x:v>
      </x:c>
      <x:c r="K22" s="10" t="str">
        <x:v>required</x:v>
      </x:c>
      <x:c r="L22" s="7" t="str"/>
      <x:c r="M22" s="7" t="str"/>
      <x:c r="N22" s="7" t="str">
        <x:v>OPEN</x:v>
      </x:c>
    </x:row>
    <x:row r="23" ht="38" customHeight="1">
      <x:c r="B23" s="7" t="str">
        <x:v>RAE-E-17-RESULT</x:v>
      </x:c>
      <x:c r="C23" s="7" t="str">
        <x:v>RAE-E-17</x:v>
      </x:c>
      <x:c r="D23" s="7" t="str">
        <x:v>RFP-B1</x:v>
      </x:c>
      <x:c r="E23" s="7" t="str">
        <x:v>AM-05</x:v>
      </x:c>
      <x:c r="F23" s="7" t="str">
        <x:v>TR-A</x:v>
      </x:c>
      <x:c r="G23" s="7" t="str">
        <x:v>QE-01</x:v>
      </x:c>
      <x:c r="H23" s="7" t="n">
        <x:v>24</x:v>
      </x:c>
      <x:c r="I23" s="7" t="n">
        <x:v>12</x:v>
      </x:c>
      <x:c r="J23" s="10" t="str">
        <x:v>zero-source state</x:v>
      </x:c>
      <x:c r="K23" s="10" t="str">
        <x:v>n.a.</x:v>
      </x:c>
      <x:c r="L23" s="7" t="str"/>
      <x:c r="M23" s="7" t="str"/>
      <x:c r="N23" s="7" t="str">
        <x:v>OPEN</x:v>
      </x:c>
    </x:row>
    <x:row r="24" ht="38" customHeight="1">
      <x:c r="B24" s="7" t="str">
        <x:v>RAE-E-18-RESULT</x:v>
      </x:c>
      <x:c r="C24" s="7" t="str">
        <x:v>RAE-E-18</x:v>
      </x:c>
      <x:c r="D24" s="7" t="str">
        <x:v>RFP-B1</x:v>
      </x:c>
      <x:c r="E24" s="7" t="str">
        <x:v>AM-05</x:v>
      </x:c>
      <x:c r="F24" s="7" t="str">
        <x:v>TR-A</x:v>
      </x:c>
      <x:c r="G24" s="7" t="str">
        <x:v>QE-02</x:v>
      </x:c>
      <x:c r="H24" s="7" t="n">
        <x:v>24</x:v>
      </x:c>
      <x:c r="I24" s="7" t="n">
        <x:v>12</x:v>
      </x:c>
      <x:c r="J24" s="10" t="str">
        <x:v>terminal source &lt;=30 s</x:v>
      </x:c>
      <x:c r="K24" s="10" t="str">
        <x:v>n.a.</x:v>
      </x:c>
      <x:c r="L24" s="7" t="str"/>
      <x:c r="M24" s="7" t="str"/>
      <x:c r="N24" s="7" t="str">
        <x:v>OPEN</x:v>
      </x:c>
    </x:row>
    <x:row r="25" ht="38" customHeight="1">
      <x:c r="B25" s="7" t="str">
        <x:v>RAE-E-19-RESULT</x:v>
      </x:c>
      <x:c r="C25" s="7" t="str">
        <x:v>RAE-E-19</x:v>
      </x:c>
      <x:c r="D25" s="7" t="str">
        <x:v>RFP-B1</x:v>
      </x:c>
      <x:c r="E25" s="7" t="str">
        <x:v>AM-05</x:v>
      </x:c>
      <x:c r="F25" s="7" t="str">
        <x:v>TR-B</x:v>
      </x:c>
      <x:c r="G25" s="7" t="str">
        <x:v>QE-01</x:v>
      </x:c>
      <x:c r="H25" s="7" t="n">
        <x:v>24</x:v>
      </x:c>
      <x:c r="I25" s="7" t="n">
        <x:v>12</x:v>
      </x:c>
      <x:c r="J25" s="10" t="str">
        <x:v>zero-source state</x:v>
      </x:c>
      <x:c r="K25" s="10" t="str">
        <x:v>n.a.</x:v>
      </x:c>
      <x:c r="L25" s="7" t="str"/>
      <x:c r="M25" s="7" t="str"/>
      <x:c r="N25" s="7" t="str">
        <x:v>OPEN</x:v>
      </x:c>
    </x:row>
    <x:row r="26" ht="38" customHeight="1">
      <x:c r="B26" s="7" t="str">
        <x:v>RAE-E-20-RESULT</x:v>
      </x:c>
      <x:c r="C26" s="7" t="str">
        <x:v>RAE-E-20</x:v>
      </x:c>
      <x:c r="D26" s="7" t="str">
        <x:v>RFP-B1</x:v>
      </x:c>
      <x:c r="E26" s="7" t="str">
        <x:v>AM-05</x:v>
      </x:c>
      <x:c r="F26" s="7" t="str">
        <x:v>TR-B</x:v>
      </x:c>
      <x:c r="G26" s="7" t="str">
        <x:v>QE-02</x:v>
      </x:c>
      <x:c r="H26" s="7" t="n">
        <x:v>24</x:v>
      </x:c>
      <x:c r="I26" s="7" t="n">
        <x:v>12</x:v>
      </x:c>
      <x:c r="J26" s="10" t="str">
        <x:v>terminal source &lt;=30 s</x:v>
      </x:c>
      <x:c r="K26" s="10" t="str">
        <x:v>n.a.</x:v>
      </x:c>
      <x:c r="L26" s="7" t="str"/>
      <x:c r="M26" s="7" t="str"/>
      <x:c r="N26" s="7" t="str">
        <x:v>OPEN</x:v>
      </x:c>
    </x:row>
    <x:row r="27" ht="38" customHeight="1">
      <x:c r="B27" s="7" t="str">
        <x:v>RAE-E-21-RESULT</x:v>
      </x:c>
      <x:c r="C27" s="7" t="str">
        <x:v>RAE-E-21</x:v>
      </x:c>
      <x:c r="D27" s="7" t="str">
        <x:v>RFP-B1</x:v>
      </x:c>
      <x:c r="E27" s="7" t="str">
        <x:v>AM-06</x:v>
      </x:c>
      <x:c r="F27" s="7" t="str">
        <x:v>TR-A</x:v>
      </x:c>
      <x:c r="G27" s="7" t="str">
        <x:v>QE-01</x:v>
      </x:c>
      <x:c r="H27" s="7" t="n">
        <x:v>24</x:v>
      </x:c>
      <x:c r="I27" s="7" t="n">
        <x:v>12</x:v>
      </x:c>
      <x:c r="J27" s="10" t="str">
        <x:v>zero-source state</x:v>
      </x:c>
      <x:c r="K27" s="10" t="str">
        <x:v>n.a.</x:v>
      </x:c>
      <x:c r="L27" s="7" t="str"/>
      <x:c r="M27" s="7" t="str"/>
      <x:c r="N27" s="7" t="str">
        <x:v>OPEN</x:v>
      </x:c>
    </x:row>
    <x:row r="28" ht="38" customHeight="1">
      <x:c r="B28" s="7" t="str">
        <x:v>RAE-E-22-RESULT</x:v>
      </x:c>
      <x:c r="C28" s="7" t="str">
        <x:v>RAE-E-22</x:v>
      </x:c>
      <x:c r="D28" s="7" t="str">
        <x:v>RFP-B1</x:v>
      </x:c>
      <x:c r="E28" s="7" t="str">
        <x:v>AM-06</x:v>
      </x:c>
      <x:c r="F28" s="7" t="str">
        <x:v>TR-A</x:v>
      </x:c>
      <x:c r="G28" s="7" t="str">
        <x:v>QE-02</x:v>
      </x:c>
      <x:c r="H28" s="7" t="n">
        <x:v>24</x:v>
      </x:c>
      <x:c r="I28" s="7" t="n">
        <x:v>12</x:v>
      </x:c>
      <x:c r="J28" s="10" t="str">
        <x:v>terminal source &lt;=30 s</x:v>
      </x:c>
      <x:c r="K28" s="10" t="str">
        <x:v>required</x:v>
      </x:c>
      <x:c r="L28" s="7" t="str"/>
      <x:c r="M28" s="7" t="str"/>
      <x:c r="N28" s="7" t="str">
        <x:v>OPEN</x:v>
      </x:c>
    </x:row>
    <x:row r="29" ht="38" customHeight="1">
      <x:c r="B29" s="7" t="str">
        <x:v>RAE-E-23-RESULT</x:v>
      </x:c>
      <x:c r="C29" s="7" t="str">
        <x:v>RAE-E-23</x:v>
      </x:c>
      <x:c r="D29" s="7" t="str">
        <x:v>RFP-B1</x:v>
      </x:c>
      <x:c r="E29" s="7" t="str">
        <x:v>AM-06</x:v>
      </x:c>
      <x:c r="F29" s="7" t="str">
        <x:v>TR-B</x:v>
      </x:c>
      <x:c r="G29" s="7" t="str">
        <x:v>QE-01</x:v>
      </x:c>
      <x:c r="H29" s="7" t="n">
        <x:v>24</x:v>
      </x:c>
      <x:c r="I29" s="7" t="n">
        <x:v>12</x:v>
      </x:c>
      <x:c r="J29" s="10" t="str">
        <x:v>zero-source state</x:v>
      </x:c>
      <x:c r="K29" s="10" t="str">
        <x:v>n.a.</x:v>
      </x:c>
      <x:c r="L29" s="7" t="str"/>
      <x:c r="M29" s="7" t="str"/>
      <x:c r="N29" s="7" t="str">
        <x:v>OPEN</x:v>
      </x:c>
    </x:row>
    <x:row r="30" ht="38" customHeight="1">
      <x:c r="B30" s="7" t="str">
        <x:v>RAE-E-24-RESULT</x:v>
      </x:c>
      <x:c r="C30" s="7" t="str">
        <x:v>RAE-E-24</x:v>
      </x:c>
      <x:c r="D30" s="7" t="str">
        <x:v>RFP-B1</x:v>
      </x:c>
      <x:c r="E30" s="7" t="str">
        <x:v>AM-06</x:v>
      </x:c>
      <x:c r="F30" s="7" t="str">
        <x:v>TR-B</x:v>
      </x:c>
      <x:c r="G30" s="7" t="str">
        <x:v>QE-02</x:v>
      </x:c>
      <x:c r="H30" s="7" t="n">
        <x:v>24</x:v>
      </x:c>
      <x:c r="I30" s="7" t="n">
        <x:v>12</x:v>
      </x:c>
      <x:c r="J30" s="10" t="str">
        <x:v>terminal source &lt;=30 s</x:v>
      </x:c>
      <x:c r="K30" s="10" t="str">
        <x:v>required</x:v>
      </x:c>
      <x:c r="L30" s="7" t="str"/>
      <x:c r="M30" s="7" t="str"/>
      <x:c r="N30" s="7" t="str">
        <x:v>OPEN</x:v>
      </x:c>
    </x:row>
    <x:row r="31" ht="38" customHeight="1">
      <x:c r="B31" s="7" t="str">
        <x:v>RAE-E-25-RESULT</x:v>
      </x:c>
      <x:c r="C31" s="7" t="str">
        <x:v>RAE-E-25</x:v>
      </x:c>
      <x:c r="D31" s="7" t="str">
        <x:v>RFP-B2</x:v>
      </x:c>
      <x:c r="E31" s="7" t="str">
        <x:v>AM-05</x:v>
      </x:c>
      <x:c r="F31" s="7" t="str">
        <x:v>TR-A</x:v>
      </x:c>
      <x:c r="G31" s="7" t="str">
        <x:v>QE-01</x:v>
      </x:c>
      <x:c r="H31" s="7" t="n">
        <x:v>24</x:v>
      </x:c>
      <x:c r="I31" s="7" t="n">
        <x:v>12</x:v>
      </x:c>
      <x:c r="J31" s="10" t="str">
        <x:v>zero-source state</x:v>
      </x:c>
      <x:c r="K31" s="10" t="str">
        <x:v>n.a.</x:v>
      </x:c>
      <x:c r="L31" s="7" t="str"/>
      <x:c r="M31" s="7" t="str"/>
      <x:c r="N31" s="7" t="str">
        <x:v>OPEN</x:v>
      </x:c>
    </x:row>
    <x:row r="32" ht="38" customHeight="1">
      <x:c r="B32" s="7" t="str">
        <x:v>RAE-E-26-RESULT</x:v>
      </x:c>
      <x:c r="C32" s="7" t="str">
        <x:v>RAE-E-26</x:v>
      </x:c>
      <x:c r="D32" s="7" t="str">
        <x:v>RFP-B2</x:v>
      </x:c>
      <x:c r="E32" s="7" t="str">
        <x:v>AM-05</x:v>
      </x:c>
      <x:c r="F32" s="7" t="str">
        <x:v>TR-A</x:v>
      </x:c>
      <x:c r="G32" s="7" t="str">
        <x:v>QE-02</x:v>
      </x:c>
      <x:c r="H32" s="7" t="n">
        <x:v>24</x:v>
      </x:c>
      <x:c r="I32" s="7" t="n">
        <x:v>12</x:v>
      </x:c>
      <x:c r="J32" s="10" t="str">
        <x:v>terminal source &lt;=30 s</x:v>
      </x:c>
      <x:c r="K32" s="10" t="str">
        <x:v>n.a.</x:v>
      </x:c>
      <x:c r="L32" s="7" t="str"/>
      <x:c r="M32" s="7" t="str"/>
      <x:c r="N32" s="7" t="str">
        <x:v>OPEN</x:v>
      </x:c>
    </x:row>
    <x:row r="33" ht="38" customHeight="1">
      <x:c r="B33" s="7" t="str">
        <x:v>RAE-E-27-RESULT</x:v>
      </x:c>
      <x:c r="C33" s="7" t="str">
        <x:v>RAE-E-27</x:v>
      </x:c>
      <x:c r="D33" s="7" t="str">
        <x:v>RFP-B2</x:v>
      </x:c>
      <x:c r="E33" s="7" t="str">
        <x:v>AM-05</x:v>
      </x:c>
      <x:c r="F33" s="7" t="str">
        <x:v>TR-B</x:v>
      </x:c>
      <x:c r="G33" s="7" t="str">
        <x:v>QE-01</x:v>
      </x:c>
      <x:c r="H33" s="7" t="n">
        <x:v>24</x:v>
      </x:c>
      <x:c r="I33" s="7" t="n">
        <x:v>12</x:v>
      </x:c>
      <x:c r="J33" s="10" t="str">
        <x:v>zero-source state</x:v>
      </x:c>
      <x:c r="K33" s="10" t="str">
        <x:v>n.a.</x:v>
      </x:c>
      <x:c r="L33" s="7" t="str"/>
      <x:c r="M33" s="7" t="str"/>
      <x:c r="N33" s="7" t="str">
        <x:v>OPEN</x:v>
      </x:c>
    </x:row>
    <x:row r="34" ht="38" customHeight="1">
      <x:c r="B34" s="7" t="str">
        <x:v>RAE-E-28-RESULT</x:v>
      </x:c>
      <x:c r="C34" s="7" t="str">
        <x:v>RAE-E-28</x:v>
      </x:c>
      <x:c r="D34" s="7" t="str">
        <x:v>RFP-B2</x:v>
      </x:c>
      <x:c r="E34" s="7" t="str">
        <x:v>AM-05</x:v>
      </x:c>
      <x:c r="F34" s="7" t="str">
        <x:v>TR-B</x:v>
      </x:c>
      <x:c r="G34" s="7" t="str">
        <x:v>QE-02</x:v>
      </x:c>
      <x:c r="H34" s="7" t="n">
        <x:v>24</x:v>
      </x:c>
      <x:c r="I34" s="7" t="n">
        <x:v>12</x:v>
      </x:c>
      <x:c r="J34" s="10" t="str">
        <x:v>terminal source &lt;=30 s</x:v>
      </x:c>
      <x:c r="K34" s="10" t="str">
        <x:v>n.a.</x:v>
      </x:c>
      <x:c r="L34" s="7" t="str"/>
      <x:c r="M34" s="7" t="str"/>
      <x:c r="N34" s="7" t="str">
        <x:v>OPEN</x:v>
      </x:c>
    </x:row>
    <x:row r="35" ht="38" customHeight="1">
      <x:c r="B35" s="7" t="str">
        <x:v>RAE-E-29-RESULT</x:v>
      </x:c>
      <x:c r="C35" s="7" t="str">
        <x:v>RAE-E-29</x:v>
      </x:c>
      <x:c r="D35" s="7" t="str">
        <x:v>RFP-B2</x:v>
      </x:c>
      <x:c r="E35" s="7" t="str">
        <x:v>AM-06</x:v>
      </x:c>
      <x:c r="F35" s="7" t="str">
        <x:v>TR-A</x:v>
      </x:c>
      <x:c r="G35" s="7" t="str">
        <x:v>QE-01</x:v>
      </x:c>
      <x:c r="H35" s="7" t="n">
        <x:v>24</x:v>
      </x:c>
      <x:c r="I35" s="7" t="n">
        <x:v>12</x:v>
      </x:c>
      <x:c r="J35" s="10" t="str">
        <x:v>zero-source state</x:v>
      </x:c>
      <x:c r="K35" s="10" t="str">
        <x:v>n.a.</x:v>
      </x:c>
      <x:c r="L35" s="7" t="str"/>
      <x:c r="M35" s="7" t="str"/>
      <x:c r="N35" s="7" t="str">
        <x:v>OPEN</x:v>
      </x:c>
    </x:row>
    <x:row r="36" ht="38" customHeight="1">
      <x:c r="B36" s="7" t="str">
        <x:v>RAE-E-30-RESULT</x:v>
      </x:c>
      <x:c r="C36" s="7" t="str">
        <x:v>RAE-E-30</x:v>
      </x:c>
      <x:c r="D36" s="7" t="str">
        <x:v>RFP-B2</x:v>
      </x:c>
      <x:c r="E36" s="7" t="str">
        <x:v>AM-06</x:v>
      </x:c>
      <x:c r="F36" s="7" t="str">
        <x:v>TR-A</x:v>
      </x:c>
      <x:c r="G36" s="7" t="str">
        <x:v>QE-02</x:v>
      </x:c>
      <x:c r="H36" s="7" t="n">
        <x:v>24</x:v>
      </x:c>
      <x:c r="I36" s="7" t="n">
        <x:v>12</x:v>
      </x:c>
      <x:c r="J36" s="10" t="str">
        <x:v>terminal source &lt;=30 s</x:v>
      </x:c>
      <x:c r="K36" s="10" t="str">
        <x:v>required</x:v>
      </x:c>
      <x:c r="L36" s="7" t="str"/>
      <x:c r="M36" s="7" t="str"/>
      <x:c r="N36" s="7" t="str">
        <x:v>OPEN</x:v>
      </x:c>
    </x:row>
    <x:row r="37" ht="38" customHeight="1">
      <x:c r="B37" s="7" t="str">
        <x:v>RAE-E-31-RESULT</x:v>
      </x:c>
      <x:c r="C37" s="7" t="str">
        <x:v>RAE-E-31</x:v>
      </x:c>
      <x:c r="D37" s="7" t="str">
        <x:v>RFP-B2</x:v>
      </x:c>
      <x:c r="E37" s="7" t="str">
        <x:v>AM-06</x:v>
      </x:c>
      <x:c r="F37" s="7" t="str">
        <x:v>TR-B</x:v>
      </x:c>
      <x:c r="G37" s="7" t="str">
        <x:v>QE-01</x:v>
      </x:c>
      <x:c r="H37" s="7" t="n">
        <x:v>24</x:v>
      </x:c>
      <x:c r="I37" s="7" t="n">
        <x:v>12</x:v>
      </x:c>
      <x:c r="J37" s="10" t="str">
        <x:v>zero-source state</x:v>
      </x:c>
      <x:c r="K37" s="10" t="str">
        <x:v>n.a.</x:v>
      </x:c>
      <x:c r="L37" s="7" t="str"/>
      <x:c r="M37" s="7" t="str"/>
      <x:c r="N37" s="7" t="str">
        <x:v>OPEN</x:v>
      </x:c>
    </x:row>
    <x:row r="38" ht="38" customHeight="1">
      <x:c r="B38" s="7" t="str">
        <x:v>RAE-E-32-RESULT</x:v>
      </x:c>
      <x:c r="C38" s="7" t="str">
        <x:v>RAE-E-32</x:v>
      </x:c>
      <x:c r="D38" s="7" t="str">
        <x:v>RFP-B2</x:v>
      </x:c>
      <x:c r="E38" s="7" t="str">
        <x:v>AM-06</x:v>
      </x:c>
      <x:c r="F38" s="7" t="str">
        <x:v>TR-B</x:v>
      </x:c>
      <x:c r="G38" s="7" t="str">
        <x:v>QE-02</x:v>
      </x:c>
      <x:c r="H38" s="7" t="n">
        <x:v>24</x:v>
      </x:c>
      <x:c r="I38" s="7" t="n">
        <x:v>12</x:v>
      </x:c>
      <x:c r="J38" s="10" t="str">
        <x:v>terminal source &lt;=30 s</x:v>
      </x:c>
      <x:c r="K38" s="10" t="str">
        <x:v>required</x:v>
      </x:c>
      <x:c r="L38" s="7" t="str"/>
      <x:c r="M38" s="7" t="str"/>
      <x:c r="N38" s="7" t="str">
        <x:v>OPEN</x:v>
      </x:c>
    </x:row>
    <x:row r="39" ht="38" customHeight="1">
      <x:c r="B39" s="7" t="str">
        <x:v>RAE-E-33-RESULT</x:v>
      </x:c>
      <x:c r="C39" s="7" t="str">
        <x:v>RAE-E-33</x:v>
      </x:c>
      <x:c r="D39" s="7" t="str">
        <x:v>RFP-C1</x:v>
      </x:c>
      <x:c r="E39" s="7" t="str">
        <x:v>AM-05</x:v>
      </x:c>
      <x:c r="F39" s="7" t="str">
        <x:v>TR-A</x:v>
      </x:c>
      <x:c r="G39" s="7" t="str">
        <x:v>QE-01</x:v>
      </x:c>
      <x:c r="H39" s="7" t="n">
        <x:v>24</x:v>
      </x:c>
      <x:c r="I39" s="7" t="n">
        <x:v>12</x:v>
      </x:c>
      <x:c r="J39" s="10" t="str">
        <x:v>zero-source state</x:v>
      </x:c>
      <x:c r="K39" s="10" t="str">
        <x:v>n.a.</x:v>
      </x:c>
      <x:c r="L39" s="7" t="str"/>
      <x:c r="M39" s="7" t="str"/>
      <x:c r="N39" s="7" t="str">
        <x:v>OPEN</x:v>
      </x:c>
    </x:row>
    <x:row r="40" ht="38" customHeight="1">
      <x:c r="B40" s="7" t="str">
        <x:v>RAE-E-34-RESULT</x:v>
      </x:c>
      <x:c r="C40" s="7" t="str">
        <x:v>RAE-E-34</x:v>
      </x:c>
      <x:c r="D40" s="7" t="str">
        <x:v>RFP-C1</x:v>
      </x:c>
      <x:c r="E40" s="7" t="str">
        <x:v>AM-05</x:v>
      </x:c>
      <x:c r="F40" s="7" t="str">
        <x:v>TR-A</x:v>
      </x:c>
      <x:c r="G40" s="7" t="str">
        <x:v>QE-02</x:v>
      </x:c>
      <x:c r="H40" s="7" t="n">
        <x:v>24</x:v>
      </x:c>
      <x:c r="I40" s="7" t="n">
        <x:v>12</x:v>
      </x:c>
      <x:c r="J40" s="10" t="str">
        <x:v>terminal source &lt;=30 s</x:v>
      </x:c>
      <x:c r="K40" s="10" t="str">
        <x:v>n.a.</x:v>
      </x:c>
      <x:c r="L40" s="7" t="str"/>
      <x:c r="M40" s="7" t="str"/>
      <x:c r="N40" s="7" t="str">
        <x:v>OPEN</x:v>
      </x:c>
    </x:row>
    <x:row r="41" ht="38" customHeight="1">
      <x:c r="B41" s="7" t="str">
        <x:v>RAE-E-35-RESULT</x:v>
      </x:c>
      <x:c r="C41" s="7" t="str">
        <x:v>RAE-E-35</x:v>
      </x:c>
      <x:c r="D41" s="7" t="str">
        <x:v>RFP-C1</x:v>
      </x:c>
      <x:c r="E41" s="7" t="str">
        <x:v>AM-05</x:v>
      </x:c>
      <x:c r="F41" s="7" t="str">
        <x:v>TR-B</x:v>
      </x:c>
      <x:c r="G41" s="7" t="str">
        <x:v>QE-01</x:v>
      </x:c>
      <x:c r="H41" s="7" t="n">
        <x:v>24</x:v>
      </x:c>
      <x:c r="I41" s="7" t="n">
        <x:v>12</x:v>
      </x:c>
      <x:c r="J41" s="10" t="str">
        <x:v>zero-source state</x:v>
      </x:c>
      <x:c r="K41" s="10" t="str">
        <x:v>n.a.</x:v>
      </x:c>
      <x:c r="L41" s="7" t="str"/>
      <x:c r="M41" s="7" t="str"/>
      <x:c r="N41" s="7" t="str">
        <x:v>OPEN</x:v>
      </x:c>
    </x:row>
    <x:row r="42" ht="38" customHeight="1">
      <x:c r="B42" s="7" t="str">
        <x:v>RAE-E-36-RESULT</x:v>
      </x:c>
      <x:c r="C42" s="7" t="str">
        <x:v>RAE-E-36</x:v>
      </x:c>
      <x:c r="D42" s="7" t="str">
        <x:v>RFP-C1</x:v>
      </x:c>
      <x:c r="E42" s="7" t="str">
        <x:v>AM-05</x:v>
      </x:c>
      <x:c r="F42" s="7" t="str">
        <x:v>TR-B</x:v>
      </x:c>
      <x:c r="G42" s="7" t="str">
        <x:v>QE-02</x:v>
      </x:c>
      <x:c r="H42" s="7" t="n">
        <x:v>24</x:v>
      </x:c>
      <x:c r="I42" s="7" t="n">
        <x:v>12</x:v>
      </x:c>
      <x:c r="J42" s="10" t="str">
        <x:v>terminal source &lt;=30 s</x:v>
      </x:c>
      <x:c r="K42" s="10" t="str">
        <x:v>n.a.</x:v>
      </x:c>
      <x:c r="L42" s="7" t="str"/>
      <x:c r="M42" s="7" t="str"/>
      <x:c r="N42" s="7" t="str">
        <x:v>OPEN</x:v>
      </x:c>
    </x:row>
    <x:row r="43" ht="38" customHeight="1">
      <x:c r="B43" s="7" t="str">
        <x:v>RAE-E-37-RESULT</x:v>
      </x:c>
      <x:c r="C43" s="7" t="str">
        <x:v>RAE-E-37</x:v>
      </x:c>
      <x:c r="D43" s="7" t="str">
        <x:v>RFP-C1</x:v>
      </x:c>
      <x:c r="E43" s="7" t="str">
        <x:v>AM-06</x:v>
      </x:c>
      <x:c r="F43" s="7" t="str">
        <x:v>TR-A</x:v>
      </x:c>
      <x:c r="G43" s="7" t="str">
        <x:v>QE-01</x:v>
      </x:c>
      <x:c r="H43" s="7" t="n">
        <x:v>24</x:v>
      </x:c>
      <x:c r="I43" s="7" t="n">
        <x:v>12</x:v>
      </x:c>
      <x:c r="J43" s="10" t="str">
        <x:v>zero-source state</x:v>
      </x:c>
      <x:c r="K43" s="10" t="str">
        <x:v>n.a.</x:v>
      </x:c>
      <x:c r="L43" s="7" t="str"/>
      <x:c r="M43" s="7" t="str"/>
      <x:c r="N43" s="7" t="str">
        <x:v>OPEN</x:v>
      </x:c>
    </x:row>
    <x:row r="44" ht="38" customHeight="1">
      <x:c r="B44" s="7" t="str">
        <x:v>RAE-E-38-RESULT</x:v>
      </x:c>
      <x:c r="C44" s="7" t="str">
        <x:v>RAE-E-38</x:v>
      </x:c>
      <x:c r="D44" s="7" t="str">
        <x:v>RFP-C1</x:v>
      </x:c>
      <x:c r="E44" s="7" t="str">
        <x:v>AM-06</x:v>
      </x:c>
      <x:c r="F44" s="7" t="str">
        <x:v>TR-A</x:v>
      </x:c>
      <x:c r="G44" s="7" t="str">
        <x:v>QE-02</x:v>
      </x:c>
      <x:c r="H44" s="7" t="n">
        <x:v>24</x:v>
      </x:c>
      <x:c r="I44" s="7" t="n">
        <x:v>12</x:v>
      </x:c>
      <x:c r="J44" s="10" t="str">
        <x:v>terminal source &lt;=30 s</x:v>
      </x:c>
      <x:c r="K44" s="10" t="str">
        <x:v>required</x:v>
      </x:c>
      <x:c r="L44" s="7" t="str"/>
      <x:c r="M44" s="7" t="str"/>
      <x:c r="N44" s="7" t="str">
        <x:v>OPEN</x:v>
      </x:c>
    </x:row>
    <x:row r="45" ht="38" customHeight="1">
      <x:c r="B45" s="7" t="str">
        <x:v>RAE-E-39-RESULT</x:v>
      </x:c>
      <x:c r="C45" s="7" t="str">
        <x:v>RAE-E-39</x:v>
      </x:c>
      <x:c r="D45" s="7" t="str">
        <x:v>RFP-C1</x:v>
      </x:c>
      <x:c r="E45" s="7" t="str">
        <x:v>AM-06</x:v>
      </x:c>
      <x:c r="F45" s="7" t="str">
        <x:v>TR-B</x:v>
      </x:c>
      <x:c r="G45" s="7" t="str">
        <x:v>QE-01</x:v>
      </x:c>
      <x:c r="H45" s="7" t="n">
        <x:v>24</x:v>
      </x:c>
      <x:c r="I45" s="7" t="n">
        <x:v>12</x:v>
      </x:c>
      <x:c r="J45" s="10" t="str">
        <x:v>zero-source state</x:v>
      </x:c>
      <x:c r="K45" s="10" t="str">
        <x:v>n.a.</x:v>
      </x:c>
      <x:c r="L45" s="7" t="str"/>
      <x:c r="M45" s="7" t="str"/>
      <x:c r="N45" s="7" t="str">
        <x:v>OPEN</x:v>
      </x:c>
    </x:row>
    <x:row r="46" ht="38" customHeight="1">
      <x:c r="B46" s="7" t="str">
        <x:v>RAE-E-40-RESULT</x:v>
      </x:c>
      <x:c r="C46" s="7" t="str">
        <x:v>RAE-E-40</x:v>
      </x:c>
      <x:c r="D46" s="7" t="str">
        <x:v>RFP-C1</x:v>
      </x:c>
      <x:c r="E46" s="7" t="str">
        <x:v>AM-06</x:v>
      </x:c>
      <x:c r="F46" s="7" t="str">
        <x:v>TR-B</x:v>
      </x:c>
      <x:c r="G46" s="7" t="str">
        <x:v>QE-02</x:v>
      </x:c>
      <x:c r="H46" s="7" t="n">
        <x:v>24</x:v>
      </x:c>
      <x:c r="I46" s="7" t="n">
        <x:v>12</x:v>
      </x:c>
      <x:c r="J46" s="10" t="str">
        <x:v>terminal source &lt;=30 s</x:v>
      </x:c>
      <x:c r="K46" s="10" t="str">
        <x:v>required</x:v>
      </x:c>
      <x:c r="L46" s="7" t="str"/>
      <x:c r="M46" s="7" t="str"/>
      <x:c r="N46" s="7" t="str">
        <x:v>OPEN</x:v>
      </x:c>
    </x:row>
    <x:row r="47" ht="38" customHeight="1">
      <x:c r="B47" s="7" t="str">
        <x:v>RAE-E-41-RESULT</x:v>
      </x:c>
      <x:c r="C47" s="7" t="str">
        <x:v>RAE-E-41</x:v>
      </x:c>
      <x:c r="D47" s="7" t="str">
        <x:v>RFP-C2</x:v>
      </x:c>
      <x:c r="E47" s="7" t="str">
        <x:v>AM-05</x:v>
      </x:c>
      <x:c r="F47" s="7" t="str">
        <x:v>TR-A</x:v>
      </x:c>
      <x:c r="G47" s="7" t="str">
        <x:v>QE-01</x:v>
      </x:c>
      <x:c r="H47" s="7" t="n">
        <x:v>24</x:v>
      </x:c>
      <x:c r="I47" s="7" t="n">
        <x:v>12</x:v>
      </x:c>
      <x:c r="J47" s="10" t="str">
        <x:v>zero-source state</x:v>
      </x:c>
      <x:c r="K47" s="10" t="str">
        <x:v>n.a.</x:v>
      </x:c>
      <x:c r="L47" s="7" t="str"/>
      <x:c r="M47" s="7" t="str"/>
      <x:c r="N47" s="7" t="str">
        <x:v>OPEN</x:v>
      </x:c>
    </x:row>
    <x:row r="48" ht="38" customHeight="1">
      <x:c r="B48" s="7" t="str">
        <x:v>RAE-E-42-RESULT</x:v>
      </x:c>
      <x:c r="C48" s="7" t="str">
        <x:v>RAE-E-42</x:v>
      </x:c>
      <x:c r="D48" s="7" t="str">
        <x:v>RFP-C2</x:v>
      </x:c>
      <x:c r="E48" s="7" t="str">
        <x:v>AM-05</x:v>
      </x:c>
      <x:c r="F48" s="7" t="str">
        <x:v>TR-A</x:v>
      </x:c>
      <x:c r="G48" s="7" t="str">
        <x:v>QE-02</x:v>
      </x:c>
      <x:c r="H48" s="7" t="n">
        <x:v>24</x:v>
      </x:c>
      <x:c r="I48" s="7" t="n">
        <x:v>12</x:v>
      </x:c>
      <x:c r="J48" s="10" t="str">
        <x:v>terminal source &lt;=30 s</x:v>
      </x:c>
      <x:c r="K48" s="10" t="str">
        <x:v>n.a.</x:v>
      </x:c>
      <x:c r="L48" s="7" t="str"/>
      <x:c r="M48" s="7" t="str"/>
      <x:c r="N48" s="7" t="str">
        <x:v>OPEN</x:v>
      </x:c>
    </x:row>
    <x:row r="49" ht="38" customHeight="1">
      <x:c r="B49" s="7" t="str">
        <x:v>RAE-E-43-RESULT</x:v>
      </x:c>
      <x:c r="C49" s="7" t="str">
        <x:v>RAE-E-43</x:v>
      </x:c>
      <x:c r="D49" s="7" t="str">
        <x:v>RFP-C2</x:v>
      </x:c>
      <x:c r="E49" s="7" t="str">
        <x:v>AM-05</x:v>
      </x:c>
      <x:c r="F49" s="7" t="str">
        <x:v>TR-B</x:v>
      </x:c>
      <x:c r="G49" s="7" t="str">
        <x:v>QE-01</x:v>
      </x:c>
      <x:c r="H49" s="7" t="n">
        <x:v>24</x:v>
      </x:c>
      <x:c r="I49" s="7" t="n">
        <x:v>12</x:v>
      </x:c>
      <x:c r="J49" s="10" t="str">
        <x:v>zero-source state</x:v>
      </x:c>
      <x:c r="K49" s="10" t="str">
        <x:v>n.a.</x:v>
      </x:c>
      <x:c r="L49" s="7" t="str"/>
      <x:c r="M49" s="7" t="str"/>
      <x:c r="N49" s="7" t="str">
        <x:v>OPEN</x:v>
      </x:c>
    </x:row>
    <x:row r="50" ht="38" customHeight="1">
      <x:c r="B50" s="7" t="str">
        <x:v>RAE-E-44-RESULT</x:v>
      </x:c>
      <x:c r="C50" s="7" t="str">
        <x:v>RAE-E-44</x:v>
      </x:c>
      <x:c r="D50" s="7" t="str">
        <x:v>RFP-C2</x:v>
      </x:c>
      <x:c r="E50" s="7" t="str">
        <x:v>AM-05</x:v>
      </x:c>
      <x:c r="F50" s="7" t="str">
        <x:v>TR-B</x:v>
      </x:c>
      <x:c r="G50" s="7" t="str">
        <x:v>QE-02</x:v>
      </x:c>
      <x:c r="H50" s="7" t="n">
        <x:v>24</x:v>
      </x:c>
      <x:c r="I50" s="7" t="n">
        <x:v>12</x:v>
      </x:c>
      <x:c r="J50" s="10" t="str">
        <x:v>terminal source &lt;=30 s</x:v>
      </x:c>
      <x:c r="K50" s="10" t="str">
        <x:v>n.a.</x:v>
      </x:c>
      <x:c r="L50" s="7" t="str"/>
      <x:c r="M50" s="7" t="str"/>
      <x:c r="N50" s="7" t="str">
        <x:v>OPEN</x:v>
      </x:c>
    </x:row>
    <x:row r="51" ht="38" customHeight="1">
      <x:c r="B51" s="7" t="str">
        <x:v>RAE-E-45-RESULT</x:v>
      </x:c>
      <x:c r="C51" s="7" t="str">
        <x:v>RAE-E-45</x:v>
      </x:c>
      <x:c r="D51" s="7" t="str">
        <x:v>RFP-C2</x:v>
      </x:c>
      <x:c r="E51" s="7" t="str">
        <x:v>AM-06</x:v>
      </x:c>
      <x:c r="F51" s="7" t="str">
        <x:v>TR-A</x:v>
      </x:c>
      <x:c r="G51" s="7" t="str">
        <x:v>QE-01</x:v>
      </x:c>
      <x:c r="H51" s="7" t="n">
        <x:v>24</x:v>
      </x:c>
      <x:c r="I51" s="7" t="n">
        <x:v>12</x:v>
      </x:c>
      <x:c r="J51" s="10" t="str">
        <x:v>zero-source state</x:v>
      </x:c>
      <x:c r="K51" s="10" t="str">
        <x:v>n.a.</x:v>
      </x:c>
      <x:c r="L51" s="7" t="str"/>
      <x:c r="M51" s="7" t="str"/>
      <x:c r="N51" s="7" t="str">
        <x:v>OPEN</x:v>
      </x:c>
    </x:row>
    <x:row r="52" ht="38" customHeight="1">
      <x:c r="B52" s="7" t="str">
        <x:v>RAE-E-46-RESULT</x:v>
      </x:c>
      <x:c r="C52" s="7" t="str">
        <x:v>RAE-E-46</x:v>
      </x:c>
      <x:c r="D52" s="7" t="str">
        <x:v>RFP-C2</x:v>
      </x:c>
      <x:c r="E52" s="7" t="str">
        <x:v>AM-06</x:v>
      </x:c>
      <x:c r="F52" s="7" t="str">
        <x:v>TR-A</x:v>
      </x:c>
      <x:c r="G52" s="7" t="str">
        <x:v>QE-02</x:v>
      </x:c>
      <x:c r="H52" s="7" t="n">
        <x:v>24</x:v>
      </x:c>
      <x:c r="I52" s="7" t="n">
        <x:v>12</x:v>
      </x:c>
      <x:c r="J52" s="10" t="str">
        <x:v>terminal source &lt;=30 s</x:v>
      </x:c>
      <x:c r="K52" s="10" t="str">
        <x:v>required</x:v>
      </x:c>
      <x:c r="L52" s="7" t="str"/>
      <x:c r="M52" s="7" t="str"/>
      <x:c r="N52" s="7" t="str">
        <x:v>OPEN</x:v>
      </x:c>
    </x:row>
    <x:row r="53" ht="38" customHeight="1">
      <x:c r="B53" s="7" t="str">
        <x:v>RAE-E-47-RESULT</x:v>
      </x:c>
      <x:c r="C53" s="7" t="str">
        <x:v>RAE-E-47</x:v>
      </x:c>
      <x:c r="D53" s="7" t="str">
        <x:v>RFP-C2</x:v>
      </x:c>
      <x:c r="E53" s="7" t="str">
        <x:v>AM-06</x:v>
      </x:c>
      <x:c r="F53" s="7" t="str">
        <x:v>TR-B</x:v>
      </x:c>
      <x:c r="G53" s="7" t="str">
        <x:v>QE-01</x:v>
      </x:c>
      <x:c r="H53" s="7" t="n">
        <x:v>24</x:v>
      </x:c>
      <x:c r="I53" s="7" t="n">
        <x:v>12</x:v>
      </x:c>
      <x:c r="J53" s="10" t="str">
        <x:v>zero-source state</x:v>
      </x:c>
      <x:c r="K53" s="10" t="str">
        <x:v>n.a.</x:v>
      </x:c>
      <x:c r="L53" s="7" t="str"/>
      <x:c r="M53" s="7" t="str"/>
      <x:c r="N53" s="7" t="str">
        <x:v>OPEN</x:v>
      </x:c>
    </x:row>
    <x:row r="54" ht="38" customHeight="1">
      <x:c r="B54" s="7" t="str">
        <x:v>RAE-E-48-RESULT</x:v>
      </x:c>
      <x:c r="C54" s="7" t="str">
        <x:v>RAE-E-48</x:v>
      </x:c>
      <x:c r="D54" s="7" t="str">
        <x:v>RFP-C2</x:v>
      </x:c>
      <x:c r="E54" s="7" t="str">
        <x:v>AM-06</x:v>
      </x:c>
      <x:c r="F54" s="7" t="str">
        <x:v>TR-B</x:v>
      </x:c>
      <x:c r="G54" s="7" t="str">
        <x:v>QE-02</x:v>
      </x:c>
      <x:c r="H54" s="7" t="n">
        <x:v>24</x:v>
      </x:c>
      <x:c r="I54" s="7" t="n">
        <x:v>12</x:v>
      </x:c>
      <x:c r="J54" s="10" t="str">
        <x:v>terminal source &lt;=30 s</x:v>
      </x:c>
      <x:c r="K54" s="10" t="str">
        <x:v>required</x:v>
      </x:c>
      <x:c r="L54" s="7" t="str"/>
      <x:c r="M54" s="7" t="str"/>
      <x:c r="N54" s="7" t="str">
        <x:v>OPEN</x:v>
      </x:c>
    </x:row>
  </x:sheetData>
  <x:conditionalFormatting sqref="N7:N54">
    <x:cfRule type="containsText" dxfId="171" priority="1" operator="containsText" text="FAIL"/>
    <x:cfRule type="containsText" dxfId="172" priority="2" operator="containsText" text="INVALID"/>
    <x:cfRule type="containsText" dxfId="173" priority="3" operator="containsText" text="BLOCKED"/>
    <x:cfRule type="containsText" dxfId="174" priority="4" operator="containsText" text="OPEN"/>
    <x:cfRule type="containsText" dxfId="175" priority="5" operator="containsText" text="HELD"/>
    <x:cfRule type="containsText" dxfId="176" priority="6" operator="containsText" text="DORMANT"/>
    <x:cfRule type="containsText" dxfId="177" priority="7" operator="containsText" text="PASS"/>
    <x:cfRule type="containsText" dxfId="178" priority="8" operator="containsText" text="VALID"/>
    <x:cfRule type="containsText" dxfId="179" priority="9" operator="containsText" text="ISSUED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2" hidden="0" customWidth="1"/>
    <x:col min="4" max="4" width="12" hidden="0" customWidth="1"/>
    <x:col min="5" max="5" width="15" hidden="0" customWidth="1"/>
    <x:col min="6" max="6" width="14" hidden="0" customWidth="1"/>
    <x:col min="7" max="7" width="60" hidden="0" customWidth="1"/>
    <x:col min="8" max="8" width="22" hidden="0" customWidth="1"/>
    <x:col min="9" max="9" width="14" hidden="0" customWidth="1"/>
  </x:cols>
  <x:sheetData>
    <x:row r="2">
      <x:c r="B2" s="1" t="str">
        <x:v>Six invalid-attempt reserve tokens</x:v>
      </x:c>
    </x:row>
    <x:row r="3">
      <x:c r="B3" s="2" t="str">
        <x:v>Reserve restores an invalid attempt only. It cannot erase or replace a valid adverse outcome and cannot exceed three QE-02 activations without amendment.</x:v>
      </x:c>
    </x:row>
    <x:row r="6" ht="24" customHeight="1">
      <x:c r="B6" s="6" t="str">
        <x:v>Token</x:v>
      </x:c>
      <x:c r="C6" s="6" t="str">
        <x:v>Class</x:v>
      </x:c>
      <x:c r="D6" s="6" t="str">
        <x:v>Ordinal</x:v>
      </x:c>
      <x:c r="E6" s="6" t="str">
        <x:v>Source kg</x:v>
      </x:c>
      <x:c r="F6" s="6" t="str">
        <x:v>Rig-days</x:v>
      </x:c>
      <x:c r="G6" s="6" t="str">
        <x:v>Activation consequence</x:v>
      </x:c>
      <x:c r="H6" s="6" t="str">
        <x:v>Assignment</x:v>
      </x:c>
      <x:c r="I6" s="6" t="str">
        <x:v>State</x:v>
      </x:c>
    </x:row>
    <x:row r="7" ht="38" customHeight="1">
      <x:c r="B7" s="7" t="str">
        <x:v>RAE-IR-01</x:v>
      </x:c>
      <x:c r="C7" s="7" t="str">
        <x:v>QE-01</x:v>
      </x:c>
      <x:c r="D7" s="7" t="n">
        <x:v>1</x:v>
      </x:c>
      <x:c r="E7" s="7" t="n">
        <x:v>0</x:v>
      </x:c>
      <x:c r="F7" s="7" t="n">
        <x:v>2</x:v>
      </x:c>
      <x:c r="G7" s="10" t="str">
        <x:v>zero-source replay</x:v>
      </x:c>
      <x:c r="H7" s="7" t="str">
        <x:v>no event assigned</x:v>
      </x:c>
      <x:c r="I7" s="7" t="str">
        <x:v>DORMANT</x:v>
      </x:c>
    </x:row>
    <x:row r="8" ht="38" customHeight="1">
      <x:c r="B8" s="7" t="str">
        <x:v>RAE-IR-02</x:v>
      </x:c>
      <x:c r="C8" s="7" t="str">
        <x:v>QE-01</x:v>
      </x:c>
      <x:c r="D8" s="7" t="n">
        <x:v>2</x:v>
      </x:c>
      <x:c r="E8" s="7" t="n">
        <x:v>0</x:v>
      </x:c>
      <x:c r="F8" s="7" t="n">
        <x:v>2</x:v>
      </x:c>
      <x:c r="G8" s="10" t="str">
        <x:v>zero-source replay</x:v>
      </x:c>
      <x:c r="H8" s="7" t="str">
        <x:v>no event assigned</x:v>
      </x:c>
      <x:c r="I8" s="7" t="str">
        <x:v>DORMANT</x:v>
      </x:c>
    </x:row>
    <x:row r="9" ht="38" customHeight="1">
      <x:c r="B9" s="7" t="str">
        <x:v>RAE-IR-03</x:v>
      </x:c>
      <x:c r="C9" s="7" t="str">
        <x:v>QE-01</x:v>
      </x:c>
      <x:c r="D9" s="7" t="n">
        <x:v>3</x:v>
      </x:c>
      <x:c r="E9" s="7" t="n">
        <x:v>0</x:v>
      </x:c>
      <x:c r="F9" s="7" t="n">
        <x:v>2</x:v>
      </x:c>
      <x:c r="G9" s="10" t="str">
        <x:v>zero-source replay</x:v>
      </x:c>
      <x:c r="H9" s="7" t="str">
        <x:v>no event assigned</x:v>
      </x:c>
      <x:c r="I9" s="7" t="str">
        <x:v>DORMANT</x:v>
      </x:c>
    </x:row>
    <x:row r="10" ht="38" customHeight="1">
      <x:c r="B10" s="7" t="str">
        <x:v>RAE-IR-04</x:v>
      </x:c>
      <x:c r="C10" s="7" t="str">
        <x:v>QE-02</x:v>
      </x:c>
      <x:c r="D10" s="7" t="n">
        <x:v>1</x:v>
      </x:c>
      <x:c r="E10" s="7" t="n">
        <x:v>100</x:v>
      </x:c>
      <x:c r="F10" s="7" t="n">
        <x:v>3</x:v>
      </x:c>
      <x:c r="G10" s="10" t="str">
        <x:v>activate one root-protected source package; fourth remains protected</x:v>
      </x:c>
      <x:c r="H10" s="7" t="str">
        <x:v>no event assigned</x:v>
      </x:c>
      <x:c r="I10" s="7" t="str">
        <x:v>DORMANT</x:v>
      </x:c>
    </x:row>
    <x:row r="11" ht="38" customHeight="1">
      <x:c r="B11" s="7" t="str">
        <x:v>RAE-IR-05</x:v>
      </x:c>
      <x:c r="C11" s="7" t="str">
        <x:v>QE-02</x:v>
      </x:c>
      <x:c r="D11" s="7" t="n">
        <x:v>2</x:v>
      </x:c>
      <x:c r="E11" s="7" t="n">
        <x:v>100</x:v>
      </x:c>
      <x:c r="F11" s="7" t="n">
        <x:v>3</x:v>
      </x:c>
      <x:c r="G11" s="10" t="str">
        <x:v>activate one root-protected source package; fourth remains protected</x:v>
      </x:c>
      <x:c r="H11" s="7" t="str">
        <x:v>no event assigned</x:v>
      </x:c>
      <x:c r="I11" s="7" t="str">
        <x:v>DORMANT</x:v>
      </x:c>
    </x:row>
    <x:row r="12" ht="38" customHeight="1">
      <x:c r="B12" s="7" t="str">
        <x:v>RAE-IR-06</x:v>
      </x:c>
      <x:c r="C12" s="7" t="str">
        <x:v>QE-02</x:v>
      </x:c>
      <x:c r="D12" s="7" t="n">
        <x:v>3</x:v>
      </x:c>
      <x:c r="E12" s="7" t="n">
        <x:v>100</x:v>
      </x:c>
      <x:c r="F12" s="7" t="n">
        <x:v>3</x:v>
      </x:c>
      <x:c r="G12" s="10" t="str">
        <x:v>activate one root-protected source package; fourth remains protected</x:v>
      </x:c>
      <x:c r="H12" s="7" t="str">
        <x:v>no event assigned</x:v>
      </x:c>
      <x:c r="I12" s="7" t="str">
        <x:v>DORMANT</x:v>
      </x:c>
    </x:row>
  </x:sheetData>
  <x:conditionalFormatting sqref="I7:I12">
    <x:cfRule type="containsText" dxfId="180" priority="1" operator="containsText" text="FAIL"/>
    <x:cfRule type="containsText" dxfId="181" priority="2" operator="containsText" text="INVALID"/>
    <x:cfRule type="containsText" dxfId="182" priority="3" operator="containsText" text="BLOCKED"/>
    <x:cfRule type="containsText" dxfId="183" priority="4" operator="containsText" text="OPEN"/>
    <x:cfRule type="containsText" dxfId="184" priority="5" operator="containsText" text="HELD"/>
    <x:cfRule type="containsText" dxfId="185" priority="6" operator="containsText" text="DORMANT"/>
    <x:cfRule type="containsText" dxfId="186" priority="7" operator="containsText" text="PASS"/>
    <x:cfRule type="containsText" dxfId="187" priority="8" operator="containsText" text="VALID"/>
    <x:cfRule type="containsText" dxfId="188" priority="9" operator="containsText" text="ISSUED"/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5" hidden="0" customWidth="1"/>
    <x:col min="4" max="4" width="52" hidden="0" customWidth="1"/>
    <x:col min="5" max="5" width="76" hidden="0" customWidth="1"/>
    <x:col min="6" max="6" width="27" hidden="0" customWidth="1"/>
    <x:col min="7" max="7" width="14" hidden="0" customWidth="1"/>
  </x:cols>
  <x:sheetData>
    <x:row r="2">
      <x:c r="B2" s="1" t="str">
        <x:v>Sixteen restart laws</x:v>
      </x:c>
    </x:row>
    <x:row r="3">
      <x:c r="B3" s="2" t="str">
        <x:v>Restart is a new governed decision. Correcting a field condition does not retroactively validate the interrupted attempt.</x:v>
      </x:c>
    </x:row>
    <x:row r="6" ht="24" customHeight="1">
      <x:c r="B6" s="6" t="str">
        <x:v>Rule</x:v>
      </x:c>
      <x:c r="C6" s="6" t="str">
        <x:v>Cause family</x:v>
      </x:c>
      <x:c r="D6" s="6" t="str">
        <x:v>Immediate disposition</x:v>
      </x:c>
      <x:c r="E6" s="6" t="str">
        <x:v>Minimum restart basis</x:v>
      </x:c>
      <x:c r="F6" s="6" t="str">
        <x:v>Prohibition</x:v>
      </x:c>
      <x:c r="G6" s="6" t="str">
        <x:v>State</x:v>
      </x:c>
    </x:row>
    <x:row r="7" ht="42" customHeight="1">
      <x:c r="B7" s="7" t="str">
        <x:v>RR-01</x:v>
      </x:c>
      <x:c r="C7" s="7" t="str">
        <x:v>wrong article identity</x:v>
      </x:c>
      <x:c r="D7" s="10" t="str">
        <x:v>quarantine affected event and common-cause set</x:v>
      </x:c>
      <x:c r="E7" s="10" t="str">
        <x:v>root-cause evidence accepted; baseline re-frozen; reserve token assigned if attempt invalid</x:v>
      </x:c>
      <x:c r="F7" s="7" t="str">
        <x:v>no automatic replay</x:v>
      </x:c>
      <x:c r="G7" s="7" t="str">
        <x:v>OPEN</x:v>
      </x:c>
    </x:row>
    <x:row r="8" ht="42" customHeight="1">
      <x:c r="B8" s="7" t="str">
        <x:v>RR-02</x:v>
      </x:c>
      <x:c r="C8" s="7" t="str">
        <x:v>wrong configuration state</x:v>
      </x:c>
      <x:c r="D8" s="10" t="str">
        <x:v>quarantine affected event and common-cause set</x:v>
      </x:c>
      <x:c r="E8" s="10" t="str">
        <x:v>root-cause evidence accepted; baseline re-frozen; reserve token assigned if attempt invalid</x:v>
      </x:c>
      <x:c r="F8" s="7" t="str">
        <x:v>no automatic replay</x:v>
      </x:c>
      <x:c r="G8" s="7" t="str">
        <x:v>OPEN</x:v>
      </x:c>
    </x:row>
    <x:row r="9" ht="42" customHeight="1">
      <x:c r="B9" s="7" t="str">
        <x:v>RR-03</x:v>
      </x:c>
      <x:c r="C9" s="7" t="str">
        <x:v>source custody break</x:v>
      </x:c>
      <x:c r="D9" s="10" t="str">
        <x:v>quarantine affected event and common-cause set</x:v>
      </x:c>
      <x:c r="E9" s="10" t="str">
        <x:v>root-cause evidence accepted; baseline re-frozen; reserve token assigned if attempt invalid</x:v>
      </x:c>
      <x:c r="F9" s="7" t="str">
        <x:v>no automatic replay</x:v>
      </x:c>
      <x:c r="G9" s="7" t="str">
        <x:v>OPEN</x:v>
      </x:c>
    </x:row>
    <x:row r="10" ht="42" customHeight="1">
      <x:c r="B10" s="7" t="str">
        <x:v>RR-04</x:v>
      </x:c>
      <x:c r="C10" s="7" t="str">
        <x:v>source characteristic excursion</x:v>
      </x:c>
      <x:c r="D10" s="10" t="str">
        <x:v>quarantine affected event and common-cause set</x:v>
      </x:c>
      <x:c r="E10" s="10" t="str">
        <x:v>root-cause evidence accepted; baseline re-frozen; reserve token assigned if attempt invalid</x:v>
      </x:c>
      <x:c r="F10" s="7" t="str">
        <x:v>no automatic replay</x:v>
      </x:c>
      <x:c r="G10" s="7" t="str">
        <x:v>OPEN</x:v>
      </x:c>
    </x:row>
    <x:row r="11" ht="42" customHeight="1">
      <x:c r="B11" s="7" t="str">
        <x:v>RR-05</x:v>
      </x:c>
      <x:c r="C11" s="7" t="str">
        <x:v>water ancestry cross-talk</x:v>
      </x:c>
      <x:c r="D11" s="10" t="str">
        <x:v>quarantine affected event and common-cause set</x:v>
      </x:c>
      <x:c r="E11" s="10" t="str">
        <x:v>root-cause evidence accepted; baseline re-frozen; reserve token assigned if attempt invalid</x:v>
      </x:c>
      <x:c r="F11" s="7" t="str">
        <x:v>no automatic replay</x:v>
      </x:c>
      <x:c r="G11" s="7" t="str">
        <x:v>OPEN</x:v>
      </x:c>
    </x:row>
    <x:row r="12" ht="42" customHeight="1">
      <x:c r="B12" s="7" t="str">
        <x:v>RR-06</x:v>
      </x:c>
      <x:c r="C12" s="7" t="str">
        <x:v>receiver initial-volume excursion</x:v>
      </x:c>
      <x:c r="D12" s="10" t="str">
        <x:v>quarantine affected event and common-cause set</x:v>
      </x:c>
      <x:c r="E12" s="10" t="str">
        <x:v>root-cause evidence accepted; baseline re-frozen; reserve token assigned if attempt invalid</x:v>
      </x:c>
      <x:c r="F12" s="7" t="str">
        <x:v>no automatic replay</x:v>
      </x:c>
      <x:c r="G12" s="7" t="str">
        <x:v>OPEN</x:v>
      </x:c>
    </x:row>
    <x:row r="13" ht="42" customHeight="1">
      <x:c r="B13" s="7" t="str">
        <x:v>RR-07</x:v>
      </x:c>
      <x:c r="C13" s="7" t="str">
        <x:v>control element state mismatch</x:v>
      </x:c>
      <x:c r="D13" s="10" t="str">
        <x:v>quarantine affected event and common-cause set</x:v>
      </x:c>
      <x:c r="E13" s="10" t="str">
        <x:v>root-cause evidence accepted; baseline re-frozen; reserve token assigned if attempt invalid</x:v>
      </x:c>
      <x:c r="F13" s="7" t="str">
        <x:v>no automatic replay</x:v>
      </x:c>
      <x:c r="G13" s="7" t="str">
        <x:v>OPEN</x:v>
      </x:c>
    </x:row>
    <x:row r="14" ht="42" customHeight="1">
      <x:c r="B14" s="7" t="str">
        <x:v>RR-08</x:v>
      </x:c>
      <x:c r="C14" s="7" t="str">
        <x:v>safeing path non-independence</x:v>
      </x:c>
      <x:c r="D14" s="10" t="str">
        <x:v>quarantine affected event and common-cause set</x:v>
      </x:c>
      <x:c r="E14" s="10" t="str">
        <x:v>root-cause evidence accepted; baseline re-frozen; reserve token assigned if attempt invalid</x:v>
      </x:c>
      <x:c r="F14" s="7" t="str">
        <x:v>no automatic replay</x:v>
      </x:c>
      <x:c r="G14" s="7" t="str">
        <x:v>OPEN</x:v>
      </x:c>
    </x:row>
    <x:row r="15" ht="42" customHeight="1">
      <x:c r="B15" s="7" t="str">
        <x:v>RR-09</x:v>
      </x:c>
      <x:c r="C15" s="7" t="str">
        <x:v>time-root disagreement</x:v>
      </x:c>
      <x:c r="D15" s="10" t="str">
        <x:v>quarantine affected event and common-cause set</x:v>
      </x:c>
      <x:c r="E15" s="10" t="str">
        <x:v>root-cause evidence accepted; baseline re-frozen; reserve token assigned if attempt invalid</x:v>
      </x:c>
      <x:c r="F15" s="7" t="str">
        <x:v>no automatic replay</x:v>
      </x:c>
      <x:c r="G15" s="7" t="str">
        <x:v>OPEN</x:v>
      </x:c>
    </x:row>
    <x:row r="16" ht="42" customHeight="1">
      <x:c r="B16" s="7" t="str">
        <x:v>RR-10</x:v>
      </x:c>
      <x:c r="C16" s="7" t="str">
        <x:v>native evidence loss</x:v>
      </x:c>
      <x:c r="D16" s="10" t="str">
        <x:v>quarantine affected event and common-cause set</x:v>
      </x:c>
      <x:c r="E16" s="10" t="str">
        <x:v>root-cause evidence accepted; baseline re-frozen; reserve token assigned if attempt invalid</x:v>
      </x:c>
      <x:c r="F16" s="7" t="str">
        <x:v>no automatic replay</x:v>
      </x:c>
      <x:c r="G16" s="7" t="str">
        <x:v>OPEN</x:v>
      </x:c>
    </x:row>
    <x:row r="17" ht="42" customHeight="1">
      <x:c r="B17" s="7" t="str">
        <x:v>RR-11</x:v>
      </x:c>
      <x:c r="C17" s="7" t="str">
        <x:v>sample custody break</x:v>
      </x:c>
      <x:c r="D17" s="10" t="str">
        <x:v>quarantine affected event and common-cause set</x:v>
      </x:c>
      <x:c r="E17" s="10" t="str">
        <x:v>root-cause evidence accepted; baseline re-frozen; reserve token assigned if attempt invalid</x:v>
      </x:c>
      <x:c r="F17" s="7" t="str">
        <x:v>no automatic replay</x:v>
      </x:c>
      <x:c r="G17" s="7" t="str">
        <x:v>OPEN</x:v>
      </x:c>
    </x:row>
    <x:row r="18" ht="42" customHeight="1">
      <x:c r="B18" s="7" t="str">
        <x:v>RR-12</x:v>
      </x:c>
      <x:c r="C18" s="7" t="str">
        <x:v>neighbor not inert</x:v>
      </x:c>
      <x:c r="D18" s="10" t="str">
        <x:v>quarantine affected event and common-cause set</x:v>
      </x:c>
      <x:c r="E18" s="10" t="str">
        <x:v>root-cause evidence accepted; baseline re-frozen; reserve token assigned if attempt invalid</x:v>
      </x:c>
      <x:c r="F18" s="7" t="str">
        <x:v>no automatic replay</x:v>
      </x:c>
      <x:c r="G18" s="7" t="str">
        <x:v>OPEN</x:v>
      </x:c>
    </x:row>
    <x:row r="19" ht="42" customHeight="1">
      <x:c r="B19" s="7" t="str">
        <x:v>RR-13</x:v>
      </x:c>
      <x:c r="C19" s="7" t="str">
        <x:v>environmental background excursion</x:v>
      </x:c>
      <x:c r="D19" s="10" t="str">
        <x:v>quarantine affected event and common-cause set</x:v>
      </x:c>
      <x:c r="E19" s="10" t="str">
        <x:v>root-cause evidence accepted; baseline re-frozen; reserve token assigned if attempt invalid</x:v>
      </x:c>
      <x:c r="F19" s="7" t="str">
        <x:v>no automatic replay</x:v>
      </x:c>
      <x:c r="G19" s="7" t="str">
        <x:v>OPEN</x:v>
      </x:c>
    </x:row>
    <x:row r="20" ht="42" customHeight="1">
      <x:c r="B20" s="7" t="str">
        <x:v>RR-14</x:v>
      </x:c>
      <x:c r="C20" s="7" t="str">
        <x:v>unregistered intervention</x:v>
      </x:c>
      <x:c r="D20" s="10" t="str">
        <x:v>quarantine affected event and common-cause set</x:v>
      </x:c>
      <x:c r="E20" s="10" t="str">
        <x:v>root-cause evidence accepted; baseline re-frozen; reserve token assigned if attempt invalid</x:v>
      </x:c>
      <x:c r="F20" s="7" t="str">
        <x:v>no automatic replay</x:v>
      </x:c>
      <x:c r="G20" s="7" t="str">
        <x:v>OPEN</x:v>
      </x:c>
    </x:row>
    <x:row r="21" ht="42" customHeight="1">
      <x:c r="B21" s="7" t="str">
        <x:v>RR-15</x:v>
      </x:c>
      <x:c r="C21" s="7" t="str">
        <x:v>rescue-state deviation</x:v>
      </x:c>
      <x:c r="D21" s="10" t="str">
        <x:v>quarantine affected event and common-cause set</x:v>
      </x:c>
      <x:c r="E21" s="10" t="str">
        <x:v>root-cause evidence accepted; baseline re-frozen; reserve token assigned if attempt invalid</x:v>
      </x:c>
      <x:c r="F21" s="7" t="str">
        <x:v>no automatic replay</x:v>
      </x:c>
      <x:c r="G21" s="7" t="str">
        <x:v>OPEN</x:v>
      </x:c>
    </x:row>
    <x:row r="22" ht="42" customHeight="1">
      <x:c r="B22" s="7" t="str">
        <x:v>RR-16</x:v>
      </x:c>
      <x:c r="C22" s="7" t="str">
        <x:v>issuer authority defect</x:v>
      </x:c>
      <x:c r="D22" s="10" t="str">
        <x:v>quarantine affected event and common-cause set</x:v>
      </x:c>
      <x:c r="E22" s="10" t="str">
        <x:v>root-cause evidence accepted; baseline re-frozen; reserve token assigned if attempt invalid</x:v>
      </x:c>
      <x:c r="F22" s="7" t="str">
        <x:v>no automatic replay</x:v>
      </x:c>
      <x:c r="G22" s="7" t="str">
        <x:v>OPEN</x:v>
      </x:c>
    </x:row>
  </x:sheetData>
  <x:conditionalFormatting sqref="G7:G22">
    <x:cfRule type="containsText" dxfId="189" priority="1" operator="containsText" text="FAIL"/>
    <x:cfRule type="containsText" dxfId="190" priority="2" operator="containsText" text="INVALID"/>
    <x:cfRule type="containsText" dxfId="191" priority="3" operator="containsText" text="BLOCKED"/>
    <x:cfRule type="containsText" dxfId="192" priority="4" operator="containsText" text="OPEN"/>
    <x:cfRule type="containsText" dxfId="193" priority="5" operator="containsText" text="HELD"/>
    <x:cfRule type="containsText" dxfId="194" priority="6" operator="containsText" text="DORMANT"/>
    <x:cfRule type="containsText" dxfId="195" priority="7" operator="containsText" text="PASS"/>
    <x:cfRule type="containsText" dxfId="196" priority="8" operator="containsText" text="VALID"/>
    <x:cfRule type="containsText" dxfId="197" priority="9" operator="containsText" text="ISSUED"/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5" hidden="0" customWidth="1"/>
    <x:col min="4" max="4" width="25" hidden="0" customWidth="1"/>
    <x:col min="5" max="5" width="51" hidden="0" customWidth="1"/>
    <x:col min="6" max="6" width="64" hidden="0" customWidth="1"/>
    <x:col min="7" max="7" width="14" hidden="0" customWidth="1"/>
  </x:cols>
  <x:sheetData>
    <x:row r="2">
      <x:c r="B2" s="1" t="str">
        <x:v>Sixteen cause-isolation boundaries</x:v>
      </x:c>
    </x:row>
    <x:row r="3">
      <x:c r="B3" s="2" t="str">
        <x:v>The initial quarantine expands by mechanism, shared service and custody ancestry—not simply by geography.</x:v>
      </x:c>
    </x:row>
    <x:row r="6" ht="24" customHeight="1">
      <x:c r="B6" s="6" t="str">
        <x:v>Case</x:v>
      </x:c>
      <x:c r="C6" s="6" t="str">
        <x:v>Cause family</x:v>
      </x:c>
      <x:c r="D6" s="6" t="str">
        <x:v>Default first boundary</x:v>
      </x:c>
      <x:c r="E6" s="6" t="str">
        <x:v>Expansion rule</x:v>
      </x:c>
      <x:c r="F6" s="6" t="str">
        <x:v>Release rule</x:v>
      </x:c>
      <x:c r="G6" s="6" t="str">
        <x:v>State</x:v>
      </x:c>
    </x:row>
    <x:row r="7" ht="40" customHeight="1">
      <x:c r="B7" s="7" t="str">
        <x:v>CI-01</x:v>
      </x:c>
      <x:c r="C7" s="7" t="str">
        <x:v>wrong article identity</x:v>
      </x:c>
      <x:c r="D7" s="7" t="str">
        <x:v>event</x:v>
      </x:c>
      <x:c r="E7" s="10" t="str">
        <x:v>evidence-defined affected set</x:v>
      </x:c>
      <x:c r="F7" s="10" t="str">
        <x:v>release unaffected objects only after independent review</x:v>
      </x:c>
      <x:c r="G7" s="7" t="str">
        <x:v>OPEN</x:v>
      </x:c>
    </x:row>
    <x:row r="8" ht="40" customHeight="1">
      <x:c r="B8" s="7" t="str">
        <x:v>CI-02</x:v>
      </x:c>
      <x:c r="C8" s="7" t="str">
        <x:v>wrong configuration state</x:v>
      </x:c>
      <x:c r="D8" s="7" t="str">
        <x:v>rig</x:v>
      </x:c>
      <x:c r="E8" s="10" t="str">
        <x:v>evidence-defined affected set</x:v>
      </x:c>
      <x:c r="F8" s="10" t="str">
        <x:v>release unaffected objects only after independent review</x:v>
      </x:c>
      <x:c r="G8" s="7" t="str">
        <x:v>OPEN</x:v>
      </x:c>
    </x:row>
    <x:row r="9" ht="40" customHeight="1">
      <x:c r="B9" s="7" t="str">
        <x:v>CI-03</x:v>
      </x:c>
      <x:c r="C9" s="7" t="str">
        <x:v>source custody break</x:v>
      </x:c>
      <x:c r="D9" s="7" t="str">
        <x:v>campus</x:v>
      </x:c>
      <x:c r="E9" s="10" t="str">
        <x:v>evidence-defined affected set</x:v>
      </x:c>
      <x:c r="F9" s="10" t="str">
        <x:v>release unaffected objects only after independent review</x:v>
      </x:c>
      <x:c r="G9" s="7" t="str">
        <x:v>OPEN</x:v>
      </x:c>
    </x:row>
    <x:row r="10" ht="40" customHeight="1">
      <x:c r="B10" s="7" t="str">
        <x:v>CI-04</x:v>
      </x:c>
      <x:c r="C10" s="7" t="str">
        <x:v>source characteristic excursion</x:v>
      </x:c>
      <x:c r="D10" s="7" t="str">
        <x:v>method-root set</x:v>
      </x:c>
      <x:c r="E10" s="10" t="str">
        <x:v>evidence-defined affected set</x:v>
      </x:c>
      <x:c r="F10" s="10" t="str">
        <x:v>release unaffected objects only after independent review</x:v>
      </x:c>
      <x:c r="G10" s="7" t="str">
        <x:v>OPEN</x:v>
      </x:c>
    </x:row>
    <x:row r="11" ht="40" customHeight="1">
      <x:c r="B11" s="7" t="str">
        <x:v>CI-05</x:v>
      </x:c>
      <x:c r="C11" s="7" t="str">
        <x:v>water ancestry cross-talk</x:v>
      </x:c>
      <x:c r="D11" s="7" t="str">
        <x:v>event</x:v>
      </x:c>
      <x:c r="E11" s="10" t="str">
        <x:v>evidence-defined affected set</x:v>
      </x:c>
      <x:c r="F11" s="10" t="str">
        <x:v>release unaffected objects only after independent review</x:v>
      </x:c>
      <x:c r="G11" s="7" t="str">
        <x:v>OPEN</x:v>
      </x:c>
    </x:row>
    <x:row r="12" ht="40" customHeight="1">
      <x:c r="B12" s="7" t="str">
        <x:v>CI-06</x:v>
      </x:c>
      <x:c r="C12" s="7" t="str">
        <x:v>receiver initial-volume excursion</x:v>
      </x:c>
      <x:c r="D12" s="7" t="str">
        <x:v>rig</x:v>
      </x:c>
      <x:c r="E12" s="10" t="str">
        <x:v>evidence-defined affected set</x:v>
      </x:c>
      <x:c r="F12" s="10" t="str">
        <x:v>release unaffected objects only after independent review</x:v>
      </x:c>
      <x:c r="G12" s="7" t="str">
        <x:v>OPEN</x:v>
      </x:c>
    </x:row>
    <x:row r="13" ht="40" customHeight="1">
      <x:c r="B13" s="7" t="str">
        <x:v>CI-07</x:v>
      </x:c>
      <x:c r="C13" s="7" t="str">
        <x:v>control element state mismatch</x:v>
      </x:c>
      <x:c r="D13" s="7" t="str">
        <x:v>campus</x:v>
      </x:c>
      <x:c r="E13" s="10" t="str">
        <x:v>evidence-defined affected set</x:v>
      </x:c>
      <x:c r="F13" s="10" t="str">
        <x:v>release unaffected objects only after independent review</x:v>
      </x:c>
      <x:c r="G13" s="7" t="str">
        <x:v>OPEN</x:v>
      </x:c>
    </x:row>
    <x:row r="14" ht="40" customHeight="1">
      <x:c r="B14" s="7" t="str">
        <x:v>CI-08</x:v>
      </x:c>
      <x:c r="C14" s="7" t="str">
        <x:v>safeing path non-independence</x:v>
      </x:c>
      <x:c r="D14" s="7" t="str">
        <x:v>method-root set</x:v>
      </x:c>
      <x:c r="E14" s="10" t="str">
        <x:v>evidence-defined affected set</x:v>
      </x:c>
      <x:c r="F14" s="10" t="str">
        <x:v>release unaffected objects only after independent review</x:v>
      </x:c>
      <x:c r="G14" s="7" t="str">
        <x:v>OPEN</x:v>
      </x:c>
    </x:row>
    <x:row r="15" ht="40" customHeight="1">
      <x:c r="B15" s="7" t="str">
        <x:v>CI-09</x:v>
      </x:c>
      <x:c r="C15" s="7" t="str">
        <x:v>time-root disagreement</x:v>
      </x:c>
      <x:c r="D15" s="7" t="str">
        <x:v>event</x:v>
      </x:c>
      <x:c r="E15" s="10" t="str">
        <x:v>evidence-defined affected set</x:v>
      </x:c>
      <x:c r="F15" s="10" t="str">
        <x:v>release unaffected objects only after independent review</x:v>
      </x:c>
      <x:c r="G15" s="7" t="str">
        <x:v>OPEN</x:v>
      </x:c>
    </x:row>
    <x:row r="16" ht="40" customHeight="1">
      <x:c r="B16" s="7" t="str">
        <x:v>CI-10</x:v>
      </x:c>
      <x:c r="C16" s="7" t="str">
        <x:v>native evidence loss</x:v>
      </x:c>
      <x:c r="D16" s="7" t="str">
        <x:v>rig</x:v>
      </x:c>
      <x:c r="E16" s="10" t="str">
        <x:v>evidence-defined affected set</x:v>
      </x:c>
      <x:c r="F16" s="10" t="str">
        <x:v>release unaffected objects only after independent review</x:v>
      </x:c>
      <x:c r="G16" s="7" t="str">
        <x:v>OPEN</x:v>
      </x:c>
    </x:row>
    <x:row r="17" ht="40" customHeight="1">
      <x:c r="B17" s="7" t="str">
        <x:v>CI-11</x:v>
      </x:c>
      <x:c r="C17" s="7" t="str">
        <x:v>sample custody break</x:v>
      </x:c>
      <x:c r="D17" s="7" t="str">
        <x:v>campus</x:v>
      </x:c>
      <x:c r="E17" s="10" t="str">
        <x:v>evidence-defined affected set</x:v>
      </x:c>
      <x:c r="F17" s="10" t="str">
        <x:v>release unaffected objects only after independent review</x:v>
      </x:c>
      <x:c r="G17" s="7" t="str">
        <x:v>OPEN</x:v>
      </x:c>
    </x:row>
    <x:row r="18" ht="40" customHeight="1">
      <x:c r="B18" s="7" t="str">
        <x:v>CI-12</x:v>
      </x:c>
      <x:c r="C18" s="7" t="str">
        <x:v>neighbor not inert</x:v>
      </x:c>
      <x:c r="D18" s="7" t="str">
        <x:v>method-root set</x:v>
      </x:c>
      <x:c r="E18" s="10" t="str">
        <x:v>evidence-defined affected set</x:v>
      </x:c>
      <x:c r="F18" s="10" t="str">
        <x:v>release unaffected objects only after independent review</x:v>
      </x:c>
      <x:c r="G18" s="7" t="str">
        <x:v>OPEN</x:v>
      </x:c>
    </x:row>
    <x:row r="19" ht="40" customHeight="1">
      <x:c r="B19" s="7" t="str">
        <x:v>CI-13</x:v>
      </x:c>
      <x:c r="C19" s="7" t="str">
        <x:v>environmental background excursion</x:v>
      </x:c>
      <x:c r="D19" s="7" t="str">
        <x:v>event</x:v>
      </x:c>
      <x:c r="E19" s="10" t="str">
        <x:v>evidence-defined affected set</x:v>
      </x:c>
      <x:c r="F19" s="10" t="str">
        <x:v>release unaffected objects only after independent review</x:v>
      </x:c>
      <x:c r="G19" s="7" t="str">
        <x:v>OPEN</x:v>
      </x:c>
    </x:row>
    <x:row r="20" ht="40" customHeight="1">
      <x:c r="B20" s="7" t="str">
        <x:v>CI-14</x:v>
      </x:c>
      <x:c r="C20" s="7" t="str">
        <x:v>unregistered intervention</x:v>
      </x:c>
      <x:c r="D20" s="7" t="str">
        <x:v>rig</x:v>
      </x:c>
      <x:c r="E20" s="10" t="str">
        <x:v>evidence-defined affected set</x:v>
      </x:c>
      <x:c r="F20" s="10" t="str">
        <x:v>release unaffected objects only after independent review</x:v>
      </x:c>
      <x:c r="G20" s="7" t="str">
        <x:v>OPEN</x:v>
      </x:c>
    </x:row>
    <x:row r="21" ht="40" customHeight="1">
      <x:c r="B21" s="7" t="str">
        <x:v>CI-15</x:v>
      </x:c>
      <x:c r="C21" s="7" t="str">
        <x:v>rescue-state deviation</x:v>
      </x:c>
      <x:c r="D21" s="7" t="str">
        <x:v>campus</x:v>
      </x:c>
      <x:c r="E21" s="10" t="str">
        <x:v>evidence-defined affected set</x:v>
      </x:c>
      <x:c r="F21" s="10" t="str">
        <x:v>release unaffected objects only after independent review</x:v>
      </x:c>
      <x:c r="G21" s="7" t="str">
        <x:v>OPEN</x:v>
      </x:c>
    </x:row>
    <x:row r="22" ht="40" customHeight="1">
      <x:c r="B22" s="7" t="str">
        <x:v>CI-16</x:v>
      </x:c>
      <x:c r="C22" s="7" t="str">
        <x:v>issuer authority defect</x:v>
      </x:c>
      <x:c r="D22" s="7" t="str">
        <x:v>method-root set</x:v>
      </x:c>
      <x:c r="E22" s="10" t="str">
        <x:v>evidence-defined affected set</x:v>
      </x:c>
      <x:c r="F22" s="10" t="str">
        <x:v>release unaffected objects only after independent review</x:v>
      </x:c>
      <x:c r="G22" s="7" t="str">
        <x:v>OPEN</x:v>
      </x:c>
    </x:row>
  </x:sheetData>
  <x:conditionalFormatting sqref="G7:G22">
    <x:cfRule type="containsText" dxfId="198" priority="1" operator="containsText" text="FAIL"/>
    <x:cfRule type="containsText" dxfId="199" priority="2" operator="containsText" text="INVALID"/>
    <x:cfRule type="containsText" dxfId="200" priority="3" operator="containsText" text="BLOCKED"/>
    <x:cfRule type="containsText" dxfId="201" priority="4" operator="containsText" text="OPEN"/>
    <x:cfRule type="containsText" dxfId="202" priority="5" operator="containsText" text="HELD"/>
    <x:cfRule type="containsText" dxfId="203" priority="6" operator="containsText" text="DORMANT"/>
    <x:cfRule type="containsText" dxfId="204" priority="7" operator="containsText" text="PASS"/>
    <x:cfRule type="containsText" dxfId="205" priority="8" operator="containsText" text="VALID"/>
    <x:cfRule type="containsText" dxfId="206" priority="9" operator="containsText" text="ISSUED"/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4" hidden="0" customWidth="1"/>
    <x:col min="3" max="3" width="13" hidden="0" customWidth="1"/>
    <x:col min="4" max="4" width="12" hidden="0" customWidth="1"/>
    <x:col min="5" max="5" width="14" hidden="0" customWidth="1"/>
    <x:col min="6" max="6" width="16" hidden="0" customWidth="1"/>
    <x:col min="7" max="7" width="15" hidden="0" customWidth="1"/>
    <x:col min="8" max="8" width="15" hidden="0" customWidth="1"/>
    <x:col min="9" max="9" width="14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24" hidden="0" customWidth="1"/>
    <x:col min="15" max="15" width="24" hidden="0" customWidth="1"/>
    <x:col min="16" max="16" width="25" hidden="0" customWidth="1"/>
    <x:col min="17" max="17" width="14" hidden="0" customWidth="1"/>
  </x:cols>
  <x:sheetData>
    <x:row r="2">
      <x:c r="B2" s="1" t="str">
        <x:v>Twenty-four source-mass uncertainty budgets</x:v>
      </x:c>
    </x:row>
    <x:row r="3">
      <x:c r="B3" s="2" t="str">
        <x:v>Component values are design allocations. The accepted calibration record remains open and must prove U95, unaccounted mass and environmental release together.</x:v>
      </x:c>
    </x:row>
    <x:row r="6" ht="24" customHeight="1">
      <x:c r="B6" s="6" t="str">
        <x:v>Budget</x:v>
      </x:c>
      <x:c r="C6" s="6" t="str">
        <x:v>Method</x:v>
      </x:c>
      <x:c r="D6" s="6" t="str">
        <x:v>Root</x:v>
      </x:c>
      <x:c r="E6" s="6" t="str">
        <x:v>Rig</x:v>
      </x:c>
      <x:c r="F6" s="6" t="str">
        <x:v>load-cell kg</x:v>
      </x:c>
      <x:c r="G6" s="6" t="str">
        <x:v>transfer kg</x:v>
      </x:c>
      <x:c r="H6" s="6" t="str">
        <x:v>hold-up kg</x:v>
      </x:c>
      <x:c r="I6" s="6" t="str">
        <x:v>sample kg</x:v>
      </x:c>
      <x:c r="J6" s="6" t="str">
        <x:v>time kg</x:v>
      </x:c>
      <x:c r="K6" s="6" t="str">
        <x:v>RSS kg</x:v>
      </x:c>
      <x:c r="L6" s="6" t="str">
        <x:v>U95 kg</x:v>
      </x:c>
      <x:c r="M6" s="6" t="str">
        <x:v>Margin kg</x:v>
      </x:c>
      <x:c r="N6" s="6" t="str">
        <x:v>Unaccounted ceiling kg</x:v>
      </x:c>
      <x:c r="O6" s="6" t="str">
        <x:v>Environment ceiling kg</x:v>
      </x:c>
      <x:c r="P6" s="6" t="str">
        <x:v>Calibration accepted UTC</x:v>
      </x:c>
      <x:c r="Q6" s="6" t="str">
        <x:v>State</x:v>
      </x:c>
    </x:row>
    <x:row r="7">
      <x:c r="B7" s="7" t="str">
        <x:v>UB-01</x:v>
      </x:c>
      <x:c r="C7" s="7" t="str">
        <x:v>AM-05</x:v>
      </x:c>
      <x:c r="D7" s="7" t="str">
        <x:v>TR-A</x:v>
      </x:c>
      <x:c r="E7" s="7" t="str">
        <x:v>RFP-A1</x:v>
      </x:c>
      <x:c r="F7" s="13" t="n">
        <x:v>0.25</x:v>
      </x:c>
      <x:c r="G7" s="13" t="n">
        <x:v>0.2</x:v>
      </x:c>
      <x:c r="H7" s="13" t="n">
        <x:v>0.3</x:v>
      </x:c>
      <x:c r="I7" s="13" t="n">
        <x:v>0.3</x:v>
      </x:c>
      <x:c r="J7" s="13" t="n">
        <x:v>0.2</x:v>
      </x:c>
      <x:c r="K7" s="13" t="n">
        <x:f>SQRT(SUMSQ(F7:J7))</x:f>
        <x:v>0.5678908345800273</x:v>
      </x:c>
      <x:c r="L7" s="13" t="n">
        <x:f>2*K7</x:f>
        <x:v>1.1357816691600546</x:v>
      </x:c>
      <x:c r="M7" s="13" t="n">
        <x:f>'Controls'!$D$35-L7</x:f>
        <x:v>0.36421833083994537</x:v>
      </x:c>
      <x:c r="N7" s="13" t="n">
        <x:v>0.75</x:v>
      </x:c>
      <x:c r="O7" s="13" t="n">
        <x:v>0.1</x:v>
      </x:c>
      <x:c r="P7" s="7" t="str"/>
      <x:c r="Q7" s="7" t="str">
        <x:v>OPEN</x:v>
      </x:c>
    </x:row>
    <x:row r="8">
      <x:c r="B8" s="7" t="str">
        <x:v>UB-02</x:v>
      </x:c>
      <x:c r="C8" s="7" t="str">
        <x:v>AM-05</x:v>
      </x:c>
      <x:c r="D8" s="7" t="str">
        <x:v>TR-A</x:v>
      </x:c>
      <x:c r="E8" s="7" t="str">
        <x:v>RFP-A2</x:v>
      </x:c>
      <x:c r="F8" s="13" t="n">
        <x:v>0.25</x:v>
      </x:c>
      <x:c r="G8" s="13" t="n">
        <x:v>0.2</x:v>
      </x:c>
      <x:c r="H8" s="13" t="n">
        <x:v>0.3</x:v>
      </x:c>
      <x:c r="I8" s="13" t="n">
        <x:v>0.3</x:v>
      </x:c>
      <x:c r="J8" s="13" t="n">
        <x:v>0.2</x:v>
      </x:c>
      <x:c r="K8" s="13" t="n">
        <x:f>SQRT(SUMSQ(F8:J8))</x:f>
        <x:v>0.5678908345800273</x:v>
      </x:c>
      <x:c r="L8" s="13" t="n">
        <x:f>2*K8</x:f>
        <x:v>1.1357816691600546</x:v>
      </x:c>
      <x:c r="M8" s="13" t="n">
        <x:f>'Controls'!$D$35-L8</x:f>
        <x:v>0.36421833083994537</x:v>
      </x:c>
      <x:c r="N8" s="13" t="n">
        <x:v>0.75</x:v>
      </x:c>
      <x:c r="O8" s="13" t="n">
        <x:v>0.1</x:v>
      </x:c>
      <x:c r="P8" s="7" t="str"/>
      <x:c r="Q8" s="7" t="str">
        <x:v>OPEN</x:v>
      </x:c>
    </x:row>
    <x:row r="9">
      <x:c r="B9" s="7" t="str">
        <x:v>UB-03</x:v>
      </x:c>
      <x:c r="C9" s="7" t="str">
        <x:v>AM-05</x:v>
      </x:c>
      <x:c r="D9" s="7" t="str">
        <x:v>TR-A</x:v>
      </x:c>
      <x:c r="E9" s="7" t="str">
        <x:v>RFP-B1</x:v>
      </x:c>
      <x:c r="F9" s="13" t="n">
        <x:v>0.25</x:v>
      </x:c>
      <x:c r="G9" s="13" t="n">
        <x:v>0.2</x:v>
      </x:c>
      <x:c r="H9" s="13" t="n">
        <x:v>0.3</x:v>
      </x:c>
      <x:c r="I9" s="13" t="n">
        <x:v>0.3</x:v>
      </x:c>
      <x:c r="J9" s="13" t="n">
        <x:v>0.2</x:v>
      </x:c>
      <x:c r="K9" s="13" t="n">
        <x:f>SQRT(SUMSQ(F9:J9))</x:f>
        <x:v>0.5678908345800273</x:v>
      </x:c>
      <x:c r="L9" s="13" t="n">
        <x:f>2*K9</x:f>
        <x:v>1.1357816691600546</x:v>
      </x:c>
      <x:c r="M9" s="13" t="n">
        <x:f>'Controls'!$D$35-L9</x:f>
        <x:v>0.36421833083994537</x:v>
      </x:c>
      <x:c r="N9" s="13" t="n">
        <x:v>0.75</x:v>
      </x:c>
      <x:c r="O9" s="13" t="n">
        <x:v>0.1</x:v>
      </x:c>
      <x:c r="P9" s="7" t="str"/>
      <x:c r="Q9" s="7" t="str">
        <x:v>OPEN</x:v>
      </x:c>
    </x:row>
    <x:row r="10">
      <x:c r="B10" s="7" t="str">
        <x:v>UB-04</x:v>
      </x:c>
      <x:c r="C10" s="7" t="str">
        <x:v>AM-05</x:v>
      </x:c>
      <x:c r="D10" s="7" t="str">
        <x:v>TR-A</x:v>
      </x:c>
      <x:c r="E10" s="7" t="str">
        <x:v>RFP-B2</x:v>
      </x:c>
      <x:c r="F10" s="13" t="n">
        <x:v>0.25</x:v>
      </x:c>
      <x:c r="G10" s="13" t="n">
        <x:v>0.2</x:v>
      </x:c>
      <x:c r="H10" s="13" t="n">
        <x:v>0.3</x:v>
      </x:c>
      <x:c r="I10" s="13" t="n">
        <x:v>0.3</x:v>
      </x:c>
      <x:c r="J10" s="13" t="n">
        <x:v>0.2</x:v>
      </x:c>
      <x:c r="K10" s="13" t="n">
        <x:f>SQRT(SUMSQ(F10:J10))</x:f>
        <x:v>0.5678908345800273</x:v>
      </x:c>
      <x:c r="L10" s="13" t="n">
        <x:f>2*K10</x:f>
        <x:v>1.1357816691600546</x:v>
      </x:c>
      <x:c r="M10" s="13" t="n">
        <x:f>'Controls'!$D$35-L10</x:f>
        <x:v>0.36421833083994537</x:v>
      </x:c>
      <x:c r="N10" s="13" t="n">
        <x:v>0.75</x:v>
      </x:c>
      <x:c r="O10" s="13" t="n">
        <x:v>0.1</x:v>
      </x:c>
      <x:c r="P10" s="7" t="str"/>
      <x:c r="Q10" s="7" t="str">
        <x:v>OPEN</x:v>
      </x:c>
    </x:row>
    <x:row r="11">
      <x:c r="B11" s="7" t="str">
        <x:v>UB-05</x:v>
      </x:c>
      <x:c r="C11" s="7" t="str">
        <x:v>AM-05</x:v>
      </x:c>
      <x:c r="D11" s="7" t="str">
        <x:v>TR-A</x:v>
      </x:c>
      <x:c r="E11" s="7" t="str">
        <x:v>RFP-C1</x:v>
      </x:c>
      <x:c r="F11" s="13" t="n">
        <x:v>0.25</x:v>
      </x:c>
      <x:c r="G11" s="13" t="n">
        <x:v>0.2</x:v>
      </x:c>
      <x:c r="H11" s="13" t="n">
        <x:v>0.3</x:v>
      </x:c>
      <x:c r="I11" s="13" t="n">
        <x:v>0.3</x:v>
      </x:c>
      <x:c r="J11" s="13" t="n">
        <x:v>0.2</x:v>
      </x:c>
      <x:c r="K11" s="13" t="n">
        <x:f>SQRT(SUMSQ(F11:J11))</x:f>
        <x:v>0.5678908345800273</x:v>
      </x:c>
      <x:c r="L11" s="13" t="n">
        <x:f>2*K11</x:f>
        <x:v>1.1357816691600546</x:v>
      </x:c>
      <x:c r="M11" s="13" t="n">
        <x:f>'Controls'!$D$35-L11</x:f>
        <x:v>0.36421833083994537</x:v>
      </x:c>
      <x:c r="N11" s="13" t="n">
        <x:v>0.75</x:v>
      </x:c>
      <x:c r="O11" s="13" t="n">
        <x:v>0.1</x:v>
      </x:c>
      <x:c r="P11" s="7" t="str"/>
      <x:c r="Q11" s="7" t="str">
        <x:v>OPEN</x:v>
      </x:c>
    </x:row>
    <x:row r="12">
      <x:c r="B12" s="7" t="str">
        <x:v>UB-06</x:v>
      </x:c>
      <x:c r="C12" s="7" t="str">
        <x:v>AM-05</x:v>
      </x:c>
      <x:c r="D12" s="7" t="str">
        <x:v>TR-A</x:v>
      </x:c>
      <x:c r="E12" s="7" t="str">
        <x:v>RFP-C2</x:v>
      </x:c>
      <x:c r="F12" s="13" t="n">
        <x:v>0.25</x:v>
      </x:c>
      <x:c r="G12" s="13" t="n">
        <x:v>0.2</x:v>
      </x:c>
      <x:c r="H12" s="13" t="n">
        <x:v>0.3</x:v>
      </x:c>
      <x:c r="I12" s="13" t="n">
        <x:v>0.3</x:v>
      </x:c>
      <x:c r="J12" s="13" t="n">
        <x:v>0.2</x:v>
      </x:c>
      <x:c r="K12" s="13" t="n">
        <x:f>SQRT(SUMSQ(F12:J12))</x:f>
        <x:v>0.5678908345800273</x:v>
      </x:c>
      <x:c r="L12" s="13" t="n">
        <x:f>2*K12</x:f>
        <x:v>1.1357816691600546</x:v>
      </x:c>
      <x:c r="M12" s="13" t="n">
        <x:f>'Controls'!$D$35-L12</x:f>
        <x:v>0.36421833083994537</x:v>
      </x:c>
      <x:c r="N12" s="13" t="n">
        <x:v>0.75</x:v>
      </x:c>
      <x:c r="O12" s="13" t="n">
        <x:v>0.1</x:v>
      </x:c>
      <x:c r="P12" s="7" t="str"/>
      <x:c r="Q12" s="7" t="str">
        <x:v>OPEN</x:v>
      </x:c>
    </x:row>
    <x:row r="13">
      <x:c r="B13" s="7" t="str">
        <x:v>UB-07</x:v>
      </x:c>
      <x:c r="C13" s="7" t="str">
        <x:v>AM-05</x:v>
      </x:c>
      <x:c r="D13" s="7" t="str">
        <x:v>TR-B</x:v>
      </x:c>
      <x:c r="E13" s="7" t="str">
        <x:v>RFP-A1</x:v>
      </x:c>
      <x:c r="F13" s="13" t="n">
        <x:v>0.25</x:v>
      </x:c>
      <x:c r="G13" s="13" t="n">
        <x:v>0.2</x:v>
      </x:c>
      <x:c r="H13" s="13" t="n">
        <x:v>0.3</x:v>
      </x:c>
      <x:c r="I13" s="13" t="n">
        <x:v>0.3</x:v>
      </x:c>
      <x:c r="J13" s="13" t="n">
        <x:v>0.2</x:v>
      </x:c>
      <x:c r="K13" s="13" t="n">
        <x:f>SQRT(SUMSQ(F13:J13))</x:f>
        <x:v>0.5678908345800273</x:v>
      </x:c>
      <x:c r="L13" s="13" t="n">
        <x:f>2*K13</x:f>
        <x:v>1.1357816691600546</x:v>
      </x:c>
      <x:c r="M13" s="13" t="n">
        <x:f>'Controls'!$D$35-L13</x:f>
        <x:v>0.36421833083994537</x:v>
      </x:c>
      <x:c r="N13" s="13" t="n">
        <x:v>0.75</x:v>
      </x:c>
      <x:c r="O13" s="13" t="n">
        <x:v>0.1</x:v>
      </x:c>
      <x:c r="P13" s="7" t="str"/>
      <x:c r="Q13" s="7" t="str">
        <x:v>OPEN</x:v>
      </x:c>
    </x:row>
    <x:row r="14">
      <x:c r="B14" s="7" t="str">
        <x:v>UB-08</x:v>
      </x:c>
      <x:c r="C14" s="7" t="str">
        <x:v>AM-05</x:v>
      </x:c>
      <x:c r="D14" s="7" t="str">
        <x:v>TR-B</x:v>
      </x:c>
      <x:c r="E14" s="7" t="str">
        <x:v>RFP-A2</x:v>
      </x:c>
      <x:c r="F14" s="13" t="n">
        <x:v>0.25</x:v>
      </x:c>
      <x:c r="G14" s="13" t="n">
        <x:v>0.2</x:v>
      </x:c>
      <x:c r="H14" s="13" t="n">
        <x:v>0.3</x:v>
      </x:c>
      <x:c r="I14" s="13" t="n">
        <x:v>0.3</x:v>
      </x:c>
      <x:c r="J14" s="13" t="n">
        <x:v>0.2</x:v>
      </x:c>
      <x:c r="K14" s="13" t="n">
        <x:f>SQRT(SUMSQ(F14:J14))</x:f>
        <x:v>0.5678908345800273</x:v>
      </x:c>
      <x:c r="L14" s="13" t="n">
        <x:f>2*K14</x:f>
        <x:v>1.1357816691600546</x:v>
      </x:c>
      <x:c r="M14" s="13" t="n">
        <x:f>'Controls'!$D$35-L14</x:f>
        <x:v>0.36421833083994537</x:v>
      </x:c>
      <x:c r="N14" s="13" t="n">
        <x:v>0.75</x:v>
      </x:c>
      <x:c r="O14" s="13" t="n">
        <x:v>0.1</x:v>
      </x:c>
      <x:c r="P14" s="7" t="str"/>
      <x:c r="Q14" s="7" t="str">
        <x:v>OPEN</x:v>
      </x:c>
    </x:row>
    <x:row r="15">
      <x:c r="B15" s="7" t="str">
        <x:v>UB-09</x:v>
      </x:c>
      <x:c r="C15" s="7" t="str">
        <x:v>AM-05</x:v>
      </x:c>
      <x:c r="D15" s="7" t="str">
        <x:v>TR-B</x:v>
      </x:c>
      <x:c r="E15" s="7" t="str">
        <x:v>RFP-B1</x:v>
      </x:c>
      <x:c r="F15" s="13" t="n">
        <x:v>0.25</x:v>
      </x:c>
      <x:c r="G15" s="13" t="n">
        <x:v>0.2</x:v>
      </x:c>
      <x:c r="H15" s="13" t="n">
        <x:v>0.3</x:v>
      </x:c>
      <x:c r="I15" s="13" t="n">
        <x:v>0.3</x:v>
      </x:c>
      <x:c r="J15" s="13" t="n">
        <x:v>0.2</x:v>
      </x:c>
      <x:c r="K15" s="13" t="n">
        <x:f>SQRT(SUMSQ(F15:J15))</x:f>
        <x:v>0.5678908345800273</x:v>
      </x:c>
      <x:c r="L15" s="13" t="n">
        <x:f>2*K15</x:f>
        <x:v>1.1357816691600546</x:v>
      </x:c>
      <x:c r="M15" s="13" t="n">
        <x:f>'Controls'!$D$35-L15</x:f>
        <x:v>0.36421833083994537</x:v>
      </x:c>
      <x:c r="N15" s="13" t="n">
        <x:v>0.75</x:v>
      </x:c>
      <x:c r="O15" s="13" t="n">
        <x:v>0.1</x:v>
      </x:c>
      <x:c r="P15" s="7" t="str"/>
      <x:c r="Q15" s="7" t="str">
        <x:v>OPEN</x:v>
      </x:c>
    </x:row>
    <x:row r="16">
      <x:c r="B16" s="7" t="str">
        <x:v>UB-10</x:v>
      </x:c>
      <x:c r="C16" s="7" t="str">
        <x:v>AM-05</x:v>
      </x:c>
      <x:c r="D16" s="7" t="str">
        <x:v>TR-B</x:v>
      </x:c>
      <x:c r="E16" s="7" t="str">
        <x:v>RFP-B2</x:v>
      </x:c>
      <x:c r="F16" s="13" t="n">
        <x:v>0.25</x:v>
      </x:c>
      <x:c r="G16" s="13" t="n">
        <x:v>0.2</x:v>
      </x:c>
      <x:c r="H16" s="13" t="n">
        <x:v>0.3</x:v>
      </x:c>
      <x:c r="I16" s="13" t="n">
        <x:v>0.3</x:v>
      </x:c>
      <x:c r="J16" s="13" t="n">
        <x:v>0.2</x:v>
      </x:c>
      <x:c r="K16" s="13" t="n">
        <x:f>SQRT(SUMSQ(F16:J16))</x:f>
        <x:v>0.5678908345800273</x:v>
      </x:c>
      <x:c r="L16" s="13" t="n">
        <x:f>2*K16</x:f>
        <x:v>1.1357816691600546</x:v>
      </x:c>
      <x:c r="M16" s="13" t="n">
        <x:f>'Controls'!$D$35-L16</x:f>
        <x:v>0.36421833083994537</x:v>
      </x:c>
      <x:c r="N16" s="13" t="n">
        <x:v>0.75</x:v>
      </x:c>
      <x:c r="O16" s="13" t="n">
        <x:v>0.1</x:v>
      </x:c>
      <x:c r="P16" s="7" t="str"/>
      <x:c r="Q16" s="7" t="str">
        <x:v>OPEN</x:v>
      </x:c>
    </x:row>
    <x:row r="17">
      <x:c r="B17" s="7" t="str">
        <x:v>UB-11</x:v>
      </x:c>
      <x:c r="C17" s="7" t="str">
        <x:v>AM-05</x:v>
      </x:c>
      <x:c r="D17" s="7" t="str">
        <x:v>TR-B</x:v>
      </x:c>
      <x:c r="E17" s="7" t="str">
        <x:v>RFP-C1</x:v>
      </x:c>
      <x:c r="F17" s="13" t="n">
        <x:v>0.25</x:v>
      </x:c>
      <x:c r="G17" s="13" t="n">
        <x:v>0.2</x:v>
      </x:c>
      <x:c r="H17" s="13" t="n">
        <x:v>0.3</x:v>
      </x:c>
      <x:c r="I17" s="13" t="n">
        <x:v>0.3</x:v>
      </x:c>
      <x:c r="J17" s="13" t="n">
        <x:v>0.2</x:v>
      </x:c>
      <x:c r="K17" s="13" t="n">
        <x:f>SQRT(SUMSQ(F17:J17))</x:f>
        <x:v>0.5678908345800273</x:v>
      </x:c>
      <x:c r="L17" s="13" t="n">
        <x:f>2*K17</x:f>
        <x:v>1.1357816691600546</x:v>
      </x:c>
      <x:c r="M17" s="13" t="n">
        <x:f>'Controls'!$D$35-L17</x:f>
        <x:v>0.36421833083994537</x:v>
      </x:c>
      <x:c r="N17" s="13" t="n">
        <x:v>0.75</x:v>
      </x:c>
      <x:c r="O17" s="13" t="n">
        <x:v>0.1</x:v>
      </x:c>
      <x:c r="P17" s="7" t="str"/>
      <x:c r="Q17" s="7" t="str">
        <x:v>OPEN</x:v>
      </x:c>
    </x:row>
    <x:row r="18">
      <x:c r="B18" s="7" t="str">
        <x:v>UB-12</x:v>
      </x:c>
      <x:c r="C18" s="7" t="str">
        <x:v>AM-05</x:v>
      </x:c>
      <x:c r="D18" s="7" t="str">
        <x:v>TR-B</x:v>
      </x:c>
      <x:c r="E18" s="7" t="str">
        <x:v>RFP-C2</x:v>
      </x:c>
      <x:c r="F18" s="13" t="n">
        <x:v>0.25</x:v>
      </x:c>
      <x:c r="G18" s="13" t="n">
        <x:v>0.2</x:v>
      </x:c>
      <x:c r="H18" s="13" t="n">
        <x:v>0.3</x:v>
      </x:c>
      <x:c r="I18" s="13" t="n">
        <x:v>0.3</x:v>
      </x:c>
      <x:c r="J18" s="13" t="n">
        <x:v>0.2</x:v>
      </x:c>
      <x:c r="K18" s="13" t="n">
        <x:f>SQRT(SUMSQ(F18:J18))</x:f>
        <x:v>0.5678908345800273</x:v>
      </x:c>
      <x:c r="L18" s="13" t="n">
        <x:f>2*K18</x:f>
        <x:v>1.1357816691600546</x:v>
      </x:c>
      <x:c r="M18" s="13" t="n">
        <x:f>'Controls'!$D$35-L18</x:f>
        <x:v>0.36421833083994537</x:v>
      </x:c>
      <x:c r="N18" s="13" t="n">
        <x:v>0.75</x:v>
      </x:c>
      <x:c r="O18" s="13" t="n">
        <x:v>0.1</x:v>
      </x:c>
      <x:c r="P18" s="7" t="str"/>
      <x:c r="Q18" s="7" t="str">
        <x:v>OPEN</x:v>
      </x:c>
    </x:row>
    <x:row r="19">
      <x:c r="B19" s="7" t="str">
        <x:v>UB-13</x:v>
      </x:c>
      <x:c r="C19" s="7" t="str">
        <x:v>AM-06</x:v>
      </x:c>
      <x:c r="D19" s="7" t="str">
        <x:v>TR-A</x:v>
      </x:c>
      <x:c r="E19" s="7" t="str">
        <x:v>RFP-A1</x:v>
      </x:c>
      <x:c r="F19" s="13" t="n">
        <x:v>0.25</x:v>
      </x:c>
      <x:c r="G19" s="13" t="n">
        <x:v>0.2</x:v>
      </x:c>
      <x:c r="H19" s="13" t="n">
        <x:v>0.3</x:v>
      </x:c>
      <x:c r="I19" s="13" t="n">
        <x:v>0.3</x:v>
      </x:c>
      <x:c r="J19" s="13" t="n">
        <x:v>0.2</x:v>
      </x:c>
      <x:c r="K19" s="13" t="n">
        <x:f>SQRT(SUMSQ(F19:J19))</x:f>
        <x:v>0.5678908345800273</x:v>
      </x:c>
      <x:c r="L19" s="13" t="n">
        <x:f>2*K19</x:f>
        <x:v>1.1357816691600546</x:v>
      </x:c>
      <x:c r="M19" s="13" t="n">
        <x:f>'Controls'!$D$35-L19</x:f>
        <x:v>0.36421833083994537</x:v>
      </x:c>
      <x:c r="N19" s="13" t="n">
        <x:v>0.75</x:v>
      </x:c>
      <x:c r="O19" s="13" t="n">
        <x:v>0.1</x:v>
      </x:c>
      <x:c r="P19" s="7" t="str"/>
      <x:c r="Q19" s="7" t="str">
        <x:v>OPEN</x:v>
      </x:c>
    </x:row>
    <x:row r="20">
      <x:c r="B20" s="7" t="str">
        <x:v>UB-14</x:v>
      </x:c>
      <x:c r="C20" s="7" t="str">
        <x:v>AM-06</x:v>
      </x:c>
      <x:c r="D20" s="7" t="str">
        <x:v>TR-A</x:v>
      </x:c>
      <x:c r="E20" s="7" t="str">
        <x:v>RFP-A2</x:v>
      </x:c>
      <x:c r="F20" s="13" t="n">
        <x:v>0.25</x:v>
      </x:c>
      <x:c r="G20" s="13" t="n">
        <x:v>0.2</x:v>
      </x:c>
      <x:c r="H20" s="13" t="n">
        <x:v>0.3</x:v>
      </x:c>
      <x:c r="I20" s="13" t="n">
        <x:v>0.3</x:v>
      </x:c>
      <x:c r="J20" s="13" t="n">
        <x:v>0.2</x:v>
      </x:c>
      <x:c r="K20" s="13" t="n">
        <x:f>SQRT(SUMSQ(F20:J20))</x:f>
        <x:v>0.5678908345800273</x:v>
      </x:c>
      <x:c r="L20" s="13" t="n">
        <x:f>2*K20</x:f>
        <x:v>1.1357816691600546</x:v>
      </x:c>
      <x:c r="M20" s="13" t="n">
        <x:f>'Controls'!$D$35-L20</x:f>
        <x:v>0.36421833083994537</x:v>
      </x:c>
      <x:c r="N20" s="13" t="n">
        <x:v>0.75</x:v>
      </x:c>
      <x:c r="O20" s="13" t="n">
        <x:v>0.1</x:v>
      </x:c>
      <x:c r="P20" s="7" t="str"/>
      <x:c r="Q20" s="7" t="str">
        <x:v>OPEN</x:v>
      </x:c>
    </x:row>
    <x:row r="21">
      <x:c r="B21" s="7" t="str">
        <x:v>UB-15</x:v>
      </x:c>
      <x:c r="C21" s="7" t="str">
        <x:v>AM-06</x:v>
      </x:c>
      <x:c r="D21" s="7" t="str">
        <x:v>TR-A</x:v>
      </x:c>
      <x:c r="E21" s="7" t="str">
        <x:v>RFP-B1</x:v>
      </x:c>
      <x:c r="F21" s="13" t="n">
        <x:v>0.25</x:v>
      </x:c>
      <x:c r="G21" s="13" t="n">
        <x:v>0.2</x:v>
      </x:c>
      <x:c r="H21" s="13" t="n">
        <x:v>0.3</x:v>
      </x:c>
      <x:c r="I21" s="13" t="n">
        <x:v>0.3</x:v>
      </x:c>
      <x:c r="J21" s="13" t="n">
        <x:v>0.2</x:v>
      </x:c>
      <x:c r="K21" s="13" t="n">
        <x:f>SQRT(SUMSQ(F21:J21))</x:f>
        <x:v>0.5678908345800273</x:v>
      </x:c>
      <x:c r="L21" s="13" t="n">
        <x:f>2*K21</x:f>
        <x:v>1.1357816691600546</x:v>
      </x:c>
      <x:c r="M21" s="13" t="n">
        <x:f>'Controls'!$D$35-L21</x:f>
        <x:v>0.36421833083994537</x:v>
      </x:c>
      <x:c r="N21" s="13" t="n">
        <x:v>0.75</x:v>
      </x:c>
      <x:c r="O21" s="13" t="n">
        <x:v>0.1</x:v>
      </x:c>
      <x:c r="P21" s="7" t="str"/>
      <x:c r="Q21" s="7" t="str">
        <x:v>OPEN</x:v>
      </x:c>
    </x:row>
    <x:row r="22">
      <x:c r="B22" s="7" t="str">
        <x:v>UB-16</x:v>
      </x:c>
      <x:c r="C22" s="7" t="str">
        <x:v>AM-06</x:v>
      </x:c>
      <x:c r="D22" s="7" t="str">
        <x:v>TR-A</x:v>
      </x:c>
      <x:c r="E22" s="7" t="str">
        <x:v>RFP-B2</x:v>
      </x:c>
      <x:c r="F22" s="13" t="n">
        <x:v>0.25</x:v>
      </x:c>
      <x:c r="G22" s="13" t="n">
        <x:v>0.2</x:v>
      </x:c>
      <x:c r="H22" s="13" t="n">
        <x:v>0.3</x:v>
      </x:c>
      <x:c r="I22" s="13" t="n">
        <x:v>0.3</x:v>
      </x:c>
      <x:c r="J22" s="13" t="n">
        <x:v>0.2</x:v>
      </x:c>
      <x:c r="K22" s="13" t="n">
        <x:f>SQRT(SUMSQ(F22:J22))</x:f>
        <x:v>0.5678908345800273</x:v>
      </x:c>
      <x:c r="L22" s="13" t="n">
        <x:f>2*K22</x:f>
        <x:v>1.1357816691600546</x:v>
      </x:c>
      <x:c r="M22" s="13" t="n">
        <x:f>'Controls'!$D$35-L22</x:f>
        <x:v>0.36421833083994537</x:v>
      </x:c>
      <x:c r="N22" s="13" t="n">
        <x:v>0.75</x:v>
      </x:c>
      <x:c r="O22" s="13" t="n">
        <x:v>0.1</x:v>
      </x:c>
      <x:c r="P22" s="7" t="str"/>
      <x:c r="Q22" s="7" t="str">
        <x:v>OPEN</x:v>
      </x:c>
    </x:row>
    <x:row r="23">
      <x:c r="B23" s="7" t="str">
        <x:v>UB-17</x:v>
      </x:c>
      <x:c r="C23" s="7" t="str">
        <x:v>AM-06</x:v>
      </x:c>
      <x:c r="D23" s="7" t="str">
        <x:v>TR-A</x:v>
      </x:c>
      <x:c r="E23" s="7" t="str">
        <x:v>RFP-C1</x:v>
      </x:c>
      <x:c r="F23" s="13" t="n">
        <x:v>0.25</x:v>
      </x:c>
      <x:c r="G23" s="13" t="n">
        <x:v>0.2</x:v>
      </x:c>
      <x:c r="H23" s="13" t="n">
        <x:v>0.3</x:v>
      </x:c>
      <x:c r="I23" s="13" t="n">
        <x:v>0.3</x:v>
      </x:c>
      <x:c r="J23" s="13" t="n">
        <x:v>0.2</x:v>
      </x:c>
      <x:c r="K23" s="13" t="n">
        <x:f>SQRT(SUMSQ(F23:J23))</x:f>
        <x:v>0.5678908345800273</x:v>
      </x:c>
      <x:c r="L23" s="13" t="n">
        <x:f>2*K23</x:f>
        <x:v>1.1357816691600546</x:v>
      </x:c>
      <x:c r="M23" s="13" t="n">
        <x:f>'Controls'!$D$35-L23</x:f>
        <x:v>0.36421833083994537</x:v>
      </x:c>
      <x:c r="N23" s="13" t="n">
        <x:v>0.75</x:v>
      </x:c>
      <x:c r="O23" s="13" t="n">
        <x:v>0.1</x:v>
      </x:c>
      <x:c r="P23" s="7" t="str"/>
      <x:c r="Q23" s="7" t="str">
        <x:v>OPEN</x:v>
      </x:c>
    </x:row>
    <x:row r="24">
      <x:c r="B24" s="7" t="str">
        <x:v>UB-18</x:v>
      </x:c>
      <x:c r="C24" s="7" t="str">
        <x:v>AM-06</x:v>
      </x:c>
      <x:c r="D24" s="7" t="str">
        <x:v>TR-A</x:v>
      </x:c>
      <x:c r="E24" s="7" t="str">
        <x:v>RFP-C2</x:v>
      </x:c>
      <x:c r="F24" s="13" t="n">
        <x:v>0.25</x:v>
      </x:c>
      <x:c r="G24" s="13" t="n">
        <x:v>0.2</x:v>
      </x:c>
      <x:c r="H24" s="13" t="n">
        <x:v>0.3</x:v>
      </x:c>
      <x:c r="I24" s="13" t="n">
        <x:v>0.3</x:v>
      </x:c>
      <x:c r="J24" s="13" t="n">
        <x:v>0.2</x:v>
      </x:c>
      <x:c r="K24" s="13" t="n">
        <x:f>SQRT(SUMSQ(F24:J24))</x:f>
        <x:v>0.5678908345800273</x:v>
      </x:c>
      <x:c r="L24" s="13" t="n">
        <x:f>2*K24</x:f>
        <x:v>1.1357816691600546</x:v>
      </x:c>
      <x:c r="M24" s="13" t="n">
        <x:f>'Controls'!$D$35-L24</x:f>
        <x:v>0.36421833083994537</x:v>
      </x:c>
      <x:c r="N24" s="13" t="n">
        <x:v>0.75</x:v>
      </x:c>
      <x:c r="O24" s="13" t="n">
        <x:v>0.1</x:v>
      </x:c>
      <x:c r="P24" s="7" t="str"/>
      <x:c r="Q24" s="7" t="str">
        <x:v>OPEN</x:v>
      </x:c>
    </x:row>
    <x:row r="25">
      <x:c r="B25" s="7" t="str">
        <x:v>UB-19</x:v>
      </x:c>
      <x:c r="C25" s="7" t="str">
        <x:v>AM-06</x:v>
      </x:c>
      <x:c r="D25" s="7" t="str">
        <x:v>TR-B</x:v>
      </x:c>
      <x:c r="E25" s="7" t="str">
        <x:v>RFP-A1</x:v>
      </x:c>
      <x:c r="F25" s="13" t="n">
        <x:v>0.25</x:v>
      </x:c>
      <x:c r="G25" s="13" t="n">
        <x:v>0.2</x:v>
      </x:c>
      <x:c r="H25" s="13" t="n">
        <x:v>0.3</x:v>
      </x:c>
      <x:c r="I25" s="13" t="n">
        <x:v>0.3</x:v>
      </x:c>
      <x:c r="J25" s="13" t="n">
        <x:v>0.2</x:v>
      </x:c>
      <x:c r="K25" s="13" t="n">
        <x:f>SQRT(SUMSQ(F25:J25))</x:f>
        <x:v>0.5678908345800273</x:v>
      </x:c>
      <x:c r="L25" s="13" t="n">
        <x:f>2*K25</x:f>
        <x:v>1.1357816691600546</x:v>
      </x:c>
      <x:c r="M25" s="13" t="n">
        <x:f>'Controls'!$D$35-L25</x:f>
        <x:v>0.36421833083994537</x:v>
      </x:c>
      <x:c r="N25" s="13" t="n">
        <x:v>0.75</x:v>
      </x:c>
      <x:c r="O25" s="13" t="n">
        <x:v>0.1</x:v>
      </x:c>
      <x:c r="P25" s="7" t="str"/>
      <x:c r="Q25" s="7" t="str">
        <x:v>OPEN</x:v>
      </x:c>
    </x:row>
    <x:row r="26">
      <x:c r="B26" s="7" t="str">
        <x:v>UB-20</x:v>
      </x:c>
      <x:c r="C26" s="7" t="str">
        <x:v>AM-06</x:v>
      </x:c>
      <x:c r="D26" s="7" t="str">
        <x:v>TR-B</x:v>
      </x:c>
      <x:c r="E26" s="7" t="str">
        <x:v>RFP-A2</x:v>
      </x:c>
      <x:c r="F26" s="13" t="n">
        <x:v>0.25</x:v>
      </x:c>
      <x:c r="G26" s="13" t="n">
        <x:v>0.2</x:v>
      </x:c>
      <x:c r="H26" s="13" t="n">
        <x:v>0.3</x:v>
      </x:c>
      <x:c r="I26" s="13" t="n">
        <x:v>0.3</x:v>
      </x:c>
      <x:c r="J26" s="13" t="n">
        <x:v>0.2</x:v>
      </x:c>
      <x:c r="K26" s="13" t="n">
        <x:f>SQRT(SUMSQ(F26:J26))</x:f>
        <x:v>0.5678908345800273</x:v>
      </x:c>
      <x:c r="L26" s="13" t="n">
        <x:f>2*K26</x:f>
        <x:v>1.1357816691600546</x:v>
      </x:c>
      <x:c r="M26" s="13" t="n">
        <x:f>'Controls'!$D$35-L26</x:f>
        <x:v>0.36421833083994537</x:v>
      </x:c>
      <x:c r="N26" s="13" t="n">
        <x:v>0.75</x:v>
      </x:c>
      <x:c r="O26" s="13" t="n">
        <x:v>0.1</x:v>
      </x:c>
      <x:c r="P26" s="7" t="str"/>
      <x:c r="Q26" s="7" t="str">
        <x:v>OPEN</x:v>
      </x:c>
    </x:row>
    <x:row r="27">
      <x:c r="B27" s="7" t="str">
        <x:v>UB-21</x:v>
      </x:c>
      <x:c r="C27" s="7" t="str">
        <x:v>AM-06</x:v>
      </x:c>
      <x:c r="D27" s="7" t="str">
        <x:v>TR-B</x:v>
      </x:c>
      <x:c r="E27" s="7" t="str">
        <x:v>RFP-B1</x:v>
      </x:c>
      <x:c r="F27" s="13" t="n">
        <x:v>0.25</x:v>
      </x:c>
      <x:c r="G27" s="13" t="n">
        <x:v>0.2</x:v>
      </x:c>
      <x:c r="H27" s="13" t="n">
        <x:v>0.3</x:v>
      </x:c>
      <x:c r="I27" s="13" t="n">
        <x:v>0.3</x:v>
      </x:c>
      <x:c r="J27" s="13" t="n">
        <x:v>0.2</x:v>
      </x:c>
      <x:c r="K27" s="13" t="n">
        <x:f>SQRT(SUMSQ(F27:J27))</x:f>
        <x:v>0.5678908345800273</x:v>
      </x:c>
      <x:c r="L27" s="13" t="n">
        <x:f>2*K27</x:f>
        <x:v>1.1357816691600546</x:v>
      </x:c>
      <x:c r="M27" s="13" t="n">
        <x:f>'Controls'!$D$35-L27</x:f>
        <x:v>0.36421833083994537</x:v>
      </x:c>
      <x:c r="N27" s="13" t="n">
        <x:v>0.75</x:v>
      </x:c>
      <x:c r="O27" s="13" t="n">
        <x:v>0.1</x:v>
      </x:c>
      <x:c r="P27" s="7" t="str"/>
      <x:c r="Q27" s="7" t="str">
        <x:v>OPEN</x:v>
      </x:c>
    </x:row>
    <x:row r="28">
      <x:c r="B28" s="7" t="str">
        <x:v>UB-22</x:v>
      </x:c>
      <x:c r="C28" s="7" t="str">
        <x:v>AM-06</x:v>
      </x:c>
      <x:c r="D28" s="7" t="str">
        <x:v>TR-B</x:v>
      </x:c>
      <x:c r="E28" s="7" t="str">
        <x:v>RFP-B2</x:v>
      </x:c>
      <x:c r="F28" s="13" t="n">
        <x:v>0.25</x:v>
      </x:c>
      <x:c r="G28" s="13" t="n">
        <x:v>0.2</x:v>
      </x:c>
      <x:c r="H28" s="13" t="n">
        <x:v>0.3</x:v>
      </x:c>
      <x:c r="I28" s="13" t="n">
        <x:v>0.3</x:v>
      </x:c>
      <x:c r="J28" s="13" t="n">
        <x:v>0.2</x:v>
      </x:c>
      <x:c r="K28" s="13" t="n">
        <x:f>SQRT(SUMSQ(F28:J28))</x:f>
        <x:v>0.5678908345800273</x:v>
      </x:c>
      <x:c r="L28" s="13" t="n">
        <x:f>2*K28</x:f>
        <x:v>1.1357816691600546</x:v>
      </x:c>
      <x:c r="M28" s="13" t="n">
        <x:f>'Controls'!$D$35-L28</x:f>
        <x:v>0.36421833083994537</x:v>
      </x:c>
      <x:c r="N28" s="13" t="n">
        <x:v>0.75</x:v>
      </x:c>
      <x:c r="O28" s="13" t="n">
        <x:v>0.1</x:v>
      </x:c>
      <x:c r="P28" s="7" t="str"/>
      <x:c r="Q28" s="7" t="str">
        <x:v>OPEN</x:v>
      </x:c>
    </x:row>
    <x:row r="29">
      <x:c r="B29" s="7" t="str">
        <x:v>UB-23</x:v>
      </x:c>
      <x:c r="C29" s="7" t="str">
        <x:v>AM-06</x:v>
      </x:c>
      <x:c r="D29" s="7" t="str">
        <x:v>TR-B</x:v>
      </x:c>
      <x:c r="E29" s="7" t="str">
        <x:v>RFP-C1</x:v>
      </x:c>
      <x:c r="F29" s="13" t="n">
        <x:v>0.25</x:v>
      </x:c>
      <x:c r="G29" s="13" t="n">
        <x:v>0.2</x:v>
      </x:c>
      <x:c r="H29" s="13" t="n">
        <x:v>0.3</x:v>
      </x:c>
      <x:c r="I29" s="13" t="n">
        <x:v>0.3</x:v>
      </x:c>
      <x:c r="J29" s="13" t="n">
        <x:v>0.2</x:v>
      </x:c>
      <x:c r="K29" s="13" t="n">
        <x:f>SQRT(SUMSQ(F29:J29))</x:f>
        <x:v>0.5678908345800273</x:v>
      </x:c>
      <x:c r="L29" s="13" t="n">
        <x:f>2*K29</x:f>
        <x:v>1.1357816691600546</x:v>
      </x:c>
      <x:c r="M29" s="13" t="n">
        <x:f>'Controls'!$D$35-L29</x:f>
        <x:v>0.36421833083994537</x:v>
      </x:c>
      <x:c r="N29" s="13" t="n">
        <x:v>0.75</x:v>
      </x:c>
      <x:c r="O29" s="13" t="n">
        <x:v>0.1</x:v>
      </x:c>
      <x:c r="P29" s="7" t="str"/>
      <x:c r="Q29" s="7" t="str">
        <x:v>OPEN</x:v>
      </x:c>
    </x:row>
    <x:row r="30">
      <x:c r="B30" s="7" t="str">
        <x:v>UB-24</x:v>
      </x:c>
      <x:c r="C30" s="7" t="str">
        <x:v>AM-06</x:v>
      </x:c>
      <x:c r="D30" s="7" t="str">
        <x:v>TR-B</x:v>
      </x:c>
      <x:c r="E30" s="7" t="str">
        <x:v>RFP-C2</x:v>
      </x:c>
      <x:c r="F30" s="13" t="n">
        <x:v>0.25</x:v>
      </x:c>
      <x:c r="G30" s="13" t="n">
        <x:v>0.2</x:v>
      </x:c>
      <x:c r="H30" s="13" t="n">
        <x:v>0.3</x:v>
      </x:c>
      <x:c r="I30" s="13" t="n">
        <x:v>0.3</x:v>
      </x:c>
      <x:c r="J30" s="13" t="n">
        <x:v>0.2</x:v>
      </x:c>
      <x:c r="K30" s="13" t="n">
        <x:f>SQRT(SUMSQ(F30:J30))</x:f>
        <x:v>0.5678908345800273</x:v>
      </x:c>
      <x:c r="L30" s="13" t="n">
        <x:f>2*K30</x:f>
        <x:v>1.1357816691600546</x:v>
      </x:c>
      <x:c r="M30" s="13" t="n">
        <x:f>'Controls'!$D$35-L30</x:f>
        <x:v>0.36421833083994537</x:v>
      </x:c>
      <x:c r="N30" s="13" t="n">
        <x:v>0.75</x:v>
      </x:c>
      <x:c r="O30" s="13" t="n">
        <x:v>0.1</x:v>
      </x:c>
      <x:c r="P30" s="7" t="str"/>
      <x:c r="Q30" s="7" t="str">
        <x:v>OPEN</x:v>
      </x:c>
    </x:row>
  </x:sheetData>
  <x:conditionalFormatting sqref="Q7:Q30">
    <x:cfRule type="containsText" dxfId="207" priority="1" operator="containsText" text="FAIL"/>
    <x:cfRule type="containsText" dxfId="208" priority="2" operator="containsText" text="INVALID"/>
    <x:cfRule type="containsText" dxfId="209" priority="3" operator="containsText" text="BLOCKED"/>
    <x:cfRule type="containsText" dxfId="210" priority="4" operator="containsText" text="OPEN"/>
    <x:cfRule type="containsText" dxfId="211" priority="5" operator="containsText" text="HELD"/>
    <x:cfRule type="containsText" dxfId="212" priority="6" operator="containsText" text="DORMANT"/>
    <x:cfRule type="containsText" dxfId="213" priority="7" operator="containsText" text="PASS"/>
    <x:cfRule type="containsText" dxfId="214" priority="8" operator="containsText" text="VALID"/>
    <x:cfRule type="containsText" dxfId="215" priority="9" operator="containsText" text="ISSUED"/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7" hidden="0" customWidth="1"/>
    <x:col min="3" max="3" width="25" hidden="0" customWidth="1"/>
    <x:col min="4" max="4" width="14" hidden="0" customWidth="1"/>
    <x:col min="5" max="5" width="13" hidden="0" customWidth="1"/>
    <x:col min="6" max="6" width="16" hidden="0" customWidth="1"/>
    <x:col min="7" max="7" width="14" hidden="0" customWidth="1"/>
    <x:col min="8" max="8" width="15" hidden="0" customWidth="1"/>
    <x:col min="9" max="9" width="16" hidden="0" customWidth="1"/>
    <x:col min="10" max="10" width="14" hidden="0" customWidth="1"/>
    <x:col min="11" max="11" width="17" hidden="0" customWidth="1"/>
    <x:col min="12" max="12" width="16" hidden="0" customWidth="1"/>
    <x:col min="13" max="13" width="14" hidden="0" customWidth="1"/>
    <x:col min="14" max="14" width="14" hidden="0" customWidth="1"/>
    <x:col min="15" max="15" width="20" hidden="0" customWidth="1"/>
    <x:col min="16" max="16" width="19" hidden="0" customWidth="1"/>
    <x:col min="17" max="17" width="23" hidden="0" customWidth="1"/>
  </x:cols>
  <x:sheetData>
    <x:row r="2">
      <x:c r="B2" s="1" t="str">
        <x:v>Why low source requires its own physical article</x:v>
      </x:c>
    </x:row>
    <x:row r="3">
      <x:c r="B3" s="2" t="str">
        <x:v>The 100 kg event in the 150 mm route would not fill the 12 m line and falls near laminar conditions. The 40 mm insert creates a measurable low-source control article without qualifying the 150 mm route.</x:v>
      </x:c>
    </x:row>
    <x:row r="6" ht="24" customHeight="1">
      <x:c r="B6" s="6" t="str">
        <x:v>Case</x:v>
      </x:c>
      <x:c r="C6" s="6" t="str">
        <x:v>Route</x:v>
      </x:c>
      <x:c r="D6" s="6" t="str">
        <x:v>Mass kg</x:v>
      </x:c>
      <x:c r="E6" s="6" t="str">
        <x:v>Time s</x:v>
      </x:c>
      <x:c r="F6" s="6" t="str">
        <x:v>Diameter m</x:v>
      </x:c>
      <x:c r="G6" s="6" t="str">
        <x:v>Length m</x:v>
      </x:c>
      <x:c r="H6" s="6" t="str">
        <x:v>Volume m3</x:v>
      </x:c>
      <x:c r="I6" s="6" t="str">
        <x:v>Rate m3/s</x:v>
      </x:c>
      <x:c r="J6" s="6" t="str">
        <x:v>Area m2</x:v>
      </x:c>
      <x:c r="K6" s="6" t="str">
        <x:v>Velocity m/s</x:v>
      </x:c>
      <x:c r="L6" s="6" t="str">
        <x:v>Reynolds</x:v>
      </x:c>
      <x:c r="M6" s="6" t="str">
        <x:v>Froude</x:v>
      </x:c>
      <x:c r="N6" s="6" t="str">
        <x:v>Weber</x:v>
      </x:c>
      <x:c r="O6" s="6" t="str">
        <x:v>Line volume m3</x:v>
      </x:c>
      <x:c r="P6" s="6" t="str">
        <x:v>Line hold-up kg</x:v>
      </x:c>
      <x:c r="Q6" s="6" t="str">
        <x:v>Mass beyond hold-up kg</x:v>
      </x:c>
    </x:row>
    <x:row r="7" ht="34" customHeight="1">
      <x:c r="B7" s="10" t="str">
        <x:v>full-source reference</x:v>
      </x:c>
      <x:c r="C7" s="7" t="str">
        <x:v>150 mm route</x:v>
      </x:c>
      <x:c r="D7" s="7" t="n">
        <x:v>2000</x:v>
      </x:c>
      <x:c r="E7" s="7" t="n">
        <x:v>120</x:v>
      </x:c>
      <x:c r="F7" s="7" t="n">
        <x:v>0.15</x:v>
      </x:c>
      <x:c r="G7" s="7" t="n">
        <x:v>12</x:v>
      </x:c>
      <x:c r="H7" s="14" t="n">
        <x:f>D7/'Controls'!$D$13</x:f>
        <x:v>2.5</x:v>
      </x:c>
      <x:c r="I7" s="14" t="n">
        <x:f>H7/E7</x:f>
        <x:v>0.020833333333333332</x:v>
      </x:c>
      <x:c r="J7" s="14" t="n">
        <x:f>PI()*F7^2/4</x:f>
        <x:v>0.017671458676442587</x:v>
      </x:c>
      <x:c r="K7" s="14" t="n">
        <x:f>I7/J7</x:f>
        <x:v>1.1789255043844098</x:v>
      </x:c>
      <x:c r="L7" s="14" t="n">
        <x:f>'Controls'!$D$13*K7*F7/'Controls'!$D$15</x:f>
        <x:v>35367.765131532295</x:v>
      </x:c>
      <x:c r="M7" s="14" t="n">
        <x:f>K7/SQRT(9.81*F7)</x:f>
        <x:v>0.9718656441962722</x:v>
      </x:c>
      <x:c r="N7" s="14" t="n">
        <x:f>'Controls'!$D$13*K7^2*F7/'Controls'!$D$16</x:f>
        <x:v>6671.353655462569</x:v>
      </x:c>
      <x:c r="O7" s="14" t="n">
        <x:f>J7*G7</x:f>
        <x:v>0.21205750411731106</x:v>
      </x:c>
      <x:c r="P7" s="14" t="n">
        <x:f>O7*'Controls'!$D$13</x:f>
        <x:v>169.64600329384885</x:v>
      </x:c>
      <x:c r="Q7" s="14" t="n">
        <x:f>D7-P7</x:f>
        <x:v>1830.353996706151</x:v>
      </x:c>
    </x:row>
    <x:row r="8" ht="34" customHeight="1">
      <x:c r="B8" s="10" t="str">
        <x:v>quarter source naive</x:v>
      </x:c>
      <x:c r="C8" s="7" t="str">
        <x:v>150 mm route</x:v>
      </x:c>
      <x:c r="D8" s="7" t="n">
        <x:v>500</x:v>
      </x:c>
      <x:c r="E8" s="7" t="n">
        <x:v>120</x:v>
      </x:c>
      <x:c r="F8" s="7" t="n">
        <x:v>0.15</x:v>
      </x:c>
      <x:c r="G8" s="7" t="n">
        <x:v>12</x:v>
      </x:c>
      <x:c r="H8" s="14" t="n">
        <x:f>D8/'Controls'!$D$13</x:f>
        <x:v>0.625</x:v>
      </x:c>
      <x:c r="I8" s="14" t="n">
        <x:f>H8/E8</x:f>
        <x:v>0.005208333333333333</x:v>
      </x:c>
      <x:c r="J8" s="14" t="n">
        <x:f>PI()*F8^2/4</x:f>
        <x:v>0.017671458676442587</x:v>
      </x:c>
      <x:c r="K8" s="14" t="n">
        <x:f>I8/J8</x:f>
        <x:v>0.29473137609610245</x:v>
      </x:c>
      <x:c r="L8" s="14" t="n">
        <x:f>'Controls'!$D$13*K8*F8/'Controls'!$D$15</x:f>
        <x:v>8841.941282883074</x:v>
      </x:c>
      <x:c r="M8" s="14" t="n">
        <x:f>K8/SQRT(9.81*F8)</x:f>
        <x:v>0.24296641104906805</x:v>
      </x:c>
      <x:c r="N8" s="14" t="n">
        <x:f>'Controls'!$D$13*K8^2*F8/'Controls'!$D$16</x:f>
        <x:v>416.95960346641056</x:v>
      </x:c>
      <x:c r="O8" s="14" t="n">
        <x:f>J8*G8</x:f>
        <x:v>0.21205750411731106</x:v>
      </x:c>
      <x:c r="P8" s="14" t="n">
        <x:f>O8*'Controls'!$D$13</x:f>
        <x:v>169.64600329384885</x:v>
      </x:c>
      <x:c r="Q8" s="14" t="n">
        <x:f>D8-P8</x:f>
        <x:v>330.3539967061512</x:v>
      </x:c>
    </x:row>
    <x:row r="9" ht="34" customHeight="1">
      <x:c r="B9" s="10" t="str">
        <x:v>low source naive</x:v>
      </x:c>
      <x:c r="C9" s="7" t="str">
        <x:v>150 mm route</x:v>
      </x:c>
      <x:c r="D9" s="7" t="n">
        <x:v>100</x:v>
      </x:c>
      <x:c r="E9" s="7" t="n">
        <x:v>120</x:v>
      </x:c>
      <x:c r="F9" s="7" t="n">
        <x:v>0.15</x:v>
      </x:c>
      <x:c r="G9" s="7" t="n">
        <x:v>12</x:v>
      </x:c>
      <x:c r="H9" s="14" t="n">
        <x:f>D9/'Controls'!$D$13</x:f>
        <x:v>0.125</x:v>
      </x:c>
      <x:c r="I9" s="14" t="n">
        <x:f>H9/E9</x:f>
        <x:v>0.0010416666666666667</x:v>
      </x:c>
      <x:c r="J9" s="14" t="n">
        <x:f>PI()*F9^2/4</x:f>
        <x:v>0.017671458676442587</x:v>
      </x:c>
      <x:c r="K9" s="14" t="n">
        <x:f>I9/J9</x:f>
        <x:v>0.058946275219220495</x:v>
      </x:c>
      <x:c r="L9" s="14" t="n">
        <x:f>'Controls'!$D$13*K9*F9/'Controls'!$D$15</x:f>
        <x:v>1768.3882565766146</x:v>
      </x:c>
      <x:c r="M9" s="14" t="n">
        <x:f>K9/SQRT(9.81*F9)</x:f>
        <x:v>0.04859328220981361</x:v>
      </x:c>
      <x:c r="N9" s="14" t="n">
        <x:f>'Controls'!$D$13*K9^2*F9/'Controls'!$D$16</x:f>
        <x:v>16.678384138656423</x:v>
      </x:c>
      <x:c r="O9" s="14" t="n">
        <x:f>J9*G9</x:f>
        <x:v>0.21205750411731106</x:v>
      </x:c>
      <x:c r="P9" s="14" t="n">
        <x:f>O9*'Controls'!$D$13</x:f>
        <x:v>169.64600329384885</x:v>
      </x:c>
      <x:c r="Q9" s="14" t="n">
        <x:f>D9-P9</x:f>
        <x:v>-69.64600329384885</x:v>
      </x:c>
    </x:row>
    <x:row r="10" ht="34" customHeight="1">
      <x:c r="B10" s="10" t="str">
        <x:v>RAE-1 low-volume article</x:v>
      </x:c>
      <x:c r="C10" s="7" t="str">
        <x:v>40 mm insert</x:v>
      </x:c>
      <x:c r="D10" s="7" t="n">
        <x:v>100</x:v>
      </x:c>
      <x:c r="E10" s="7" t="n">
        <x:v>120</x:v>
      </x:c>
      <x:c r="F10" s="7" t="n">
        <x:v>0.04</x:v>
      </x:c>
      <x:c r="G10" s="7" t="n">
        <x:v>12</x:v>
      </x:c>
      <x:c r="H10" s="14" t="n">
        <x:f>D10/'Controls'!$D$13</x:f>
        <x:v>0.125</x:v>
      </x:c>
      <x:c r="I10" s="14" t="n">
        <x:f>H10/E10</x:f>
        <x:v>0.0010416666666666667</x:v>
      </x:c>
      <x:c r="J10" s="14" t="n">
        <x:f>PI()*F10^2/4</x:f>
        <x:v>0.0012566370614359172</x:v>
      </x:c>
      <x:c r="K10" s="14" t="n">
        <x:f>I10/J10</x:f>
        <x:v>0.8289319952702883</x:v>
      </x:c>
      <x:c r="L10" s="14" t="n">
        <x:f>'Controls'!$D$13*K10*F10/'Controls'!$D$15</x:f>
        <x:v>6631.455962162306</x:v>
      </x:c>
      <x:c r="M10" s="14" t="n">
        <x:f>K10/SQRT(9.81*F10)</x:f>
        <x:v>1.323288089551162</x:v>
      </x:c>
      <x:c r="N10" s="14" t="n">
        <x:f>'Controls'!$D$13*K10^2*F10/'Controls'!$D$16</x:f>
        <x:v>879.5241635619599</x:v>
      </x:c>
      <x:c r="O10" s="14" t="n">
        <x:f>J10*G10</x:f>
        <x:v>0.015079644737231007</x:v>
      </x:c>
      <x:c r="P10" s="14" t="n">
        <x:f>O10*'Controls'!$D$13</x:f>
        <x:v>12.063715789784805</x:v>
      </x:c>
      <x:c r="Q10" s="14" t="n">
        <x:f>D10-P10</x:f>
        <x:v>87.93628421021519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12" hidden="0" customWidth="1"/>
    <x:col min="4" max="4" width="27" hidden="0" customWidth="1"/>
    <x:col min="5" max="5" width="18" hidden="0" customWidth="1"/>
    <x:col min="6" max="6" width="15" hidden="0" customWidth="1"/>
    <x:col min="7" max="7" width="15" hidden="0" customWidth="1"/>
    <x:col min="8" max="8" width="16" hidden="0" customWidth="1"/>
    <x:col min="9" max="9" width="22" hidden="0" customWidth="1"/>
    <x:col min="10" max="10" width="24" hidden="0" customWidth="1"/>
    <x:col min="11" max="11" width="24" hidden="0" customWidth="1"/>
    <x:col min="12" max="12" width="38" hidden="0" customWidth="1"/>
  </x:cols>
  <x:sheetData>
    <x:row r="2">
      <x:c r="B2" s="1" t="str">
        <x:v>Thermal planning screen by method and class</x:v>
      </x:c>
    </x:row>
    <x:row r="3">
      <x:c r="B3" s="2" t="str">
        <x:v>Only AM-06 QE-02 carries an ignition opportunity. The point-source standoff is a planning screen; the inherited 200 m public boundary remains operative.</x:v>
      </x:c>
    </x:row>
    <x:row r="6" ht="24" customHeight="1">
      <x:c r="B6" s="6" t="str">
        <x:v>Method</x:v>
      </x:c>
      <x:c r="C6" s="6" t="str">
        <x:v>Class</x:v>
      </x:c>
      <x:c r="D6" s="6" t="str">
        <x:v>Thermal proposition</x:v>
      </x:c>
      <x:c r="E6" s="6" t="str">
        <x:v>Area m2</x:v>
      </x:c>
      <x:c r="F6" s="6" t="str">
        <x:v>Source kg</x:v>
      </x:c>
      <x:c r="G6" s="6" t="str">
        <x:v>HRR MW</x:v>
      </x:c>
      <x:c r="H6" s="6" t="str">
        <x:v>Radiant MW</x:v>
      </x:c>
      <x:c r="I6" s="6" t="str">
        <x:v>Burn duration min</x:v>
      </x:c>
      <x:c r="J6" s="6" t="str">
        <x:v>1.6 kW/m2 screen m</x:v>
      </x:c>
      <x:c r="K6" s="6" t="str">
        <x:v>Operational boundary m</x:v>
      </x:c>
      <x:c r="L6" s="6" t="str">
        <x:v>Authority</x:v>
      </x:c>
    </x:row>
    <x:row r="7" ht="36" customHeight="1">
      <x:c r="B7" s="7" t="str">
        <x:v>AM-05</x:v>
      </x:c>
      <x:c r="C7" s="7" t="str">
        <x:v>QE-01</x:v>
      </x:c>
      <x:c r="D7" s="10" t="str">
        <x:v>no ignition proposition</x:v>
      </x:c>
      <x:c r="E7" s="7" t="n">
        <x:v>0</x:v>
      </x:c>
      <x:c r="F7" s="7" t="n">
        <x:v>0</x:v>
      </x:c>
      <x:c r="G7" s="14" t="n">
        <x:f>IF(AND(B7="AM-06",C7="QE-02"),E7*'Controls'!$D$31*'Controls'!$D$14,0)</x:f>
        <x:v>0</x:v>
      </x:c>
      <x:c r="H7" s="14" t="n">
        <x:f>G7*'Controls'!$D$32</x:f>
        <x:v>0</x:v>
      </x:c>
      <x:c r="I7" s="14" t="n">
        <x:f>IF(G7&gt;0,F7/(E7*'Controls'!$D$31)/60,0)</x:f>
        <x:v>0</x:v>
      </x:c>
      <x:c r="J7" s="14" t="n">
        <x:f>IF(H7&gt;0,SQRT((H7*1000)/(4*PI()*'Controls'!$D$33)),0)</x:f>
        <x:v>0</x:v>
      </x:c>
      <x:c r="K7" s="14" t="n">
        <x:f>200</x:f>
        <x:v>200</x:v>
      </x:c>
      <x:c r="L7" s="10" t="str">
        <x:v>screen only; observed field governs</x:v>
      </x:c>
    </x:row>
    <x:row r="8" ht="36" customHeight="1">
      <x:c r="B8" s="7" t="str">
        <x:v>AM-05</x:v>
      </x:c>
      <x:c r="C8" s="7" t="str">
        <x:v>QE-02</x:v>
      </x:c>
      <x:c r="D8" s="10" t="str">
        <x:v>no ignition proposition</x:v>
      </x:c>
      <x:c r="E8" s="7" t="n">
        <x:v>2.5</x:v>
      </x:c>
      <x:c r="F8" s="7" t="n">
        <x:v>100</x:v>
      </x:c>
      <x:c r="G8" s="14" t="n">
        <x:f>IF(AND(B8="AM-06",C8="QE-02"),E8*'Controls'!$D$31*'Controls'!$D$14,0)</x:f>
        <x:v>0</x:v>
      </x:c>
      <x:c r="H8" s="14" t="n">
        <x:f>G8*'Controls'!$D$32</x:f>
        <x:v>0</x:v>
      </x:c>
      <x:c r="I8" s="14" t="n">
        <x:f>IF(G8&gt;0,F8/(E8*'Controls'!$D$31)/60,0)</x:f>
        <x:v>0</x:v>
      </x:c>
      <x:c r="J8" s="14" t="n">
        <x:f>IF(H8&gt;0,SQRT((H8*1000)/(4*PI()*'Controls'!$D$33)),0)</x:f>
        <x:v>0</x:v>
      </x:c>
      <x:c r="K8" s="14" t="n">
        <x:f>200</x:f>
        <x:v>200</x:v>
      </x:c>
      <x:c r="L8" s="10" t="str">
        <x:v>screen only; observed field governs</x:v>
      </x:c>
    </x:row>
    <x:row r="9" ht="36" customHeight="1">
      <x:c r="B9" s="7" t="str">
        <x:v>AM-06</x:v>
      </x:c>
      <x:c r="C9" s="7" t="str">
        <x:v>QE-01</x:v>
      </x:c>
      <x:c r="D9" s="10" t="str">
        <x:v>no ignition proposition</x:v>
      </x:c>
      <x:c r="E9" s="7" t="n">
        <x:v>0</x:v>
      </x:c>
      <x:c r="F9" s="7" t="n">
        <x:v>0</x:v>
      </x:c>
      <x:c r="G9" s="14" t="n">
        <x:f>IF(AND(B9="AM-06",C9="QE-02"),E9*'Controls'!$D$31*'Controls'!$D$14,0)</x:f>
        <x:v>0</x:v>
      </x:c>
      <x:c r="H9" s="14" t="n">
        <x:f>G9*'Controls'!$D$32</x:f>
        <x:v>0</x:v>
      </x:c>
      <x:c r="I9" s="14" t="n">
        <x:f>IF(G9&gt;0,F9/(E9*'Controls'!$D$31)/60,0)</x:f>
        <x:v>0</x:v>
      </x:c>
      <x:c r="J9" s="14" t="n">
        <x:f>IF(H9&gt;0,SQRT((H9*1000)/(4*PI()*'Controls'!$D$33)),0)</x:f>
        <x:v>0</x:v>
      </x:c>
      <x:c r="K9" s="14" t="n">
        <x:f>200</x:f>
        <x:v>200</x:v>
      </x:c>
      <x:c r="L9" s="10" t="str">
        <x:v>screen only; observed field governs</x:v>
      </x:c>
    </x:row>
    <x:row r="10" ht="36" customHeight="1">
      <x:c r="B10" s="7" t="str">
        <x:v>AM-06</x:v>
      </x:c>
      <x:c r="C10" s="7" t="str">
        <x:v>QE-02</x:v>
      </x:c>
      <x:c r="D10" s="10" t="str">
        <x:v>ignition opportunity</x:v>
      </x:c>
      <x:c r="E10" s="7" t="n">
        <x:v>2.5</x:v>
      </x:c>
      <x:c r="F10" s="7" t="n">
        <x:v>100</x:v>
      </x:c>
      <x:c r="G10" s="14" t="n">
        <x:f>IF(AND(B10="AM-06",C10="QE-02"),E10*'Controls'!$D$31*'Controls'!$D$14,0)</x:f>
        <x:v>5.85585</x:v>
      </x:c>
      <x:c r="H10" s="14" t="n">
        <x:f>G10*'Controls'!$D$32</x:f>
        <x:v>2.0495475</x:v>
      </x:c>
      <x:c r="I10" s="14" t="n">
        <x:f>IF(G10&gt;0,F10/(E10*'Controls'!$D$31)/60,0)</x:f>
        <x:v>12.121212121212121</x:v>
      </x:c>
      <x:c r="J10" s="14" t="n">
        <x:f>IF(H10&gt;0,SQRT((H10*1000)/(4*PI()*'Controls'!$D$33)),0)</x:f>
        <x:v>10.09634240279983</x:v>
      </x:c>
      <x:c r="K10" s="14" t="n">
        <x:f>200</x:f>
        <x:v>200</x:v>
      </x:c>
      <x:c r="L10" s="10" t="str">
        <x:v>screen only; observed field governs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4" hidden="0" customWidth="1"/>
    <x:col min="3" max="3" width="18" hidden="0" customWidth="1"/>
    <x:col min="4" max="4" width="14" hidden="0" customWidth="1"/>
    <x:col min="5" max="5" width="44" hidden="0" customWidth="1"/>
  </x:cols>
  <x:sheetData>
    <x:row r="2">
      <x:c r="B2" s="1" t="str">
        <x:v>Casualty-water headroom</x:v>
      </x:c>
    </x:row>
    <x:row r="3">
      <x:c r="B3" s="2" t="str">
        <x:v>The receiver carries 115 m3 of initial and adverse provision against 120 m3 capacity, leaving 5 m3 minimum margin. Candidate water remains zero in QE-01 and QE-02.</x:v>
      </x:c>
    </x:row>
    <x:row r="6" ht="24" customHeight="1">
      <x:c r="B6" s="6" t="str">
        <x:v>Term</x:v>
      </x:c>
      <x:c r="C6" s="6" t="str">
        <x:v>Volume</x:v>
      </x:c>
      <x:c r="D6" s="6" t="str">
        <x:v>Unit</x:v>
      </x:c>
      <x:c r="E6" s="6" t="str">
        <x:v>Basis</x:v>
      </x:c>
    </x:row>
    <x:row r="7">
      <x:c r="B7" s="7" t="str">
        <x:v>casualty receiver capacity</x:v>
      </x:c>
      <x:c r="C7" s="7" t="n">
        <x:v>120</x:v>
      </x:c>
      <x:c r="D7" s="7" t="str">
        <x:v>m3</x:v>
      </x:c>
      <x:c r="E7" s="7" t="str">
        <x:v>physical receiver</x:v>
      </x:c>
    </x:row>
    <x:row r="8">
      <x:c r="B8" s="7" t="str">
        <x:v>initial inventory ceiling</x:v>
      </x:c>
      <x:c r="C8" s="7" t="n">
        <x:v>5</x:v>
      </x:c>
      <x:c r="D8" s="7" t="str">
        <x:v>m3</x:v>
      </x:c>
      <x:c r="E8" s="7" t="str">
        <x:v>measured before event</x:v>
      </x:c>
    </x:row>
    <x:row r="9">
      <x:c r="B9" s="7" t="str">
        <x:v>emergency quench provision</x:v>
      </x:c>
      <x:c r="C9" s="7" t="n">
        <x:v>48</x:v>
      </x:c>
      <x:c r="D9" s="7" t="str">
        <x:v>m3</x:v>
      </x:c>
      <x:c r="E9" s="7" t="str">
        <x:v>casualty only</x:v>
      </x:c>
    </x:row>
    <x:row r="10">
      <x:c r="B10" s="7" t="str">
        <x:v>controlled rainfall</x:v>
      </x:c>
      <x:c r="C10" s="7" t="n">
        <x:f>'Controls'!$D$47*'Controls'!$D$48</x:f>
        <x:v>45</x:v>
      </x:c>
      <x:c r="D10" s="7" t="str">
        <x:v>m3</x:v>
      </x:c>
      <x:c r="E10" s="7" t="str">
        <x:v>0.075 m over 600 m2</x:v>
      </x:c>
    </x:row>
    <x:row r="11">
      <x:c r="B11" s="7" t="str">
        <x:v>foam and rinse</x:v>
      </x:c>
      <x:c r="C11" s="7" t="n">
        <x:v>12</x:v>
      </x:c>
      <x:c r="D11" s="7" t="str">
        <x:v>m3</x:v>
      </x:c>
      <x:c r="E11" s="7" t="str">
        <x:v>separately metered</x:v>
      </x:c>
    </x:row>
    <x:row r="12">
      <x:c r="B12" s="7" t="str">
        <x:v>unassigned allowance</x:v>
      </x:c>
      <x:c r="C12" s="7" t="n">
        <x:v>5</x:v>
      </x:c>
      <x:c r="D12" s="7" t="str">
        <x:v>m3</x:v>
      </x:c>
      <x:c r="E12" s="7" t="str">
        <x:v>unknown but bounded</x:v>
      </x:c>
    </x:row>
    <x:row r="15">
      <x:c r="B15" s="12" t="str">
        <x:v>TOTAL PROVISION</x:v>
      </x:c>
      <x:c r="C15" s="12" t="n">
        <x:f>SUM(C8:C12)</x:f>
        <x:v>115</x:v>
      </x:c>
      <x:c r="D15" s="12" t="str">
        <x:v>m3</x:v>
      </x:c>
      <x:c r="E15" s="12" t="str">
        <x:v>5+48+45+12+5</x:v>
      </x:c>
    </x:row>
    <x:row r="16">
      <x:c r="B16" s="12" t="str">
        <x:v>MINIMUM MARGIN</x:v>
      </x:c>
      <x:c r="C16" s="12" t="n">
        <x:f>C7-C15</x:f>
        <x:v>5</x:v>
      </x:c>
      <x:c r="D16" s="12" t="str">
        <x:v>m3</x:v>
      </x:c>
      <x:c r="E16" s="12" t="str">
        <x:v>120-115</x:v>
      </x:c>
    </x:row>
    <x:row r="17">
      <x:c r="B17" s="12" t="str">
        <x:v>PLANNED CANDIDATE WATER</x:v>
      </x:c>
      <x:c r="C17" s="12" t="n">
        <x:f>0</x:f>
        <x:v>0</x:v>
      </x:c>
      <x:c r="D17" s="12" t="str">
        <x:v>m3</x:v>
      </x:c>
      <x:c r="E17" s="12" t="str">
        <x:v>both entry classes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1" hidden="0" customWidth="1"/>
    <x:col min="3" max="3" width="19" hidden="0" customWidth="1"/>
    <x:col min="4" max="4" width="16" hidden="0" customWidth="1"/>
    <x:col min="5" max="5" width="79" hidden="0" customWidth="1"/>
  </x:cols>
  <x:sheetData>
    <x:row r="2">
      <x:c r="B2" s="1" t="str">
        <x:v>Executable campaign capacity</x:v>
      </x:c>
    </x:row>
    <x:row r="3">
      <x:c r="B3" s="2" t="str">
        <x:v>The campaign is sized by governed valid events, not by raw sortie count.</x:v>
      </x:c>
    </x:row>
    <x:row r="6" ht="24" customHeight="1">
      <x:c r="B6" s="6" t="str">
        <x:v>Measure</x:v>
      </x:c>
      <x:c r="C6" s="6" t="str">
        <x:v>Quantity</x:v>
      </x:c>
      <x:c r="D6" s="6" t="str">
        <x:v>Unit</x:v>
      </x:c>
      <x:c r="E6" s="6" t="str">
        <x:v>Derivation</x:v>
      </x:c>
    </x:row>
    <x:row r="7" ht="36" customHeight="1">
      <x:c r="B7" s="7" t="str">
        <x:v>required valid events</x:v>
      </x:c>
      <x:c r="C7" s="7" t="n">
        <x:v>48</x:v>
      </x:c>
      <x:c r="D7" s="7" t="str">
        <x:v>events</x:v>
      </x:c>
      <x:c r="E7" s="10" t="str">
        <x:v>2 methods x 2 roots x 6 rigs x 2 classes</x:v>
      </x:c>
    </x:row>
    <x:row r="8" ht="36" customHeight="1">
      <x:c r="B8" s="7" t="str">
        <x:v>QE-01</x:v>
      </x:c>
      <x:c r="C8" s="7" t="n">
        <x:v>24</x:v>
      </x:c>
      <x:c r="D8" s="7" t="str">
        <x:v>events</x:v>
      </x:c>
      <x:c r="E8" s="10" t="str">
        <x:v>zero-source control</x:v>
      </x:c>
    </x:row>
    <x:row r="9" ht="36" customHeight="1">
      <x:c r="B9" s="7" t="str">
        <x:v>QE-02</x:v>
      </x:c>
      <x:c r="C9" s="7" t="n">
        <x:v>24</x:v>
      </x:c>
      <x:c r="D9" s="7" t="str">
        <x:v>events</x:v>
      </x:c>
      <x:c r="E9" s="10" t="str">
        <x:v>100 kg low-source entry</x:v>
      </x:c>
    </x:row>
    <x:row r="10" ht="36" customHeight="1">
      <x:c r="B10" s="7" t="str">
        <x:v>base rig-days</x:v>
      </x:c>
      <x:c r="C10" s="7" t="n">
        <x:v>120</x:v>
      </x:c>
      <x:c r="D10" s="7" t="str">
        <x:v>rig-days</x:v>
      </x:c>
      <x:c r="E10" s="10" t="str">
        <x:v>24 x 2 plus 24 x 3</x:v>
      </x:c>
    </x:row>
    <x:row r="11" ht="36" customHeight="1">
      <x:c r="B11" s="7" t="str">
        <x:v>reserve rig-days</x:v>
      </x:c>
      <x:c r="C11" s="7" t="n">
        <x:v>15</x:v>
      </x:c>
      <x:c r="D11" s="7" t="str">
        <x:v>rig-days</x:v>
      </x:c>
      <x:c r="E11" s="10" t="str">
        <x:v>3 QE-01 x 2 plus 3 QE-02 x 3</x:v>
      </x:c>
    </x:row>
    <x:row r="12" ht="36" customHeight="1">
      <x:c r="B12" s="7" t="str">
        <x:v>base source admitted</x:v>
      </x:c>
      <x:c r="C12" s="7" t="n">
        <x:v>2400</x:v>
      </x:c>
      <x:c r="D12" s="7" t="str">
        <x:v>kg</x:v>
      </x:c>
      <x:c r="E12" s="10" t="str">
        <x:v>24 QE-02 x 100 kg</x:v>
      </x:c>
    </x:row>
    <x:row r="13" ht="36" customHeight="1">
      <x:c r="B13" s="7" t="str">
        <x:v>native evidence per event</x:v>
      </x:c>
      <x:c r="C13" s="15" t="n">
        <x:f>'Controls'!$D$57*('Controls'!$D$58+'Controls'!$D$59*'Controls'!$D$60)*'Controls'!$D$61*'Controls'!$D$62/1000</x:f>
        <x:v>117.65934028800001</x:v>
      </x:c>
      <x:c r="D13" s="7" t="str">
        <x:v>GB</x:v>
      </x:c>
      <x:c r="E13" s="10" t="str">
        <x:v>53.40384 MB/s x (600 s + 1% x 21,600 s) x 2 originals x 1.35 custody</x:v>
      </x:c>
    </x:row>
    <x:row r="14" ht="36" customHeight="1">
      <x:c r="B14" s="7" t="str">
        <x:v>base native evidence</x:v>
      </x:c>
      <x:c r="C14" s="15" t="n">
        <x:f>C13*C7/1000</x:f>
        <x:v>5.647648333824001</x:v>
      </x:c>
      <x:c r="D14" s="7" t="str">
        <x:v>TB</x:v>
      </x:c>
      <x:c r="E14" s="10" t="str">
        <x:v>48 required events</x:v>
      </x:c>
    </x:row>
    <x:row r="15" ht="36" customHeight="1">
      <x:c r="B15" s="7" t="str">
        <x:v>all-attempt evidence provision</x:v>
      </x:c>
      <x:c r="C15" s="15" t="n">
        <x:f>C13*(C7+'Controls'!$D$12)*(1+'Controls'!$D$63)/1000</x:f>
        <x:v>8.259685688217601</x:v>
      </x:c>
      <x:c r="D15" s="7" t="str">
        <x:v>TB</x:v>
      </x:c>
      <x:c r="E15" s="10" t="str">
        <x:v>54 possible attempts plus 30% forensic allowance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1" hidden="0" customWidth="1"/>
    <x:col min="3" max="3" width="18" hidden="0" customWidth="1"/>
    <x:col min="4" max="4" width="66" hidden="0" customWidth="1"/>
  </x:cols>
  <x:sheetData>
    <x:row r="2">
      <x:c r="B2" s="1" t="str">
        <x:v>Three hundred eighty-four-position operating model</x:v>
      </x:c>
    </x:row>
    <x:row r="3">
      <x:c r="B3" s="2" t="str">
        <x:v>Positions are owned by capability and acceptance duty rather than copied from an inherited agency chart.</x:v>
      </x:c>
    </x:row>
    <x:row r="6" ht="24" customHeight="1">
      <x:c r="B6" s="6" t="str">
        <x:v>Function</x:v>
      </x:c>
      <x:c r="C6" s="6" t="str">
        <x:v>Positions</x:v>
      </x:c>
      <x:c r="D6" s="6" t="str">
        <x:v>Primary duty</x:v>
      </x:c>
    </x:row>
    <x:row r="7" ht="36" customHeight="1">
      <x:c r="B7" s="7" t="str">
        <x:v>campaign integration</x:v>
      </x:c>
      <x:c r="C7" s="7" t="n">
        <x:v>42</x:v>
      </x:c>
      <x:c r="D7" s="10" t="str">
        <x:v>entry baseline, sequence and interfaces</x:v>
      </x:c>
    </x:row>
    <x:row r="8" ht="36" customHeight="1">
      <x:c r="B8" s="7" t="str">
        <x:v>article and configuration</x:v>
      </x:c>
      <x:c r="C8" s="7" t="n">
        <x:v>54</x:v>
      </x:c>
      <x:c r="D8" s="10" t="str">
        <x:v>reference articles, cell sections and masters</x:v>
      </x:c>
    </x:row>
    <x:row r="9" ht="36" customHeight="1">
      <x:c r="B9" s="7" t="str">
        <x:v>source and ancestry</x:v>
      </x:c>
      <x:c r="C9" s="7" t="n">
        <x:v>48</x:v>
      </x:c>
      <x:c r="D9" s="10" t="str">
        <x:v>custody, conditioning, assay and quarantine</x:v>
      </x:c>
    </x:row>
    <x:row r="10" ht="36" customHeight="1">
      <x:c r="B10" s="7" t="str">
        <x:v>controls and safeing</x:v>
      </x:c>
      <x:c r="C10" s="7" t="n">
        <x:v>52</x:v>
      </x:c>
      <x:c r="D10" s="10" t="str">
        <x:v>final elements and unlike paths</x:v>
      </x:c>
    </x:row>
    <x:row r="11" ht="36" customHeight="1">
      <x:c r="B11" s="7" t="str">
        <x:v>metrology and causal time</x:v>
      </x:c>
      <x:c r="C11" s="7" t="n">
        <x:v>42</x:v>
      </x:c>
      <x:c r="D11" s="10" t="str">
        <x:v>calibration, common epoch and uncertainty</x:v>
      </x:c>
    </x:row>
    <x:row r="12" ht="36" customHeight="1">
      <x:c r="B12" s="7" t="str">
        <x:v>evidence and data</x:v>
      </x:c>
      <x:c r="C12" s="7" t="n">
        <x:v>46</x:v>
      </x:c>
      <x:c r="D12" s="10" t="str">
        <x:v>native capture, custody and dossier compiler</x:v>
      </x:c>
    </x:row>
    <x:row r="13" ht="36" customHeight="1">
      <x:c r="B13" s="7" t="str">
        <x:v>environment and recovery</x:v>
      </x:c>
      <x:c r="C13" s="7" t="n">
        <x:v>34</x:v>
      </x:c>
      <x:c r="D13" s="10" t="str">
        <x:v>background, samples, receivers and restoration</x:v>
      </x:c>
    </x:row>
    <x:row r="14" ht="36" customHeight="1">
      <x:c r="B14" s="7" t="str">
        <x:v>safety and rescue</x:v>
      </x:c>
      <x:c r="C14" s="7" t="n">
        <x:v>32</x:v>
      </x:c>
      <x:c r="D14" s="10" t="str">
        <x:v>exclusion, abort, rescue and post-event entry</x:v>
      </x:c>
    </x:row>
    <x:row r="15" ht="36" customHeight="1">
      <x:c r="B15" s="7" t="str">
        <x:v>independent acceptance</x:v>
      </x:c>
      <x:c r="C15" s="7" t="n">
        <x:v>18</x:v>
      </x:c>
      <x:c r="D15" s="10" t="str">
        <x:v>witness, issuer and validity board</x:v>
      </x:c>
    </x:row>
    <x:row r="16" ht="36" customHeight="1">
      <x:c r="B16" s="7" t="str">
        <x:v>program operations</x:v>
      </x:c>
      <x:c r="C16" s="7" t="n">
        <x:v>16</x:v>
      </x:c>
      <x:c r="D16" s="10" t="str">
        <x:v>finance, acquisition, schedule and records</x:v>
      </x:c>
    </x:row>
    <x:row r="18">
      <x:c r="B18" s="12" t="str">
        <x:v>TOTAL</x:v>
      </x:c>
      <x:c r="C18" s="12" t="n">
        <x:f>SUM(C7:C16)</x:f>
        <x:v>384</x:v>
      </x:c>
      <x:c r="D18" s="12" t="str">
        <x:v>full operating complement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1" hidden="0" customWidth="1"/>
    <x:col min="3" max="3" width="17" hidden="0" customWidth="1"/>
    <x:col min="4" max="4" width="67" hidden="0" customWidth="1"/>
    <x:col min="5" max="5" width="18" hidden="0" customWidth="1"/>
  </x:cols>
  <x:sheetData>
    <x:row r="2">
      <x:c r="B2" s="1" t="str">
        <x:v>RAE-1 gross capital allocation</x:v>
      </x:c>
    </x:row>
    <x:row r="3">
      <x:c r="B3" s="2" t="str">
        <x:v>This is a nested executable tranche within RAS-1. It is not an additional portfolio claim.</x:v>
      </x:c>
    </x:row>
    <x:row r="6" ht="24" customHeight="1">
      <x:c r="B6" s="6" t="str">
        <x:v>Line</x:v>
      </x:c>
      <x:c r="C6" s="6" t="str">
        <x:v>USD M</x:v>
      </x:c>
      <x:c r="D6" s="6" t="str">
        <x:v>Scope</x:v>
      </x:c>
      <x:c r="E6" s="6" t="str">
        <x:v>Owner class</x:v>
      </x:c>
    </x:row>
    <x:row r="7" ht="36" customHeight="1">
      <x:c r="B7" s="7" t="str">
        <x:v>reference articles</x:v>
      </x:c>
      <x:c r="C7" s="7" t="n">
        <x:v>48</x:v>
      </x:c>
      <x:c r="D7" s="10" t="str">
        <x:v>six REA-100 systems and acceptance fixtures</x:v>
      </x:c>
      <x:c r="E7" s="7" t="str">
        <x:v>CISA</x:v>
      </x:c>
    </x:row>
    <x:row r="8" ht="36" customHeight="1">
      <x:c r="B8" s="7" t="str">
        <x:v>source systems</x:v>
      </x:c>
      <x:c r="C8" s="7" t="n">
        <x:v>46</x:v>
      </x:c>
      <x:c r="D8" s="10" t="str">
        <x:v>conditioning, capsule, insert and custody equipment</x:v>
      </x:c>
      <x:c r="E8" s="7" t="str">
        <x:v>CISA</x:v>
      </x:c>
    </x:row>
    <x:row r="9" ht="36" customHeight="1">
      <x:c r="B9" s="7" t="str">
        <x:v>containment</x:v>
      </x:c>
      <x:c r="C9" s="7" t="n">
        <x:v>42</x:v>
      </x:c>
      <x:c r="D9" s="10" t="str">
        <x:v>inner pans, catchments and isolated routing</x:v>
      </x:c>
      <x:c r="E9" s="7" t="str">
        <x:v>shared</x:v>
      </x:c>
    </x:row>
    <x:row r="10" ht="36" customHeight="1">
      <x:c r="B10" s="7" t="str">
        <x:v>receiver proof</x:v>
      </x:c>
      <x:c r="C10" s="7" t="n">
        <x:v>26</x:v>
      </x:c>
      <x:c r="D10" s="10" t="str">
        <x:v>inventory measurement and isolation fixtures</x:v>
      </x:c>
      <x:c r="E10" s="7" t="str">
        <x:v>shared</x:v>
      </x:c>
    </x:row>
    <x:row r="11" ht="36" customHeight="1">
      <x:c r="B11" s="7" t="str">
        <x:v>final controls</x:v>
      </x:c>
      <x:c r="C11" s="7" t="n">
        <x:v>50</x:v>
      </x:c>
      <x:c r="D11" s="10" t="str">
        <x:v>seventy-two elements and local indication</x:v>
      </x:c>
      <x:c r="E11" s="7" t="str">
        <x:v>CISA</x:v>
      </x:c>
    </x:row>
    <x:row r="12" ht="36" customHeight="1">
      <x:c r="B12" s="7" t="str">
        <x:v>safeing paths</x:v>
      </x:c>
      <x:c r="C12" s="7" t="n">
        <x:v>32</x:v>
      </x:c>
      <x:c r="D12" s="10" t="str">
        <x:v>three unlike paths per element</x:v>
      </x:c>
      <x:c r="E12" s="7" t="str">
        <x:v>CISA</x:v>
      </x:c>
    </x:row>
    <x:row r="13" ht="36" customHeight="1">
      <x:c r="B13" s="7" t="str">
        <x:v>metrology</x:v>
      </x:c>
      <x:c r="C13" s="7" t="n">
        <x:v>28</x:v>
      </x:c>
      <x:c r="D13" s="10" t="str">
        <x:v>mass, flow, thermal, environment and causal time</x:v>
      </x:c>
      <x:c r="E13" s="7" t="str">
        <x:v>CISA</x:v>
      </x:c>
    </x:row>
    <x:row r="14" ht="36" customHeight="1">
      <x:c r="B14" s="7" t="str">
        <x:v>evidence and time</x:v>
      </x:c>
      <x:c r="C14" s="7" t="n">
        <x:v>22</x:v>
      </x:c>
      <x:c r="D14" s="10" t="str">
        <x:v>native capture, immutable custody and compilation</x:v>
      </x:c>
      <x:c r="E14" s="7" t="str">
        <x:v>CISA</x:v>
      </x:c>
    </x:row>
    <x:row r="15" ht="36" customHeight="1">
      <x:c r="B15" s="7" t="str">
        <x:v>casualty water and thermal</x:v>
      </x:c>
      <x:c r="C15" s="7" t="n">
        <x:v>24</x:v>
      </x:c>
      <x:c r="D15" s="10" t="str">
        <x:v>casualty provisions and thermal measurement</x:v>
      </x:c>
      <x:c r="E15" s="7" t="str">
        <x:v>shared</x:v>
      </x:c>
    </x:row>
    <x:row r="16" ht="36" customHeight="1">
      <x:c r="B16" s="7" t="str">
        <x:v>rescue</x:v>
      </x:c>
      <x:c r="C16" s="7" t="n">
        <x:v>14</x:v>
      </x:c>
      <x:c r="D16" s="10" t="str">
        <x:v>rescue access, remote entry and casualty tools</x:v>
      </x:c>
      <x:c r="E16" s="7" t="str">
        <x:v>shared</x:v>
      </x:c>
    </x:row>
    <x:row r="17" ht="36" customHeight="1">
      <x:c r="B17" s="7" t="str">
        <x:v>samples and environment</x:v>
      </x:c>
      <x:c r="C17" s="7" t="n">
        <x:v>12</x:v>
      </x:c>
      <x:c r="D17" s="10" t="str">
        <x:v>field laboratory, seals and recovery evidence</x:v>
      </x:c>
      <x:c r="E17" s="7" t="str">
        <x:v>shared</x:v>
      </x:c>
    </x:row>
    <x:row r="18" ht="36" customHeight="1">
      <x:c r="B18" s="7" t="str">
        <x:v>contingency</x:v>
      </x:c>
      <x:c r="C18" s="7" t="n">
        <x:v>16</x:v>
      </x:c>
      <x:c r="D18" s="10" t="str">
        <x:v>bounded design and integration allowance</x:v>
      </x:c>
      <x:c r="E18" s="7" t="str">
        <x:v>shared</x:v>
      </x:c>
    </x:row>
    <x:row r="20">
      <x:c r="B20" s="12" t="str">
        <x:v>TOTAL</x:v>
      </x:c>
      <x:c r="C20" s="12" t="n">
        <x:f>SUM(C7:C18)</x:f>
        <x:v>360</x:v>
      </x:c>
      <x:c r="D20" s="12" t="str">
        <x:v>gross capital; fully registered inside RAS-1</x:v>
      </x:c>
      <x:c r="E20" s="12" t="str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1" hidden="0" customWidth="1"/>
    <x:col min="3" max="3" width="21" hidden="0" customWidth="1"/>
    <x:col min="4" max="4" width="72" hidden="0" customWidth="1"/>
  </x:cols>
  <x:sheetData>
    <x:row r="2">
      <x:c r="B2" s="1" t="str">
        <x:v>RAE-1 annual operating allocation</x:v>
      </x:c>
    </x:row>
    <x:row r="3">
      <x:c r="B3" s="2" t="str">
        <x:v>The 24-month exposure is $696M: $360M capital plus two years of $168M support.</x:v>
      </x:c>
    </x:row>
    <x:row r="6" ht="24" customHeight="1">
      <x:c r="B6" s="6" t="str">
        <x:v>Line</x:v>
      </x:c>
      <x:c r="C6" s="6" t="str">
        <x:v>USD M/year</x:v>
      </x:c>
      <x:c r="D6" s="6" t="str">
        <x:v>Scope</x:v>
      </x:c>
    </x:row>
    <x:row r="7" ht="36" customHeight="1">
      <x:c r="B7" s="7" t="str">
        <x:v>workforce</x:v>
      </x:c>
      <x:c r="C7" s="7" t="n">
        <x:v>96</x:v>
      </x:c>
      <x:c r="D7" s="10" t="str">
        <x:v>384-position operating complement</x:v>
      </x:c>
    </x:row>
    <x:row r="8" ht="36" customHeight="1">
      <x:c r="B8" s="7" t="str">
        <x:v>source and media</x:v>
      </x:c>
      <x:c r="C8" s="7" t="n">
        <x:v>12</x:v>
      </x:c>
      <x:c r="D8" s="10" t="str">
        <x:v>source packages, assays, conditioning and quarantine</x:v>
      </x:c>
    </x:row>
    <x:row r="9" ht="36" customHeight="1">
      <x:c r="B9" s="7" t="str">
        <x:v>rig operations</x:v>
      </x:c>
      <x:c r="C9" s="7" t="n">
        <x:v>18</x:v>
      </x:c>
      <x:c r="D9" s="10" t="str">
        <x:v>six-rig readiness and event operations</x:v>
      </x:c>
    </x:row>
    <x:row r="10" ht="36" customHeight="1">
      <x:c r="B10" s="7" t="str">
        <x:v>calibration</x:v>
      </x:c>
      <x:c r="C10" s="7" t="n">
        <x:v>8</x:v>
      </x:c>
      <x:c r="D10" s="10" t="str">
        <x:v>before/after calibration and retained standards</x:v>
      </x:c>
    </x:row>
    <x:row r="11" ht="36" customHeight="1">
      <x:c r="B11" s="7" t="str">
        <x:v>evidence</x:v>
      </x:c>
      <x:c r="C11" s="7" t="n">
        <x:v>8</x:v>
      </x:c>
      <x:c r="D11" s="10" t="str">
        <x:v>native storage, immutable copies and dossier compilation</x:v>
      </x:c>
    </x:row>
    <x:row r="12" ht="36" customHeight="1">
      <x:c r="B12" s="7" t="str">
        <x:v>safety and rescue</x:v>
      </x:c>
      <x:c r="C12" s="7" t="n">
        <x:v>7</x:v>
      </x:c>
      <x:c r="D12" s="10" t="str">
        <x:v>exclusion, medical, rescue and post-event entry</x:v>
      </x:c>
    </x:row>
    <x:row r="13" ht="36" customHeight="1">
      <x:c r="B13" s="7" t="str">
        <x:v>environment</x:v>
      </x:c>
      <x:c r="C13" s="7" t="n">
        <x:v>5</x:v>
      </x:c>
      <x:c r="D13" s="10" t="str">
        <x:v>background, sampling, recovery and release evidence</x:v>
      </x:c>
    </x:row>
    <x:row r="14" ht="36" customHeight="1">
      <x:c r="B14" s="7" t="str">
        <x:v>independent boards</x:v>
      </x:c>
      <x:c r="C14" s="7" t="n">
        <x:v>4</x:v>
      </x:c>
      <x:c r="D14" s="10" t="str">
        <x:v>issuance, validity and configuration acceptance</x:v>
      </x:c>
    </x:row>
    <x:row r="15" ht="36" customHeight="1">
      <x:c r="B15" s="7" t="str">
        <x:v>technology campaigns</x:v>
      </x:c>
      <x:c r="C15" s="7" t="n">
        <x:v>6</x:v>
      </x:c>
      <x:c r="D15" s="10" t="str">
        <x:v>article maturation and instrumentation learning</x:v>
      </x:c>
    </x:row>
    <x:row r="16" ht="36" customHeight="1">
      <x:c r="B16" s="7" t="str">
        <x:v>contingency</x:v>
      </x:c>
      <x:c r="C16" s="7" t="n">
        <x:v>4</x:v>
      </x:c>
      <x:c r="D16" s="10" t="str">
        <x:v>bounded operating allowance</x:v>
      </x:c>
    </x:row>
    <x:row r="18">
      <x:c r="B18" s="12" t="str">
        <x:v>TOTAL</x:v>
      </x:c>
      <x:c r="C18" s="12" t="n">
        <x:f>SUM(C7:C16)</x:f>
        <x:v>168</x:v>
      </x:c>
      <x:c r="D18" s="12" t="str">
        <x:v>annual support</x:v>
      </x:c>
    </x:row>
    <x:row r="19">
      <x:c r="B19" s="12" t="str">
        <x:v>24-MONTH EXPOSURE</x:v>
      </x:c>
      <x:c r="C19" s="12" t="n">
        <x:f>'Capital'!C20+2*C18</x:f>
        <x:v>696</x:v>
      </x:c>
      <x:c r="D19" s="12" t="str">
        <x:v>360 + 2 x 168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5" hidden="0" customWidth="1"/>
    <x:col min="3" max="3" width="18" hidden="0" customWidth="1"/>
    <x:col min="4" max="4" width="24" hidden="0" customWidth="1"/>
    <x:col min="5" max="5" width="27" hidden="0" customWidth="1"/>
  </x:cols>
  <x:sheetData>
    <x:row r="2">
      <x:c r="B2" s="1" t="str">
        <x:v>Portfolio accounting boundary</x:v>
      </x:c>
    </x:row>
    <x:row r="3">
      <x:c r="B3" s="2" t="str">
        <x:v>RAE-1 converts an existing RAS-1 allocation into physical acceptance objects. Gross RAE-1 dollars remain visible while net portfolio extension remains zero.</x:v>
      </x:c>
    </x:row>
    <x:row r="6" ht="24" customHeight="1">
      <x:c r="B6" s="6" t="str">
        <x:v>Entry</x:v>
      </x:c>
      <x:c r="C6" s="6" t="str">
        <x:v>USD M</x:v>
      </x:c>
      <x:c r="D6" s="6" t="str">
        <x:v>Boundary</x:v>
      </x:c>
      <x:c r="E6" s="6" t="str">
        <x:v>Treatment</x:v>
      </x:c>
    </x:row>
    <x:row r="7">
      <x:c r="B7" s="7" t="str">
        <x:v>RAE-1 gross capital</x:v>
      </x:c>
      <x:c r="C7" s="7" t="n">
        <x:f>'Capital'!C20</x:f>
        <x:v>360</x:v>
      </x:c>
      <x:c r="D7" s="7" t="str">
        <x:v>inside RAS-1</x:v>
      </x:c>
      <x:c r="E7" s="7" t="str">
        <x:v>planning allocation</x:v>
      </x:c>
    </x:row>
    <x:row r="8">
      <x:c r="B8" s="7" t="str">
        <x:v>RAE-1 annual support</x:v>
      </x:c>
      <x:c r="C8" s="7" t="n">
        <x:f>'Annual Support'!C18</x:f>
        <x:v>168</x:v>
      </x:c>
      <x:c r="D8" s="7" t="str">
        <x:v>inside RAS-1</x:v>
      </x:c>
      <x:c r="E8" s="7" t="str">
        <x:v>planning allocation</x:v>
      </x:c>
    </x:row>
    <x:row r="9">
      <x:c r="B9" s="7" t="str">
        <x:v>RAE-1 CISA capital share</x:v>
      </x:c>
      <x:c r="C9" s="7" t="n">
        <x:f>'Controls'!$D$69</x:f>
        <x:v>240</x:v>
      </x:c>
      <x:c r="D9" s="7" t="str">
        <x:v>inside RAS-1</x:v>
      </x:c>
      <x:c r="E9" s="7" t="str">
        <x:v>program share</x:v>
      </x:c>
    </x:row>
    <x:row r="10">
      <x:c r="B10" s="7" t="str">
        <x:v>RAE-1 shared capital share</x:v>
      </x:c>
      <x:c r="C10" s="7" t="n">
        <x:f>'Controls'!$D$70</x:f>
        <x:v>120</x:v>
      </x:c>
      <x:c r="D10" s="7" t="str">
        <x:v>inside RAS-1</x:v>
      </x:c>
      <x:c r="E10" s="7" t="str">
        <x:v>program share</x:v>
      </x:c>
    </x:row>
    <x:row r="11">
      <x:c r="B11" s="7" t="str">
        <x:v>RAE-1 CISA annual share</x:v>
      </x:c>
      <x:c r="C11" s="7" t="n">
        <x:f>'Controls'!$D$71</x:f>
        <x:v>112</x:v>
      </x:c>
      <x:c r="D11" s="7" t="str">
        <x:v>inside RAS-1</x:v>
      </x:c>
      <x:c r="E11" s="7" t="str">
        <x:v>program share</x:v>
      </x:c>
    </x:row>
    <x:row r="12">
      <x:c r="B12" s="7" t="str">
        <x:v>RAE-1 shared annual share</x:v>
      </x:c>
      <x:c r="C12" s="7" t="n">
        <x:f>'Controls'!$D$72</x:f>
        <x:v>56</x:v>
      </x:c>
      <x:c r="D12" s="7" t="str">
        <x:v>inside RAS-1</x:v>
      </x:c>
      <x:c r="E12" s="7" t="str">
        <x:v>program share</x:v>
      </x:c>
    </x:row>
    <x:row r="13">
      <x:c r="B13" s="7" t="str">
        <x:v>RAS-1 credited capital</x:v>
      </x:c>
      <x:c r="C13" s="7" t="n">
        <x:f>'Controls'!$D$73</x:f>
        <x:v>2435</x:v>
      </x:c>
      <x:c r="D13" s="7" t="str">
        <x:v>portfolio baseline</x:v>
      </x:c>
      <x:c r="E13" s="7" t="str">
        <x:v>unchanged</x:v>
      </x:c>
    </x:row>
    <x:row r="14">
      <x:c r="B14" s="7" t="str">
        <x:v>RAS-1 credited annual</x:v>
      </x:c>
      <x:c r="C14" s="7" t="n">
        <x:f>'Controls'!$D$74</x:f>
        <x:v>464</x:v>
      </x:c>
      <x:c r="D14" s="7" t="str">
        <x:v>portfolio baseline</x:v>
      </x:c>
      <x:c r="E14" s="7" t="str">
        <x:v>unchanged</x:v>
      </x:c>
    </x:row>
    <x:row r="15">
      <x:c r="B15" s="7" t="str">
        <x:v>RAS-1 uncredited capital</x:v>
      </x:c>
      <x:c r="C15" s="7" t="n">
        <x:f>'Controls'!$D$75</x:f>
        <x:v>3095</x:v>
      </x:c>
      <x:c r="D15" s="7" t="str">
        <x:v>portfolio reference</x:v>
      </x:c>
      <x:c r="E15" s="7" t="str">
        <x:v>unchanged</x:v>
      </x:c>
    </x:row>
    <x:row r="16">
      <x:c r="B16" s="7" t="str">
        <x:v>RAS-1 uncredited annual</x:v>
      </x:c>
      <x:c r="C16" s="7" t="n">
        <x:f>'Controls'!$D$76</x:f>
        <x:v>637</x:v>
      </x:c>
      <x:c r="D16" s="7" t="str">
        <x:v>portfolio reference</x:v>
      </x:c>
      <x:c r="E16" s="7" t="str">
        <x:v>unchanged</x:v>
      </x:c>
    </x:row>
    <x:row r="17">
      <x:c r="B17" s="7" t="str">
        <x:v>RAE-1 capital increment</x:v>
      </x:c>
      <x:c r="C17" s="7" t="n">
        <x:f>'Controls'!$D$77</x:f>
        <x:v>0</x:v>
      </x:c>
      <x:c r="D17" s="7" t="str">
        <x:v>portfolio increment</x:v>
      </x:c>
      <x:c r="E17" s="7" t="str">
        <x:v>fully overlapped</x:v>
      </x:c>
    </x:row>
    <x:row r="18">
      <x:c r="B18" s="7" t="str">
        <x:v>RAE-1 annual increment</x:v>
      </x:c>
      <x:c r="C18" s="7" t="n">
        <x:f>0</x:f>
        <x:v>0</x:v>
      </x:c>
      <x:c r="D18" s="7" t="str">
        <x:v>portfolio increment</x:v>
      </x:c>
      <x:c r="E18" s="7" t="str">
        <x:v>fully overlapped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39" hidden="0" customWidth="1"/>
    <x:col min="4" max="4" width="27" hidden="0" customWidth="1"/>
    <x:col min="5" max="5" width="73" hidden="0" customWidth="1"/>
    <x:col min="6" max="6" width="18" hidden="0" customWidth="1"/>
    <x:col min="7" max="7" width="14" hidden="0" customWidth="1"/>
  </x:cols>
  <x:sheetData>
    <x:row r="2">
      <x:c r="B2" s="1" t="str">
        <x:v>Eight mission-driven technology campaigns</x:v>
      </x:c>
    </x:row>
    <x:row r="3">
      <x:c r="B3" s="2" t="str">
        <x:v>The $470M cross-classified technology allocation sits inside the broader RAS-1 technology portfolio and is not added to RAE-1 capital.</x:v>
      </x:c>
    </x:row>
    <x:row r="6" ht="24" customHeight="1">
      <x:c r="B6" s="6" t="str">
        <x:v>Campaign</x:v>
      </x:c>
      <x:c r="C6" s="6" t="str">
        <x:v>Technology</x:v>
      </x:c>
      <x:c r="D6" s="6" t="str">
        <x:v>Cross-classified USD M</x:v>
      </x:c>
      <x:c r="E6" s="6" t="str">
        <x:v>Required advance</x:v>
      </x:c>
      <x:c r="F6" s="6" t="str">
        <x:v>Stage path</x:v>
      </x:c>
      <x:c r="G6" s="6" t="str">
        <x:v>State</x:v>
      </x:c>
    </x:row>
    <x:row r="7" ht="40" customHeight="1">
      <x:c r="B7" s="7" t="str">
        <x:v>TC-01</x:v>
      </x:c>
      <x:c r="C7" s="7" t="str">
        <x:v>traceable source capsule</x:v>
      </x:c>
      <x:c r="D7" s="7" t="n">
        <x:v>58</x:v>
      </x:c>
      <x:c r="E7" s="10" t="str">
        <x:v>source package with serialized seal, retained assay and contained disconnect</x:v>
      </x:c>
      <x:c r="F7" s="7" t="str">
        <x:v>stage 3 to 5</x:v>
      </x:c>
      <x:c r="G7" s="7" t="str">
        <x:v>OPEN</x:v>
      </x:c>
    </x:row>
    <x:row r="8" ht="40" customHeight="1">
      <x:c r="B8" s="7" t="str">
        <x:v>TC-02</x:v>
      </x:c>
      <x:c r="C8" s="7" t="str">
        <x:v>40 mm low-volume insert</x:v>
      </x:c>
      <x:c r="D8" s="7" t="n">
        <x:v>72</x:v>
      </x:c>
      <x:c r="E8" s="10" t="str">
        <x:v>replaceable hydrodynamic article for 100 kg control events</x:v>
      </x:c>
      <x:c r="F8" s="7" t="str">
        <x:v>stage 2 to 5</x:v>
      </x:c>
      <x:c r="G8" s="7" t="str">
        <x:v>OPEN</x:v>
      </x:c>
    </x:row>
    <x:row r="9" ht="40" customHeight="1">
      <x:c r="B9" s="7" t="str">
        <x:v>TC-03</x:v>
      </x:c>
      <x:c r="C9" s="7" t="str">
        <x:v>micro-hold-up tomography</x:v>
      </x:c>
      <x:c r="D9" s="7" t="n">
        <x:v>64</x:v>
      </x:c>
      <x:c r="E9" s="10" t="str">
        <x:v>nonintrusive line inventory before, during and after source admission</x:v>
      </x:c>
      <x:c r="F9" s="7" t="str">
        <x:v>stage 2 to 4</x:v>
      </x:c>
      <x:c r="G9" s="7" t="str">
        <x:v>OPEN</x:v>
      </x:c>
    </x:row>
    <x:row r="10" ht="40" customHeight="1">
      <x:c r="B10" s="7" t="str">
        <x:v>TC-04</x:v>
      </x:c>
      <x:c r="C10" s="7" t="str">
        <x:v>reversible containment pan</x:v>
      </x:c>
      <x:c r="D10" s="7" t="n">
        <x:v>52</x:v>
      </x:c>
      <x:c r="E10" s="10" t="str">
        <x:v>known geometry, fast cleanout and closed receiver interface</x:v>
      </x:c>
      <x:c r="F10" s="7" t="str">
        <x:v>stage 3 to 6</x:v>
      </x:c>
      <x:c r="G10" s="7" t="str">
        <x:v>OPEN</x:v>
      </x:c>
    </x:row>
    <x:row r="11" ht="40" customHeight="1">
      <x:c r="B11" s="7" t="str">
        <x:v>TC-05</x:v>
      </x:c>
      <x:c r="C11" s="7" t="str">
        <x:v>mechanical final-state memory</x:v>
      </x:c>
      <x:c r="D11" s="7" t="n">
        <x:v>48</x:v>
      </x:c>
      <x:c r="E11" s="10" t="str">
        <x:v>locally readable latch that survives network and power loss</x:v>
      </x:c>
      <x:c r="F11" s="7" t="str">
        <x:v>stage 3 to 6</x:v>
      </x:c>
      <x:c r="G11" s="7" t="str">
        <x:v>OPEN</x:v>
      </x:c>
    </x:row>
    <x:row r="12" ht="40" customHeight="1">
      <x:c r="B12" s="7" t="str">
        <x:v>TC-06</x:v>
      </x:c>
      <x:c r="C12" s="7" t="str">
        <x:v>local causal-time system</x:v>
      </x:c>
      <x:c r="D12" s="7" t="n">
        <x:v>70</x:v>
      </x:c>
      <x:c r="E12" s="10" t="str">
        <x:v>independent event clock with bounded error and immutable timing packet</x:v>
      </x:c>
      <x:c r="F12" s="7" t="str">
        <x:v>stage 2 to 5</x:v>
      </x:c>
      <x:c r="G12" s="7" t="str">
        <x:v>OPEN</x:v>
      </x:c>
    </x:row>
    <x:row r="13" ht="40" customHeight="1">
      <x:c r="B13" s="7" t="str">
        <x:v>TC-07</x:v>
      </x:c>
      <x:c r="C13" s="7" t="str">
        <x:v>zero-state leak and background sensing</x:v>
      </x:c>
      <x:c r="D13" s="7" t="n">
        <x:v>54</x:v>
      </x:c>
      <x:c r="E13" s="10" t="str">
        <x:v>detect tiny source or water release against site background</x:v>
      </x:c>
      <x:c r="F13" s="7" t="str">
        <x:v>stage 2 to 5</x:v>
      </x:c>
      <x:c r="G13" s="7" t="str">
        <x:v>OPEN</x:v>
      </x:c>
    </x:row>
    <x:row r="14" ht="40" customHeight="1">
      <x:c r="B14" s="7" t="str">
        <x:v>TC-08</x:v>
      </x:c>
      <x:c r="C14" s="7" t="str">
        <x:v>machine-verifiable dossier compiler</x:v>
      </x:c>
      <x:c r="D14" s="7" t="n">
        <x:v>52</x:v>
      </x:c>
      <x:c r="E14" s="10" t="str">
        <x:v>compile identities, states, times and custody without replacing originals</x:v>
      </x:c>
      <x:c r="F14" s="7" t="str">
        <x:v>stage 2 to 6</x:v>
      </x:c>
      <x:c r="G14" s="7" t="str">
        <x:v>OPEN</x:v>
      </x:c>
    </x:row>
    <x:row r="16">
      <x:c r="B16" s="12" t="str">
        <x:v>TOTAL</x:v>
      </x:c>
      <x:c r="C16" s="12" t="str"/>
      <x:c r="D16" s="12" t="n">
        <x:f>SUM(D7:D14)</x:f>
        <x:v>470</x:v>
      </x:c>
      <x:c r="E16" s="12" t="str">
        <x:v>cross-classified; not additive to capital</x:v>
      </x:c>
      <x:c r="F16" s="12" t="str"/>
      <x:c r="G16" s="12" t="str"/>
    </x:row>
  </x:sheetData>
  <x:conditionalFormatting sqref="G7:G14">
    <x:cfRule type="containsText" dxfId="216" priority="1" operator="containsText" text="FAIL"/>
    <x:cfRule type="containsText" dxfId="217" priority="2" operator="containsText" text="INVALID"/>
    <x:cfRule type="containsText" dxfId="218" priority="3" operator="containsText" text="BLOCKED"/>
    <x:cfRule type="containsText" dxfId="219" priority="4" operator="containsText" text="OPEN"/>
    <x:cfRule type="containsText" dxfId="220" priority="5" operator="containsText" text="HELD"/>
    <x:cfRule type="containsText" dxfId="221" priority="6" operator="containsText" text="DORMANT"/>
    <x:cfRule type="containsText" dxfId="222" priority="7" operator="containsText" text="PASS"/>
    <x:cfRule type="containsText" dxfId="223" priority="8" operator="containsText" text="VALID"/>
    <x:cfRule type="containsText" dxfId="224" priority="9" operator="containsText" text="ISSUED"/>
  </x:conditionalFormatting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18" hidden="0" customWidth="1"/>
    <x:col min="4" max="4" width="17" hidden="0" customWidth="1"/>
    <x:col min="5" max="5" width="79" hidden="0" customWidth="1"/>
  </x:cols>
  <x:sheetData>
    <x:row r="2">
      <x:c r="B2" s="1" t="str">
        <x:v>Twenty-four-month executable maturation sequence</x:v>
      </x:c>
    </x:row>
    <x:row r="3">
      <x:c r="B3" s="2" t="str">
        <x:v>Workstreams overlap, but event issue remains last: schedule position never substitutes for accepted physical evidence.</x:v>
      </x:c>
    </x:row>
    <x:row r="6" ht="24" customHeight="1">
      <x:c r="B6" s="6" t="str">
        <x:v>Stage</x:v>
      </x:c>
      <x:c r="C6" s="6" t="str">
        <x:v>Start month</x:v>
      </x:c>
      <x:c r="D6" s="6" t="str">
        <x:v>End month</x:v>
      </x:c>
      <x:c r="E6" s="6" t="str">
        <x:v>Exit condition</x:v>
      </x:c>
    </x:row>
    <x:row r="7" ht="36" customHeight="1">
      <x:c r="B7" s="7" t="str">
        <x:v>S01</x:v>
      </x:c>
      <x:c r="C7" s="7" t="n">
        <x:v>0</x:v>
      </x:c>
      <x:c r="D7" s="7" t="n">
        <x:v>3</x:v>
      </x:c>
      <x:c r="E7" s="10" t="str">
        <x:v>freeze class law, article boundary and acceptance ownership</x:v>
      </x:c>
    </x:row>
    <x:row r="8" ht="36" customHeight="1">
      <x:c r="B8" s="7" t="str">
        <x:v>S02</x:v>
      </x:c>
      <x:c r="C8" s="7" t="n">
        <x:v>1</x:v>
      </x:c>
      <x:c r="D8" s="7" t="n">
        <x:v>6</x:v>
      </x:c>
      <x:c r="E8" s="10" t="str">
        <x:v>build REA-100 engineering units and 40 mm inserts</x:v>
      </x:c>
    </x:row>
    <x:row r="9" ht="36" customHeight="1">
      <x:c r="B9" s="7" t="str">
        <x:v>S03</x:v>
      </x:c>
      <x:c r="C9" s="7" t="n">
        <x:v>2</x:v>
      </x:c>
      <x:c r="D9" s="7" t="n">
        <x:v>8</x:v>
      </x:c>
      <x:c r="E9" s="10" t="str">
        <x:v>construct cell sections, receiver fixtures and final elements</x:v>
      </x:c>
    </x:row>
    <x:row r="10" ht="36" customHeight="1">
      <x:c r="B10" s="7" t="str">
        <x:v>S04</x:v>
      </x:c>
      <x:c r="C10" s="7" t="n">
        <x:v>4</x:v>
      </x:c>
      <x:c r="D10" s="7" t="n">
        <x:v>10</x:v>
      </x:c>
      <x:c r="E10" s="10" t="str">
        <x:v>establish source packages, assay and quarantine system</x:v>
      </x:c>
    </x:row>
    <x:row r="11" ht="36" customHeight="1">
      <x:c r="B11" s="7" t="str">
        <x:v>S05</x:v>
      </x:c>
      <x:c r="C11" s="7" t="n">
        <x:v>5</x:v>
      </x:c>
      <x:c r="D11" s="7" t="n">
        <x:v>11</x:v>
      </x:c>
      <x:c r="E11" s="10" t="str">
        <x:v>install causal time, native evidence and sample custody</x:v>
      </x:c>
    </x:row>
    <x:row r="12" ht="36" customHeight="1">
      <x:c r="B12" s="7" t="str">
        <x:v>S06</x:v>
      </x:c>
      <x:c r="C12" s="7" t="n">
        <x:v>6</x:v>
      </x:c>
      <x:c r="D12" s="7" t="n">
        <x:v>12</x:v>
      </x:c>
      <x:c r="E12" s="10" t="str">
        <x:v>complete containment, terrain and casualty-water proofs</x:v>
      </x:c>
    </x:row>
    <x:row r="13" ht="36" customHeight="1">
      <x:c r="B13" s="7" t="str">
        <x:v>S07</x:v>
      </x:c>
      <x:c r="C13" s="7" t="n">
        <x:v>8</x:v>
      </x:c>
      <x:c r="D13" s="7" t="n">
        <x:v>14</x:v>
      </x:c>
      <x:c r="E13" s="10" t="str">
        <x:v>prove three unlike safeing paths per final element</x:v>
      </x:c>
    </x:row>
    <x:row r="14" ht="36" customHeight="1">
      <x:c r="B14" s="7" t="str">
        <x:v>S08</x:v>
      </x:c>
      <x:c r="C14" s="7" t="n">
        <x:v>10</x:v>
      </x:c>
      <x:c r="D14" s="7" t="n">
        <x:v>16</x:v>
      </x:c>
      <x:c r="E14" s="10" t="str">
        <x:v>execute walkdowns and freeze configuration masters</x:v>
      </x:c>
    </x:row>
    <x:row r="15" ht="36" customHeight="1">
      <x:c r="B15" s="7" t="str">
        <x:v>S09</x:v>
      </x:c>
      <x:c r="C15" s="7" t="n">
        <x:v>12</x:v>
      </x:c>
      <x:c r="D15" s="7" t="n">
        <x:v>18</x:v>
      </x:c>
      <x:c r="E15" s="10" t="str">
        <x:v>run dry QE-01 rehearsals without issuing events</x:v>
      </x:c>
    </x:row>
    <x:row r="16" ht="36" customHeight="1">
      <x:c r="B16" s="7" t="str">
        <x:v>S10</x:v>
      </x:c>
      <x:c r="C16" s="7" t="n">
        <x:v>15</x:v>
      </x:c>
      <x:c r="D16" s="7" t="n">
        <x:v>21</x:v>
      </x:c>
      <x:c r="E16" s="10" t="str">
        <x:v>perform article commissioning and uncertainty closure</x:v>
      </x:c>
    </x:row>
    <x:row r="17" ht="36" customHeight="1">
      <x:c r="B17" s="7" t="str">
        <x:v>S11</x:v>
      </x:c>
      <x:c r="C17" s="7" t="n">
        <x:v>18</x:v>
      </x:c>
      <x:c r="D17" s="7" t="n">
        <x:v>24</x:v>
      </x:c>
      <x:c r="E17" s="10" t="str">
        <x:v>open event-issue window when physical ledger permits</x:v>
      </x:c>
    </x:row>
    <x:row r="18" ht="36" customHeight="1">
      <x:c r="B18" s="7" t="str">
        <x:v>S12</x:v>
      </x:c>
      <x:c r="C18" s="7" t="n">
        <x:v>24</x:v>
      </x:c>
      <x:c r="D18" s="7" t="n">
        <x:v>24</x:v>
      </x:c>
      <x:c r="E18" s="10" t="str">
        <x:v>campaign readiness decision; no candidate authority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31" hidden="0" customWidth="1"/>
    <x:col min="4" max="4" width="37" hidden="0" customWidth="1"/>
    <x:col min="5" max="5" width="65" hidden="0" customWidth="1"/>
    <x:col min="6" max="6" width="15" hidden="0" customWidth="1"/>
    <x:col min="7" max="7" width="14" hidden="0" customWidth="1"/>
  </x:cols>
  <x:sheetData>
    <x:row r="2">
      <x:c r="B2" s="1" t="str">
        <x:v>Ten separated acceptance authorities</x:v>
      </x:c>
    </x:row>
    <x:row r="3">
      <x:c r="B3" s="2" t="str">
        <x:v>No individual may both create and independently accept the same evidence object. Event issue is narrower than method or candidate release.</x:v>
      </x:c>
    </x:row>
    <x:row r="6" ht="24" customHeight="1">
      <x:c r="B6" s="6" t="str">
        <x:v>Authority</x:v>
      </x:c>
      <x:c r="C6" s="6" t="str">
        <x:v>Role</x:v>
      </x:c>
      <x:c r="D6" s="6" t="str">
        <x:v>Owner</x:v>
      </x:c>
      <x:c r="E6" s="6" t="str">
        <x:v>Power boundary</x:v>
      </x:c>
      <x:c r="F6" s="6" t="str">
        <x:v>Granted</x:v>
      </x:c>
      <x:c r="G6" s="6" t="str">
        <x:v>State</x:v>
      </x:c>
    </x:row>
    <x:row r="7" ht="40" customHeight="1">
      <x:c r="B7" s="7" t="str">
        <x:v>AUTH-01</x:v>
      </x:c>
      <x:c r="C7" s="7" t="str">
        <x:v>configuration baseline accepter</x:v>
      </x:c>
      <x:c r="D7" s="7" t="str">
        <x:v>public configuration authority</x:v>
      </x:c>
      <x:c r="E7" s="10" t="str">
        <x:v>accepts six rig masters; no candidate release</x:v>
      </x:c>
      <x:c r="F7" s="7" t="n">
        <x:v>0</x:v>
      </x:c>
      <x:c r="G7" s="7" t="str">
        <x:v>OPEN</x:v>
      </x:c>
    </x:row>
    <x:row r="8" ht="40" customHeight="1">
      <x:c r="B8" s="7" t="str">
        <x:v>AUTH-02</x:v>
      </x:c>
      <x:c r="C8" s="7" t="str">
        <x:v>source-package accepter</x:v>
      </x:c>
      <x:c r="D8" s="7" t="str">
        <x:v>independent source custody authority</x:v>
      </x:c>
      <x:c r="E8" s="10" t="str">
        <x:v>accepts identity, assay and quarantine</x:v>
      </x:c>
      <x:c r="F8" s="7" t="n">
        <x:v>0</x:v>
      </x:c>
      <x:c r="G8" s="7" t="str">
        <x:v>OPEN</x:v>
      </x:c>
    </x:row>
    <x:row r="9" ht="40" customHeight="1">
      <x:c r="B9" s="7" t="str">
        <x:v>AUTH-03</x:v>
      </x:c>
      <x:c r="C9" s="7" t="str">
        <x:v>water and receiver accepter</x:v>
      </x:c>
      <x:c r="D9" s="7" t="str">
        <x:v>independent containment authority</x:v>
      </x:c>
      <x:c r="E9" s="10" t="str">
        <x:v>accepts initial volume and isolated capacity</x:v>
      </x:c>
      <x:c r="F9" s="7" t="n">
        <x:v>0</x:v>
      </x:c>
      <x:c r="G9" s="7" t="str">
        <x:v>OPEN</x:v>
      </x:c>
    </x:row>
    <x:row r="10" ht="40" customHeight="1">
      <x:c r="B10" s="7" t="str">
        <x:v>AUTH-04</x:v>
      </x:c>
      <x:c r="C10" s="7" t="str">
        <x:v>safeing accepter</x:v>
      </x:c>
      <x:c r="D10" s="7" t="str">
        <x:v>independent safety authority</x:v>
      </x:c>
      <x:c r="E10" s="10" t="str">
        <x:v>accepts final element and three path proofs</x:v>
      </x:c>
      <x:c r="F10" s="7" t="n">
        <x:v>0</x:v>
      </x:c>
      <x:c r="G10" s="7" t="str">
        <x:v>OPEN</x:v>
      </x:c>
    </x:row>
    <x:row r="11" ht="40" customHeight="1">
      <x:c r="B11" s="7" t="str">
        <x:v>AUTH-05</x:v>
      </x:c>
      <x:c r="C11" s="7" t="str">
        <x:v>evidence accepter</x:v>
      </x:c>
      <x:c r="D11" s="7" t="str">
        <x:v>independent evidence authority</x:v>
      </x:c>
      <x:c r="E11" s="10" t="str">
        <x:v>accepts clocks, originals, samples and custody</x:v>
      </x:c>
      <x:c r="F11" s="7" t="n">
        <x:v>0</x:v>
      </x:c>
      <x:c r="G11" s="7" t="str">
        <x:v>OPEN</x:v>
      </x:c>
    </x:row>
    <x:row r="12" ht="40" customHeight="1">
      <x:c r="B12" s="7" t="str">
        <x:v>AUTH-06</x:v>
      </x:c>
      <x:c r="C12" s="7" t="str">
        <x:v>event issuer</x:v>
      </x:c>
      <x:c r="D12" s="7" t="str">
        <x:v>named event authority</x:v>
      </x:c>
      <x:c r="E12" s="10" t="str">
        <x:v>issues one event on one accepted baseline</x:v>
      </x:c>
      <x:c r="F12" s="7" t="n">
        <x:v>0</x:v>
      </x:c>
      <x:c r="G12" s="7" t="str">
        <x:v>OPEN</x:v>
      </x:c>
    </x:row>
    <x:row r="13" ht="40" customHeight="1">
      <x:c r="B13" s="7" t="str">
        <x:v>AUTH-07</x:v>
      </x:c>
      <x:c r="C13" s="7" t="str">
        <x:v>validity board</x:v>
      </x:c>
      <x:c r="D13" s="7" t="str">
        <x:v>independent validity board</x:v>
      </x:c>
      <x:c r="E13" s="10" t="str">
        <x:v>decides proposition validity separately from outcome</x:v>
      </x:c>
      <x:c r="F13" s="7" t="n">
        <x:v>0</x:v>
      </x:c>
      <x:c r="G13" s="7" t="str">
        <x:v>OPEN</x:v>
      </x:c>
    </x:row>
    <x:row r="14" ht="40" customHeight="1">
      <x:c r="B14" s="7" t="str">
        <x:v>AUTH-08</x:v>
      </x:c>
      <x:c r="C14" s="7" t="str">
        <x:v>outcome board</x:v>
      </x:c>
      <x:c r="D14" s="7" t="str">
        <x:v>independent method board</x:v>
      </x:c>
      <x:c r="E14" s="10" t="str">
        <x:v>classifies result; cannot rewrite validity</x:v>
      </x:c>
      <x:c r="F14" s="7" t="n">
        <x:v>0</x:v>
      </x:c>
      <x:c r="G14" s="7" t="str">
        <x:v>OPEN</x:v>
      </x:c>
    </x:row>
    <x:row r="15" ht="40" customHeight="1">
      <x:c r="B15" s="7" t="str">
        <x:v>AUTH-09</x:v>
      </x:c>
      <x:c r="C15" s="7" t="str">
        <x:v>reserve allocator</x:v>
      </x:c>
      <x:c r="D15" s="7" t="str">
        <x:v>campaign authority</x:v>
      </x:c>
      <x:c r="E15" s="10" t="str">
        <x:v>assigns only an invalid-attempt token</x:v>
      </x:c>
      <x:c r="F15" s="7" t="n">
        <x:v>0</x:v>
      </x:c>
      <x:c r="G15" s="7" t="str">
        <x:v>OPEN</x:v>
      </x:c>
    </x:row>
    <x:row r="16" ht="40" customHeight="1">
      <x:c r="B16" s="7" t="str">
        <x:v>AUTH-10</x:v>
      </x:c>
      <x:c r="C16" s="7" t="str">
        <x:v>exterior-form authority</x:v>
      </x:c>
      <x:c r="D16" s="7" t="str">
        <x:v>downstream design authority</x:v>
      </x:c>
      <x:c r="E16" s="10" t="str">
        <x:v>withheld; RAE-1 supplies no exterior release</x:v>
      </x:c>
      <x:c r="F16" s="7" t="n">
        <x:v>0</x:v>
      </x:c>
      <x:c r="G16" s="7" t="str">
        <x:v>BLOCKED</x:v>
      </x:c>
    </x:row>
  </x:sheetData>
  <x:conditionalFormatting sqref="G7:G16">
    <x:cfRule type="containsText" dxfId="225" priority="1" operator="containsText" text="FAIL"/>
    <x:cfRule type="containsText" dxfId="226" priority="2" operator="containsText" text="INVALID"/>
    <x:cfRule type="containsText" dxfId="227" priority="3" operator="containsText" text="BLOCKED"/>
    <x:cfRule type="containsText" dxfId="228" priority="4" operator="containsText" text="OPEN"/>
    <x:cfRule type="containsText" dxfId="229" priority="5" operator="containsText" text="HELD"/>
    <x:cfRule type="containsText" dxfId="230" priority="6" operator="containsText" text="DORMANT"/>
    <x:cfRule type="containsText" dxfId="231" priority="7" operator="containsText" text="PASS"/>
    <x:cfRule type="containsText" dxfId="232" priority="8" operator="containsText" text="VALID"/>
    <x:cfRule type="containsText" dxfId="233" priority="9" operator="containsText" text="ISSUED"/>
  </x:conditionalFormatting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1" hidden="0" customWidth="1"/>
    <x:col min="4" max="4" width="74" hidden="0" customWidth="1"/>
    <x:col min="5" max="5" width="16" hidden="0" customWidth="1"/>
    <x:col min="6" max="6" width="14" hidden="0" customWidth="1"/>
  </x:cols>
  <x:sheetData>
    <x:row r="2">
      <x:c r="B2" s="1" t="str">
        <x:v>Eight deliberately withheld downstream releases</x:v>
      </x:c>
    </x:row>
    <x:row r="3">
      <x:c r="B3" s="2" t="str">
        <x:v>RAE-1 can mature reference-entry evidence without granting method, candidate, production or rendering authority.</x:v>
      </x:c>
    </x:row>
    <x:row r="6" ht="24" customHeight="1">
      <x:c r="B6" s="6" t="str">
        <x:v>Gate</x:v>
      </x:c>
      <x:c r="C6" s="6" t="str">
        <x:v>Release</x:v>
      </x:c>
      <x:c r="D6" s="6" t="str">
        <x:v>Required basis</x:v>
      </x:c>
      <x:c r="E6" s="6" t="str">
        <x:v>Authority</x:v>
      </x:c>
      <x:c r="F6" s="6" t="str">
        <x:v>State</x:v>
      </x:c>
    </x:row>
    <x:row r="7" ht="40" customHeight="1">
      <x:c r="B7" s="7" t="str">
        <x:v>RG-01</x:v>
      </x:c>
      <x:c r="C7" s="7" t="str">
        <x:v>configuration release</x:v>
      </x:c>
      <x:c r="D7" s="10" t="str">
        <x:v>six accepted masters and 120 cell-section records</x:v>
      </x:c>
      <x:c r="E7" s="7" t="n">
        <x:v>0</x:v>
      </x:c>
      <x:c r="F7" s="7" t="str">
        <x:v>BLOCKED</x:v>
      </x:c>
    </x:row>
    <x:row r="8" ht="40" customHeight="1">
      <x:c r="B8" s="7" t="str">
        <x:v>RG-02</x:v>
      </x:c>
      <x:c r="C8" s="7" t="str">
        <x:v>source-package release</x:v>
      </x:c>
      <x:c r="D8" s="10" t="str">
        <x:v>active packages and ten characteristics each</x:v>
      </x:c>
      <x:c r="E8" s="7" t="n">
        <x:v>0</x:v>
      </x:c>
      <x:c r="F8" s="7" t="str">
        <x:v>BLOCKED</x:v>
      </x:c>
    </x:row>
    <x:row r="9" ht="40" customHeight="1">
      <x:c r="B9" s="7" t="str">
        <x:v>RG-03</x:v>
      </x:c>
      <x:c r="C9" s="7" t="str">
        <x:v>QE-01 issue</x:v>
      </x:c>
      <x:c r="D9" s="10" t="str">
        <x:v>event-specific holds, neighbors, evidence and issuer</x:v>
      </x:c>
      <x:c r="E9" s="7" t="n">
        <x:v>0</x:v>
      </x:c>
      <x:c r="F9" s="7" t="str">
        <x:v>BLOCKED</x:v>
      </x:c>
    </x:row>
    <x:row r="10" ht="40" customHeight="1">
      <x:c r="B10" s="7" t="str">
        <x:v>RG-04</x:v>
      </x:c>
      <x:c r="C10" s="7" t="str">
        <x:v>QE-02 issue</x:v>
      </x:c>
      <x:c r="D10" s="10" t="str">
        <x:v>QE-01 basis plus source, containment and uncertainty</x:v>
      </x:c>
      <x:c r="E10" s="7" t="n">
        <x:v>0</x:v>
      </x:c>
      <x:c r="F10" s="7" t="str">
        <x:v>BLOCKED</x:v>
      </x:c>
    </x:row>
    <x:row r="11" ht="40" customHeight="1">
      <x:c r="B11" s="7" t="str">
        <x:v>RG-05</x:v>
      </x:c>
      <x:c r="C11" s="7" t="str">
        <x:v>AM-05 method release</x:v>
      </x:c>
      <x:c r="D11" s="10" t="str">
        <x:v>valid event set and independent outcome board</x:v>
      </x:c>
      <x:c r="E11" s="7" t="n">
        <x:v>0</x:v>
      </x:c>
      <x:c r="F11" s="7" t="str">
        <x:v>BLOCKED</x:v>
      </x:c>
    </x:row>
    <x:row r="12" ht="40" customHeight="1">
      <x:c r="B12" s="7" t="str">
        <x:v>RG-06</x:v>
      </x:c>
      <x:c r="C12" s="7" t="str">
        <x:v>AM-06 method release</x:v>
      </x:c>
      <x:c r="D12" s="10" t="str">
        <x:v>valid event set, thermal evidence and outcome board</x:v>
      </x:c>
      <x:c r="E12" s="7" t="n">
        <x:v>0</x:v>
      </x:c>
      <x:c r="F12" s="7" t="str">
        <x:v>BLOCKED</x:v>
      </x:c>
    </x:row>
    <x:row r="13" ht="40" customHeight="1">
      <x:c r="B13" s="7" t="str">
        <x:v>RG-07</x:v>
      </x:c>
      <x:c r="C13" s="7" t="str">
        <x:v>candidate entry</x:v>
      </x:c>
      <x:c r="D13" s="10" t="str">
        <x:v>separate candidate article constitution</x:v>
      </x:c>
      <x:c r="E13" s="7" t="n">
        <x:v>0</x:v>
      </x:c>
      <x:c r="F13" s="7" t="str">
        <x:v>BLOCKED</x:v>
      </x:c>
    </x:row>
    <x:row r="14" ht="40" customHeight="1">
      <x:c r="B14" s="7" t="str">
        <x:v>RG-08</x:v>
      </x:c>
      <x:c r="C14" s="7" t="str">
        <x:v>exterior rendering</x:v>
      </x:c>
      <x:c r="D14" s="10" t="str">
        <x:v>physical architecture mature enough to constrain exterior form</x:v>
      </x:c>
      <x:c r="E14" s="7" t="n">
        <x:v>0</x:v>
      </x:c>
      <x:c r="F14" s="7" t="str">
        <x:v>BLOCKED</x:v>
      </x:c>
    </x:row>
  </x:sheetData>
  <x:conditionalFormatting sqref="F7:F14">
    <x:cfRule type="containsText" dxfId="234" priority="1" operator="containsText" text="FAIL"/>
    <x:cfRule type="containsText" dxfId="235" priority="2" operator="containsText" text="INVALID"/>
    <x:cfRule type="containsText" dxfId="236" priority="3" operator="containsText" text="BLOCKED"/>
    <x:cfRule type="containsText" dxfId="237" priority="4" operator="containsText" text="OPEN"/>
    <x:cfRule type="containsText" dxfId="238" priority="5" operator="containsText" text="HELD"/>
    <x:cfRule type="containsText" dxfId="239" priority="6" operator="containsText" text="DORMANT"/>
    <x:cfRule type="containsText" dxfId="240" priority="7" operator="containsText" text="PASS"/>
    <x:cfRule type="containsText" dxfId="241" priority="8" operator="containsText" text="VALID"/>
    <x:cfRule type="containsText" dxfId="242" priority="9" operator="containsText" text="ISSUED"/>
  </x:conditionalFormatting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6" hidden="0" customWidth="1"/>
    <x:col min="4" max="4" width="72" hidden="0" customWidth="1"/>
    <x:col min="5" max="5" width="14" hidden="0" customWidth="1"/>
  </x:cols>
  <x:sheetData>
    <x:row r="2">
      <x:c r="B2" s="1" t="str">
        <x:v>Thirty-two planning assertions</x:v>
      </x:c>
    </x:row>
    <x:row r="3">
      <x:c r="B3" s="2" t="str">
        <x:v>Planning gates prove internal completeness only. They do not claim that any article, calibration, path or event exists.</x:v>
      </x:c>
    </x:row>
    <x:row r="6" ht="24" customHeight="1">
      <x:c r="B6" s="6" t="str">
        <x:v>Gate</x:v>
      </x:c>
      <x:c r="C6" s="6" t="str">
        <x:v>Subject</x:v>
      </x:c>
      <x:c r="D6" s="6" t="str">
        <x:v>Assertion</x:v>
      </x:c>
      <x:c r="E6" s="6" t="str">
        <x:v>State</x:v>
      </x:c>
    </x:row>
    <x:row r="7" ht="36" customHeight="1">
      <x:c r="B7" s="7" t="str">
        <x:v>PG-01</x:v>
      </x:c>
      <x:c r="C7" s="7" t="str">
        <x:v>class law</x:v>
      </x:c>
      <x:c r="D7" s="10" t="str">
        <x:v>QE-01/QE-02 definitions are explicit</x:v>
      </x:c>
      <x:c r="E7" s="7" t="str">
        <x:v>PASS</x:v>
      </x:c>
    </x:row>
    <x:row r="8" ht="36" customHeight="1">
      <x:c r="B8" s="7" t="str">
        <x:v>PG-02</x:v>
      </x:c>
      <x:c r="C8" s="7" t="str">
        <x:v>article law</x:v>
      </x:c>
      <x:c r="D8" s="10" t="str">
        <x:v>REA-100 is public reference, not candidate</x:v>
      </x:c>
      <x:c r="E8" s="7" t="str">
        <x:v>PASS</x:v>
      </x:c>
    </x:row>
    <x:row r="9" ht="36" customHeight="1">
      <x:c r="B9" s="7" t="str">
        <x:v>PG-03</x:v>
      </x:c>
      <x:c r="C9" s="7" t="str">
        <x:v>route law</x:v>
      </x:c>
      <x:c r="D9" s="10" t="str">
        <x:v>40 mm insert gives no 150 mm qualification</x:v>
      </x:c>
      <x:c r="E9" s="7" t="str">
        <x:v>PASS</x:v>
      </x:c>
    </x:row>
    <x:row r="10" ht="36" customHeight="1">
      <x:c r="B10" s="7" t="str">
        <x:v>PG-04</x:v>
      </x:c>
      <x:c r="C10" s="7" t="str">
        <x:v>source law</x:v>
      </x:c>
      <x:c r="D10" s="10" t="str">
        <x:v>100 kg aliquot from serialized 125 kg package</x:v>
      </x:c>
      <x:c r="E10" s="7" t="str">
        <x:v>PASS</x:v>
      </x:c>
    </x:row>
    <x:row r="11" ht="36" customHeight="1">
      <x:c r="B11" s="7" t="str">
        <x:v>PG-05</x:v>
      </x:c>
      <x:c r="C11" s="7" t="str">
        <x:v>water law</x:v>
      </x:c>
      <x:c r="D11" s="10" t="str">
        <x:v>zero planned candidate water</x:v>
      </x:c>
      <x:c r="E11" s="7" t="str">
        <x:v>PASS</x:v>
      </x:c>
    </x:row>
    <x:row r="12" ht="36" customHeight="1">
      <x:c r="B12" s="7" t="str">
        <x:v>PG-06</x:v>
      </x:c>
      <x:c r="C12" s="7" t="str">
        <x:v>ignition law</x:v>
      </x:c>
      <x:c r="D12" s="10" t="str">
        <x:v>AM-06 QE-02 opportunity only</x:v>
      </x:c>
      <x:c r="E12" s="7" t="str">
        <x:v>PASS</x:v>
      </x:c>
    </x:row>
    <x:row r="13" ht="36" customHeight="1">
      <x:c r="B13" s="7" t="str">
        <x:v>PG-07</x:v>
      </x:c>
      <x:c r="C13" s="7" t="str">
        <x:v>containment law</x:v>
      </x:c>
      <x:c r="D13" s="10" t="str">
        <x:v>2.5 m2 pan is the physical class boundary</x:v>
      </x:c>
      <x:c r="E13" s="7" t="str">
        <x:v>PASS</x:v>
      </x:c>
    </x:row>
    <x:row r="14" ht="36" customHeight="1">
      <x:c r="B14" s="7" t="str">
        <x:v>PG-08</x:v>
      </x:c>
      <x:c r="C14" s="7" t="str">
        <x:v>safeing law</x:v>
      </x:c>
      <x:c r="D14" s="10" t="str">
        <x:v>final element plus three unlike paths</x:v>
      </x:c>
      <x:c r="E14" s="7" t="str">
        <x:v>PASS</x:v>
      </x:c>
    </x:row>
    <x:row r="15" ht="36" customHeight="1">
      <x:c r="B15" s="7" t="str">
        <x:v>PG-09</x:v>
      </x:c>
      <x:c r="C15" s="7" t="str">
        <x:v>neighbor law</x:v>
      </x:c>
      <x:c r="D15" s="10" t="str">
        <x:v>three inert neighbors per event</x:v>
      </x:c>
      <x:c r="E15" s="7" t="str">
        <x:v>PASS</x:v>
      </x:c>
    </x:row>
    <x:row r="16" ht="36" customHeight="1">
      <x:c r="B16" s="7" t="str">
        <x:v>PG-10</x:v>
      </x:c>
      <x:c r="C16" s="7" t="str">
        <x:v>time law</x:v>
      </x:c>
      <x:c r="D16" s="10" t="str">
        <x:v>24 causal phases per event</x:v>
      </x:c>
      <x:c r="E16" s="7" t="str">
        <x:v>PASS</x:v>
      </x:c>
    </x:row>
    <x:row r="17" ht="36" customHeight="1">
      <x:c r="B17" s="7" t="str">
        <x:v>PG-11</x:v>
      </x:c>
      <x:c r="C17" s="7" t="str">
        <x:v>hold law</x:v>
      </x:c>
      <x:c r="D17" s="10" t="str">
        <x:v>32 conjunctive holds per event</x:v>
      </x:c>
      <x:c r="E17" s="7" t="str">
        <x:v>PASS</x:v>
      </x:c>
    </x:row>
    <x:row r="18" ht="36" customHeight="1">
      <x:c r="B18" s="7" t="str">
        <x:v>PG-12</x:v>
      </x:c>
      <x:c r="C18" s="7" t="str">
        <x:v>evidence law</x:v>
      </x:c>
      <x:c r="D18" s="10" t="str">
        <x:v>12 objects per event plus native custody</x:v>
      </x:c>
      <x:c r="E18" s="7" t="str">
        <x:v>PASS</x:v>
      </x:c>
    </x:row>
    <x:row r="19" ht="36" customHeight="1">
      <x:c r="B19" s="7" t="str">
        <x:v>PG-13</x:v>
      </x:c>
      <x:c r="C19" s="7" t="str">
        <x:v>sample law</x:v>
      </x:c>
      <x:c r="D19" s="10" t="str">
        <x:v>six QE-01 and eight QE-02 samples</x:v>
      </x:c>
      <x:c r="E19" s="7" t="str">
        <x:v>PASS</x:v>
      </x:c>
    </x:row>
    <x:row r="20" ht="36" customHeight="1">
      <x:c r="B20" s="7" t="str">
        <x:v>PG-14</x:v>
      </x:c>
      <x:c r="C20" s="7" t="str">
        <x:v>validity law</x:v>
      </x:c>
      <x:c r="D20" s="10" t="str">
        <x:v>validity separated from outcome</x:v>
      </x:c>
      <x:c r="E20" s="7" t="str">
        <x:v>PASS</x:v>
      </x:c>
    </x:row>
    <x:row r="21" ht="36" customHeight="1">
      <x:c r="B21" s="7" t="str">
        <x:v>PG-15</x:v>
      </x:c>
      <x:c r="C21" s="7" t="str">
        <x:v>reserve law</x:v>
      </x:c>
      <x:c r="D21" s="10" t="str">
        <x:v>six invalid-attempt tokens only</x:v>
      </x:c>
      <x:c r="E21" s="7" t="str">
        <x:v>PASS</x:v>
      </x:c>
    </x:row>
    <x:row r="22" ht="36" customHeight="1">
      <x:c r="B22" s="7" t="str">
        <x:v>PG-16</x:v>
      </x:c>
      <x:c r="C22" s="7" t="str">
        <x:v>restart law</x:v>
      </x:c>
      <x:c r="D22" s="10" t="str">
        <x:v>new baseline and authority required</x:v>
      </x:c>
      <x:c r="E22" s="7" t="str">
        <x:v>PASS</x:v>
      </x:c>
    </x:row>
    <x:row r="23" ht="36" customHeight="1">
      <x:c r="B23" s="7" t="str">
        <x:v>PG-17</x:v>
      </x:c>
      <x:c r="C23" s="7" t="str">
        <x:v>uncertainty law</x:v>
      </x:c>
      <x:c r="D23" s="10" t="str">
        <x:v>U95 &lt;=1.5 kg for QE-02</x:v>
      </x:c>
      <x:c r="E23" s="7" t="str">
        <x:v>PASS</x:v>
      </x:c>
    </x:row>
    <x:row r="24" ht="36" customHeight="1">
      <x:c r="B24" s="7" t="str">
        <x:v>PG-18</x:v>
      </x:c>
      <x:c r="C24" s="7" t="str">
        <x:v>environment law</x:v>
      </x:c>
      <x:c r="D24" s="10" t="str">
        <x:v>release ceiling &lt;=0.1 kg</x:v>
      </x:c>
      <x:c r="E24" s="7" t="str">
        <x:v>PASS</x:v>
      </x:c>
    </x:row>
    <x:row r="25" ht="36" customHeight="1">
      <x:c r="B25" s="7" t="str">
        <x:v>PG-19</x:v>
      </x:c>
      <x:c r="C25" s="7" t="str">
        <x:v>flow law</x:v>
      </x:c>
      <x:c r="D25" s="10" t="str">
        <x:v>low-source regime calculated explicitly</x:v>
      </x:c>
      <x:c r="E25" s="7" t="str">
        <x:v>PASS</x:v>
      </x:c>
    </x:row>
    <x:row r="26" ht="36" customHeight="1">
      <x:c r="B26" s="7" t="str">
        <x:v>PG-20</x:v>
      </x:c>
      <x:c r="C26" s="7" t="str">
        <x:v>thermal law</x:v>
      </x:c>
      <x:c r="D26" s="10" t="str">
        <x:v>screen cannot reduce 200 m boundary</x:v>
      </x:c>
      <x:c r="E26" s="7" t="str">
        <x:v>PASS</x:v>
      </x:c>
    </x:row>
    <x:row r="27" ht="36" customHeight="1">
      <x:c r="B27" s="7" t="str">
        <x:v>PG-21</x:v>
      </x:c>
      <x:c r="C27" s="7" t="str">
        <x:v>water headroom</x:v>
      </x:c>
      <x:c r="D27" s="10" t="str">
        <x:v>minimum casualty margin is 5 m3</x:v>
      </x:c>
      <x:c r="E27" s="7" t="str">
        <x:v>PASS</x:v>
      </x:c>
    </x:row>
    <x:row r="28" ht="36" customHeight="1">
      <x:c r="B28" s="7" t="str">
        <x:v>PG-22</x:v>
      </x:c>
      <x:c r="C28" s="7" t="str">
        <x:v>capacity law</x:v>
      </x:c>
      <x:c r="D28" s="10" t="str">
        <x:v>48 valid events and 120 base rig-days</x:v>
      </x:c>
      <x:c r="E28" s="7" t="str">
        <x:v>PASS</x:v>
      </x:c>
    </x:row>
    <x:row r="29" ht="36" customHeight="1">
      <x:c r="B29" s="7" t="str">
        <x:v>PG-23</x:v>
      </x:c>
      <x:c r="C29" s="7" t="str">
        <x:v>source capacity</x:v>
      </x:c>
      <x:c r="D29" s="10" t="str">
        <x:v>2.4 t base admitted source</x:v>
      </x:c>
      <x:c r="E29" s="7" t="str">
        <x:v>PASS</x:v>
      </x:c>
    </x:row>
    <x:row r="30" ht="36" customHeight="1">
      <x:c r="B30" s="7" t="str">
        <x:v>PG-24</x:v>
      </x:c>
      <x:c r="C30" s="7" t="str">
        <x:v>workforce law</x:v>
      </x:c>
      <x:c r="D30" s="10" t="str">
        <x:v>384 owned positions</x:v>
      </x:c>
      <x:c r="E30" s="7" t="str">
        <x:v>PASS</x:v>
      </x:c>
    </x:row>
    <x:row r="31" ht="36" customHeight="1">
      <x:c r="B31" s="7" t="str">
        <x:v>PG-25</x:v>
      </x:c>
      <x:c r="C31" s="7" t="str">
        <x:v>capital law</x:v>
      </x:c>
      <x:c r="D31" s="10" t="str">
        <x:v>gross capital is $360M</x:v>
      </x:c>
      <x:c r="E31" s="7" t="str">
        <x:v>PASS</x:v>
      </x:c>
    </x:row>
    <x:row r="32" ht="36" customHeight="1">
      <x:c r="B32" s="7" t="str">
        <x:v>PG-26</x:v>
      </x:c>
      <x:c r="C32" s="7" t="str">
        <x:v>support law</x:v>
      </x:c>
      <x:c r="D32" s="10" t="str">
        <x:v>annual support is $168M</x:v>
      </x:c>
      <x:c r="E32" s="7" t="str">
        <x:v>PASS</x:v>
      </x:c>
    </x:row>
    <x:row r="33" ht="36" customHeight="1">
      <x:c r="B33" s="7" t="str">
        <x:v>PG-27</x:v>
      </x:c>
      <x:c r="C33" s="7" t="str">
        <x:v>portfolio law</x:v>
      </x:c>
      <x:c r="D33" s="10" t="str">
        <x:v>RAE-1 increment is zero</x:v>
      </x:c>
      <x:c r="E33" s="7" t="str">
        <x:v>PASS</x:v>
      </x:c>
    </x:row>
    <x:row r="34" ht="36" customHeight="1">
      <x:c r="B34" s="7" t="str">
        <x:v>PG-28</x:v>
      </x:c>
      <x:c r="C34" s="7" t="str">
        <x:v>technology law</x:v>
      </x:c>
      <x:c r="D34" s="10" t="str">
        <x:v>$470M is cross-classified</x:v>
      </x:c>
      <x:c r="E34" s="7" t="str">
        <x:v>PASS</x:v>
      </x:c>
    </x:row>
    <x:row r="35" ht="36" customHeight="1">
      <x:c r="B35" s="7" t="str">
        <x:v>PG-29</x:v>
      </x:c>
      <x:c r="C35" s="7" t="str">
        <x:v>schedule law</x:v>
      </x:c>
      <x:c r="D35" s="10" t="str">
        <x:v>24-month sequence ends at readiness decision</x:v>
      </x:c>
      <x:c r="E35" s="7" t="str">
        <x:v>PASS</x:v>
      </x:c>
    </x:row>
    <x:row r="36" ht="36" customHeight="1">
      <x:c r="B36" s="7" t="str">
        <x:v>PG-30</x:v>
      </x:c>
      <x:c r="C36" s="7" t="str">
        <x:v>authority law</x:v>
      </x:c>
      <x:c r="D36" s="10" t="str">
        <x:v>event issue is narrower than method release</x:v>
      </x:c>
      <x:c r="E36" s="7" t="str">
        <x:v>PASS</x:v>
      </x:c>
    </x:row>
    <x:row r="37" ht="36" customHeight="1">
      <x:c r="B37" s="7" t="str">
        <x:v>PG-31</x:v>
      </x:c>
      <x:c r="C37" s="7" t="str">
        <x:v>rendering law</x:v>
      </x:c>
      <x:c r="D37" s="10" t="str">
        <x:v>exterior authority remains withheld</x:v>
      </x:c>
      <x:c r="E37" s="7" t="str">
        <x:v>PASS</x:v>
      </x:c>
    </x:row>
    <x:row r="38" ht="36" customHeight="1">
      <x:c r="B38" s="7" t="str">
        <x:v>PG-32</x:v>
      </x:c>
      <x:c r="C38" s="7" t="str">
        <x:v>physical law</x:v>
      </x:c>
      <x:c r="D38" s="10" t="str">
        <x:v>all built-and-accepted records begin open</x:v>
      </x:c>
      <x:c r="E38" s="7" t="str">
        <x:v>PASS</x:v>
      </x:c>
    </x:row>
  </x:sheetData>
  <x:conditionalFormatting sqref="E7:E38">
    <x:cfRule type="containsText" dxfId="243" priority="1" operator="containsText" text="FAIL"/>
    <x:cfRule type="containsText" dxfId="244" priority="2" operator="containsText" text="INVALID"/>
    <x:cfRule type="containsText" dxfId="245" priority="3" operator="containsText" text="BLOCKED"/>
    <x:cfRule type="containsText" dxfId="246" priority="4" operator="containsText" text="OPEN"/>
    <x:cfRule type="containsText" dxfId="247" priority="5" operator="containsText" text="HELD"/>
    <x:cfRule type="containsText" dxfId="248" priority="6" operator="containsText" text="DORMANT"/>
    <x:cfRule type="containsText" dxfId="249" priority="7" operator="containsText" text="PASS"/>
    <x:cfRule type="containsText" dxfId="250" priority="8" operator="containsText" text="VALID"/>
    <x:cfRule type="containsText" dxfId="251" priority="9" operator="containsText" text="ISSUED"/>
  </x:conditionalFormatting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6" hidden="0" customWidth="1"/>
    <x:col min="3" max="3" width="27" hidden="0" customWidth="1"/>
    <x:col min="4" max="4" width="30" hidden="0" customWidth="1"/>
    <x:col min="5" max="5" width="36" hidden="0" customWidth="1"/>
    <x:col min="6" max="6" width="14" hidden="0" customWidth="1"/>
  </x:cols>
  <x:sheetData>
    <x:row r="2">
      <x:c r="B2" s="1" t="str">
        <x:v>Five thousand fifty built-and-accepted evidence gates</x:v>
      </x:c>
    </x:row>
    <x:row r="3">
      <x:c r="B3" s="2" t="str">
        <x:v>Every row resolves to the state cell of one physical object. OPEN means the design requires the object but does not claim it exists or has passed.</x:v>
      </x:c>
    </x:row>
    <x:row r="6" ht="24" customHeight="1">
      <x:c r="B6" s="6" t="str">
        <x:v>Gate</x:v>
      </x:c>
      <x:c r="C6" s="6" t="str">
        <x:v>Category</x:v>
      </x:c>
      <x:c r="D6" s="6" t="str">
        <x:v>Object</x:v>
      </x:c>
      <x:c r="E6" s="6" t="str">
        <x:v>Source state cell</x:v>
      </x:c>
      <x:c r="F6" s="6" t="str">
        <x:v>State</x:v>
      </x:c>
    </x:row>
    <x:row r="7">
      <x:c r="B7" s="7" t="str">
        <x:v>PHY-0001</x:v>
      </x:c>
      <x:c r="C7" s="7" t="str">
        <x:v>reference article</x:v>
      </x:c>
      <x:c r="D7" s="7" t="str">
        <x:v>REA-100-01</x:v>
      </x:c>
      <x:c r="E7" s="7" t="str">
        <x:v>Reference Articles!O7</x:v>
      </x:c>
      <x:c r="F7" s="7" t="str">
        <x:f>'Reference Articles'!O7</x:f>
        <x:v>OPEN</x:v>
      </x:c>
    </x:row>
    <x:row r="8">
      <x:c r="B8" s="7" t="str">
        <x:v>PHY-0002</x:v>
      </x:c>
      <x:c r="C8" s="7" t="str">
        <x:v>reference article</x:v>
      </x:c>
      <x:c r="D8" s="7" t="str">
        <x:v>REA-100-02</x:v>
      </x:c>
      <x:c r="E8" s="7" t="str">
        <x:v>Reference Articles!O8</x:v>
      </x:c>
      <x:c r="F8" s="7" t="str">
        <x:f>'Reference Articles'!O8</x:f>
        <x:v>OPEN</x:v>
      </x:c>
    </x:row>
    <x:row r="9">
      <x:c r="B9" s="7" t="str">
        <x:v>PHY-0003</x:v>
      </x:c>
      <x:c r="C9" s="7" t="str">
        <x:v>reference article</x:v>
      </x:c>
      <x:c r="D9" s="7" t="str">
        <x:v>REA-100-03</x:v>
      </x:c>
      <x:c r="E9" s="7" t="str">
        <x:v>Reference Articles!O9</x:v>
      </x:c>
      <x:c r="F9" s="7" t="str">
        <x:f>'Reference Articles'!O9</x:f>
        <x:v>OPEN</x:v>
      </x:c>
    </x:row>
    <x:row r="10">
      <x:c r="B10" s="7" t="str">
        <x:v>PHY-0004</x:v>
      </x:c>
      <x:c r="C10" s="7" t="str">
        <x:v>reference article</x:v>
      </x:c>
      <x:c r="D10" s="7" t="str">
        <x:v>REA-100-04</x:v>
      </x:c>
      <x:c r="E10" s="7" t="str">
        <x:v>Reference Articles!O10</x:v>
      </x:c>
      <x:c r="F10" s="7" t="str">
        <x:f>'Reference Articles'!O10</x:f>
        <x:v>OPEN</x:v>
      </x:c>
    </x:row>
    <x:row r="11">
      <x:c r="B11" s="7" t="str">
        <x:v>PHY-0005</x:v>
      </x:c>
      <x:c r="C11" s="7" t="str">
        <x:v>reference article</x:v>
      </x:c>
      <x:c r="D11" s="7" t="str">
        <x:v>REA-100-05</x:v>
      </x:c>
      <x:c r="E11" s="7" t="str">
        <x:v>Reference Articles!O11</x:v>
      </x:c>
      <x:c r="F11" s="7" t="str">
        <x:f>'Reference Articles'!O11</x:f>
        <x:v>OPEN</x:v>
      </x:c>
    </x:row>
    <x:row r="12">
      <x:c r="B12" s="7" t="str">
        <x:v>PHY-0006</x:v>
      </x:c>
      <x:c r="C12" s="7" t="str">
        <x:v>reference article</x:v>
      </x:c>
      <x:c r="D12" s="7" t="str">
        <x:v>REA-100-06</x:v>
      </x:c>
      <x:c r="E12" s="7" t="str">
        <x:v>Reference Articles!O12</x:v>
      </x:c>
      <x:c r="F12" s="7" t="str">
        <x:f>'Reference Articles'!O12</x:f>
        <x:v>OPEN</x:v>
      </x:c>
    </x:row>
    <x:row r="13">
      <x:c r="B13" s="7" t="str">
        <x:v>PHY-0007</x:v>
      </x:c>
      <x:c r="C13" s="7" t="str">
        <x:v>cell section</x:v>
      </x:c>
      <x:c r="D13" s="7" t="str">
        <x:v>RFP-A1-CS-01</x:v>
      </x:c>
      <x:c r="E13" s="7" t="str">
        <x:v>Cell Sections!J7</x:v>
      </x:c>
      <x:c r="F13" s="7" t="str">
        <x:f>'Cell Sections'!J7</x:f>
        <x:v>OPEN</x:v>
      </x:c>
    </x:row>
    <x:row r="14">
      <x:c r="B14" s="7" t="str">
        <x:v>PHY-0008</x:v>
      </x:c>
      <x:c r="C14" s="7" t="str">
        <x:v>cell section</x:v>
      </x:c>
      <x:c r="D14" s="7" t="str">
        <x:v>RFP-A1-CS-02</x:v>
      </x:c>
      <x:c r="E14" s="7" t="str">
        <x:v>Cell Sections!J8</x:v>
      </x:c>
      <x:c r="F14" s="7" t="str">
        <x:f>'Cell Sections'!J8</x:f>
        <x:v>OPEN</x:v>
      </x:c>
    </x:row>
    <x:row r="15">
      <x:c r="B15" s="7" t="str">
        <x:v>PHY-0009</x:v>
      </x:c>
      <x:c r="C15" s="7" t="str">
        <x:v>cell section</x:v>
      </x:c>
      <x:c r="D15" s="7" t="str">
        <x:v>RFP-A1-CS-03</x:v>
      </x:c>
      <x:c r="E15" s="7" t="str">
        <x:v>Cell Sections!J9</x:v>
      </x:c>
      <x:c r="F15" s="7" t="str">
        <x:f>'Cell Sections'!J9</x:f>
        <x:v>OPEN</x:v>
      </x:c>
    </x:row>
    <x:row r="16">
      <x:c r="B16" s="7" t="str">
        <x:v>PHY-0010</x:v>
      </x:c>
      <x:c r="C16" s="7" t="str">
        <x:v>cell section</x:v>
      </x:c>
      <x:c r="D16" s="7" t="str">
        <x:v>RFP-A1-CS-04</x:v>
      </x:c>
      <x:c r="E16" s="7" t="str">
        <x:v>Cell Sections!J10</x:v>
      </x:c>
      <x:c r="F16" s="7" t="str">
        <x:f>'Cell Sections'!J10</x:f>
        <x:v>OPEN</x:v>
      </x:c>
    </x:row>
    <x:row r="17">
      <x:c r="B17" s="7" t="str">
        <x:v>PHY-0011</x:v>
      </x:c>
      <x:c r="C17" s="7" t="str">
        <x:v>cell section</x:v>
      </x:c>
      <x:c r="D17" s="7" t="str">
        <x:v>RFP-A1-CS-05</x:v>
      </x:c>
      <x:c r="E17" s="7" t="str">
        <x:v>Cell Sections!J11</x:v>
      </x:c>
      <x:c r="F17" s="7" t="str">
        <x:f>'Cell Sections'!J11</x:f>
        <x:v>OPEN</x:v>
      </x:c>
    </x:row>
    <x:row r="18">
      <x:c r="B18" s="7" t="str">
        <x:v>PHY-0012</x:v>
      </x:c>
      <x:c r="C18" s="7" t="str">
        <x:v>cell section</x:v>
      </x:c>
      <x:c r="D18" s="7" t="str">
        <x:v>RFP-A1-CS-06</x:v>
      </x:c>
      <x:c r="E18" s="7" t="str">
        <x:v>Cell Sections!J12</x:v>
      </x:c>
      <x:c r="F18" s="7" t="str">
        <x:f>'Cell Sections'!J12</x:f>
        <x:v>OPEN</x:v>
      </x:c>
    </x:row>
    <x:row r="19">
      <x:c r="B19" s="7" t="str">
        <x:v>PHY-0013</x:v>
      </x:c>
      <x:c r="C19" s="7" t="str">
        <x:v>cell section</x:v>
      </x:c>
      <x:c r="D19" s="7" t="str">
        <x:v>RFP-A1-CS-07</x:v>
      </x:c>
      <x:c r="E19" s="7" t="str">
        <x:v>Cell Sections!J13</x:v>
      </x:c>
      <x:c r="F19" s="7" t="str">
        <x:f>'Cell Sections'!J13</x:f>
        <x:v>OPEN</x:v>
      </x:c>
    </x:row>
    <x:row r="20">
      <x:c r="B20" s="7" t="str">
        <x:v>PHY-0014</x:v>
      </x:c>
      <x:c r="C20" s="7" t="str">
        <x:v>cell section</x:v>
      </x:c>
      <x:c r="D20" s="7" t="str">
        <x:v>RFP-A1-CS-08</x:v>
      </x:c>
      <x:c r="E20" s="7" t="str">
        <x:v>Cell Sections!J14</x:v>
      </x:c>
      <x:c r="F20" s="7" t="str">
        <x:f>'Cell Sections'!J14</x:f>
        <x:v>OPEN</x:v>
      </x:c>
    </x:row>
    <x:row r="21">
      <x:c r="B21" s="7" t="str">
        <x:v>PHY-0015</x:v>
      </x:c>
      <x:c r="C21" s="7" t="str">
        <x:v>cell section</x:v>
      </x:c>
      <x:c r="D21" s="7" t="str">
        <x:v>RFP-A1-CS-09</x:v>
      </x:c>
      <x:c r="E21" s="7" t="str">
        <x:v>Cell Sections!J15</x:v>
      </x:c>
      <x:c r="F21" s="7" t="str">
        <x:f>'Cell Sections'!J15</x:f>
        <x:v>OPEN</x:v>
      </x:c>
    </x:row>
    <x:row r="22">
      <x:c r="B22" s="7" t="str">
        <x:v>PHY-0016</x:v>
      </x:c>
      <x:c r="C22" s="7" t="str">
        <x:v>cell section</x:v>
      </x:c>
      <x:c r="D22" s="7" t="str">
        <x:v>RFP-A1-CS-10</x:v>
      </x:c>
      <x:c r="E22" s="7" t="str">
        <x:v>Cell Sections!J16</x:v>
      </x:c>
      <x:c r="F22" s="7" t="str">
        <x:f>'Cell Sections'!J16</x:f>
        <x:v>OPEN</x:v>
      </x:c>
    </x:row>
    <x:row r="23">
      <x:c r="B23" s="7" t="str">
        <x:v>PHY-0017</x:v>
      </x:c>
      <x:c r="C23" s="7" t="str">
        <x:v>cell section</x:v>
      </x:c>
      <x:c r="D23" s="7" t="str">
        <x:v>RFP-A1-CS-11</x:v>
      </x:c>
      <x:c r="E23" s="7" t="str">
        <x:v>Cell Sections!J17</x:v>
      </x:c>
      <x:c r="F23" s="7" t="str">
        <x:f>'Cell Sections'!J17</x:f>
        <x:v>OPEN</x:v>
      </x:c>
    </x:row>
    <x:row r="24">
      <x:c r="B24" s="7" t="str">
        <x:v>PHY-0018</x:v>
      </x:c>
      <x:c r="C24" s="7" t="str">
        <x:v>cell section</x:v>
      </x:c>
      <x:c r="D24" s="7" t="str">
        <x:v>RFP-A1-CS-12</x:v>
      </x:c>
      <x:c r="E24" s="7" t="str">
        <x:v>Cell Sections!J18</x:v>
      </x:c>
      <x:c r="F24" s="7" t="str">
        <x:f>'Cell Sections'!J18</x:f>
        <x:v>OPEN</x:v>
      </x:c>
    </x:row>
    <x:row r="25">
      <x:c r="B25" s="7" t="str">
        <x:v>PHY-0019</x:v>
      </x:c>
      <x:c r="C25" s="7" t="str">
        <x:v>cell section</x:v>
      </x:c>
      <x:c r="D25" s="7" t="str">
        <x:v>RFP-A1-CS-13</x:v>
      </x:c>
      <x:c r="E25" s="7" t="str">
        <x:v>Cell Sections!J19</x:v>
      </x:c>
      <x:c r="F25" s="7" t="str">
        <x:f>'Cell Sections'!J19</x:f>
        <x:v>OPEN</x:v>
      </x:c>
    </x:row>
    <x:row r="26">
      <x:c r="B26" s="7" t="str">
        <x:v>PHY-0020</x:v>
      </x:c>
      <x:c r="C26" s="7" t="str">
        <x:v>cell section</x:v>
      </x:c>
      <x:c r="D26" s="7" t="str">
        <x:v>RFP-A1-CS-14</x:v>
      </x:c>
      <x:c r="E26" s="7" t="str">
        <x:v>Cell Sections!J20</x:v>
      </x:c>
      <x:c r="F26" s="7" t="str">
        <x:f>'Cell Sections'!J20</x:f>
        <x:v>OPEN</x:v>
      </x:c>
    </x:row>
    <x:row r="27">
      <x:c r="B27" s="7" t="str">
        <x:v>PHY-0021</x:v>
      </x:c>
      <x:c r="C27" s="7" t="str">
        <x:v>cell section</x:v>
      </x:c>
      <x:c r="D27" s="7" t="str">
        <x:v>RFP-A1-CS-15</x:v>
      </x:c>
      <x:c r="E27" s="7" t="str">
        <x:v>Cell Sections!J21</x:v>
      </x:c>
      <x:c r="F27" s="7" t="str">
        <x:f>'Cell Sections'!J21</x:f>
        <x:v>OPEN</x:v>
      </x:c>
    </x:row>
    <x:row r="28">
      <x:c r="B28" s="7" t="str">
        <x:v>PHY-0022</x:v>
      </x:c>
      <x:c r="C28" s="7" t="str">
        <x:v>cell section</x:v>
      </x:c>
      <x:c r="D28" s="7" t="str">
        <x:v>RFP-A1-CS-16</x:v>
      </x:c>
      <x:c r="E28" s="7" t="str">
        <x:v>Cell Sections!J22</x:v>
      </x:c>
      <x:c r="F28" s="7" t="str">
        <x:f>'Cell Sections'!J22</x:f>
        <x:v>OPEN</x:v>
      </x:c>
    </x:row>
    <x:row r="29">
      <x:c r="B29" s="7" t="str">
        <x:v>PHY-0023</x:v>
      </x:c>
      <x:c r="C29" s="7" t="str">
        <x:v>cell section</x:v>
      </x:c>
      <x:c r="D29" s="7" t="str">
        <x:v>RFP-A1-CS-17</x:v>
      </x:c>
      <x:c r="E29" s="7" t="str">
        <x:v>Cell Sections!J23</x:v>
      </x:c>
      <x:c r="F29" s="7" t="str">
        <x:f>'Cell Sections'!J23</x:f>
        <x:v>OPEN</x:v>
      </x:c>
    </x:row>
    <x:row r="30">
      <x:c r="B30" s="7" t="str">
        <x:v>PHY-0024</x:v>
      </x:c>
      <x:c r="C30" s="7" t="str">
        <x:v>cell section</x:v>
      </x:c>
      <x:c r="D30" s="7" t="str">
        <x:v>RFP-A1-CS-18</x:v>
      </x:c>
      <x:c r="E30" s="7" t="str">
        <x:v>Cell Sections!J24</x:v>
      </x:c>
      <x:c r="F30" s="7" t="str">
        <x:f>'Cell Sections'!J24</x:f>
        <x:v>OPEN</x:v>
      </x:c>
    </x:row>
    <x:row r="31">
      <x:c r="B31" s="7" t="str">
        <x:v>PHY-0025</x:v>
      </x:c>
      <x:c r="C31" s="7" t="str">
        <x:v>cell section</x:v>
      </x:c>
      <x:c r="D31" s="7" t="str">
        <x:v>RFP-A1-CS-19</x:v>
      </x:c>
      <x:c r="E31" s="7" t="str">
        <x:v>Cell Sections!J25</x:v>
      </x:c>
      <x:c r="F31" s="7" t="str">
        <x:f>'Cell Sections'!J25</x:f>
        <x:v>OPEN</x:v>
      </x:c>
    </x:row>
    <x:row r="32">
      <x:c r="B32" s="7" t="str">
        <x:v>PHY-0026</x:v>
      </x:c>
      <x:c r="C32" s="7" t="str">
        <x:v>cell section</x:v>
      </x:c>
      <x:c r="D32" s="7" t="str">
        <x:v>RFP-A1-CS-20</x:v>
      </x:c>
      <x:c r="E32" s="7" t="str">
        <x:v>Cell Sections!J26</x:v>
      </x:c>
      <x:c r="F32" s="7" t="str">
        <x:f>'Cell Sections'!J26</x:f>
        <x:v>OPEN</x:v>
      </x:c>
    </x:row>
    <x:row r="33">
      <x:c r="B33" s="7" t="str">
        <x:v>PHY-0027</x:v>
      </x:c>
      <x:c r="C33" s="7" t="str">
        <x:v>cell section</x:v>
      </x:c>
      <x:c r="D33" s="7" t="str">
        <x:v>RFP-A2-CS-01</x:v>
      </x:c>
      <x:c r="E33" s="7" t="str">
        <x:v>Cell Sections!J27</x:v>
      </x:c>
      <x:c r="F33" s="7" t="str">
        <x:f>'Cell Sections'!J27</x:f>
        <x:v>OPEN</x:v>
      </x:c>
    </x:row>
    <x:row r="34">
      <x:c r="B34" s="7" t="str">
        <x:v>PHY-0028</x:v>
      </x:c>
      <x:c r="C34" s="7" t="str">
        <x:v>cell section</x:v>
      </x:c>
      <x:c r="D34" s="7" t="str">
        <x:v>RFP-A2-CS-02</x:v>
      </x:c>
      <x:c r="E34" s="7" t="str">
        <x:v>Cell Sections!J28</x:v>
      </x:c>
      <x:c r="F34" s="7" t="str">
        <x:f>'Cell Sections'!J28</x:f>
        <x:v>OPEN</x:v>
      </x:c>
    </x:row>
    <x:row r="35">
      <x:c r="B35" s="7" t="str">
        <x:v>PHY-0029</x:v>
      </x:c>
      <x:c r="C35" s="7" t="str">
        <x:v>cell section</x:v>
      </x:c>
      <x:c r="D35" s="7" t="str">
        <x:v>RFP-A2-CS-03</x:v>
      </x:c>
      <x:c r="E35" s="7" t="str">
        <x:v>Cell Sections!J29</x:v>
      </x:c>
      <x:c r="F35" s="7" t="str">
        <x:f>'Cell Sections'!J29</x:f>
        <x:v>OPEN</x:v>
      </x:c>
    </x:row>
    <x:row r="36">
      <x:c r="B36" s="7" t="str">
        <x:v>PHY-0030</x:v>
      </x:c>
      <x:c r="C36" s="7" t="str">
        <x:v>cell section</x:v>
      </x:c>
      <x:c r="D36" s="7" t="str">
        <x:v>RFP-A2-CS-04</x:v>
      </x:c>
      <x:c r="E36" s="7" t="str">
        <x:v>Cell Sections!J30</x:v>
      </x:c>
      <x:c r="F36" s="7" t="str">
        <x:f>'Cell Sections'!J30</x:f>
        <x:v>OPEN</x:v>
      </x:c>
    </x:row>
    <x:row r="37">
      <x:c r="B37" s="7" t="str">
        <x:v>PHY-0031</x:v>
      </x:c>
      <x:c r="C37" s="7" t="str">
        <x:v>cell section</x:v>
      </x:c>
      <x:c r="D37" s="7" t="str">
        <x:v>RFP-A2-CS-05</x:v>
      </x:c>
      <x:c r="E37" s="7" t="str">
        <x:v>Cell Sections!J31</x:v>
      </x:c>
      <x:c r="F37" s="7" t="str">
        <x:f>'Cell Sections'!J31</x:f>
        <x:v>OPEN</x:v>
      </x:c>
    </x:row>
    <x:row r="38">
      <x:c r="B38" s="7" t="str">
        <x:v>PHY-0032</x:v>
      </x:c>
      <x:c r="C38" s="7" t="str">
        <x:v>cell section</x:v>
      </x:c>
      <x:c r="D38" s="7" t="str">
        <x:v>RFP-A2-CS-06</x:v>
      </x:c>
      <x:c r="E38" s="7" t="str">
        <x:v>Cell Sections!J32</x:v>
      </x:c>
      <x:c r="F38" s="7" t="str">
        <x:f>'Cell Sections'!J32</x:f>
        <x:v>OPEN</x:v>
      </x:c>
    </x:row>
    <x:row r="39">
      <x:c r="B39" s="7" t="str">
        <x:v>PHY-0033</x:v>
      </x:c>
      <x:c r="C39" s="7" t="str">
        <x:v>cell section</x:v>
      </x:c>
      <x:c r="D39" s="7" t="str">
        <x:v>RFP-A2-CS-07</x:v>
      </x:c>
      <x:c r="E39" s="7" t="str">
        <x:v>Cell Sections!J33</x:v>
      </x:c>
      <x:c r="F39" s="7" t="str">
        <x:f>'Cell Sections'!J33</x:f>
        <x:v>OPEN</x:v>
      </x:c>
    </x:row>
    <x:row r="40">
      <x:c r="B40" s="7" t="str">
        <x:v>PHY-0034</x:v>
      </x:c>
      <x:c r="C40" s="7" t="str">
        <x:v>cell section</x:v>
      </x:c>
      <x:c r="D40" s="7" t="str">
        <x:v>RFP-A2-CS-08</x:v>
      </x:c>
      <x:c r="E40" s="7" t="str">
        <x:v>Cell Sections!J34</x:v>
      </x:c>
      <x:c r="F40" s="7" t="str">
        <x:f>'Cell Sections'!J34</x:f>
        <x:v>OPEN</x:v>
      </x:c>
    </x:row>
    <x:row r="41">
      <x:c r="B41" s="7" t="str">
        <x:v>PHY-0035</x:v>
      </x:c>
      <x:c r="C41" s="7" t="str">
        <x:v>cell section</x:v>
      </x:c>
      <x:c r="D41" s="7" t="str">
        <x:v>RFP-A2-CS-09</x:v>
      </x:c>
      <x:c r="E41" s="7" t="str">
        <x:v>Cell Sections!J35</x:v>
      </x:c>
      <x:c r="F41" s="7" t="str">
        <x:f>'Cell Sections'!J35</x:f>
        <x:v>OPEN</x:v>
      </x:c>
    </x:row>
    <x:row r="42">
      <x:c r="B42" s="7" t="str">
        <x:v>PHY-0036</x:v>
      </x:c>
      <x:c r="C42" s="7" t="str">
        <x:v>cell section</x:v>
      </x:c>
      <x:c r="D42" s="7" t="str">
        <x:v>RFP-A2-CS-10</x:v>
      </x:c>
      <x:c r="E42" s="7" t="str">
        <x:v>Cell Sections!J36</x:v>
      </x:c>
      <x:c r="F42" s="7" t="str">
        <x:f>'Cell Sections'!J36</x:f>
        <x:v>OPEN</x:v>
      </x:c>
    </x:row>
    <x:row r="43">
      <x:c r="B43" s="7" t="str">
        <x:v>PHY-0037</x:v>
      </x:c>
      <x:c r="C43" s="7" t="str">
        <x:v>cell section</x:v>
      </x:c>
      <x:c r="D43" s="7" t="str">
        <x:v>RFP-A2-CS-11</x:v>
      </x:c>
      <x:c r="E43" s="7" t="str">
        <x:v>Cell Sections!J37</x:v>
      </x:c>
      <x:c r="F43" s="7" t="str">
        <x:f>'Cell Sections'!J37</x:f>
        <x:v>OPEN</x:v>
      </x:c>
    </x:row>
    <x:row r="44">
      <x:c r="B44" s="7" t="str">
        <x:v>PHY-0038</x:v>
      </x:c>
      <x:c r="C44" s="7" t="str">
        <x:v>cell section</x:v>
      </x:c>
      <x:c r="D44" s="7" t="str">
        <x:v>RFP-A2-CS-12</x:v>
      </x:c>
      <x:c r="E44" s="7" t="str">
        <x:v>Cell Sections!J38</x:v>
      </x:c>
      <x:c r="F44" s="7" t="str">
        <x:f>'Cell Sections'!J38</x:f>
        <x:v>OPEN</x:v>
      </x:c>
    </x:row>
    <x:row r="45">
      <x:c r="B45" s="7" t="str">
        <x:v>PHY-0039</x:v>
      </x:c>
      <x:c r="C45" s="7" t="str">
        <x:v>cell section</x:v>
      </x:c>
      <x:c r="D45" s="7" t="str">
        <x:v>RFP-A2-CS-13</x:v>
      </x:c>
      <x:c r="E45" s="7" t="str">
        <x:v>Cell Sections!J39</x:v>
      </x:c>
      <x:c r="F45" s="7" t="str">
        <x:f>'Cell Sections'!J39</x:f>
        <x:v>OPEN</x:v>
      </x:c>
    </x:row>
    <x:row r="46">
      <x:c r="B46" s="7" t="str">
        <x:v>PHY-0040</x:v>
      </x:c>
      <x:c r="C46" s="7" t="str">
        <x:v>cell section</x:v>
      </x:c>
      <x:c r="D46" s="7" t="str">
        <x:v>RFP-A2-CS-14</x:v>
      </x:c>
      <x:c r="E46" s="7" t="str">
        <x:v>Cell Sections!J40</x:v>
      </x:c>
      <x:c r="F46" s="7" t="str">
        <x:f>'Cell Sections'!J40</x:f>
        <x:v>OPEN</x:v>
      </x:c>
    </x:row>
    <x:row r="47">
      <x:c r="B47" s="7" t="str">
        <x:v>PHY-0041</x:v>
      </x:c>
      <x:c r="C47" s="7" t="str">
        <x:v>cell section</x:v>
      </x:c>
      <x:c r="D47" s="7" t="str">
        <x:v>RFP-A2-CS-15</x:v>
      </x:c>
      <x:c r="E47" s="7" t="str">
        <x:v>Cell Sections!J41</x:v>
      </x:c>
      <x:c r="F47" s="7" t="str">
        <x:f>'Cell Sections'!J41</x:f>
        <x:v>OPEN</x:v>
      </x:c>
    </x:row>
    <x:row r="48">
      <x:c r="B48" s="7" t="str">
        <x:v>PHY-0042</x:v>
      </x:c>
      <x:c r="C48" s="7" t="str">
        <x:v>cell section</x:v>
      </x:c>
      <x:c r="D48" s="7" t="str">
        <x:v>RFP-A2-CS-16</x:v>
      </x:c>
      <x:c r="E48" s="7" t="str">
        <x:v>Cell Sections!J42</x:v>
      </x:c>
      <x:c r="F48" s="7" t="str">
        <x:f>'Cell Sections'!J42</x:f>
        <x:v>OPEN</x:v>
      </x:c>
    </x:row>
    <x:row r="49">
      <x:c r="B49" s="7" t="str">
        <x:v>PHY-0043</x:v>
      </x:c>
      <x:c r="C49" s="7" t="str">
        <x:v>cell section</x:v>
      </x:c>
      <x:c r="D49" s="7" t="str">
        <x:v>RFP-A2-CS-17</x:v>
      </x:c>
      <x:c r="E49" s="7" t="str">
        <x:v>Cell Sections!J43</x:v>
      </x:c>
      <x:c r="F49" s="7" t="str">
        <x:f>'Cell Sections'!J43</x:f>
        <x:v>OPEN</x:v>
      </x:c>
    </x:row>
    <x:row r="50">
      <x:c r="B50" s="7" t="str">
        <x:v>PHY-0044</x:v>
      </x:c>
      <x:c r="C50" s="7" t="str">
        <x:v>cell section</x:v>
      </x:c>
      <x:c r="D50" s="7" t="str">
        <x:v>RFP-A2-CS-18</x:v>
      </x:c>
      <x:c r="E50" s="7" t="str">
        <x:v>Cell Sections!J44</x:v>
      </x:c>
      <x:c r="F50" s="7" t="str">
        <x:f>'Cell Sections'!J44</x:f>
        <x:v>OPEN</x:v>
      </x:c>
    </x:row>
    <x:row r="51">
      <x:c r="B51" s="7" t="str">
        <x:v>PHY-0045</x:v>
      </x:c>
      <x:c r="C51" s="7" t="str">
        <x:v>cell section</x:v>
      </x:c>
      <x:c r="D51" s="7" t="str">
        <x:v>RFP-A2-CS-19</x:v>
      </x:c>
      <x:c r="E51" s="7" t="str">
        <x:v>Cell Sections!J45</x:v>
      </x:c>
      <x:c r="F51" s="7" t="str">
        <x:f>'Cell Sections'!J45</x:f>
        <x:v>OPEN</x:v>
      </x:c>
    </x:row>
    <x:row r="52">
      <x:c r="B52" s="7" t="str">
        <x:v>PHY-0046</x:v>
      </x:c>
      <x:c r="C52" s="7" t="str">
        <x:v>cell section</x:v>
      </x:c>
      <x:c r="D52" s="7" t="str">
        <x:v>RFP-A2-CS-20</x:v>
      </x:c>
      <x:c r="E52" s="7" t="str">
        <x:v>Cell Sections!J46</x:v>
      </x:c>
      <x:c r="F52" s="7" t="str">
        <x:f>'Cell Sections'!J46</x:f>
        <x:v>OPEN</x:v>
      </x:c>
    </x:row>
    <x:row r="53">
      <x:c r="B53" s="7" t="str">
        <x:v>PHY-0047</x:v>
      </x:c>
      <x:c r="C53" s="7" t="str">
        <x:v>cell section</x:v>
      </x:c>
      <x:c r="D53" s="7" t="str">
        <x:v>RFP-B1-CS-01</x:v>
      </x:c>
      <x:c r="E53" s="7" t="str">
        <x:v>Cell Sections!J47</x:v>
      </x:c>
      <x:c r="F53" s="7" t="str">
        <x:f>'Cell Sections'!J47</x:f>
        <x:v>OPEN</x:v>
      </x:c>
    </x:row>
    <x:row r="54">
      <x:c r="B54" s="7" t="str">
        <x:v>PHY-0048</x:v>
      </x:c>
      <x:c r="C54" s="7" t="str">
        <x:v>cell section</x:v>
      </x:c>
      <x:c r="D54" s="7" t="str">
        <x:v>RFP-B1-CS-02</x:v>
      </x:c>
      <x:c r="E54" s="7" t="str">
        <x:v>Cell Sections!J48</x:v>
      </x:c>
      <x:c r="F54" s="7" t="str">
        <x:f>'Cell Sections'!J48</x:f>
        <x:v>OPEN</x:v>
      </x:c>
    </x:row>
    <x:row r="55">
      <x:c r="B55" s="7" t="str">
        <x:v>PHY-0049</x:v>
      </x:c>
      <x:c r="C55" s="7" t="str">
        <x:v>cell section</x:v>
      </x:c>
      <x:c r="D55" s="7" t="str">
        <x:v>RFP-B1-CS-03</x:v>
      </x:c>
      <x:c r="E55" s="7" t="str">
        <x:v>Cell Sections!J49</x:v>
      </x:c>
      <x:c r="F55" s="7" t="str">
        <x:f>'Cell Sections'!J49</x:f>
        <x:v>OPEN</x:v>
      </x:c>
    </x:row>
    <x:row r="56">
      <x:c r="B56" s="7" t="str">
        <x:v>PHY-0050</x:v>
      </x:c>
      <x:c r="C56" s="7" t="str">
        <x:v>cell section</x:v>
      </x:c>
      <x:c r="D56" s="7" t="str">
        <x:v>RFP-B1-CS-04</x:v>
      </x:c>
      <x:c r="E56" s="7" t="str">
        <x:v>Cell Sections!J50</x:v>
      </x:c>
      <x:c r="F56" s="7" t="str">
        <x:f>'Cell Sections'!J50</x:f>
        <x:v>OPEN</x:v>
      </x:c>
    </x:row>
    <x:row r="57">
      <x:c r="B57" s="7" t="str">
        <x:v>PHY-0051</x:v>
      </x:c>
      <x:c r="C57" s="7" t="str">
        <x:v>cell section</x:v>
      </x:c>
      <x:c r="D57" s="7" t="str">
        <x:v>RFP-B1-CS-05</x:v>
      </x:c>
      <x:c r="E57" s="7" t="str">
        <x:v>Cell Sections!J51</x:v>
      </x:c>
      <x:c r="F57" s="7" t="str">
        <x:f>'Cell Sections'!J51</x:f>
        <x:v>OPEN</x:v>
      </x:c>
    </x:row>
    <x:row r="58">
      <x:c r="B58" s="7" t="str">
        <x:v>PHY-0052</x:v>
      </x:c>
      <x:c r="C58" s="7" t="str">
        <x:v>cell section</x:v>
      </x:c>
      <x:c r="D58" s="7" t="str">
        <x:v>RFP-B1-CS-06</x:v>
      </x:c>
      <x:c r="E58" s="7" t="str">
        <x:v>Cell Sections!J52</x:v>
      </x:c>
      <x:c r="F58" s="7" t="str">
        <x:f>'Cell Sections'!J52</x:f>
        <x:v>OPEN</x:v>
      </x:c>
    </x:row>
    <x:row r="59">
      <x:c r="B59" s="7" t="str">
        <x:v>PHY-0053</x:v>
      </x:c>
      <x:c r="C59" s="7" t="str">
        <x:v>cell section</x:v>
      </x:c>
      <x:c r="D59" s="7" t="str">
        <x:v>RFP-B1-CS-07</x:v>
      </x:c>
      <x:c r="E59" s="7" t="str">
        <x:v>Cell Sections!J53</x:v>
      </x:c>
      <x:c r="F59" s="7" t="str">
        <x:f>'Cell Sections'!J53</x:f>
        <x:v>OPEN</x:v>
      </x:c>
    </x:row>
    <x:row r="60">
      <x:c r="B60" s="7" t="str">
        <x:v>PHY-0054</x:v>
      </x:c>
      <x:c r="C60" s="7" t="str">
        <x:v>cell section</x:v>
      </x:c>
      <x:c r="D60" s="7" t="str">
        <x:v>RFP-B1-CS-08</x:v>
      </x:c>
      <x:c r="E60" s="7" t="str">
        <x:v>Cell Sections!J54</x:v>
      </x:c>
      <x:c r="F60" s="7" t="str">
        <x:f>'Cell Sections'!J54</x:f>
        <x:v>OPEN</x:v>
      </x:c>
    </x:row>
    <x:row r="61">
      <x:c r="B61" s="7" t="str">
        <x:v>PHY-0055</x:v>
      </x:c>
      <x:c r="C61" s="7" t="str">
        <x:v>cell section</x:v>
      </x:c>
      <x:c r="D61" s="7" t="str">
        <x:v>RFP-B1-CS-09</x:v>
      </x:c>
      <x:c r="E61" s="7" t="str">
        <x:v>Cell Sections!J55</x:v>
      </x:c>
      <x:c r="F61" s="7" t="str">
        <x:f>'Cell Sections'!J55</x:f>
        <x:v>OPEN</x:v>
      </x:c>
    </x:row>
    <x:row r="62">
      <x:c r="B62" s="7" t="str">
        <x:v>PHY-0056</x:v>
      </x:c>
      <x:c r="C62" s="7" t="str">
        <x:v>cell section</x:v>
      </x:c>
      <x:c r="D62" s="7" t="str">
        <x:v>RFP-B1-CS-10</x:v>
      </x:c>
      <x:c r="E62" s="7" t="str">
        <x:v>Cell Sections!J56</x:v>
      </x:c>
      <x:c r="F62" s="7" t="str">
        <x:f>'Cell Sections'!J56</x:f>
        <x:v>OPEN</x:v>
      </x:c>
    </x:row>
    <x:row r="63">
      <x:c r="B63" s="7" t="str">
        <x:v>PHY-0057</x:v>
      </x:c>
      <x:c r="C63" s="7" t="str">
        <x:v>cell section</x:v>
      </x:c>
      <x:c r="D63" s="7" t="str">
        <x:v>RFP-B1-CS-11</x:v>
      </x:c>
      <x:c r="E63" s="7" t="str">
        <x:v>Cell Sections!J57</x:v>
      </x:c>
      <x:c r="F63" s="7" t="str">
        <x:f>'Cell Sections'!J57</x:f>
        <x:v>OPEN</x:v>
      </x:c>
    </x:row>
    <x:row r="64">
      <x:c r="B64" s="7" t="str">
        <x:v>PHY-0058</x:v>
      </x:c>
      <x:c r="C64" s="7" t="str">
        <x:v>cell section</x:v>
      </x:c>
      <x:c r="D64" s="7" t="str">
        <x:v>RFP-B1-CS-12</x:v>
      </x:c>
      <x:c r="E64" s="7" t="str">
        <x:v>Cell Sections!J58</x:v>
      </x:c>
      <x:c r="F64" s="7" t="str">
        <x:f>'Cell Sections'!J58</x:f>
        <x:v>OPEN</x:v>
      </x:c>
    </x:row>
    <x:row r="65">
      <x:c r="B65" s="7" t="str">
        <x:v>PHY-0059</x:v>
      </x:c>
      <x:c r="C65" s="7" t="str">
        <x:v>cell section</x:v>
      </x:c>
      <x:c r="D65" s="7" t="str">
        <x:v>RFP-B1-CS-13</x:v>
      </x:c>
      <x:c r="E65" s="7" t="str">
        <x:v>Cell Sections!J59</x:v>
      </x:c>
      <x:c r="F65" s="7" t="str">
        <x:f>'Cell Sections'!J59</x:f>
        <x:v>OPEN</x:v>
      </x:c>
    </x:row>
    <x:row r="66">
      <x:c r="B66" s="7" t="str">
        <x:v>PHY-0060</x:v>
      </x:c>
      <x:c r="C66" s="7" t="str">
        <x:v>cell section</x:v>
      </x:c>
      <x:c r="D66" s="7" t="str">
        <x:v>RFP-B1-CS-14</x:v>
      </x:c>
      <x:c r="E66" s="7" t="str">
        <x:v>Cell Sections!J60</x:v>
      </x:c>
      <x:c r="F66" s="7" t="str">
        <x:f>'Cell Sections'!J60</x:f>
        <x:v>OPEN</x:v>
      </x:c>
    </x:row>
    <x:row r="67">
      <x:c r="B67" s="7" t="str">
        <x:v>PHY-0061</x:v>
      </x:c>
      <x:c r="C67" s="7" t="str">
        <x:v>cell section</x:v>
      </x:c>
      <x:c r="D67" s="7" t="str">
        <x:v>RFP-B1-CS-15</x:v>
      </x:c>
      <x:c r="E67" s="7" t="str">
        <x:v>Cell Sections!J61</x:v>
      </x:c>
      <x:c r="F67" s="7" t="str">
        <x:f>'Cell Sections'!J61</x:f>
        <x:v>OPEN</x:v>
      </x:c>
    </x:row>
    <x:row r="68">
      <x:c r="B68" s="7" t="str">
        <x:v>PHY-0062</x:v>
      </x:c>
      <x:c r="C68" s="7" t="str">
        <x:v>cell section</x:v>
      </x:c>
      <x:c r="D68" s="7" t="str">
        <x:v>RFP-B1-CS-16</x:v>
      </x:c>
      <x:c r="E68" s="7" t="str">
        <x:v>Cell Sections!J62</x:v>
      </x:c>
      <x:c r="F68" s="7" t="str">
        <x:f>'Cell Sections'!J62</x:f>
        <x:v>OPEN</x:v>
      </x:c>
    </x:row>
    <x:row r="69">
      <x:c r="B69" s="7" t="str">
        <x:v>PHY-0063</x:v>
      </x:c>
      <x:c r="C69" s="7" t="str">
        <x:v>cell section</x:v>
      </x:c>
      <x:c r="D69" s="7" t="str">
        <x:v>RFP-B1-CS-17</x:v>
      </x:c>
      <x:c r="E69" s="7" t="str">
        <x:v>Cell Sections!J63</x:v>
      </x:c>
      <x:c r="F69" s="7" t="str">
        <x:f>'Cell Sections'!J63</x:f>
        <x:v>OPEN</x:v>
      </x:c>
    </x:row>
    <x:row r="70">
      <x:c r="B70" s="7" t="str">
        <x:v>PHY-0064</x:v>
      </x:c>
      <x:c r="C70" s="7" t="str">
        <x:v>cell section</x:v>
      </x:c>
      <x:c r="D70" s="7" t="str">
        <x:v>RFP-B1-CS-18</x:v>
      </x:c>
      <x:c r="E70" s="7" t="str">
        <x:v>Cell Sections!J64</x:v>
      </x:c>
      <x:c r="F70" s="7" t="str">
        <x:f>'Cell Sections'!J64</x:f>
        <x:v>OPEN</x:v>
      </x:c>
    </x:row>
    <x:row r="71">
      <x:c r="B71" s="7" t="str">
        <x:v>PHY-0065</x:v>
      </x:c>
      <x:c r="C71" s="7" t="str">
        <x:v>cell section</x:v>
      </x:c>
      <x:c r="D71" s="7" t="str">
        <x:v>RFP-B1-CS-19</x:v>
      </x:c>
      <x:c r="E71" s="7" t="str">
        <x:v>Cell Sections!J65</x:v>
      </x:c>
      <x:c r="F71" s="7" t="str">
        <x:f>'Cell Sections'!J65</x:f>
        <x:v>OPEN</x:v>
      </x:c>
    </x:row>
    <x:row r="72">
      <x:c r="B72" s="7" t="str">
        <x:v>PHY-0066</x:v>
      </x:c>
      <x:c r="C72" s="7" t="str">
        <x:v>cell section</x:v>
      </x:c>
      <x:c r="D72" s="7" t="str">
        <x:v>RFP-B1-CS-20</x:v>
      </x:c>
      <x:c r="E72" s="7" t="str">
        <x:v>Cell Sections!J66</x:v>
      </x:c>
      <x:c r="F72" s="7" t="str">
        <x:f>'Cell Sections'!J66</x:f>
        <x:v>OPEN</x:v>
      </x:c>
    </x:row>
    <x:row r="73">
      <x:c r="B73" s="7" t="str">
        <x:v>PHY-0067</x:v>
      </x:c>
      <x:c r="C73" s="7" t="str">
        <x:v>cell section</x:v>
      </x:c>
      <x:c r="D73" s="7" t="str">
        <x:v>RFP-B2-CS-01</x:v>
      </x:c>
      <x:c r="E73" s="7" t="str">
        <x:v>Cell Sections!J67</x:v>
      </x:c>
      <x:c r="F73" s="7" t="str">
        <x:f>'Cell Sections'!J67</x:f>
        <x:v>OPEN</x:v>
      </x:c>
    </x:row>
    <x:row r="74">
      <x:c r="B74" s="7" t="str">
        <x:v>PHY-0068</x:v>
      </x:c>
      <x:c r="C74" s="7" t="str">
        <x:v>cell section</x:v>
      </x:c>
      <x:c r="D74" s="7" t="str">
        <x:v>RFP-B2-CS-02</x:v>
      </x:c>
      <x:c r="E74" s="7" t="str">
        <x:v>Cell Sections!J68</x:v>
      </x:c>
      <x:c r="F74" s="7" t="str">
        <x:f>'Cell Sections'!J68</x:f>
        <x:v>OPEN</x:v>
      </x:c>
    </x:row>
    <x:row r="75">
      <x:c r="B75" s="7" t="str">
        <x:v>PHY-0069</x:v>
      </x:c>
      <x:c r="C75" s="7" t="str">
        <x:v>cell section</x:v>
      </x:c>
      <x:c r="D75" s="7" t="str">
        <x:v>RFP-B2-CS-03</x:v>
      </x:c>
      <x:c r="E75" s="7" t="str">
        <x:v>Cell Sections!J69</x:v>
      </x:c>
      <x:c r="F75" s="7" t="str">
        <x:f>'Cell Sections'!J69</x:f>
        <x:v>OPEN</x:v>
      </x:c>
    </x:row>
    <x:row r="76">
      <x:c r="B76" s="7" t="str">
        <x:v>PHY-0070</x:v>
      </x:c>
      <x:c r="C76" s="7" t="str">
        <x:v>cell section</x:v>
      </x:c>
      <x:c r="D76" s="7" t="str">
        <x:v>RFP-B2-CS-04</x:v>
      </x:c>
      <x:c r="E76" s="7" t="str">
        <x:v>Cell Sections!J70</x:v>
      </x:c>
      <x:c r="F76" s="7" t="str">
        <x:f>'Cell Sections'!J70</x:f>
        <x:v>OPEN</x:v>
      </x:c>
    </x:row>
    <x:row r="77">
      <x:c r="B77" s="7" t="str">
        <x:v>PHY-0071</x:v>
      </x:c>
      <x:c r="C77" s="7" t="str">
        <x:v>cell section</x:v>
      </x:c>
      <x:c r="D77" s="7" t="str">
        <x:v>RFP-B2-CS-05</x:v>
      </x:c>
      <x:c r="E77" s="7" t="str">
        <x:v>Cell Sections!J71</x:v>
      </x:c>
      <x:c r="F77" s="7" t="str">
        <x:f>'Cell Sections'!J71</x:f>
        <x:v>OPEN</x:v>
      </x:c>
    </x:row>
    <x:row r="78">
      <x:c r="B78" s="7" t="str">
        <x:v>PHY-0072</x:v>
      </x:c>
      <x:c r="C78" s="7" t="str">
        <x:v>cell section</x:v>
      </x:c>
      <x:c r="D78" s="7" t="str">
        <x:v>RFP-B2-CS-06</x:v>
      </x:c>
      <x:c r="E78" s="7" t="str">
        <x:v>Cell Sections!J72</x:v>
      </x:c>
      <x:c r="F78" s="7" t="str">
        <x:f>'Cell Sections'!J72</x:f>
        <x:v>OPEN</x:v>
      </x:c>
    </x:row>
    <x:row r="79">
      <x:c r="B79" s="7" t="str">
        <x:v>PHY-0073</x:v>
      </x:c>
      <x:c r="C79" s="7" t="str">
        <x:v>cell section</x:v>
      </x:c>
      <x:c r="D79" s="7" t="str">
        <x:v>RFP-B2-CS-07</x:v>
      </x:c>
      <x:c r="E79" s="7" t="str">
        <x:v>Cell Sections!J73</x:v>
      </x:c>
      <x:c r="F79" s="7" t="str">
        <x:f>'Cell Sections'!J73</x:f>
        <x:v>OPEN</x:v>
      </x:c>
    </x:row>
    <x:row r="80">
      <x:c r="B80" s="7" t="str">
        <x:v>PHY-0074</x:v>
      </x:c>
      <x:c r="C80" s="7" t="str">
        <x:v>cell section</x:v>
      </x:c>
      <x:c r="D80" s="7" t="str">
        <x:v>RFP-B2-CS-08</x:v>
      </x:c>
      <x:c r="E80" s="7" t="str">
        <x:v>Cell Sections!J74</x:v>
      </x:c>
      <x:c r="F80" s="7" t="str">
        <x:f>'Cell Sections'!J74</x:f>
        <x:v>OPEN</x:v>
      </x:c>
    </x:row>
    <x:row r="81">
      <x:c r="B81" s="7" t="str">
        <x:v>PHY-0075</x:v>
      </x:c>
      <x:c r="C81" s="7" t="str">
        <x:v>cell section</x:v>
      </x:c>
      <x:c r="D81" s="7" t="str">
        <x:v>RFP-B2-CS-09</x:v>
      </x:c>
      <x:c r="E81" s="7" t="str">
        <x:v>Cell Sections!J75</x:v>
      </x:c>
      <x:c r="F81" s="7" t="str">
        <x:f>'Cell Sections'!J75</x:f>
        <x:v>OPEN</x:v>
      </x:c>
    </x:row>
    <x:row r="82">
      <x:c r="B82" s="7" t="str">
        <x:v>PHY-0076</x:v>
      </x:c>
      <x:c r="C82" s="7" t="str">
        <x:v>cell section</x:v>
      </x:c>
      <x:c r="D82" s="7" t="str">
        <x:v>RFP-B2-CS-10</x:v>
      </x:c>
      <x:c r="E82" s="7" t="str">
        <x:v>Cell Sections!J76</x:v>
      </x:c>
      <x:c r="F82" s="7" t="str">
        <x:f>'Cell Sections'!J76</x:f>
        <x:v>OPEN</x:v>
      </x:c>
    </x:row>
    <x:row r="83">
      <x:c r="B83" s="7" t="str">
        <x:v>PHY-0077</x:v>
      </x:c>
      <x:c r="C83" s="7" t="str">
        <x:v>cell section</x:v>
      </x:c>
      <x:c r="D83" s="7" t="str">
        <x:v>RFP-B2-CS-11</x:v>
      </x:c>
      <x:c r="E83" s="7" t="str">
        <x:v>Cell Sections!J77</x:v>
      </x:c>
      <x:c r="F83" s="7" t="str">
        <x:f>'Cell Sections'!J77</x:f>
        <x:v>OPEN</x:v>
      </x:c>
    </x:row>
    <x:row r="84">
      <x:c r="B84" s="7" t="str">
        <x:v>PHY-0078</x:v>
      </x:c>
      <x:c r="C84" s="7" t="str">
        <x:v>cell section</x:v>
      </x:c>
      <x:c r="D84" s="7" t="str">
        <x:v>RFP-B2-CS-12</x:v>
      </x:c>
      <x:c r="E84" s="7" t="str">
        <x:v>Cell Sections!J78</x:v>
      </x:c>
      <x:c r="F84" s="7" t="str">
        <x:f>'Cell Sections'!J78</x:f>
        <x:v>OPEN</x:v>
      </x:c>
    </x:row>
    <x:row r="85">
      <x:c r="B85" s="7" t="str">
        <x:v>PHY-0079</x:v>
      </x:c>
      <x:c r="C85" s="7" t="str">
        <x:v>cell section</x:v>
      </x:c>
      <x:c r="D85" s="7" t="str">
        <x:v>RFP-B2-CS-13</x:v>
      </x:c>
      <x:c r="E85" s="7" t="str">
        <x:v>Cell Sections!J79</x:v>
      </x:c>
      <x:c r="F85" s="7" t="str">
        <x:f>'Cell Sections'!J79</x:f>
        <x:v>OPEN</x:v>
      </x:c>
    </x:row>
    <x:row r="86">
      <x:c r="B86" s="7" t="str">
        <x:v>PHY-0080</x:v>
      </x:c>
      <x:c r="C86" s="7" t="str">
        <x:v>cell section</x:v>
      </x:c>
      <x:c r="D86" s="7" t="str">
        <x:v>RFP-B2-CS-14</x:v>
      </x:c>
      <x:c r="E86" s="7" t="str">
        <x:v>Cell Sections!J80</x:v>
      </x:c>
      <x:c r="F86" s="7" t="str">
        <x:f>'Cell Sections'!J80</x:f>
        <x:v>OPEN</x:v>
      </x:c>
    </x:row>
    <x:row r="87">
      <x:c r="B87" s="7" t="str">
        <x:v>PHY-0081</x:v>
      </x:c>
      <x:c r="C87" s="7" t="str">
        <x:v>cell section</x:v>
      </x:c>
      <x:c r="D87" s="7" t="str">
        <x:v>RFP-B2-CS-15</x:v>
      </x:c>
      <x:c r="E87" s="7" t="str">
        <x:v>Cell Sections!J81</x:v>
      </x:c>
      <x:c r="F87" s="7" t="str">
        <x:f>'Cell Sections'!J81</x:f>
        <x:v>OPEN</x:v>
      </x:c>
    </x:row>
    <x:row r="88">
      <x:c r="B88" s="7" t="str">
        <x:v>PHY-0082</x:v>
      </x:c>
      <x:c r="C88" s="7" t="str">
        <x:v>cell section</x:v>
      </x:c>
      <x:c r="D88" s="7" t="str">
        <x:v>RFP-B2-CS-16</x:v>
      </x:c>
      <x:c r="E88" s="7" t="str">
        <x:v>Cell Sections!J82</x:v>
      </x:c>
      <x:c r="F88" s="7" t="str">
        <x:f>'Cell Sections'!J82</x:f>
        <x:v>OPEN</x:v>
      </x:c>
    </x:row>
    <x:row r="89">
      <x:c r="B89" s="7" t="str">
        <x:v>PHY-0083</x:v>
      </x:c>
      <x:c r="C89" s="7" t="str">
        <x:v>cell section</x:v>
      </x:c>
      <x:c r="D89" s="7" t="str">
        <x:v>RFP-B2-CS-17</x:v>
      </x:c>
      <x:c r="E89" s="7" t="str">
        <x:v>Cell Sections!J83</x:v>
      </x:c>
      <x:c r="F89" s="7" t="str">
        <x:f>'Cell Sections'!J83</x:f>
        <x:v>OPEN</x:v>
      </x:c>
    </x:row>
    <x:row r="90">
      <x:c r="B90" s="7" t="str">
        <x:v>PHY-0084</x:v>
      </x:c>
      <x:c r="C90" s="7" t="str">
        <x:v>cell section</x:v>
      </x:c>
      <x:c r="D90" s="7" t="str">
        <x:v>RFP-B2-CS-18</x:v>
      </x:c>
      <x:c r="E90" s="7" t="str">
        <x:v>Cell Sections!J84</x:v>
      </x:c>
      <x:c r="F90" s="7" t="str">
        <x:f>'Cell Sections'!J84</x:f>
        <x:v>OPEN</x:v>
      </x:c>
    </x:row>
    <x:row r="91">
      <x:c r="B91" s="7" t="str">
        <x:v>PHY-0085</x:v>
      </x:c>
      <x:c r="C91" s="7" t="str">
        <x:v>cell section</x:v>
      </x:c>
      <x:c r="D91" s="7" t="str">
        <x:v>RFP-B2-CS-19</x:v>
      </x:c>
      <x:c r="E91" s="7" t="str">
        <x:v>Cell Sections!J85</x:v>
      </x:c>
      <x:c r="F91" s="7" t="str">
        <x:f>'Cell Sections'!J85</x:f>
        <x:v>OPEN</x:v>
      </x:c>
    </x:row>
    <x:row r="92">
      <x:c r="B92" s="7" t="str">
        <x:v>PHY-0086</x:v>
      </x:c>
      <x:c r="C92" s="7" t="str">
        <x:v>cell section</x:v>
      </x:c>
      <x:c r="D92" s="7" t="str">
        <x:v>RFP-B2-CS-20</x:v>
      </x:c>
      <x:c r="E92" s="7" t="str">
        <x:v>Cell Sections!J86</x:v>
      </x:c>
      <x:c r="F92" s="7" t="str">
        <x:f>'Cell Sections'!J86</x:f>
        <x:v>OPEN</x:v>
      </x:c>
    </x:row>
    <x:row r="93">
      <x:c r="B93" s="7" t="str">
        <x:v>PHY-0087</x:v>
      </x:c>
      <x:c r="C93" s="7" t="str">
        <x:v>cell section</x:v>
      </x:c>
      <x:c r="D93" s="7" t="str">
        <x:v>RFP-C1-CS-01</x:v>
      </x:c>
      <x:c r="E93" s="7" t="str">
        <x:v>Cell Sections!J87</x:v>
      </x:c>
      <x:c r="F93" s="7" t="str">
        <x:f>'Cell Sections'!J87</x:f>
        <x:v>OPEN</x:v>
      </x:c>
    </x:row>
    <x:row r="94">
      <x:c r="B94" s="7" t="str">
        <x:v>PHY-0088</x:v>
      </x:c>
      <x:c r="C94" s="7" t="str">
        <x:v>cell section</x:v>
      </x:c>
      <x:c r="D94" s="7" t="str">
        <x:v>RFP-C1-CS-02</x:v>
      </x:c>
      <x:c r="E94" s="7" t="str">
        <x:v>Cell Sections!J88</x:v>
      </x:c>
      <x:c r="F94" s="7" t="str">
        <x:f>'Cell Sections'!J88</x:f>
        <x:v>OPEN</x:v>
      </x:c>
    </x:row>
    <x:row r="95">
      <x:c r="B95" s="7" t="str">
        <x:v>PHY-0089</x:v>
      </x:c>
      <x:c r="C95" s="7" t="str">
        <x:v>cell section</x:v>
      </x:c>
      <x:c r="D95" s="7" t="str">
        <x:v>RFP-C1-CS-03</x:v>
      </x:c>
      <x:c r="E95" s="7" t="str">
        <x:v>Cell Sections!J89</x:v>
      </x:c>
      <x:c r="F95" s="7" t="str">
        <x:f>'Cell Sections'!J89</x:f>
        <x:v>OPEN</x:v>
      </x:c>
    </x:row>
    <x:row r="96">
      <x:c r="B96" s="7" t="str">
        <x:v>PHY-0090</x:v>
      </x:c>
      <x:c r="C96" s="7" t="str">
        <x:v>cell section</x:v>
      </x:c>
      <x:c r="D96" s="7" t="str">
        <x:v>RFP-C1-CS-04</x:v>
      </x:c>
      <x:c r="E96" s="7" t="str">
        <x:v>Cell Sections!J90</x:v>
      </x:c>
      <x:c r="F96" s="7" t="str">
        <x:f>'Cell Sections'!J90</x:f>
        <x:v>OPEN</x:v>
      </x:c>
    </x:row>
    <x:row r="97">
      <x:c r="B97" s="7" t="str">
        <x:v>PHY-0091</x:v>
      </x:c>
      <x:c r="C97" s="7" t="str">
        <x:v>cell section</x:v>
      </x:c>
      <x:c r="D97" s="7" t="str">
        <x:v>RFP-C1-CS-05</x:v>
      </x:c>
      <x:c r="E97" s="7" t="str">
        <x:v>Cell Sections!J91</x:v>
      </x:c>
      <x:c r="F97" s="7" t="str">
        <x:f>'Cell Sections'!J91</x:f>
        <x:v>OPEN</x:v>
      </x:c>
    </x:row>
    <x:row r="98">
      <x:c r="B98" s="7" t="str">
        <x:v>PHY-0092</x:v>
      </x:c>
      <x:c r="C98" s="7" t="str">
        <x:v>cell section</x:v>
      </x:c>
      <x:c r="D98" s="7" t="str">
        <x:v>RFP-C1-CS-06</x:v>
      </x:c>
      <x:c r="E98" s="7" t="str">
        <x:v>Cell Sections!J92</x:v>
      </x:c>
      <x:c r="F98" s="7" t="str">
        <x:f>'Cell Sections'!J92</x:f>
        <x:v>OPEN</x:v>
      </x:c>
    </x:row>
    <x:row r="99">
      <x:c r="B99" s="7" t="str">
        <x:v>PHY-0093</x:v>
      </x:c>
      <x:c r="C99" s="7" t="str">
        <x:v>cell section</x:v>
      </x:c>
      <x:c r="D99" s="7" t="str">
        <x:v>RFP-C1-CS-07</x:v>
      </x:c>
      <x:c r="E99" s="7" t="str">
        <x:v>Cell Sections!J93</x:v>
      </x:c>
      <x:c r="F99" s="7" t="str">
        <x:f>'Cell Sections'!J93</x:f>
        <x:v>OPEN</x:v>
      </x:c>
    </x:row>
    <x:row r="100">
      <x:c r="B100" s="7" t="str">
        <x:v>PHY-0094</x:v>
      </x:c>
      <x:c r="C100" s="7" t="str">
        <x:v>cell section</x:v>
      </x:c>
      <x:c r="D100" s="7" t="str">
        <x:v>RFP-C1-CS-08</x:v>
      </x:c>
      <x:c r="E100" s="7" t="str">
        <x:v>Cell Sections!J94</x:v>
      </x:c>
      <x:c r="F100" s="7" t="str">
        <x:f>'Cell Sections'!J94</x:f>
        <x:v>OPEN</x:v>
      </x:c>
    </x:row>
    <x:row r="101">
      <x:c r="B101" s="7" t="str">
        <x:v>PHY-0095</x:v>
      </x:c>
      <x:c r="C101" s="7" t="str">
        <x:v>cell section</x:v>
      </x:c>
      <x:c r="D101" s="7" t="str">
        <x:v>RFP-C1-CS-09</x:v>
      </x:c>
      <x:c r="E101" s="7" t="str">
        <x:v>Cell Sections!J95</x:v>
      </x:c>
      <x:c r="F101" s="7" t="str">
        <x:f>'Cell Sections'!J95</x:f>
        <x:v>OPEN</x:v>
      </x:c>
    </x:row>
    <x:row r="102">
      <x:c r="B102" s="7" t="str">
        <x:v>PHY-0096</x:v>
      </x:c>
      <x:c r="C102" s="7" t="str">
        <x:v>cell section</x:v>
      </x:c>
      <x:c r="D102" s="7" t="str">
        <x:v>RFP-C1-CS-10</x:v>
      </x:c>
      <x:c r="E102" s="7" t="str">
        <x:v>Cell Sections!J96</x:v>
      </x:c>
      <x:c r="F102" s="7" t="str">
        <x:f>'Cell Sections'!J96</x:f>
        <x:v>OPEN</x:v>
      </x:c>
    </x:row>
    <x:row r="103">
      <x:c r="B103" s="7" t="str">
        <x:v>PHY-0097</x:v>
      </x:c>
      <x:c r="C103" s="7" t="str">
        <x:v>cell section</x:v>
      </x:c>
      <x:c r="D103" s="7" t="str">
        <x:v>RFP-C1-CS-11</x:v>
      </x:c>
      <x:c r="E103" s="7" t="str">
        <x:v>Cell Sections!J97</x:v>
      </x:c>
      <x:c r="F103" s="7" t="str">
        <x:f>'Cell Sections'!J97</x:f>
        <x:v>OPEN</x:v>
      </x:c>
    </x:row>
    <x:row r="104">
      <x:c r="B104" s="7" t="str">
        <x:v>PHY-0098</x:v>
      </x:c>
      <x:c r="C104" s="7" t="str">
        <x:v>cell section</x:v>
      </x:c>
      <x:c r="D104" s="7" t="str">
        <x:v>RFP-C1-CS-12</x:v>
      </x:c>
      <x:c r="E104" s="7" t="str">
        <x:v>Cell Sections!J98</x:v>
      </x:c>
      <x:c r="F104" s="7" t="str">
        <x:f>'Cell Sections'!J98</x:f>
        <x:v>OPEN</x:v>
      </x:c>
    </x:row>
    <x:row r="105">
      <x:c r="B105" s="7" t="str">
        <x:v>PHY-0099</x:v>
      </x:c>
      <x:c r="C105" s="7" t="str">
        <x:v>cell section</x:v>
      </x:c>
      <x:c r="D105" s="7" t="str">
        <x:v>RFP-C1-CS-13</x:v>
      </x:c>
      <x:c r="E105" s="7" t="str">
        <x:v>Cell Sections!J99</x:v>
      </x:c>
      <x:c r="F105" s="7" t="str">
        <x:f>'Cell Sections'!J99</x:f>
        <x:v>OPEN</x:v>
      </x:c>
    </x:row>
    <x:row r="106">
      <x:c r="B106" s="7" t="str">
        <x:v>PHY-0100</x:v>
      </x:c>
      <x:c r="C106" s="7" t="str">
        <x:v>cell section</x:v>
      </x:c>
      <x:c r="D106" s="7" t="str">
        <x:v>RFP-C1-CS-14</x:v>
      </x:c>
      <x:c r="E106" s="7" t="str">
        <x:v>Cell Sections!J100</x:v>
      </x:c>
      <x:c r="F106" s="7" t="str">
        <x:f>'Cell Sections'!J100</x:f>
        <x:v>OPEN</x:v>
      </x:c>
    </x:row>
    <x:row r="107">
      <x:c r="B107" s="7" t="str">
        <x:v>PHY-0101</x:v>
      </x:c>
      <x:c r="C107" s="7" t="str">
        <x:v>cell section</x:v>
      </x:c>
      <x:c r="D107" s="7" t="str">
        <x:v>RFP-C1-CS-15</x:v>
      </x:c>
      <x:c r="E107" s="7" t="str">
        <x:v>Cell Sections!J101</x:v>
      </x:c>
      <x:c r="F107" s="7" t="str">
        <x:f>'Cell Sections'!J101</x:f>
        <x:v>OPEN</x:v>
      </x:c>
    </x:row>
    <x:row r="108">
      <x:c r="B108" s="7" t="str">
        <x:v>PHY-0102</x:v>
      </x:c>
      <x:c r="C108" s="7" t="str">
        <x:v>cell section</x:v>
      </x:c>
      <x:c r="D108" s="7" t="str">
        <x:v>RFP-C1-CS-16</x:v>
      </x:c>
      <x:c r="E108" s="7" t="str">
        <x:v>Cell Sections!J102</x:v>
      </x:c>
      <x:c r="F108" s="7" t="str">
        <x:f>'Cell Sections'!J102</x:f>
        <x:v>OPEN</x:v>
      </x:c>
    </x:row>
    <x:row r="109">
      <x:c r="B109" s="7" t="str">
        <x:v>PHY-0103</x:v>
      </x:c>
      <x:c r="C109" s="7" t="str">
        <x:v>cell section</x:v>
      </x:c>
      <x:c r="D109" s="7" t="str">
        <x:v>RFP-C1-CS-17</x:v>
      </x:c>
      <x:c r="E109" s="7" t="str">
        <x:v>Cell Sections!J103</x:v>
      </x:c>
      <x:c r="F109" s="7" t="str">
        <x:f>'Cell Sections'!J103</x:f>
        <x:v>OPEN</x:v>
      </x:c>
    </x:row>
    <x:row r="110">
      <x:c r="B110" s="7" t="str">
        <x:v>PHY-0104</x:v>
      </x:c>
      <x:c r="C110" s="7" t="str">
        <x:v>cell section</x:v>
      </x:c>
      <x:c r="D110" s="7" t="str">
        <x:v>RFP-C1-CS-18</x:v>
      </x:c>
      <x:c r="E110" s="7" t="str">
        <x:v>Cell Sections!J104</x:v>
      </x:c>
      <x:c r="F110" s="7" t="str">
        <x:f>'Cell Sections'!J104</x:f>
        <x:v>OPEN</x:v>
      </x:c>
    </x:row>
    <x:row r="111">
      <x:c r="B111" s="7" t="str">
        <x:v>PHY-0105</x:v>
      </x:c>
      <x:c r="C111" s="7" t="str">
        <x:v>cell section</x:v>
      </x:c>
      <x:c r="D111" s="7" t="str">
        <x:v>RFP-C1-CS-19</x:v>
      </x:c>
      <x:c r="E111" s="7" t="str">
        <x:v>Cell Sections!J105</x:v>
      </x:c>
      <x:c r="F111" s="7" t="str">
        <x:f>'Cell Sections'!J105</x:f>
        <x:v>OPEN</x:v>
      </x:c>
    </x:row>
    <x:row r="112">
      <x:c r="B112" s="7" t="str">
        <x:v>PHY-0106</x:v>
      </x:c>
      <x:c r="C112" s="7" t="str">
        <x:v>cell section</x:v>
      </x:c>
      <x:c r="D112" s="7" t="str">
        <x:v>RFP-C1-CS-20</x:v>
      </x:c>
      <x:c r="E112" s="7" t="str">
        <x:v>Cell Sections!J106</x:v>
      </x:c>
      <x:c r="F112" s="7" t="str">
        <x:f>'Cell Sections'!J106</x:f>
        <x:v>OPEN</x:v>
      </x:c>
    </x:row>
    <x:row r="113">
      <x:c r="B113" s="7" t="str">
        <x:v>PHY-0107</x:v>
      </x:c>
      <x:c r="C113" s="7" t="str">
        <x:v>cell section</x:v>
      </x:c>
      <x:c r="D113" s="7" t="str">
        <x:v>RFP-C2-CS-01</x:v>
      </x:c>
      <x:c r="E113" s="7" t="str">
        <x:v>Cell Sections!J107</x:v>
      </x:c>
      <x:c r="F113" s="7" t="str">
        <x:f>'Cell Sections'!J107</x:f>
        <x:v>OPEN</x:v>
      </x:c>
    </x:row>
    <x:row r="114">
      <x:c r="B114" s="7" t="str">
        <x:v>PHY-0108</x:v>
      </x:c>
      <x:c r="C114" s="7" t="str">
        <x:v>cell section</x:v>
      </x:c>
      <x:c r="D114" s="7" t="str">
        <x:v>RFP-C2-CS-02</x:v>
      </x:c>
      <x:c r="E114" s="7" t="str">
        <x:v>Cell Sections!J108</x:v>
      </x:c>
      <x:c r="F114" s="7" t="str">
        <x:f>'Cell Sections'!J108</x:f>
        <x:v>OPEN</x:v>
      </x:c>
    </x:row>
    <x:row r="115">
      <x:c r="B115" s="7" t="str">
        <x:v>PHY-0109</x:v>
      </x:c>
      <x:c r="C115" s="7" t="str">
        <x:v>cell section</x:v>
      </x:c>
      <x:c r="D115" s="7" t="str">
        <x:v>RFP-C2-CS-03</x:v>
      </x:c>
      <x:c r="E115" s="7" t="str">
        <x:v>Cell Sections!J109</x:v>
      </x:c>
      <x:c r="F115" s="7" t="str">
        <x:f>'Cell Sections'!J109</x:f>
        <x:v>OPEN</x:v>
      </x:c>
    </x:row>
    <x:row r="116">
      <x:c r="B116" s="7" t="str">
        <x:v>PHY-0110</x:v>
      </x:c>
      <x:c r="C116" s="7" t="str">
        <x:v>cell section</x:v>
      </x:c>
      <x:c r="D116" s="7" t="str">
        <x:v>RFP-C2-CS-04</x:v>
      </x:c>
      <x:c r="E116" s="7" t="str">
        <x:v>Cell Sections!J110</x:v>
      </x:c>
      <x:c r="F116" s="7" t="str">
        <x:f>'Cell Sections'!J110</x:f>
        <x:v>OPEN</x:v>
      </x:c>
    </x:row>
    <x:row r="117">
      <x:c r="B117" s="7" t="str">
        <x:v>PHY-0111</x:v>
      </x:c>
      <x:c r="C117" s="7" t="str">
        <x:v>cell section</x:v>
      </x:c>
      <x:c r="D117" s="7" t="str">
        <x:v>RFP-C2-CS-05</x:v>
      </x:c>
      <x:c r="E117" s="7" t="str">
        <x:v>Cell Sections!J111</x:v>
      </x:c>
      <x:c r="F117" s="7" t="str">
        <x:f>'Cell Sections'!J111</x:f>
        <x:v>OPEN</x:v>
      </x:c>
    </x:row>
    <x:row r="118">
      <x:c r="B118" s="7" t="str">
        <x:v>PHY-0112</x:v>
      </x:c>
      <x:c r="C118" s="7" t="str">
        <x:v>cell section</x:v>
      </x:c>
      <x:c r="D118" s="7" t="str">
        <x:v>RFP-C2-CS-06</x:v>
      </x:c>
      <x:c r="E118" s="7" t="str">
        <x:v>Cell Sections!J112</x:v>
      </x:c>
      <x:c r="F118" s="7" t="str">
        <x:f>'Cell Sections'!J112</x:f>
        <x:v>OPEN</x:v>
      </x:c>
    </x:row>
    <x:row r="119">
      <x:c r="B119" s="7" t="str">
        <x:v>PHY-0113</x:v>
      </x:c>
      <x:c r="C119" s="7" t="str">
        <x:v>cell section</x:v>
      </x:c>
      <x:c r="D119" s="7" t="str">
        <x:v>RFP-C2-CS-07</x:v>
      </x:c>
      <x:c r="E119" s="7" t="str">
        <x:v>Cell Sections!J113</x:v>
      </x:c>
      <x:c r="F119" s="7" t="str">
        <x:f>'Cell Sections'!J113</x:f>
        <x:v>OPEN</x:v>
      </x:c>
    </x:row>
    <x:row r="120">
      <x:c r="B120" s="7" t="str">
        <x:v>PHY-0114</x:v>
      </x:c>
      <x:c r="C120" s="7" t="str">
        <x:v>cell section</x:v>
      </x:c>
      <x:c r="D120" s="7" t="str">
        <x:v>RFP-C2-CS-08</x:v>
      </x:c>
      <x:c r="E120" s="7" t="str">
        <x:v>Cell Sections!J114</x:v>
      </x:c>
      <x:c r="F120" s="7" t="str">
        <x:f>'Cell Sections'!J114</x:f>
        <x:v>OPEN</x:v>
      </x:c>
    </x:row>
    <x:row r="121">
      <x:c r="B121" s="7" t="str">
        <x:v>PHY-0115</x:v>
      </x:c>
      <x:c r="C121" s="7" t="str">
        <x:v>cell section</x:v>
      </x:c>
      <x:c r="D121" s="7" t="str">
        <x:v>RFP-C2-CS-09</x:v>
      </x:c>
      <x:c r="E121" s="7" t="str">
        <x:v>Cell Sections!J115</x:v>
      </x:c>
      <x:c r="F121" s="7" t="str">
        <x:f>'Cell Sections'!J115</x:f>
        <x:v>OPEN</x:v>
      </x:c>
    </x:row>
    <x:row r="122">
      <x:c r="B122" s="7" t="str">
        <x:v>PHY-0116</x:v>
      </x:c>
      <x:c r="C122" s="7" t="str">
        <x:v>cell section</x:v>
      </x:c>
      <x:c r="D122" s="7" t="str">
        <x:v>RFP-C2-CS-10</x:v>
      </x:c>
      <x:c r="E122" s="7" t="str">
        <x:v>Cell Sections!J116</x:v>
      </x:c>
      <x:c r="F122" s="7" t="str">
        <x:f>'Cell Sections'!J116</x:f>
        <x:v>OPEN</x:v>
      </x:c>
    </x:row>
    <x:row r="123">
      <x:c r="B123" s="7" t="str">
        <x:v>PHY-0117</x:v>
      </x:c>
      <x:c r="C123" s="7" t="str">
        <x:v>cell section</x:v>
      </x:c>
      <x:c r="D123" s="7" t="str">
        <x:v>RFP-C2-CS-11</x:v>
      </x:c>
      <x:c r="E123" s="7" t="str">
        <x:v>Cell Sections!J117</x:v>
      </x:c>
      <x:c r="F123" s="7" t="str">
        <x:f>'Cell Sections'!J117</x:f>
        <x:v>OPEN</x:v>
      </x:c>
    </x:row>
    <x:row r="124">
      <x:c r="B124" s="7" t="str">
        <x:v>PHY-0118</x:v>
      </x:c>
      <x:c r="C124" s="7" t="str">
        <x:v>cell section</x:v>
      </x:c>
      <x:c r="D124" s="7" t="str">
        <x:v>RFP-C2-CS-12</x:v>
      </x:c>
      <x:c r="E124" s="7" t="str">
        <x:v>Cell Sections!J118</x:v>
      </x:c>
      <x:c r="F124" s="7" t="str">
        <x:f>'Cell Sections'!J118</x:f>
        <x:v>OPEN</x:v>
      </x:c>
    </x:row>
    <x:row r="125">
      <x:c r="B125" s="7" t="str">
        <x:v>PHY-0119</x:v>
      </x:c>
      <x:c r="C125" s="7" t="str">
        <x:v>cell section</x:v>
      </x:c>
      <x:c r="D125" s="7" t="str">
        <x:v>RFP-C2-CS-13</x:v>
      </x:c>
      <x:c r="E125" s="7" t="str">
        <x:v>Cell Sections!J119</x:v>
      </x:c>
      <x:c r="F125" s="7" t="str">
        <x:f>'Cell Sections'!J119</x:f>
        <x:v>OPEN</x:v>
      </x:c>
    </x:row>
    <x:row r="126">
      <x:c r="B126" s="7" t="str">
        <x:v>PHY-0120</x:v>
      </x:c>
      <x:c r="C126" s="7" t="str">
        <x:v>cell section</x:v>
      </x:c>
      <x:c r="D126" s="7" t="str">
        <x:v>RFP-C2-CS-14</x:v>
      </x:c>
      <x:c r="E126" s="7" t="str">
        <x:v>Cell Sections!J120</x:v>
      </x:c>
      <x:c r="F126" s="7" t="str">
        <x:f>'Cell Sections'!J120</x:f>
        <x:v>OPEN</x:v>
      </x:c>
    </x:row>
    <x:row r="127">
      <x:c r="B127" s="7" t="str">
        <x:v>PHY-0121</x:v>
      </x:c>
      <x:c r="C127" s="7" t="str">
        <x:v>cell section</x:v>
      </x:c>
      <x:c r="D127" s="7" t="str">
        <x:v>RFP-C2-CS-15</x:v>
      </x:c>
      <x:c r="E127" s="7" t="str">
        <x:v>Cell Sections!J121</x:v>
      </x:c>
      <x:c r="F127" s="7" t="str">
        <x:f>'Cell Sections'!J121</x:f>
        <x:v>OPEN</x:v>
      </x:c>
    </x:row>
    <x:row r="128">
      <x:c r="B128" s="7" t="str">
        <x:v>PHY-0122</x:v>
      </x:c>
      <x:c r="C128" s="7" t="str">
        <x:v>cell section</x:v>
      </x:c>
      <x:c r="D128" s="7" t="str">
        <x:v>RFP-C2-CS-16</x:v>
      </x:c>
      <x:c r="E128" s="7" t="str">
        <x:v>Cell Sections!J122</x:v>
      </x:c>
      <x:c r="F128" s="7" t="str">
        <x:f>'Cell Sections'!J122</x:f>
        <x:v>OPEN</x:v>
      </x:c>
    </x:row>
    <x:row r="129">
      <x:c r="B129" s="7" t="str">
        <x:v>PHY-0123</x:v>
      </x:c>
      <x:c r="C129" s="7" t="str">
        <x:v>cell section</x:v>
      </x:c>
      <x:c r="D129" s="7" t="str">
        <x:v>RFP-C2-CS-17</x:v>
      </x:c>
      <x:c r="E129" s="7" t="str">
        <x:v>Cell Sections!J123</x:v>
      </x:c>
      <x:c r="F129" s="7" t="str">
        <x:f>'Cell Sections'!J123</x:f>
        <x:v>OPEN</x:v>
      </x:c>
    </x:row>
    <x:row r="130">
      <x:c r="B130" s="7" t="str">
        <x:v>PHY-0124</x:v>
      </x:c>
      <x:c r="C130" s="7" t="str">
        <x:v>cell section</x:v>
      </x:c>
      <x:c r="D130" s="7" t="str">
        <x:v>RFP-C2-CS-18</x:v>
      </x:c>
      <x:c r="E130" s="7" t="str">
        <x:v>Cell Sections!J124</x:v>
      </x:c>
      <x:c r="F130" s="7" t="str">
        <x:f>'Cell Sections'!J124</x:f>
        <x:v>OPEN</x:v>
      </x:c>
    </x:row>
    <x:row r="131">
      <x:c r="B131" s="7" t="str">
        <x:v>PHY-0125</x:v>
      </x:c>
      <x:c r="C131" s="7" t="str">
        <x:v>cell section</x:v>
      </x:c>
      <x:c r="D131" s="7" t="str">
        <x:v>RFP-C2-CS-19</x:v>
      </x:c>
      <x:c r="E131" s="7" t="str">
        <x:v>Cell Sections!J125</x:v>
      </x:c>
      <x:c r="F131" s="7" t="str">
        <x:f>'Cell Sections'!J125</x:f>
        <x:v>OPEN</x:v>
      </x:c>
    </x:row>
    <x:row r="132">
      <x:c r="B132" s="7" t="str">
        <x:v>PHY-0126</x:v>
      </x:c>
      <x:c r="C132" s="7" t="str">
        <x:v>cell section</x:v>
      </x:c>
      <x:c r="D132" s="7" t="str">
        <x:v>RFP-C2-CS-20</x:v>
      </x:c>
      <x:c r="E132" s="7" t="str">
        <x:v>Cell Sections!J126</x:v>
      </x:c>
      <x:c r="F132" s="7" t="str">
        <x:f>'Cell Sections'!J126</x:f>
        <x:v>OPEN</x:v>
      </x:c>
    </x:row>
    <x:row r="133">
      <x:c r="B133" s="7" t="str">
        <x:v>PHY-0127</x:v>
      </x:c>
      <x:c r="C133" s="7" t="str">
        <x:v>configuration master</x:v>
      </x:c>
      <x:c r="D133" s="7" t="str">
        <x:v>RAE-CM-01</x:v>
      </x:c>
      <x:c r="E133" s="7" t="str">
        <x:v>Configuration Masters!L7</x:v>
      </x:c>
      <x:c r="F133" s="7" t="str">
        <x:f>'Configuration Masters'!L7</x:f>
        <x:v>OPEN</x:v>
      </x:c>
    </x:row>
    <x:row r="134">
      <x:c r="B134" s="7" t="str">
        <x:v>PHY-0128</x:v>
      </x:c>
      <x:c r="C134" s="7" t="str">
        <x:v>configuration master</x:v>
      </x:c>
      <x:c r="D134" s="7" t="str">
        <x:v>RAE-CM-02</x:v>
      </x:c>
      <x:c r="E134" s="7" t="str">
        <x:v>Configuration Masters!L8</x:v>
      </x:c>
      <x:c r="F134" s="7" t="str">
        <x:f>'Configuration Masters'!L8</x:f>
        <x:v>OPEN</x:v>
      </x:c>
    </x:row>
    <x:row r="135">
      <x:c r="B135" s="7" t="str">
        <x:v>PHY-0129</x:v>
      </x:c>
      <x:c r="C135" s="7" t="str">
        <x:v>configuration master</x:v>
      </x:c>
      <x:c r="D135" s="7" t="str">
        <x:v>RAE-CM-03</x:v>
      </x:c>
      <x:c r="E135" s="7" t="str">
        <x:v>Configuration Masters!L9</x:v>
      </x:c>
      <x:c r="F135" s="7" t="str">
        <x:f>'Configuration Masters'!L9</x:f>
        <x:v>OPEN</x:v>
      </x:c>
    </x:row>
    <x:row r="136">
      <x:c r="B136" s="7" t="str">
        <x:v>PHY-0130</x:v>
      </x:c>
      <x:c r="C136" s="7" t="str">
        <x:v>configuration master</x:v>
      </x:c>
      <x:c r="D136" s="7" t="str">
        <x:v>RAE-CM-04</x:v>
      </x:c>
      <x:c r="E136" s="7" t="str">
        <x:v>Configuration Masters!L10</x:v>
      </x:c>
      <x:c r="F136" s="7" t="str">
        <x:f>'Configuration Masters'!L10</x:f>
        <x:v>OPEN</x:v>
      </x:c>
    </x:row>
    <x:row r="137">
      <x:c r="B137" s="7" t="str">
        <x:v>PHY-0131</x:v>
      </x:c>
      <x:c r="C137" s="7" t="str">
        <x:v>configuration master</x:v>
      </x:c>
      <x:c r="D137" s="7" t="str">
        <x:v>RAE-CM-05</x:v>
      </x:c>
      <x:c r="E137" s="7" t="str">
        <x:v>Configuration Masters!L11</x:v>
      </x:c>
      <x:c r="F137" s="7" t="str">
        <x:f>'Configuration Masters'!L11</x:f>
        <x:v>OPEN</x:v>
      </x:c>
    </x:row>
    <x:row r="138">
      <x:c r="B138" s="7" t="str">
        <x:v>PHY-0132</x:v>
      </x:c>
      <x:c r="C138" s="7" t="str">
        <x:v>configuration master</x:v>
      </x:c>
      <x:c r="D138" s="7" t="str">
        <x:v>RAE-CM-06</x:v>
      </x:c>
      <x:c r="E138" s="7" t="str">
        <x:v>Configuration Masters!L12</x:v>
      </x:c>
      <x:c r="F138" s="7" t="str">
        <x:f>'Configuration Masters'!L12</x:f>
        <x:v>OPEN</x:v>
      </x:c>
    </x:row>
    <x:row r="139">
      <x:c r="B139" s="7" t="str">
        <x:v>PHY-0133</x:v>
      </x:c>
      <x:c r="C139" s="7" t="str">
        <x:v>source package</x:v>
      </x:c>
      <x:c r="D139" s="7" t="str">
        <x:v>RAE-SP-01</x:v>
      </x:c>
      <x:c r="E139" s="7" t="str">
        <x:v>Source Packages!O7</x:v>
      </x:c>
      <x:c r="F139" s="7" t="str">
        <x:f>'Source Packages'!O7</x:f>
        <x:v>OPEN</x:v>
      </x:c>
    </x:row>
    <x:row r="140">
      <x:c r="B140" s="7" t="str">
        <x:v>PHY-0134</x:v>
      </x:c>
      <x:c r="C140" s="7" t="str">
        <x:v>source package</x:v>
      </x:c>
      <x:c r="D140" s="7" t="str">
        <x:v>RAE-SP-02</x:v>
      </x:c>
      <x:c r="E140" s="7" t="str">
        <x:v>Source Packages!O8</x:v>
      </x:c>
      <x:c r="F140" s="7" t="str">
        <x:f>'Source Packages'!O8</x:f>
        <x:v>OPEN</x:v>
      </x:c>
    </x:row>
    <x:row r="141">
      <x:c r="B141" s="7" t="str">
        <x:v>PHY-0135</x:v>
      </x:c>
      <x:c r="C141" s="7" t="str">
        <x:v>source package</x:v>
      </x:c>
      <x:c r="D141" s="7" t="str">
        <x:v>RAE-SP-03</x:v>
      </x:c>
      <x:c r="E141" s="7" t="str">
        <x:v>Source Packages!O9</x:v>
      </x:c>
      <x:c r="F141" s="7" t="str">
        <x:f>'Source Packages'!O9</x:f>
        <x:v>OPEN</x:v>
      </x:c>
    </x:row>
    <x:row r="142">
      <x:c r="B142" s="7" t="str">
        <x:v>PHY-0136</x:v>
      </x:c>
      <x:c r="C142" s="7" t="str">
        <x:v>source package</x:v>
      </x:c>
      <x:c r="D142" s="7" t="str">
        <x:v>RAE-SP-04</x:v>
      </x:c>
      <x:c r="E142" s="7" t="str">
        <x:v>Source Packages!O10</x:v>
      </x:c>
      <x:c r="F142" s="7" t="str">
        <x:f>'Source Packages'!O10</x:f>
        <x:v>OPEN</x:v>
      </x:c>
    </x:row>
    <x:row r="143">
      <x:c r="B143" s="7" t="str">
        <x:v>PHY-0137</x:v>
      </x:c>
      <x:c r="C143" s="7" t="str">
        <x:v>source package</x:v>
      </x:c>
      <x:c r="D143" s="7" t="str">
        <x:v>RAE-SP-05</x:v>
      </x:c>
      <x:c r="E143" s="7" t="str">
        <x:v>Source Packages!O11</x:v>
      </x:c>
      <x:c r="F143" s="7" t="str">
        <x:f>'Source Packages'!O11</x:f>
        <x:v>OPEN</x:v>
      </x:c>
    </x:row>
    <x:row r="144">
      <x:c r="B144" s="7" t="str">
        <x:v>PHY-0138</x:v>
      </x:c>
      <x:c r="C144" s="7" t="str">
        <x:v>source package</x:v>
      </x:c>
      <x:c r="D144" s="7" t="str">
        <x:v>RAE-SP-06</x:v>
      </x:c>
      <x:c r="E144" s="7" t="str">
        <x:v>Source Packages!O12</x:v>
      </x:c>
      <x:c r="F144" s="7" t="str">
        <x:f>'Source Packages'!O12</x:f>
        <x:v>OPEN</x:v>
      </x:c>
    </x:row>
    <x:row r="145">
      <x:c r="B145" s="7" t="str">
        <x:v>PHY-0139</x:v>
      </x:c>
      <x:c r="C145" s="7" t="str">
        <x:v>source package</x:v>
      </x:c>
      <x:c r="D145" s="7" t="str">
        <x:v>RAE-SP-07</x:v>
      </x:c>
      <x:c r="E145" s="7" t="str">
        <x:v>Source Packages!O13</x:v>
      </x:c>
      <x:c r="F145" s="7" t="str">
        <x:f>'Source Packages'!O13</x:f>
        <x:v>OPEN</x:v>
      </x:c>
    </x:row>
    <x:row r="146">
      <x:c r="B146" s="7" t="str">
        <x:v>PHY-0140</x:v>
      </x:c>
      <x:c r="C146" s="7" t="str">
        <x:v>source package</x:v>
      </x:c>
      <x:c r="D146" s="7" t="str">
        <x:v>RAE-SP-08</x:v>
      </x:c>
      <x:c r="E146" s="7" t="str">
        <x:v>Source Packages!O14</x:v>
      </x:c>
      <x:c r="F146" s="7" t="str">
        <x:f>'Source Packages'!O14</x:f>
        <x:v>OPEN</x:v>
      </x:c>
    </x:row>
    <x:row r="147">
      <x:c r="B147" s="7" t="str">
        <x:v>PHY-0141</x:v>
      </x:c>
      <x:c r="C147" s="7" t="str">
        <x:v>source package</x:v>
      </x:c>
      <x:c r="D147" s="7" t="str">
        <x:v>RAE-SP-09</x:v>
      </x:c>
      <x:c r="E147" s="7" t="str">
        <x:v>Source Packages!O15</x:v>
      </x:c>
      <x:c r="F147" s="7" t="str">
        <x:f>'Source Packages'!O15</x:f>
        <x:v>OPEN</x:v>
      </x:c>
    </x:row>
    <x:row r="148">
      <x:c r="B148" s="7" t="str">
        <x:v>PHY-0142</x:v>
      </x:c>
      <x:c r="C148" s="7" t="str">
        <x:v>source package</x:v>
      </x:c>
      <x:c r="D148" s="7" t="str">
        <x:v>RAE-SP-10</x:v>
      </x:c>
      <x:c r="E148" s="7" t="str">
        <x:v>Source Packages!O16</x:v>
      </x:c>
      <x:c r="F148" s="7" t="str">
        <x:f>'Source Packages'!O16</x:f>
        <x:v>OPEN</x:v>
      </x:c>
    </x:row>
    <x:row r="149">
      <x:c r="B149" s="7" t="str">
        <x:v>PHY-0143</x:v>
      </x:c>
      <x:c r="C149" s="7" t="str">
        <x:v>source package</x:v>
      </x:c>
      <x:c r="D149" s="7" t="str">
        <x:v>RAE-SP-11</x:v>
      </x:c>
      <x:c r="E149" s="7" t="str">
        <x:v>Source Packages!O17</x:v>
      </x:c>
      <x:c r="F149" s="7" t="str">
        <x:f>'Source Packages'!O17</x:f>
        <x:v>OPEN</x:v>
      </x:c>
    </x:row>
    <x:row r="150">
      <x:c r="B150" s="7" t="str">
        <x:v>PHY-0144</x:v>
      </x:c>
      <x:c r="C150" s="7" t="str">
        <x:v>source package</x:v>
      </x:c>
      <x:c r="D150" s="7" t="str">
        <x:v>RAE-SP-12</x:v>
      </x:c>
      <x:c r="E150" s="7" t="str">
        <x:v>Source Packages!O18</x:v>
      </x:c>
      <x:c r="F150" s="7" t="str">
        <x:f>'Source Packages'!O18</x:f>
        <x:v>OPEN</x:v>
      </x:c>
    </x:row>
    <x:row r="151">
      <x:c r="B151" s="7" t="str">
        <x:v>PHY-0145</x:v>
      </x:c>
      <x:c r="C151" s="7" t="str">
        <x:v>source package</x:v>
      </x:c>
      <x:c r="D151" s="7" t="str">
        <x:v>RAE-SP-13</x:v>
      </x:c>
      <x:c r="E151" s="7" t="str">
        <x:v>Source Packages!O19</x:v>
      </x:c>
      <x:c r="F151" s="7" t="str">
        <x:f>'Source Packages'!O19</x:f>
        <x:v>OPEN</x:v>
      </x:c>
    </x:row>
    <x:row r="152">
      <x:c r="B152" s="7" t="str">
        <x:v>PHY-0146</x:v>
      </x:c>
      <x:c r="C152" s="7" t="str">
        <x:v>source package</x:v>
      </x:c>
      <x:c r="D152" s="7" t="str">
        <x:v>RAE-SP-14</x:v>
      </x:c>
      <x:c r="E152" s="7" t="str">
        <x:v>Source Packages!O20</x:v>
      </x:c>
      <x:c r="F152" s="7" t="str">
        <x:f>'Source Packages'!O20</x:f>
        <x:v>OPEN</x:v>
      </x:c>
    </x:row>
    <x:row r="153">
      <x:c r="B153" s="7" t="str">
        <x:v>PHY-0147</x:v>
      </x:c>
      <x:c r="C153" s="7" t="str">
        <x:v>source package</x:v>
      </x:c>
      <x:c r="D153" s="7" t="str">
        <x:v>RAE-SP-15</x:v>
      </x:c>
      <x:c r="E153" s="7" t="str">
        <x:v>Source Packages!O21</x:v>
      </x:c>
      <x:c r="F153" s="7" t="str">
        <x:f>'Source Packages'!O21</x:f>
        <x:v>OPEN</x:v>
      </x:c>
    </x:row>
    <x:row r="154">
      <x:c r="B154" s="7" t="str">
        <x:v>PHY-0148</x:v>
      </x:c>
      <x:c r="C154" s="7" t="str">
        <x:v>source package</x:v>
      </x:c>
      <x:c r="D154" s="7" t="str">
        <x:v>RAE-SP-16</x:v>
      </x:c>
      <x:c r="E154" s="7" t="str">
        <x:v>Source Packages!O22</x:v>
      </x:c>
      <x:c r="F154" s="7" t="str">
        <x:f>'Source Packages'!O22</x:f>
        <x:v>OPEN</x:v>
      </x:c>
    </x:row>
    <x:row r="155">
      <x:c r="B155" s="7" t="str">
        <x:v>PHY-0149</x:v>
      </x:c>
      <x:c r="C155" s="7" t="str">
        <x:v>source package</x:v>
      </x:c>
      <x:c r="D155" s="7" t="str">
        <x:v>RAE-SP-17</x:v>
      </x:c>
      <x:c r="E155" s="7" t="str">
        <x:v>Source Packages!O23</x:v>
      </x:c>
      <x:c r="F155" s="7" t="str">
        <x:f>'Source Packages'!O23</x:f>
        <x:v>OPEN</x:v>
      </x:c>
    </x:row>
    <x:row r="156">
      <x:c r="B156" s="7" t="str">
        <x:v>PHY-0150</x:v>
      </x:c>
      <x:c r="C156" s="7" t="str">
        <x:v>source package</x:v>
      </x:c>
      <x:c r="D156" s="7" t="str">
        <x:v>RAE-SP-18</x:v>
      </x:c>
      <x:c r="E156" s="7" t="str">
        <x:v>Source Packages!O24</x:v>
      </x:c>
      <x:c r="F156" s="7" t="str">
        <x:f>'Source Packages'!O24</x:f>
        <x:v>OPEN</x:v>
      </x:c>
    </x:row>
    <x:row r="157">
      <x:c r="B157" s="7" t="str">
        <x:v>PHY-0151</x:v>
      </x:c>
      <x:c r="C157" s="7" t="str">
        <x:v>source package</x:v>
      </x:c>
      <x:c r="D157" s="7" t="str">
        <x:v>RAE-SP-19</x:v>
      </x:c>
      <x:c r="E157" s="7" t="str">
        <x:v>Source Packages!O25</x:v>
      </x:c>
      <x:c r="F157" s="7" t="str">
        <x:f>'Source Packages'!O25</x:f>
        <x:v>OPEN</x:v>
      </x:c>
    </x:row>
    <x:row r="158">
      <x:c r="B158" s="7" t="str">
        <x:v>PHY-0152</x:v>
      </x:c>
      <x:c r="C158" s="7" t="str">
        <x:v>source package</x:v>
      </x:c>
      <x:c r="D158" s="7" t="str">
        <x:v>RAE-SP-20</x:v>
      </x:c>
      <x:c r="E158" s="7" t="str">
        <x:v>Source Packages!O26</x:v>
      </x:c>
      <x:c r="F158" s="7" t="str">
        <x:f>'Source Packages'!O26</x:f>
        <x:v>OPEN</x:v>
      </x:c>
    </x:row>
    <x:row r="159">
      <x:c r="B159" s="7" t="str">
        <x:v>PHY-0153</x:v>
      </x:c>
      <x:c r="C159" s="7" t="str">
        <x:v>source package</x:v>
      </x:c>
      <x:c r="D159" s="7" t="str">
        <x:v>RAE-SP-21</x:v>
      </x:c>
      <x:c r="E159" s="7" t="str">
        <x:v>Source Packages!O27</x:v>
      </x:c>
      <x:c r="F159" s="7" t="str">
        <x:f>'Source Packages'!O27</x:f>
        <x:v>OPEN</x:v>
      </x:c>
    </x:row>
    <x:row r="160">
      <x:c r="B160" s="7" t="str">
        <x:v>PHY-0154</x:v>
      </x:c>
      <x:c r="C160" s="7" t="str">
        <x:v>source package</x:v>
      </x:c>
      <x:c r="D160" s="7" t="str">
        <x:v>RAE-SP-22</x:v>
      </x:c>
      <x:c r="E160" s="7" t="str">
        <x:v>Source Packages!O28</x:v>
      </x:c>
      <x:c r="F160" s="7" t="str">
        <x:f>'Source Packages'!O28</x:f>
        <x:v>OPEN</x:v>
      </x:c>
    </x:row>
    <x:row r="161">
      <x:c r="B161" s="7" t="str">
        <x:v>PHY-0155</x:v>
      </x:c>
      <x:c r="C161" s="7" t="str">
        <x:v>source package</x:v>
      </x:c>
      <x:c r="D161" s="7" t="str">
        <x:v>RAE-SP-23</x:v>
      </x:c>
      <x:c r="E161" s="7" t="str">
        <x:v>Source Packages!O29</x:v>
      </x:c>
      <x:c r="F161" s="7" t="str">
        <x:f>'Source Packages'!O29</x:f>
        <x:v>OPEN</x:v>
      </x:c>
    </x:row>
    <x:row r="162">
      <x:c r="B162" s="7" t="str">
        <x:v>PHY-0156</x:v>
      </x:c>
      <x:c r="C162" s="7" t="str">
        <x:v>source package</x:v>
      </x:c>
      <x:c r="D162" s="7" t="str">
        <x:v>RAE-SP-24</x:v>
      </x:c>
      <x:c r="E162" s="7" t="str">
        <x:v>Source Packages!O30</x:v>
      </x:c>
      <x:c r="F162" s="7" t="str">
        <x:f>'Source Packages'!O30</x:f>
        <x:v>OPEN</x:v>
      </x:c>
    </x:row>
    <x:row r="163">
      <x:c r="B163" s="7" t="str">
        <x:v>PHY-0157</x:v>
      </x:c>
      <x:c r="C163" s="7" t="str">
        <x:v>source package</x:v>
      </x:c>
      <x:c r="D163" s="7" t="str">
        <x:v>RAE-SP-25</x:v>
      </x:c>
      <x:c r="E163" s="7" t="str">
        <x:v>Source Packages!O31</x:v>
      </x:c>
      <x:c r="F163" s="7" t="str">
        <x:f>'Source Packages'!O31</x:f>
        <x:v>OPEN</x:v>
      </x:c>
    </x:row>
    <x:row r="164">
      <x:c r="B164" s="7" t="str">
        <x:v>PHY-0158</x:v>
      </x:c>
      <x:c r="C164" s="7" t="str">
        <x:v>source package</x:v>
      </x:c>
      <x:c r="D164" s="7" t="str">
        <x:v>RAE-SP-26</x:v>
      </x:c>
      <x:c r="E164" s="7" t="str">
        <x:v>Source Packages!O32</x:v>
      </x:c>
      <x:c r="F164" s="7" t="str">
        <x:f>'Source Packages'!O32</x:f>
        <x:v>OPEN</x:v>
      </x:c>
    </x:row>
    <x:row r="165">
      <x:c r="B165" s="7" t="str">
        <x:v>PHY-0159</x:v>
      </x:c>
      <x:c r="C165" s="7" t="str">
        <x:v>source package</x:v>
      </x:c>
      <x:c r="D165" s="7" t="str">
        <x:v>RAE-SP-27</x:v>
      </x:c>
      <x:c r="E165" s="7" t="str">
        <x:v>Source Packages!O33</x:v>
      </x:c>
      <x:c r="F165" s="7" t="str">
        <x:f>'Source Packages'!O33</x:f>
        <x:v>OPEN</x:v>
      </x:c>
    </x:row>
    <x:row r="166">
      <x:c r="B166" s="7" t="str">
        <x:v>PHY-0160</x:v>
      </x:c>
      <x:c r="C166" s="7" t="str">
        <x:v>source package</x:v>
      </x:c>
      <x:c r="D166" s="7" t="str">
        <x:v>RAE-SP-28</x:v>
      </x:c>
      <x:c r="E166" s="7" t="str">
        <x:v>Source Packages!O34</x:v>
      </x:c>
      <x:c r="F166" s="7" t="str">
        <x:f>'Source Packages'!O34</x:f>
        <x:v>OPEN</x:v>
      </x:c>
    </x:row>
    <x:row r="167">
      <x:c r="B167" s="7" t="str">
        <x:v>PHY-0161</x:v>
      </x:c>
      <x:c r="C167" s="7" t="str">
        <x:v>source characteristic</x:v>
      </x:c>
      <x:c r="D167" s="7" t="str">
        <x:v>RAE-SP-01-CH-01</x:v>
      </x:c>
      <x:c r="E167" s="7" t="str">
        <x:v>Source Characteristics!N7</x:v>
      </x:c>
      <x:c r="F167" s="7" t="str">
        <x:f>'Source Characteristics'!N7</x:f>
        <x:v>OPEN</x:v>
      </x:c>
    </x:row>
    <x:row r="168">
      <x:c r="B168" s="7" t="str">
        <x:v>PHY-0162</x:v>
      </x:c>
      <x:c r="C168" s="7" t="str">
        <x:v>source characteristic</x:v>
      </x:c>
      <x:c r="D168" s="7" t="str">
        <x:v>RAE-SP-01-CH-02</x:v>
      </x:c>
      <x:c r="E168" s="7" t="str">
        <x:v>Source Characteristics!N8</x:v>
      </x:c>
      <x:c r="F168" s="7" t="str">
        <x:f>'Source Characteristics'!N8</x:f>
        <x:v>OPEN</x:v>
      </x:c>
    </x:row>
    <x:row r="169">
      <x:c r="B169" s="7" t="str">
        <x:v>PHY-0163</x:v>
      </x:c>
      <x:c r="C169" s="7" t="str">
        <x:v>source characteristic</x:v>
      </x:c>
      <x:c r="D169" s="7" t="str">
        <x:v>RAE-SP-01-CH-03</x:v>
      </x:c>
      <x:c r="E169" s="7" t="str">
        <x:v>Source Characteristics!N9</x:v>
      </x:c>
      <x:c r="F169" s="7" t="str">
        <x:f>'Source Characteristics'!N9</x:f>
        <x:v>OPEN</x:v>
      </x:c>
    </x:row>
    <x:row r="170">
      <x:c r="B170" s="7" t="str">
        <x:v>PHY-0164</x:v>
      </x:c>
      <x:c r="C170" s="7" t="str">
        <x:v>source characteristic</x:v>
      </x:c>
      <x:c r="D170" s="7" t="str">
        <x:v>RAE-SP-01-CH-04</x:v>
      </x:c>
      <x:c r="E170" s="7" t="str">
        <x:v>Source Characteristics!N10</x:v>
      </x:c>
      <x:c r="F170" s="7" t="str">
        <x:f>'Source Characteristics'!N10</x:f>
        <x:v>OPEN</x:v>
      </x:c>
    </x:row>
    <x:row r="171">
      <x:c r="B171" s="7" t="str">
        <x:v>PHY-0165</x:v>
      </x:c>
      <x:c r="C171" s="7" t="str">
        <x:v>source characteristic</x:v>
      </x:c>
      <x:c r="D171" s="7" t="str">
        <x:v>RAE-SP-01-CH-05</x:v>
      </x:c>
      <x:c r="E171" s="7" t="str">
        <x:v>Source Characteristics!N11</x:v>
      </x:c>
      <x:c r="F171" s="7" t="str">
        <x:f>'Source Characteristics'!N11</x:f>
        <x:v>OPEN</x:v>
      </x:c>
    </x:row>
    <x:row r="172">
      <x:c r="B172" s="7" t="str">
        <x:v>PHY-0166</x:v>
      </x:c>
      <x:c r="C172" s="7" t="str">
        <x:v>source characteristic</x:v>
      </x:c>
      <x:c r="D172" s="7" t="str">
        <x:v>RAE-SP-01-CH-06</x:v>
      </x:c>
      <x:c r="E172" s="7" t="str">
        <x:v>Source Characteristics!N12</x:v>
      </x:c>
      <x:c r="F172" s="7" t="str">
        <x:f>'Source Characteristics'!N12</x:f>
        <x:v>OPEN</x:v>
      </x:c>
    </x:row>
    <x:row r="173">
      <x:c r="B173" s="7" t="str">
        <x:v>PHY-0167</x:v>
      </x:c>
      <x:c r="C173" s="7" t="str">
        <x:v>source characteristic</x:v>
      </x:c>
      <x:c r="D173" s="7" t="str">
        <x:v>RAE-SP-01-CH-07</x:v>
      </x:c>
      <x:c r="E173" s="7" t="str">
        <x:v>Source Characteristics!N13</x:v>
      </x:c>
      <x:c r="F173" s="7" t="str">
        <x:f>'Source Characteristics'!N13</x:f>
        <x:v>OPEN</x:v>
      </x:c>
    </x:row>
    <x:row r="174">
      <x:c r="B174" s="7" t="str">
        <x:v>PHY-0168</x:v>
      </x:c>
      <x:c r="C174" s="7" t="str">
        <x:v>source characteristic</x:v>
      </x:c>
      <x:c r="D174" s="7" t="str">
        <x:v>RAE-SP-01-CH-08</x:v>
      </x:c>
      <x:c r="E174" s="7" t="str">
        <x:v>Source Characteristics!N14</x:v>
      </x:c>
      <x:c r="F174" s="7" t="str">
        <x:f>'Source Characteristics'!N14</x:f>
        <x:v>OPEN</x:v>
      </x:c>
    </x:row>
    <x:row r="175">
      <x:c r="B175" s="7" t="str">
        <x:v>PHY-0169</x:v>
      </x:c>
      <x:c r="C175" s="7" t="str">
        <x:v>source characteristic</x:v>
      </x:c>
      <x:c r="D175" s="7" t="str">
        <x:v>RAE-SP-01-CH-09</x:v>
      </x:c>
      <x:c r="E175" s="7" t="str">
        <x:v>Source Characteristics!N15</x:v>
      </x:c>
      <x:c r="F175" s="7" t="str">
        <x:f>'Source Characteristics'!N15</x:f>
        <x:v>OPEN</x:v>
      </x:c>
    </x:row>
    <x:row r="176">
      <x:c r="B176" s="7" t="str">
        <x:v>PHY-0170</x:v>
      </x:c>
      <x:c r="C176" s="7" t="str">
        <x:v>source characteristic</x:v>
      </x:c>
      <x:c r="D176" s="7" t="str">
        <x:v>RAE-SP-01-CH-10</x:v>
      </x:c>
      <x:c r="E176" s="7" t="str">
        <x:v>Source Characteristics!N16</x:v>
      </x:c>
      <x:c r="F176" s="7" t="str">
        <x:f>'Source Characteristics'!N16</x:f>
        <x:v>OPEN</x:v>
      </x:c>
    </x:row>
    <x:row r="177">
      <x:c r="B177" s="7" t="str">
        <x:v>PHY-0171</x:v>
      </x:c>
      <x:c r="C177" s="7" t="str">
        <x:v>source characteristic</x:v>
      </x:c>
      <x:c r="D177" s="7" t="str">
        <x:v>RAE-SP-02-CH-01</x:v>
      </x:c>
      <x:c r="E177" s="7" t="str">
        <x:v>Source Characteristics!N17</x:v>
      </x:c>
      <x:c r="F177" s="7" t="str">
        <x:f>'Source Characteristics'!N17</x:f>
        <x:v>OPEN</x:v>
      </x:c>
    </x:row>
    <x:row r="178">
      <x:c r="B178" s="7" t="str">
        <x:v>PHY-0172</x:v>
      </x:c>
      <x:c r="C178" s="7" t="str">
        <x:v>source characteristic</x:v>
      </x:c>
      <x:c r="D178" s="7" t="str">
        <x:v>RAE-SP-02-CH-02</x:v>
      </x:c>
      <x:c r="E178" s="7" t="str">
        <x:v>Source Characteristics!N18</x:v>
      </x:c>
      <x:c r="F178" s="7" t="str">
        <x:f>'Source Characteristics'!N18</x:f>
        <x:v>OPEN</x:v>
      </x:c>
    </x:row>
    <x:row r="179">
      <x:c r="B179" s="7" t="str">
        <x:v>PHY-0173</x:v>
      </x:c>
      <x:c r="C179" s="7" t="str">
        <x:v>source characteristic</x:v>
      </x:c>
      <x:c r="D179" s="7" t="str">
        <x:v>RAE-SP-02-CH-03</x:v>
      </x:c>
      <x:c r="E179" s="7" t="str">
        <x:v>Source Characteristics!N19</x:v>
      </x:c>
      <x:c r="F179" s="7" t="str">
        <x:f>'Source Characteristics'!N19</x:f>
        <x:v>OPEN</x:v>
      </x:c>
    </x:row>
    <x:row r="180">
      <x:c r="B180" s="7" t="str">
        <x:v>PHY-0174</x:v>
      </x:c>
      <x:c r="C180" s="7" t="str">
        <x:v>source characteristic</x:v>
      </x:c>
      <x:c r="D180" s="7" t="str">
        <x:v>RAE-SP-02-CH-04</x:v>
      </x:c>
      <x:c r="E180" s="7" t="str">
        <x:v>Source Characteristics!N20</x:v>
      </x:c>
      <x:c r="F180" s="7" t="str">
        <x:f>'Source Characteristics'!N20</x:f>
        <x:v>OPEN</x:v>
      </x:c>
    </x:row>
    <x:row r="181">
      <x:c r="B181" s="7" t="str">
        <x:v>PHY-0175</x:v>
      </x:c>
      <x:c r="C181" s="7" t="str">
        <x:v>source characteristic</x:v>
      </x:c>
      <x:c r="D181" s="7" t="str">
        <x:v>RAE-SP-02-CH-05</x:v>
      </x:c>
      <x:c r="E181" s="7" t="str">
        <x:v>Source Characteristics!N21</x:v>
      </x:c>
      <x:c r="F181" s="7" t="str">
        <x:f>'Source Characteristics'!N21</x:f>
        <x:v>OPEN</x:v>
      </x:c>
    </x:row>
    <x:row r="182">
      <x:c r="B182" s="7" t="str">
        <x:v>PHY-0176</x:v>
      </x:c>
      <x:c r="C182" s="7" t="str">
        <x:v>source characteristic</x:v>
      </x:c>
      <x:c r="D182" s="7" t="str">
        <x:v>RAE-SP-02-CH-06</x:v>
      </x:c>
      <x:c r="E182" s="7" t="str">
        <x:v>Source Characteristics!N22</x:v>
      </x:c>
      <x:c r="F182" s="7" t="str">
        <x:f>'Source Characteristics'!N22</x:f>
        <x:v>OPEN</x:v>
      </x:c>
    </x:row>
    <x:row r="183">
      <x:c r="B183" s="7" t="str">
        <x:v>PHY-0177</x:v>
      </x:c>
      <x:c r="C183" s="7" t="str">
        <x:v>source characteristic</x:v>
      </x:c>
      <x:c r="D183" s="7" t="str">
        <x:v>RAE-SP-02-CH-07</x:v>
      </x:c>
      <x:c r="E183" s="7" t="str">
        <x:v>Source Characteristics!N23</x:v>
      </x:c>
      <x:c r="F183" s="7" t="str">
        <x:f>'Source Characteristics'!N23</x:f>
        <x:v>OPEN</x:v>
      </x:c>
    </x:row>
    <x:row r="184">
      <x:c r="B184" s="7" t="str">
        <x:v>PHY-0178</x:v>
      </x:c>
      <x:c r="C184" s="7" t="str">
        <x:v>source characteristic</x:v>
      </x:c>
      <x:c r="D184" s="7" t="str">
        <x:v>RAE-SP-02-CH-08</x:v>
      </x:c>
      <x:c r="E184" s="7" t="str">
        <x:v>Source Characteristics!N24</x:v>
      </x:c>
      <x:c r="F184" s="7" t="str">
        <x:f>'Source Characteristics'!N24</x:f>
        <x:v>OPEN</x:v>
      </x:c>
    </x:row>
    <x:row r="185">
      <x:c r="B185" s="7" t="str">
        <x:v>PHY-0179</x:v>
      </x:c>
      <x:c r="C185" s="7" t="str">
        <x:v>source characteristic</x:v>
      </x:c>
      <x:c r="D185" s="7" t="str">
        <x:v>RAE-SP-02-CH-09</x:v>
      </x:c>
      <x:c r="E185" s="7" t="str">
        <x:v>Source Characteristics!N25</x:v>
      </x:c>
      <x:c r="F185" s="7" t="str">
        <x:f>'Source Characteristics'!N25</x:f>
        <x:v>OPEN</x:v>
      </x:c>
    </x:row>
    <x:row r="186">
      <x:c r="B186" s="7" t="str">
        <x:v>PHY-0180</x:v>
      </x:c>
      <x:c r="C186" s="7" t="str">
        <x:v>source characteristic</x:v>
      </x:c>
      <x:c r="D186" s="7" t="str">
        <x:v>RAE-SP-02-CH-10</x:v>
      </x:c>
      <x:c r="E186" s="7" t="str">
        <x:v>Source Characteristics!N26</x:v>
      </x:c>
      <x:c r="F186" s="7" t="str">
        <x:f>'Source Characteristics'!N26</x:f>
        <x:v>OPEN</x:v>
      </x:c>
    </x:row>
    <x:row r="187">
      <x:c r="B187" s="7" t="str">
        <x:v>PHY-0181</x:v>
      </x:c>
      <x:c r="C187" s="7" t="str">
        <x:v>source characteristic</x:v>
      </x:c>
      <x:c r="D187" s="7" t="str">
        <x:v>RAE-SP-03-CH-01</x:v>
      </x:c>
      <x:c r="E187" s="7" t="str">
        <x:v>Source Characteristics!N27</x:v>
      </x:c>
      <x:c r="F187" s="7" t="str">
        <x:f>'Source Characteristics'!N27</x:f>
        <x:v>OPEN</x:v>
      </x:c>
    </x:row>
    <x:row r="188">
      <x:c r="B188" s="7" t="str">
        <x:v>PHY-0182</x:v>
      </x:c>
      <x:c r="C188" s="7" t="str">
        <x:v>source characteristic</x:v>
      </x:c>
      <x:c r="D188" s="7" t="str">
        <x:v>RAE-SP-03-CH-02</x:v>
      </x:c>
      <x:c r="E188" s="7" t="str">
        <x:v>Source Characteristics!N28</x:v>
      </x:c>
      <x:c r="F188" s="7" t="str">
        <x:f>'Source Characteristics'!N28</x:f>
        <x:v>OPEN</x:v>
      </x:c>
    </x:row>
    <x:row r="189">
      <x:c r="B189" s="7" t="str">
        <x:v>PHY-0183</x:v>
      </x:c>
      <x:c r="C189" s="7" t="str">
        <x:v>source characteristic</x:v>
      </x:c>
      <x:c r="D189" s="7" t="str">
        <x:v>RAE-SP-03-CH-03</x:v>
      </x:c>
      <x:c r="E189" s="7" t="str">
        <x:v>Source Characteristics!N29</x:v>
      </x:c>
      <x:c r="F189" s="7" t="str">
        <x:f>'Source Characteristics'!N29</x:f>
        <x:v>OPEN</x:v>
      </x:c>
    </x:row>
    <x:row r="190">
      <x:c r="B190" s="7" t="str">
        <x:v>PHY-0184</x:v>
      </x:c>
      <x:c r="C190" s="7" t="str">
        <x:v>source characteristic</x:v>
      </x:c>
      <x:c r="D190" s="7" t="str">
        <x:v>RAE-SP-03-CH-04</x:v>
      </x:c>
      <x:c r="E190" s="7" t="str">
        <x:v>Source Characteristics!N30</x:v>
      </x:c>
      <x:c r="F190" s="7" t="str">
        <x:f>'Source Characteristics'!N30</x:f>
        <x:v>OPEN</x:v>
      </x:c>
    </x:row>
    <x:row r="191">
      <x:c r="B191" s="7" t="str">
        <x:v>PHY-0185</x:v>
      </x:c>
      <x:c r="C191" s="7" t="str">
        <x:v>source characteristic</x:v>
      </x:c>
      <x:c r="D191" s="7" t="str">
        <x:v>RAE-SP-03-CH-05</x:v>
      </x:c>
      <x:c r="E191" s="7" t="str">
        <x:v>Source Characteristics!N31</x:v>
      </x:c>
      <x:c r="F191" s="7" t="str">
        <x:f>'Source Characteristics'!N31</x:f>
        <x:v>OPEN</x:v>
      </x:c>
    </x:row>
    <x:row r="192">
      <x:c r="B192" s="7" t="str">
        <x:v>PHY-0186</x:v>
      </x:c>
      <x:c r="C192" s="7" t="str">
        <x:v>source characteristic</x:v>
      </x:c>
      <x:c r="D192" s="7" t="str">
        <x:v>RAE-SP-03-CH-06</x:v>
      </x:c>
      <x:c r="E192" s="7" t="str">
        <x:v>Source Characteristics!N32</x:v>
      </x:c>
      <x:c r="F192" s="7" t="str">
        <x:f>'Source Characteristics'!N32</x:f>
        <x:v>OPEN</x:v>
      </x:c>
    </x:row>
    <x:row r="193">
      <x:c r="B193" s="7" t="str">
        <x:v>PHY-0187</x:v>
      </x:c>
      <x:c r="C193" s="7" t="str">
        <x:v>source characteristic</x:v>
      </x:c>
      <x:c r="D193" s="7" t="str">
        <x:v>RAE-SP-03-CH-07</x:v>
      </x:c>
      <x:c r="E193" s="7" t="str">
        <x:v>Source Characteristics!N33</x:v>
      </x:c>
      <x:c r="F193" s="7" t="str">
        <x:f>'Source Characteristics'!N33</x:f>
        <x:v>OPEN</x:v>
      </x:c>
    </x:row>
    <x:row r="194">
      <x:c r="B194" s="7" t="str">
        <x:v>PHY-0188</x:v>
      </x:c>
      <x:c r="C194" s="7" t="str">
        <x:v>source characteristic</x:v>
      </x:c>
      <x:c r="D194" s="7" t="str">
        <x:v>RAE-SP-03-CH-08</x:v>
      </x:c>
      <x:c r="E194" s="7" t="str">
        <x:v>Source Characteristics!N34</x:v>
      </x:c>
      <x:c r="F194" s="7" t="str">
        <x:f>'Source Characteristics'!N34</x:f>
        <x:v>OPEN</x:v>
      </x:c>
    </x:row>
    <x:row r="195">
      <x:c r="B195" s="7" t="str">
        <x:v>PHY-0189</x:v>
      </x:c>
      <x:c r="C195" s="7" t="str">
        <x:v>source characteristic</x:v>
      </x:c>
      <x:c r="D195" s="7" t="str">
        <x:v>RAE-SP-03-CH-09</x:v>
      </x:c>
      <x:c r="E195" s="7" t="str">
        <x:v>Source Characteristics!N35</x:v>
      </x:c>
      <x:c r="F195" s="7" t="str">
        <x:f>'Source Characteristics'!N35</x:f>
        <x:v>OPEN</x:v>
      </x:c>
    </x:row>
    <x:row r="196">
      <x:c r="B196" s="7" t="str">
        <x:v>PHY-0190</x:v>
      </x:c>
      <x:c r="C196" s="7" t="str">
        <x:v>source characteristic</x:v>
      </x:c>
      <x:c r="D196" s="7" t="str">
        <x:v>RAE-SP-03-CH-10</x:v>
      </x:c>
      <x:c r="E196" s="7" t="str">
        <x:v>Source Characteristics!N36</x:v>
      </x:c>
      <x:c r="F196" s="7" t="str">
        <x:f>'Source Characteristics'!N36</x:f>
        <x:v>OPEN</x:v>
      </x:c>
    </x:row>
    <x:row r="197">
      <x:c r="B197" s="7" t="str">
        <x:v>PHY-0191</x:v>
      </x:c>
      <x:c r="C197" s="7" t="str">
        <x:v>source characteristic</x:v>
      </x:c>
      <x:c r="D197" s="7" t="str">
        <x:v>RAE-SP-04-CH-01</x:v>
      </x:c>
      <x:c r="E197" s="7" t="str">
        <x:v>Source Characteristics!N37</x:v>
      </x:c>
      <x:c r="F197" s="7" t="str">
        <x:f>'Source Characteristics'!N37</x:f>
        <x:v>OPEN</x:v>
      </x:c>
    </x:row>
    <x:row r="198">
      <x:c r="B198" s="7" t="str">
        <x:v>PHY-0192</x:v>
      </x:c>
      <x:c r="C198" s="7" t="str">
        <x:v>source characteristic</x:v>
      </x:c>
      <x:c r="D198" s="7" t="str">
        <x:v>RAE-SP-04-CH-02</x:v>
      </x:c>
      <x:c r="E198" s="7" t="str">
        <x:v>Source Characteristics!N38</x:v>
      </x:c>
      <x:c r="F198" s="7" t="str">
        <x:f>'Source Characteristics'!N38</x:f>
        <x:v>OPEN</x:v>
      </x:c>
    </x:row>
    <x:row r="199">
      <x:c r="B199" s="7" t="str">
        <x:v>PHY-0193</x:v>
      </x:c>
      <x:c r="C199" s="7" t="str">
        <x:v>source characteristic</x:v>
      </x:c>
      <x:c r="D199" s="7" t="str">
        <x:v>RAE-SP-04-CH-03</x:v>
      </x:c>
      <x:c r="E199" s="7" t="str">
        <x:v>Source Characteristics!N39</x:v>
      </x:c>
      <x:c r="F199" s="7" t="str">
        <x:f>'Source Characteristics'!N39</x:f>
        <x:v>OPEN</x:v>
      </x:c>
    </x:row>
    <x:row r="200">
      <x:c r="B200" s="7" t="str">
        <x:v>PHY-0194</x:v>
      </x:c>
      <x:c r="C200" s="7" t="str">
        <x:v>source characteristic</x:v>
      </x:c>
      <x:c r="D200" s="7" t="str">
        <x:v>RAE-SP-04-CH-04</x:v>
      </x:c>
      <x:c r="E200" s="7" t="str">
        <x:v>Source Characteristics!N40</x:v>
      </x:c>
      <x:c r="F200" s="7" t="str">
        <x:f>'Source Characteristics'!N40</x:f>
        <x:v>OPEN</x:v>
      </x:c>
    </x:row>
    <x:row r="201">
      <x:c r="B201" s="7" t="str">
        <x:v>PHY-0195</x:v>
      </x:c>
      <x:c r="C201" s="7" t="str">
        <x:v>source characteristic</x:v>
      </x:c>
      <x:c r="D201" s="7" t="str">
        <x:v>RAE-SP-04-CH-05</x:v>
      </x:c>
      <x:c r="E201" s="7" t="str">
        <x:v>Source Characteristics!N41</x:v>
      </x:c>
      <x:c r="F201" s="7" t="str">
        <x:f>'Source Characteristics'!N41</x:f>
        <x:v>OPEN</x:v>
      </x:c>
    </x:row>
    <x:row r="202">
      <x:c r="B202" s="7" t="str">
        <x:v>PHY-0196</x:v>
      </x:c>
      <x:c r="C202" s="7" t="str">
        <x:v>source characteristic</x:v>
      </x:c>
      <x:c r="D202" s="7" t="str">
        <x:v>RAE-SP-04-CH-06</x:v>
      </x:c>
      <x:c r="E202" s="7" t="str">
        <x:v>Source Characteristics!N42</x:v>
      </x:c>
      <x:c r="F202" s="7" t="str">
        <x:f>'Source Characteristics'!N42</x:f>
        <x:v>OPEN</x:v>
      </x:c>
    </x:row>
    <x:row r="203">
      <x:c r="B203" s="7" t="str">
        <x:v>PHY-0197</x:v>
      </x:c>
      <x:c r="C203" s="7" t="str">
        <x:v>source characteristic</x:v>
      </x:c>
      <x:c r="D203" s="7" t="str">
        <x:v>RAE-SP-04-CH-07</x:v>
      </x:c>
      <x:c r="E203" s="7" t="str">
        <x:v>Source Characteristics!N43</x:v>
      </x:c>
      <x:c r="F203" s="7" t="str">
        <x:f>'Source Characteristics'!N43</x:f>
        <x:v>OPEN</x:v>
      </x:c>
    </x:row>
    <x:row r="204">
      <x:c r="B204" s="7" t="str">
        <x:v>PHY-0198</x:v>
      </x:c>
      <x:c r="C204" s="7" t="str">
        <x:v>source characteristic</x:v>
      </x:c>
      <x:c r="D204" s="7" t="str">
        <x:v>RAE-SP-04-CH-08</x:v>
      </x:c>
      <x:c r="E204" s="7" t="str">
        <x:v>Source Characteristics!N44</x:v>
      </x:c>
      <x:c r="F204" s="7" t="str">
        <x:f>'Source Characteristics'!N44</x:f>
        <x:v>OPEN</x:v>
      </x:c>
    </x:row>
    <x:row r="205">
      <x:c r="B205" s="7" t="str">
        <x:v>PHY-0199</x:v>
      </x:c>
      <x:c r="C205" s="7" t="str">
        <x:v>source characteristic</x:v>
      </x:c>
      <x:c r="D205" s="7" t="str">
        <x:v>RAE-SP-04-CH-09</x:v>
      </x:c>
      <x:c r="E205" s="7" t="str">
        <x:v>Source Characteristics!N45</x:v>
      </x:c>
      <x:c r="F205" s="7" t="str">
        <x:f>'Source Characteristics'!N45</x:f>
        <x:v>OPEN</x:v>
      </x:c>
    </x:row>
    <x:row r="206">
      <x:c r="B206" s="7" t="str">
        <x:v>PHY-0200</x:v>
      </x:c>
      <x:c r="C206" s="7" t="str">
        <x:v>source characteristic</x:v>
      </x:c>
      <x:c r="D206" s="7" t="str">
        <x:v>RAE-SP-04-CH-10</x:v>
      </x:c>
      <x:c r="E206" s="7" t="str">
        <x:v>Source Characteristics!N46</x:v>
      </x:c>
      <x:c r="F206" s="7" t="str">
        <x:f>'Source Characteristics'!N46</x:f>
        <x:v>OPEN</x:v>
      </x:c>
    </x:row>
    <x:row r="207">
      <x:c r="B207" s="7" t="str">
        <x:v>PHY-0201</x:v>
      </x:c>
      <x:c r="C207" s="7" t="str">
        <x:v>source characteristic</x:v>
      </x:c>
      <x:c r="D207" s="7" t="str">
        <x:v>RAE-SP-05-CH-01</x:v>
      </x:c>
      <x:c r="E207" s="7" t="str">
        <x:v>Source Characteristics!N47</x:v>
      </x:c>
      <x:c r="F207" s="7" t="str">
        <x:f>'Source Characteristics'!N47</x:f>
        <x:v>OPEN</x:v>
      </x:c>
    </x:row>
    <x:row r="208">
      <x:c r="B208" s="7" t="str">
        <x:v>PHY-0202</x:v>
      </x:c>
      <x:c r="C208" s="7" t="str">
        <x:v>source characteristic</x:v>
      </x:c>
      <x:c r="D208" s="7" t="str">
        <x:v>RAE-SP-05-CH-02</x:v>
      </x:c>
      <x:c r="E208" s="7" t="str">
        <x:v>Source Characteristics!N48</x:v>
      </x:c>
      <x:c r="F208" s="7" t="str">
        <x:f>'Source Characteristics'!N48</x:f>
        <x:v>OPEN</x:v>
      </x:c>
    </x:row>
    <x:row r="209">
      <x:c r="B209" s="7" t="str">
        <x:v>PHY-0203</x:v>
      </x:c>
      <x:c r="C209" s="7" t="str">
        <x:v>source characteristic</x:v>
      </x:c>
      <x:c r="D209" s="7" t="str">
        <x:v>RAE-SP-05-CH-03</x:v>
      </x:c>
      <x:c r="E209" s="7" t="str">
        <x:v>Source Characteristics!N49</x:v>
      </x:c>
      <x:c r="F209" s="7" t="str">
        <x:f>'Source Characteristics'!N49</x:f>
        <x:v>OPEN</x:v>
      </x:c>
    </x:row>
    <x:row r="210">
      <x:c r="B210" s="7" t="str">
        <x:v>PHY-0204</x:v>
      </x:c>
      <x:c r="C210" s="7" t="str">
        <x:v>source characteristic</x:v>
      </x:c>
      <x:c r="D210" s="7" t="str">
        <x:v>RAE-SP-05-CH-04</x:v>
      </x:c>
      <x:c r="E210" s="7" t="str">
        <x:v>Source Characteristics!N50</x:v>
      </x:c>
      <x:c r="F210" s="7" t="str">
        <x:f>'Source Characteristics'!N50</x:f>
        <x:v>OPEN</x:v>
      </x:c>
    </x:row>
    <x:row r="211">
      <x:c r="B211" s="7" t="str">
        <x:v>PHY-0205</x:v>
      </x:c>
      <x:c r="C211" s="7" t="str">
        <x:v>source characteristic</x:v>
      </x:c>
      <x:c r="D211" s="7" t="str">
        <x:v>RAE-SP-05-CH-05</x:v>
      </x:c>
      <x:c r="E211" s="7" t="str">
        <x:v>Source Characteristics!N51</x:v>
      </x:c>
      <x:c r="F211" s="7" t="str">
        <x:f>'Source Characteristics'!N51</x:f>
        <x:v>OPEN</x:v>
      </x:c>
    </x:row>
    <x:row r="212">
      <x:c r="B212" s="7" t="str">
        <x:v>PHY-0206</x:v>
      </x:c>
      <x:c r="C212" s="7" t="str">
        <x:v>source characteristic</x:v>
      </x:c>
      <x:c r="D212" s="7" t="str">
        <x:v>RAE-SP-05-CH-06</x:v>
      </x:c>
      <x:c r="E212" s="7" t="str">
        <x:v>Source Characteristics!N52</x:v>
      </x:c>
      <x:c r="F212" s="7" t="str">
        <x:f>'Source Characteristics'!N52</x:f>
        <x:v>OPEN</x:v>
      </x:c>
    </x:row>
    <x:row r="213">
      <x:c r="B213" s="7" t="str">
        <x:v>PHY-0207</x:v>
      </x:c>
      <x:c r="C213" s="7" t="str">
        <x:v>source characteristic</x:v>
      </x:c>
      <x:c r="D213" s="7" t="str">
        <x:v>RAE-SP-05-CH-07</x:v>
      </x:c>
      <x:c r="E213" s="7" t="str">
        <x:v>Source Characteristics!N53</x:v>
      </x:c>
      <x:c r="F213" s="7" t="str">
        <x:f>'Source Characteristics'!N53</x:f>
        <x:v>OPEN</x:v>
      </x:c>
    </x:row>
    <x:row r="214">
      <x:c r="B214" s="7" t="str">
        <x:v>PHY-0208</x:v>
      </x:c>
      <x:c r="C214" s="7" t="str">
        <x:v>source characteristic</x:v>
      </x:c>
      <x:c r="D214" s="7" t="str">
        <x:v>RAE-SP-05-CH-08</x:v>
      </x:c>
      <x:c r="E214" s="7" t="str">
        <x:v>Source Characteristics!N54</x:v>
      </x:c>
      <x:c r="F214" s="7" t="str">
        <x:f>'Source Characteristics'!N54</x:f>
        <x:v>OPEN</x:v>
      </x:c>
    </x:row>
    <x:row r="215">
      <x:c r="B215" s="7" t="str">
        <x:v>PHY-0209</x:v>
      </x:c>
      <x:c r="C215" s="7" t="str">
        <x:v>source characteristic</x:v>
      </x:c>
      <x:c r="D215" s="7" t="str">
        <x:v>RAE-SP-05-CH-09</x:v>
      </x:c>
      <x:c r="E215" s="7" t="str">
        <x:v>Source Characteristics!N55</x:v>
      </x:c>
      <x:c r="F215" s="7" t="str">
        <x:f>'Source Characteristics'!N55</x:f>
        <x:v>OPEN</x:v>
      </x:c>
    </x:row>
    <x:row r="216">
      <x:c r="B216" s="7" t="str">
        <x:v>PHY-0210</x:v>
      </x:c>
      <x:c r="C216" s="7" t="str">
        <x:v>source characteristic</x:v>
      </x:c>
      <x:c r="D216" s="7" t="str">
        <x:v>RAE-SP-05-CH-10</x:v>
      </x:c>
      <x:c r="E216" s="7" t="str">
        <x:v>Source Characteristics!N56</x:v>
      </x:c>
      <x:c r="F216" s="7" t="str">
        <x:f>'Source Characteristics'!N56</x:f>
        <x:v>OPEN</x:v>
      </x:c>
    </x:row>
    <x:row r="217">
      <x:c r="B217" s="7" t="str">
        <x:v>PHY-0211</x:v>
      </x:c>
      <x:c r="C217" s="7" t="str">
        <x:v>source characteristic</x:v>
      </x:c>
      <x:c r="D217" s="7" t="str">
        <x:v>RAE-SP-06-CH-01</x:v>
      </x:c>
      <x:c r="E217" s="7" t="str">
        <x:v>Source Characteristics!N57</x:v>
      </x:c>
      <x:c r="F217" s="7" t="str">
        <x:f>'Source Characteristics'!N57</x:f>
        <x:v>OPEN</x:v>
      </x:c>
    </x:row>
    <x:row r="218">
      <x:c r="B218" s="7" t="str">
        <x:v>PHY-0212</x:v>
      </x:c>
      <x:c r="C218" s="7" t="str">
        <x:v>source characteristic</x:v>
      </x:c>
      <x:c r="D218" s="7" t="str">
        <x:v>RAE-SP-06-CH-02</x:v>
      </x:c>
      <x:c r="E218" s="7" t="str">
        <x:v>Source Characteristics!N58</x:v>
      </x:c>
      <x:c r="F218" s="7" t="str">
        <x:f>'Source Characteristics'!N58</x:f>
        <x:v>OPEN</x:v>
      </x:c>
    </x:row>
    <x:row r="219">
      <x:c r="B219" s="7" t="str">
        <x:v>PHY-0213</x:v>
      </x:c>
      <x:c r="C219" s="7" t="str">
        <x:v>source characteristic</x:v>
      </x:c>
      <x:c r="D219" s="7" t="str">
        <x:v>RAE-SP-06-CH-03</x:v>
      </x:c>
      <x:c r="E219" s="7" t="str">
        <x:v>Source Characteristics!N59</x:v>
      </x:c>
      <x:c r="F219" s="7" t="str">
        <x:f>'Source Characteristics'!N59</x:f>
        <x:v>OPEN</x:v>
      </x:c>
    </x:row>
    <x:row r="220">
      <x:c r="B220" s="7" t="str">
        <x:v>PHY-0214</x:v>
      </x:c>
      <x:c r="C220" s="7" t="str">
        <x:v>source characteristic</x:v>
      </x:c>
      <x:c r="D220" s="7" t="str">
        <x:v>RAE-SP-06-CH-04</x:v>
      </x:c>
      <x:c r="E220" s="7" t="str">
        <x:v>Source Characteristics!N60</x:v>
      </x:c>
      <x:c r="F220" s="7" t="str">
        <x:f>'Source Characteristics'!N60</x:f>
        <x:v>OPEN</x:v>
      </x:c>
    </x:row>
    <x:row r="221">
      <x:c r="B221" s="7" t="str">
        <x:v>PHY-0215</x:v>
      </x:c>
      <x:c r="C221" s="7" t="str">
        <x:v>source characteristic</x:v>
      </x:c>
      <x:c r="D221" s="7" t="str">
        <x:v>RAE-SP-06-CH-05</x:v>
      </x:c>
      <x:c r="E221" s="7" t="str">
        <x:v>Source Characteristics!N61</x:v>
      </x:c>
      <x:c r="F221" s="7" t="str">
        <x:f>'Source Characteristics'!N61</x:f>
        <x:v>OPEN</x:v>
      </x:c>
    </x:row>
    <x:row r="222">
      <x:c r="B222" s="7" t="str">
        <x:v>PHY-0216</x:v>
      </x:c>
      <x:c r="C222" s="7" t="str">
        <x:v>source characteristic</x:v>
      </x:c>
      <x:c r="D222" s="7" t="str">
        <x:v>RAE-SP-06-CH-06</x:v>
      </x:c>
      <x:c r="E222" s="7" t="str">
        <x:v>Source Characteristics!N62</x:v>
      </x:c>
      <x:c r="F222" s="7" t="str">
        <x:f>'Source Characteristics'!N62</x:f>
        <x:v>OPEN</x:v>
      </x:c>
    </x:row>
    <x:row r="223">
      <x:c r="B223" s="7" t="str">
        <x:v>PHY-0217</x:v>
      </x:c>
      <x:c r="C223" s="7" t="str">
        <x:v>source characteristic</x:v>
      </x:c>
      <x:c r="D223" s="7" t="str">
        <x:v>RAE-SP-06-CH-07</x:v>
      </x:c>
      <x:c r="E223" s="7" t="str">
        <x:v>Source Characteristics!N63</x:v>
      </x:c>
      <x:c r="F223" s="7" t="str">
        <x:f>'Source Characteristics'!N63</x:f>
        <x:v>OPEN</x:v>
      </x:c>
    </x:row>
    <x:row r="224">
      <x:c r="B224" s="7" t="str">
        <x:v>PHY-0218</x:v>
      </x:c>
      <x:c r="C224" s="7" t="str">
        <x:v>source characteristic</x:v>
      </x:c>
      <x:c r="D224" s="7" t="str">
        <x:v>RAE-SP-06-CH-08</x:v>
      </x:c>
      <x:c r="E224" s="7" t="str">
        <x:v>Source Characteristics!N64</x:v>
      </x:c>
      <x:c r="F224" s="7" t="str">
        <x:f>'Source Characteristics'!N64</x:f>
        <x:v>OPEN</x:v>
      </x:c>
    </x:row>
    <x:row r="225">
      <x:c r="B225" s="7" t="str">
        <x:v>PHY-0219</x:v>
      </x:c>
      <x:c r="C225" s="7" t="str">
        <x:v>source characteristic</x:v>
      </x:c>
      <x:c r="D225" s="7" t="str">
        <x:v>RAE-SP-06-CH-09</x:v>
      </x:c>
      <x:c r="E225" s="7" t="str">
        <x:v>Source Characteristics!N65</x:v>
      </x:c>
      <x:c r="F225" s="7" t="str">
        <x:f>'Source Characteristics'!N65</x:f>
        <x:v>OPEN</x:v>
      </x:c>
    </x:row>
    <x:row r="226">
      <x:c r="B226" s="7" t="str">
        <x:v>PHY-0220</x:v>
      </x:c>
      <x:c r="C226" s="7" t="str">
        <x:v>source characteristic</x:v>
      </x:c>
      <x:c r="D226" s="7" t="str">
        <x:v>RAE-SP-06-CH-10</x:v>
      </x:c>
      <x:c r="E226" s="7" t="str">
        <x:v>Source Characteristics!N66</x:v>
      </x:c>
      <x:c r="F226" s="7" t="str">
        <x:f>'Source Characteristics'!N66</x:f>
        <x:v>OPEN</x:v>
      </x:c>
    </x:row>
    <x:row r="227">
      <x:c r="B227" s="7" t="str">
        <x:v>PHY-0221</x:v>
      </x:c>
      <x:c r="C227" s="7" t="str">
        <x:v>source characteristic</x:v>
      </x:c>
      <x:c r="D227" s="7" t="str">
        <x:v>RAE-SP-07-CH-01</x:v>
      </x:c>
      <x:c r="E227" s="7" t="str">
        <x:v>Source Characteristics!N67</x:v>
      </x:c>
      <x:c r="F227" s="7" t="str">
        <x:f>'Source Characteristics'!N67</x:f>
        <x:v>OPEN</x:v>
      </x:c>
    </x:row>
    <x:row r="228">
      <x:c r="B228" s="7" t="str">
        <x:v>PHY-0222</x:v>
      </x:c>
      <x:c r="C228" s="7" t="str">
        <x:v>source characteristic</x:v>
      </x:c>
      <x:c r="D228" s="7" t="str">
        <x:v>RAE-SP-07-CH-02</x:v>
      </x:c>
      <x:c r="E228" s="7" t="str">
        <x:v>Source Characteristics!N68</x:v>
      </x:c>
      <x:c r="F228" s="7" t="str">
        <x:f>'Source Characteristics'!N68</x:f>
        <x:v>OPEN</x:v>
      </x:c>
    </x:row>
    <x:row r="229">
      <x:c r="B229" s="7" t="str">
        <x:v>PHY-0223</x:v>
      </x:c>
      <x:c r="C229" s="7" t="str">
        <x:v>source characteristic</x:v>
      </x:c>
      <x:c r="D229" s="7" t="str">
        <x:v>RAE-SP-07-CH-03</x:v>
      </x:c>
      <x:c r="E229" s="7" t="str">
        <x:v>Source Characteristics!N69</x:v>
      </x:c>
      <x:c r="F229" s="7" t="str">
        <x:f>'Source Characteristics'!N69</x:f>
        <x:v>OPEN</x:v>
      </x:c>
    </x:row>
    <x:row r="230">
      <x:c r="B230" s="7" t="str">
        <x:v>PHY-0224</x:v>
      </x:c>
      <x:c r="C230" s="7" t="str">
        <x:v>source characteristic</x:v>
      </x:c>
      <x:c r="D230" s="7" t="str">
        <x:v>RAE-SP-07-CH-04</x:v>
      </x:c>
      <x:c r="E230" s="7" t="str">
        <x:v>Source Characteristics!N70</x:v>
      </x:c>
      <x:c r="F230" s="7" t="str">
        <x:f>'Source Characteristics'!N70</x:f>
        <x:v>OPEN</x:v>
      </x:c>
    </x:row>
    <x:row r="231">
      <x:c r="B231" s="7" t="str">
        <x:v>PHY-0225</x:v>
      </x:c>
      <x:c r="C231" s="7" t="str">
        <x:v>source characteristic</x:v>
      </x:c>
      <x:c r="D231" s="7" t="str">
        <x:v>RAE-SP-07-CH-05</x:v>
      </x:c>
      <x:c r="E231" s="7" t="str">
        <x:v>Source Characteristics!N71</x:v>
      </x:c>
      <x:c r="F231" s="7" t="str">
        <x:f>'Source Characteristics'!N71</x:f>
        <x:v>OPEN</x:v>
      </x:c>
    </x:row>
    <x:row r="232">
      <x:c r="B232" s="7" t="str">
        <x:v>PHY-0226</x:v>
      </x:c>
      <x:c r="C232" s="7" t="str">
        <x:v>source characteristic</x:v>
      </x:c>
      <x:c r="D232" s="7" t="str">
        <x:v>RAE-SP-07-CH-06</x:v>
      </x:c>
      <x:c r="E232" s="7" t="str">
        <x:v>Source Characteristics!N72</x:v>
      </x:c>
      <x:c r="F232" s="7" t="str">
        <x:f>'Source Characteristics'!N72</x:f>
        <x:v>OPEN</x:v>
      </x:c>
    </x:row>
    <x:row r="233">
      <x:c r="B233" s="7" t="str">
        <x:v>PHY-0227</x:v>
      </x:c>
      <x:c r="C233" s="7" t="str">
        <x:v>source characteristic</x:v>
      </x:c>
      <x:c r="D233" s="7" t="str">
        <x:v>RAE-SP-07-CH-07</x:v>
      </x:c>
      <x:c r="E233" s="7" t="str">
        <x:v>Source Characteristics!N73</x:v>
      </x:c>
      <x:c r="F233" s="7" t="str">
        <x:f>'Source Characteristics'!N73</x:f>
        <x:v>OPEN</x:v>
      </x:c>
    </x:row>
    <x:row r="234">
      <x:c r="B234" s="7" t="str">
        <x:v>PHY-0228</x:v>
      </x:c>
      <x:c r="C234" s="7" t="str">
        <x:v>source characteristic</x:v>
      </x:c>
      <x:c r="D234" s="7" t="str">
        <x:v>RAE-SP-07-CH-08</x:v>
      </x:c>
      <x:c r="E234" s="7" t="str">
        <x:v>Source Characteristics!N74</x:v>
      </x:c>
      <x:c r="F234" s="7" t="str">
        <x:f>'Source Characteristics'!N74</x:f>
        <x:v>OPEN</x:v>
      </x:c>
    </x:row>
    <x:row r="235">
      <x:c r="B235" s="7" t="str">
        <x:v>PHY-0229</x:v>
      </x:c>
      <x:c r="C235" s="7" t="str">
        <x:v>source characteristic</x:v>
      </x:c>
      <x:c r="D235" s="7" t="str">
        <x:v>RAE-SP-07-CH-09</x:v>
      </x:c>
      <x:c r="E235" s="7" t="str">
        <x:v>Source Characteristics!N75</x:v>
      </x:c>
      <x:c r="F235" s="7" t="str">
        <x:f>'Source Characteristics'!N75</x:f>
        <x:v>OPEN</x:v>
      </x:c>
    </x:row>
    <x:row r="236">
      <x:c r="B236" s="7" t="str">
        <x:v>PHY-0230</x:v>
      </x:c>
      <x:c r="C236" s="7" t="str">
        <x:v>source characteristic</x:v>
      </x:c>
      <x:c r="D236" s="7" t="str">
        <x:v>RAE-SP-07-CH-10</x:v>
      </x:c>
      <x:c r="E236" s="7" t="str">
        <x:v>Source Characteristics!N76</x:v>
      </x:c>
      <x:c r="F236" s="7" t="str">
        <x:f>'Source Characteristics'!N76</x:f>
        <x:v>OPEN</x:v>
      </x:c>
    </x:row>
    <x:row r="237">
      <x:c r="B237" s="7" t="str">
        <x:v>PHY-0231</x:v>
      </x:c>
      <x:c r="C237" s="7" t="str">
        <x:v>source characteristic</x:v>
      </x:c>
      <x:c r="D237" s="7" t="str">
        <x:v>RAE-SP-08-CH-01</x:v>
      </x:c>
      <x:c r="E237" s="7" t="str">
        <x:v>Source Characteristics!N77</x:v>
      </x:c>
      <x:c r="F237" s="7" t="str">
        <x:f>'Source Characteristics'!N77</x:f>
        <x:v>OPEN</x:v>
      </x:c>
    </x:row>
    <x:row r="238">
      <x:c r="B238" s="7" t="str">
        <x:v>PHY-0232</x:v>
      </x:c>
      <x:c r="C238" s="7" t="str">
        <x:v>source characteristic</x:v>
      </x:c>
      <x:c r="D238" s="7" t="str">
        <x:v>RAE-SP-08-CH-02</x:v>
      </x:c>
      <x:c r="E238" s="7" t="str">
        <x:v>Source Characteristics!N78</x:v>
      </x:c>
      <x:c r="F238" s="7" t="str">
        <x:f>'Source Characteristics'!N78</x:f>
        <x:v>OPEN</x:v>
      </x:c>
    </x:row>
    <x:row r="239">
      <x:c r="B239" s="7" t="str">
        <x:v>PHY-0233</x:v>
      </x:c>
      <x:c r="C239" s="7" t="str">
        <x:v>source characteristic</x:v>
      </x:c>
      <x:c r="D239" s="7" t="str">
        <x:v>RAE-SP-08-CH-03</x:v>
      </x:c>
      <x:c r="E239" s="7" t="str">
        <x:v>Source Characteristics!N79</x:v>
      </x:c>
      <x:c r="F239" s="7" t="str">
        <x:f>'Source Characteristics'!N79</x:f>
        <x:v>OPEN</x:v>
      </x:c>
    </x:row>
    <x:row r="240">
      <x:c r="B240" s="7" t="str">
        <x:v>PHY-0234</x:v>
      </x:c>
      <x:c r="C240" s="7" t="str">
        <x:v>source characteristic</x:v>
      </x:c>
      <x:c r="D240" s="7" t="str">
        <x:v>RAE-SP-08-CH-04</x:v>
      </x:c>
      <x:c r="E240" s="7" t="str">
        <x:v>Source Characteristics!N80</x:v>
      </x:c>
      <x:c r="F240" s="7" t="str">
        <x:f>'Source Characteristics'!N80</x:f>
        <x:v>OPEN</x:v>
      </x:c>
    </x:row>
    <x:row r="241">
      <x:c r="B241" s="7" t="str">
        <x:v>PHY-0235</x:v>
      </x:c>
      <x:c r="C241" s="7" t="str">
        <x:v>source characteristic</x:v>
      </x:c>
      <x:c r="D241" s="7" t="str">
        <x:v>RAE-SP-08-CH-05</x:v>
      </x:c>
      <x:c r="E241" s="7" t="str">
        <x:v>Source Characteristics!N81</x:v>
      </x:c>
      <x:c r="F241" s="7" t="str">
        <x:f>'Source Characteristics'!N81</x:f>
        <x:v>OPEN</x:v>
      </x:c>
    </x:row>
    <x:row r="242">
      <x:c r="B242" s="7" t="str">
        <x:v>PHY-0236</x:v>
      </x:c>
      <x:c r="C242" s="7" t="str">
        <x:v>source characteristic</x:v>
      </x:c>
      <x:c r="D242" s="7" t="str">
        <x:v>RAE-SP-08-CH-06</x:v>
      </x:c>
      <x:c r="E242" s="7" t="str">
        <x:v>Source Characteristics!N82</x:v>
      </x:c>
      <x:c r="F242" s="7" t="str">
        <x:f>'Source Characteristics'!N82</x:f>
        <x:v>OPEN</x:v>
      </x:c>
    </x:row>
    <x:row r="243">
      <x:c r="B243" s="7" t="str">
        <x:v>PHY-0237</x:v>
      </x:c>
      <x:c r="C243" s="7" t="str">
        <x:v>source characteristic</x:v>
      </x:c>
      <x:c r="D243" s="7" t="str">
        <x:v>RAE-SP-08-CH-07</x:v>
      </x:c>
      <x:c r="E243" s="7" t="str">
        <x:v>Source Characteristics!N83</x:v>
      </x:c>
      <x:c r="F243" s="7" t="str">
        <x:f>'Source Characteristics'!N83</x:f>
        <x:v>OPEN</x:v>
      </x:c>
    </x:row>
    <x:row r="244">
      <x:c r="B244" s="7" t="str">
        <x:v>PHY-0238</x:v>
      </x:c>
      <x:c r="C244" s="7" t="str">
        <x:v>source characteristic</x:v>
      </x:c>
      <x:c r="D244" s="7" t="str">
        <x:v>RAE-SP-08-CH-08</x:v>
      </x:c>
      <x:c r="E244" s="7" t="str">
        <x:v>Source Characteristics!N84</x:v>
      </x:c>
      <x:c r="F244" s="7" t="str">
        <x:f>'Source Characteristics'!N84</x:f>
        <x:v>OPEN</x:v>
      </x:c>
    </x:row>
    <x:row r="245">
      <x:c r="B245" s="7" t="str">
        <x:v>PHY-0239</x:v>
      </x:c>
      <x:c r="C245" s="7" t="str">
        <x:v>source characteristic</x:v>
      </x:c>
      <x:c r="D245" s="7" t="str">
        <x:v>RAE-SP-08-CH-09</x:v>
      </x:c>
      <x:c r="E245" s="7" t="str">
        <x:v>Source Characteristics!N85</x:v>
      </x:c>
      <x:c r="F245" s="7" t="str">
        <x:f>'Source Characteristics'!N85</x:f>
        <x:v>OPEN</x:v>
      </x:c>
    </x:row>
    <x:row r="246">
      <x:c r="B246" s="7" t="str">
        <x:v>PHY-0240</x:v>
      </x:c>
      <x:c r="C246" s="7" t="str">
        <x:v>source characteristic</x:v>
      </x:c>
      <x:c r="D246" s="7" t="str">
        <x:v>RAE-SP-08-CH-10</x:v>
      </x:c>
      <x:c r="E246" s="7" t="str">
        <x:v>Source Characteristics!N86</x:v>
      </x:c>
      <x:c r="F246" s="7" t="str">
        <x:f>'Source Characteristics'!N86</x:f>
        <x:v>OPEN</x:v>
      </x:c>
    </x:row>
    <x:row r="247">
      <x:c r="B247" s="7" t="str">
        <x:v>PHY-0241</x:v>
      </x:c>
      <x:c r="C247" s="7" t="str">
        <x:v>source characteristic</x:v>
      </x:c>
      <x:c r="D247" s="7" t="str">
        <x:v>RAE-SP-09-CH-01</x:v>
      </x:c>
      <x:c r="E247" s="7" t="str">
        <x:v>Source Characteristics!N87</x:v>
      </x:c>
      <x:c r="F247" s="7" t="str">
        <x:f>'Source Characteristics'!N87</x:f>
        <x:v>OPEN</x:v>
      </x:c>
    </x:row>
    <x:row r="248">
      <x:c r="B248" s="7" t="str">
        <x:v>PHY-0242</x:v>
      </x:c>
      <x:c r="C248" s="7" t="str">
        <x:v>source characteristic</x:v>
      </x:c>
      <x:c r="D248" s="7" t="str">
        <x:v>RAE-SP-09-CH-02</x:v>
      </x:c>
      <x:c r="E248" s="7" t="str">
        <x:v>Source Characteristics!N88</x:v>
      </x:c>
      <x:c r="F248" s="7" t="str">
        <x:f>'Source Characteristics'!N88</x:f>
        <x:v>OPEN</x:v>
      </x:c>
    </x:row>
    <x:row r="249">
      <x:c r="B249" s="7" t="str">
        <x:v>PHY-0243</x:v>
      </x:c>
      <x:c r="C249" s="7" t="str">
        <x:v>source characteristic</x:v>
      </x:c>
      <x:c r="D249" s="7" t="str">
        <x:v>RAE-SP-09-CH-03</x:v>
      </x:c>
      <x:c r="E249" s="7" t="str">
        <x:v>Source Characteristics!N89</x:v>
      </x:c>
      <x:c r="F249" s="7" t="str">
        <x:f>'Source Characteristics'!N89</x:f>
        <x:v>OPEN</x:v>
      </x:c>
    </x:row>
    <x:row r="250">
      <x:c r="B250" s="7" t="str">
        <x:v>PHY-0244</x:v>
      </x:c>
      <x:c r="C250" s="7" t="str">
        <x:v>source characteristic</x:v>
      </x:c>
      <x:c r="D250" s="7" t="str">
        <x:v>RAE-SP-09-CH-04</x:v>
      </x:c>
      <x:c r="E250" s="7" t="str">
        <x:v>Source Characteristics!N90</x:v>
      </x:c>
      <x:c r="F250" s="7" t="str">
        <x:f>'Source Characteristics'!N90</x:f>
        <x:v>OPEN</x:v>
      </x:c>
    </x:row>
    <x:row r="251">
      <x:c r="B251" s="7" t="str">
        <x:v>PHY-0245</x:v>
      </x:c>
      <x:c r="C251" s="7" t="str">
        <x:v>source characteristic</x:v>
      </x:c>
      <x:c r="D251" s="7" t="str">
        <x:v>RAE-SP-09-CH-05</x:v>
      </x:c>
      <x:c r="E251" s="7" t="str">
        <x:v>Source Characteristics!N91</x:v>
      </x:c>
      <x:c r="F251" s="7" t="str">
        <x:f>'Source Characteristics'!N91</x:f>
        <x:v>OPEN</x:v>
      </x:c>
    </x:row>
    <x:row r="252">
      <x:c r="B252" s="7" t="str">
        <x:v>PHY-0246</x:v>
      </x:c>
      <x:c r="C252" s="7" t="str">
        <x:v>source characteristic</x:v>
      </x:c>
      <x:c r="D252" s="7" t="str">
        <x:v>RAE-SP-09-CH-06</x:v>
      </x:c>
      <x:c r="E252" s="7" t="str">
        <x:v>Source Characteristics!N92</x:v>
      </x:c>
      <x:c r="F252" s="7" t="str">
        <x:f>'Source Characteristics'!N92</x:f>
        <x:v>OPEN</x:v>
      </x:c>
    </x:row>
    <x:row r="253">
      <x:c r="B253" s="7" t="str">
        <x:v>PHY-0247</x:v>
      </x:c>
      <x:c r="C253" s="7" t="str">
        <x:v>source characteristic</x:v>
      </x:c>
      <x:c r="D253" s="7" t="str">
        <x:v>RAE-SP-09-CH-07</x:v>
      </x:c>
      <x:c r="E253" s="7" t="str">
        <x:v>Source Characteristics!N93</x:v>
      </x:c>
      <x:c r="F253" s="7" t="str">
        <x:f>'Source Characteristics'!N93</x:f>
        <x:v>OPEN</x:v>
      </x:c>
    </x:row>
    <x:row r="254">
      <x:c r="B254" s="7" t="str">
        <x:v>PHY-0248</x:v>
      </x:c>
      <x:c r="C254" s="7" t="str">
        <x:v>source characteristic</x:v>
      </x:c>
      <x:c r="D254" s="7" t="str">
        <x:v>RAE-SP-09-CH-08</x:v>
      </x:c>
      <x:c r="E254" s="7" t="str">
        <x:v>Source Characteristics!N94</x:v>
      </x:c>
      <x:c r="F254" s="7" t="str">
        <x:f>'Source Characteristics'!N94</x:f>
        <x:v>OPEN</x:v>
      </x:c>
    </x:row>
    <x:row r="255">
      <x:c r="B255" s="7" t="str">
        <x:v>PHY-0249</x:v>
      </x:c>
      <x:c r="C255" s="7" t="str">
        <x:v>source characteristic</x:v>
      </x:c>
      <x:c r="D255" s="7" t="str">
        <x:v>RAE-SP-09-CH-09</x:v>
      </x:c>
      <x:c r="E255" s="7" t="str">
        <x:v>Source Characteristics!N95</x:v>
      </x:c>
      <x:c r="F255" s="7" t="str">
        <x:f>'Source Characteristics'!N95</x:f>
        <x:v>OPEN</x:v>
      </x:c>
    </x:row>
    <x:row r="256">
      <x:c r="B256" s="7" t="str">
        <x:v>PHY-0250</x:v>
      </x:c>
      <x:c r="C256" s="7" t="str">
        <x:v>source characteristic</x:v>
      </x:c>
      <x:c r="D256" s="7" t="str">
        <x:v>RAE-SP-09-CH-10</x:v>
      </x:c>
      <x:c r="E256" s="7" t="str">
        <x:v>Source Characteristics!N96</x:v>
      </x:c>
      <x:c r="F256" s="7" t="str">
        <x:f>'Source Characteristics'!N96</x:f>
        <x:v>OPEN</x:v>
      </x:c>
    </x:row>
    <x:row r="257">
      <x:c r="B257" s="7" t="str">
        <x:v>PHY-0251</x:v>
      </x:c>
      <x:c r="C257" s="7" t="str">
        <x:v>source characteristic</x:v>
      </x:c>
      <x:c r="D257" s="7" t="str">
        <x:v>RAE-SP-10-CH-01</x:v>
      </x:c>
      <x:c r="E257" s="7" t="str">
        <x:v>Source Characteristics!N97</x:v>
      </x:c>
      <x:c r="F257" s="7" t="str">
        <x:f>'Source Characteristics'!N97</x:f>
        <x:v>OPEN</x:v>
      </x:c>
    </x:row>
    <x:row r="258">
      <x:c r="B258" s="7" t="str">
        <x:v>PHY-0252</x:v>
      </x:c>
      <x:c r="C258" s="7" t="str">
        <x:v>source characteristic</x:v>
      </x:c>
      <x:c r="D258" s="7" t="str">
        <x:v>RAE-SP-10-CH-02</x:v>
      </x:c>
      <x:c r="E258" s="7" t="str">
        <x:v>Source Characteristics!N98</x:v>
      </x:c>
      <x:c r="F258" s="7" t="str">
        <x:f>'Source Characteristics'!N98</x:f>
        <x:v>OPEN</x:v>
      </x:c>
    </x:row>
    <x:row r="259">
      <x:c r="B259" s="7" t="str">
        <x:v>PHY-0253</x:v>
      </x:c>
      <x:c r="C259" s="7" t="str">
        <x:v>source characteristic</x:v>
      </x:c>
      <x:c r="D259" s="7" t="str">
        <x:v>RAE-SP-10-CH-03</x:v>
      </x:c>
      <x:c r="E259" s="7" t="str">
        <x:v>Source Characteristics!N99</x:v>
      </x:c>
      <x:c r="F259" s="7" t="str">
        <x:f>'Source Characteristics'!N99</x:f>
        <x:v>OPEN</x:v>
      </x:c>
    </x:row>
    <x:row r="260">
      <x:c r="B260" s="7" t="str">
        <x:v>PHY-0254</x:v>
      </x:c>
      <x:c r="C260" s="7" t="str">
        <x:v>source characteristic</x:v>
      </x:c>
      <x:c r="D260" s="7" t="str">
        <x:v>RAE-SP-10-CH-04</x:v>
      </x:c>
      <x:c r="E260" s="7" t="str">
        <x:v>Source Characteristics!N100</x:v>
      </x:c>
      <x:c r="F260" s="7" t="str">
        <x:f>'Source Characteristics'!N100</x:f>
        <x:v>OPEN</x:v>
      </x:c>
    </x:row>
    <x:row r="261">
      <x:c r="B261" s="7" t="str">
        <x:v>PHY-0255</x:v>
      </x:c>
      <x:c r="C261" s="7" t="str">
        <x:v>source characteristic</x:v>
      </x:c>
      <x:c r="D261" s="7" t="str">
        <x:v>RAE-SP-10-CH-05</x:v>
      </x:c>
      <x:c r="E261" s="7" t="str">
        <x:v>Source Characteristics!N101</x:v>
      </x:c>
      <x:c r="F261" s="7" t="str">
        <x:f>'Source Characteristics'!N101</x:f>
        <x:v>OPEN</x:v>
      </x:c>
    </x:row>
    <x:row r="262">
      <x:c r="B262" s="7" t="str">
        <x:v>PHY-0256</x:v>
      </x:c>
      <x:c r="C262" s="7" t="str">
        <x:v>source characteristic</x:v>
      </x:c>
      <x:c r="D262" s="7" t="str">
        <x:v>RAE-SP-10-CH-06</x:v>
      </x:c>
      <x:c r="E262" s="7" t="str">
        <x:v>Source Characteristics!N102</x:v>
      </x:c>
      <x:c r="F262" s="7" t="str">
        <x:f>'Source Characteristics'!N102</x:f>
        <x:v>OPEN</x:v>
      </x:c>
    </x:row>
    <x:row r="263">
      <x:c r="B263" s="7" t="str">
        <x:v>PHY-0257</x:v>
      </x:c>
      <x:c r="C263" s="7" t="str">
        <x:v>source characteristic</x:v>
      </x:c>
      <x:c r="D263" s="7" t="str">
        <x:v>RAE-SP-10-CH-07</x:v>
      </x:c>
      <x:c r="E263" s="7" t="str">
        <x:v>Source Characteristics!N103</x:v>
      </x:c>
      <x:c r="F263" s="7" t="str">
        <x:f>'Source Characteristics'!N103</x:f>
        <x:v>OPEN</x:v>
      </x:c>
    </x:row>
    <x:row r="264">
      <x:c r="B264" s="7" t="str">
        <x:v>PHY-0258</x:v>
      </x:c>
      <x:c r="C264" s="7" t="str">
        <x:v>source characteristic</x:v>
      </x:c>
      <x:c r="D264" s="7" t="str">
        <x:v>RAE-SP-10-CH-08</x:v>
      </x:c>
      <x:c r="E264" s="7" t="str">
        <x:v>Source Characteristics!N104</x:v>
      </x:c>
      <x:c r="F264" s="7" t="str">
        <x:f>'Source Characteristics'!N104</x:f>
        <x:v>OPEN</x:v>
      </x:c>
    </x:row>
    <x:row r="265">
      <x:c r="B265" s="7" t="str">
        <x:v>PHY-0259</x:v>
      </x:c>
      <x:c r="C265" s="7" t="str">
        <x:v>source characteristic</x:v>
      </x:c>
      <x:c r="D265" s="7" t="str">
        <x:v>RAE-SP-10-CH-09</x:v>
      </x:c>
      <x:c r="E265" s="7" t="str">
        <x:v>Source Characteristics!N105</x:v>
      </x:c>
      <x:c r="F265" s="7" t="str">
        <x:f>'Source Characteristics'!N105</x:f>
        <x:v>OPEN</x:v>
      </x:c>
    </x:row>
    <x:row r="266">
      <x:c r="B266" s="7" t="str">
        <x:v>PHY-0260</x:v>
      </x:c>
      <x:c r="C266" s="7" t="str">
        <x:v>source characteristic</x:v>
      </x:c>
      <x:c r="D266" s="7" t="str">
        <x:v>RAE-SP-10-CH-10</x:v>
      </x:c>
      <x:c r="E266" s="7" t="str">
        <x:v>Source Characteristics!N106</x:v>
      </x:c>
      <x:c r="F266" s="7" t="str">
        <x:f>'Source Characteristics'!N106</x:f>
        <x:v>OPEN</x:v>
      </x:c>
    </x:row>
    <x:row r="267">
      <x:c r="B267" s="7" t="str">
        <x:v>PHY-0261</x:v>
      </x:c>
      <x:c r="C267" s="7" t="str">
        <x:v>source characteristic</x:v>
      </x:c>
      <x:c r="D267" s="7" t="str">
        <x:v>RAE-SP-11-CH-01</x:v>
      </x:c>
      <x:c r="E267" s="7" t="str">
        <x:v>Source Characteristics!N107</x:v>
      </x:c>
      <x:c r="F267" s="7" t="str">
        <x:f>'Source Characteristics'!N107</x:f>
        <x:v>OPEN</x:v>
      </x:c>
    </x:row>
    <x:row r="268">
      <x:c r="B268" s="7" t="str">
        <x:v>PHY-0262</x:v>
      </x:c>
      <x:c r="C268" s="7" t="str">
        <x:v>source characteristic</x:v>
      </x:c>
      <x:c r="D268" s="7" t="str">
        <x:v>RAE-SP-11-CH-02</x:v>
      </x:c>
      <x:c r="E268" s="7" t="str">
        <x:v>Source Characteristics!N108</x:v>
      </x:c>
      <x:c r="F268" s="7" t="str">
        <x:f>'Source Characteristics'!N108</x:f>
        <x:v>OPEN</x:v>
      </x:c>
    </x:row>
    <x:row r="269">
      <x:c r="B269" s="7" t="str">
        <x:v>PHY-0263</x:v>
      </x:c>
      <x:c r="C269" s="7" t="str">
        <x:v>source characteristic</x:v>
      </x:c>
      <x:c r="D269" s="7" t="str">
        <x:v>RAE-SP-11-CH-03</x:v>
      </x:c>
      <x:c r="E269" s="7" t="str">
        <x:v>Source Characteristics!N109</x:v>
      </x:c>
      <x:c r="F269" s="7" t="str">
        <x:f>'Source Characteristics'!N109</x:f>
        <x:v>OPEN</x:v>
      </x:c>
    </x:row>
    <x:row r="270">
      <x:c r="B270" s="7" t="str">
        <x:v>PHY-0264</x:v>
      </x:c>
      <x:c r="C270" s="7" t="str">
        <x:v>source characteristic</x:v>
      </x:c>
      <x:c r="D270" s="7" t="str">
        <x:v>RAE-SP-11-CH-04</x:v>
      </x:c>
      <x:c r="E270" s="7" t="str">
        <x:v>Source Characteristics!N110</x:v>
      </x:c>
      <x:c r="F270" s="7" t="str">
        <x:f>'Source Characteristics'!N110</x:f>
        <x:v>OPEN</x:v>
      </x:c>
    </x:row>
    <x:row r="271">
      <x:c r="B271" s="7" t="str">
        <x:v>PHY-0265</x:v>
      </x:c>
      <x:c r="C271" s="7" t="str">
        <x:v>source characteristic</x:v>
      </x:c>
      <x:c r="D271" s="7" t="str">
        <x:v>RAE-SP-11-CH-05</x:v>
      </x:c>
      <x:c r="E271" s="7" t="str">
        <x:v>Source Characteristics!N111</x:v>
      </x:c>
      <x:c r="F271" s="7" t="str">
        <x:f>'Source Characteristics'!N111</x:f>
        <x:v>OPEN</x:v>
      </x:c>
    </x:row>
    <x:row r="272">
      <x:c r="B272" s="7" t="str">
        <x:v>PHY-0266</x:v>
      </x:c>
      <x:c r="C272" s="7" t="str">
        <x:v>source characteristic</x:v>
      </x:c>
      <x:c r="D272" s="7" t="str">
        <x:v>RAE-SP-11-CH-06</x:v>
      </x:c>
      <x:c r="E272" s="7" t="str">
        <x:v>Source Characteristics!N112</x:v>
      </x:c>
      <x:c r="F272" s="7" t="str">
        <x:f>'Source Characteristics'!N112</x:f>
        <x:v>OPEN</x:v>
      </x:c>
    </x:row>
    <x:row r="273">
      <x:c r="B273" s="7" t="str">
        <x:v>PHY-0267</x:v>
      </x:c>
      <x:c r="C273" s="7" t="str">
        <x:v>source characteristic</x:v>
      </x:c>
      <x:c r="D273" s="7" t="str">
        <x:v>RAE-SP-11-CH-07</x:v>
      </x:c>
      <x:c r="E273" s="7" t="str">
        <x:v>Source Characteristics!N113</x:v>
      </x:c>
      <x:c r="F273" s="7" t="str">
        <x:f>'Source Characteristics'!N113</x:f>
        <x:v>OPEN</x:v>
      </x:c>
    </x:row>
    <x:row r="274">
      <x:c r="B274" s="7" t="str">
        <x:v>PHY-0268</x:v>
      </x:c>
      <x:c r="C274" s="7" t="str">
        <x:v>source characteristic</x:v>
      </x:c>
      <x:c r="D274" s="7" t="str">
        <x:v>RAE-SP-11-CH-08</x:v>
      </x:c>
      <x:c r="E274" s="7" t="str">
        <x:v>Source Characteristics!N114</x:v>
      </x:c>
      <x:c r="F274" s="7" t="str">
        <x:f>'Source Characteristics'!N114</x:f>
        <x:v>OPEN</x:v>
      </x:c>
    </x:row>
    <x:row r="275">
      <x:c r="B275" s="7" t="str">
        <x:v>PHY-0269</x:v>
      </x:c>
      <x:c r="C275" s="7" t="str">
        <x:v>source characteristic</x:v>
      </x:c>
      <x:c r="D275" s="7" t="str">
        <x:v>RAE-SP-11-CH-09</x:v>
      </x:c>
      <x:c r="E275" s="7" t="str">
        <x:v>Source Characteristics!N115</x:v>
      </x:c>
      <x:c r="F275" s="7" t="str">
        <x:f>'Source Characteristics'!N115</x:f>
        <x:v>OPEN</x:v>
      </x:c>
    </x:row>
    <x:row r="276">
      <x:c r="B276" s="7" t="str">
        <x:v>PHY-0270</x:v>
      </x:c>
      <x:c r="C276" s="7" t="str">
        <x:v>source characteristic</x:v>
      </x:c>
      <x:c r="D276" s="7" t="str">
        <x:v>RAE-SP-11-CH-10</x:v>
      </x:c>
      <x:c r="E276" s="7" t="str">
        <x:v>Source Characteristics!N116</x:v>
      </x:c>
      <x:c r="F276" s="7" t="str">
        <x:f>'Source Characteristics'!N116</x:f>
        <x:v>OPEN</x:v>
      </x:c>
    </x:row>
    <x:row r="277">
      <x:c r="B277" s="7" t="str">
        <x:v>PHY-0271</x:v>
      </x:c>
      <x:c r="C277" s="7" t="str">
        <x:v>source characteristic</x:v>
      </x:c>
      <x:c r="D277" s="7" t="str">
        <x:v>RAE-SP-12-CH-01</x:v>
      </x:c>
      <x:c r="E277" s="7" t="str">
        <x:v>Source Characteristics!N117</x:v>
      </x:c>
      <x:c r="F277" s="7" t="str">
        <x:f>'Source Characteristics'!N117</x:f>
        <x:v>OPEN</x:v>
      </x:c>
    </x:row>
    <x:row r="278">
      <x:c r="B278" s="7" t="str">
        <x:v>PHY-0272</x:v>
      </x:c>
      <x:c r="C278" s="7" t="str">
        <x:v>source characteristic</x:v>
      </x:c>
      <x:c r="D278" s="7" t="str">
        <x:v>RAE-SP-12-CH-02</x:v>
      </x:c>
      <x:c r="E278" s="7" t="str">
        <x:v>Source Characteristics!N118</x:v>
      </x:c>
      <x:c r="F278" s="7" t="str">
        <x:f>'Source Characteristics'!N118</x:f>
        <x:v>OPEN</x:v>
      </x:c>
    </x:row>
    <x:row r="279">
      <x:c r="B279" s="7" t="str">
        <x:v>PHY-0273</x:v>
      </x:c>
      <x:c r="C279" s="7" t="str">
        <x:v>source characteristic</x:v>
      </x:c>
      <x:c r="D279" s="7" t="str">
        <x:v>RAE-SP-12-CH-03</x:v>
      </x:c>
      <x:c r="E279" s="7" t="str">
        <x:v>Source Characteristics!N119</x:v>
      </x:c>
      <x:c r="F279" s="7" t="str">
        <x:f>'Source Characteristics'!N119</x:f>
        <x:v>OPEN</x:v>
      </x:c>
    </x:row>
    <x:row r="280">
      <x:c r="B280" s="7" t="str">
        <x:v>PHY-0274</x:v>
      </x:c>
      <x:c r="C280" s="7" t="str">
        <x:v>source characteristic</x:v>
      </x:c>
      <x:c r="D280" s="7" t="str">
        <x:v>RAE-SP-12-CH-04</x:v>
      </x:c>
      <x:c r="E280" s="7" t="str">
        <x:v>Source Characteristics!N120</x:v>
      </x:c>
      <x:c r="F280" s="7" t="str">
        <x:f>'Source Characteristics'!N120</x:f>
        <x:v>OPEN</x:v>
      </x:c>
    </x:row>
    <x:row r="281">
      <x:c r="B281" s="7" t="str">
        <x:v>PHY-0275</x:v>
      </x:c>
      <x:c r="C281" s="7" t="str">
        <x:v>source characteristic</x:v>
      </x:c>
      <x:c r="D281" s="7" t="str">
        <x:v>RAE-SP-12-CH-05</x:v>
      </x:c>
      <x:c r="E281" s="7" t="str">
        <x:v>Source Characteristics!N121</x:v>
      </x:c>
      <x:c r="F281" s="7" t="str">
        <x:f>'Source Characteristics'!N121</x:f>
        <x:v>OPEN</x:v>
      </x:c>
    </x:row>
    <x:row r="282">
      <x:c r="B282" s="7" t="str">
        <x:v>PHY-0276</x:v>
      </x:c>
      <x:c r="C282" s="7" t="str">
        <x:v>source characteristic</x:v>
      </x:c>
      <x:c r="D282" s="7" t="str">
        <x:v>RAE-SP-12-CH-06</x:v>
      </x:c>
      <x:c r="E282" s="7" t="str">
        <x:v>Source Characteristics!N122</x:v>
      </x:c>
      <x:c r="F282" s="7" t="str">
        <x:f>'Source Characteristics'!N122</x:f>
        <x:v>OPEN</x:v>
      </x:c>
    </x:row>
    <x:row r="283">
      <x:c r="B283" s="7" t="str">
        <x:v>PHY-0277</x:v>
      </x:c>
      <x:c r="C283" s="7" t="str">
        <x:v>source characteristic</x:v>
      </x:c>
      <x:c r="D283" s="7" t="str">
        <x:v>RAE-SP-12-CH-07</x:v>
      </x:c>
      <x:c r="E283" s="7" t="str">
        <x:v>Source Characteristics!N123</x:v>
      </x:c>
      <x:c r="F283" s="7" t="str">
        <x:f>'Source Characteristics'!N123</x:f>
        <x:v>OPEN</x:v>
      </x:c>
    </x:row>
    <x:row r="284">
      <x:c r="B284" s="7" t="str">
        <x:v>PHY-0278</x:v>
      </x:c>
      <x:c r="C284" s="7" t="str">
        <x:v>source characteristic</x:v>
      </x:c>
      <x:c r="D284" s="7" t="str">
        <x:v>RAE-SP-12-CH-08</x:v>
      </x:c>
      <x:c r="E284" s="7" t="str">
        <x:v>Source Characteristics!N124</x:v>
      </x:c>
      <x:c r="F284" s="7" t="str">
        <x:f>'Source Characteristics'!N124</x:f>
        <x:v>OPEN</x:v>
      </x:c>
    </x:row>
    <x:row r="285">
      <x:c r="B285" s="7" t="str">
        <x:v>PHY-0279</x:v>
      </x:c>
      <x:c r="C285" s="7" t="str">
        <x:v>source characteristic</x:v>
      </x:c>
      <x:c r="D285" s="7" t="str">
        <x:v>RAE-SP-12-CH-09</x:v>
      </x:c>
      <x:c r="E285" s="7" t="str">
        <x:v>Source Characteristics!N125</x:v>
      </x:c>
      <x:c r="F285" s="7" t="str">
        <x:f>'Source Characteristics'!N125</x:f>
        <x:v>OPEN</x:v>
      </x:c>
    </x:row>
    <x:row r="286">
      <x:c r="B286" s="7" t="str">
        <x:v>PHY-0280</x:v>
      </x:c>
      <x:c r="C286" s="7" t="str">
        <x:v>source characteristic</x:v>
      </x:c>
      <x:c r="D286" s="7" t="str">
        <x:v>RAE-SP-12-CH-10</x:v>
      </x:c>
      <x:c r="E286" s="7" t="str">
        <x:v>Source Characteristics!N126</x:v>
      </x:c>
      <x:c r="F286" s="7" t="str">
        <x:f>'Source Characteristics'!N126</x:f>
        <x:v>OPEN</x:v>
      </x:c>
    </x:row>
    <x:row r="287">
      <x:c r="B287" s="7" t="str">
        <x:v>PHY-0281</x:v>
      </x:c>
      <x:c r="C287" s="7" t="str">
        <x:v>source characteristic</x:v>
      </x:c>
      <x:c r="D287" s="7" t="str">
        <x:v>RAE-SP-13-CH-01</x:v>
      </x:c>
      <x:c r="E287" s="7" t="str">
        <x:v>Source Characteristics!N127</x:v>
      </x:c>
      <x:c r="F287" s="7" t="str">
        <x:f>'Source Characteristics'!N127</x:f>
        <x:v>OPEN</x:v>
      </x:c>
    </x:row>
    <x:row r="288">
      <x:c r="B288" s="7" t="str">
        <x:v>PHY-0282</x:v>
      </x:c>
      <x:c r="C288" s="7" t="str">
        <x:v>source characteristic</x:v>
      </x:c>
      <x:c r="D288" s="7" t="str">
        <x:v>RAE-SP-13-CH-02</x:v>
      </x:c>
      <x:c r="E288" s="7" t="str">
        <x:v>Source Characteristics!N128</x:v>
      </x:c>
      <x:c r="F288" s="7" t="str">
        <x:f>'Source Characteristics'!N128</x:f>
        <x:v>OPEN</x:v>
      </x:c>
    </x:row>
    <x:row r="289">
      <x:c r="B289" s="7" t="str">
        <x:v>PHY-0283</x:v>
      </x:c>
      <x:c r="C289" s="7" t="str">
        <x:v>source characteristic</x:v>
      </x:c>
      <x:c r="D289" s="7" t="str">
        <x:v>RAE-SP-13-CH-03</x:v>
      </x:c>
      <x:c r="E289" s="7" t="str">
        <x:v>Source Characteristics!N129</x:v>
      </x:c>
      <x:c r="F289" s="7" t="str">
        <x:f>'Source Characteristics'!N129</x:f>
        <x:v>OPEN</x:v>
      </x:c>
    </x:row>
    <x:row r="290">
      <x:c r="B290" s="7" t="str">
        <x:v>PHY-0284</x:v>
      </x:c>
      <x:c r="C290" s="7" t="str">
        <x:v>source characteristic</x:v>
      </x:c>
      <x:c r="D290" s="7" t="str">
        <x:v>RAE-SP-13-CH-04</x:v>
      </x:c>
      <x:c r="E290" s="7" t="str">
        <x:v>Source Characteristics!N130</x:v>
      </x:c>
      <x:c r="F290" s="7" t="str">
        <x:f>'Source Characteristics'!N130</x:f>
        <x:v>OPEN</x:v>
      </x:c>
    </x:row>
    <x:row r="291">
      <x:c r="B291" s="7" t="str">
        <x:v>PHY-0285</x:v>
      </x:c>
      <x:c r="C291" s="7" t="str">
        <x:v>source characteristic</x:v>
      </x:c>
      <x:c r="D291" s="7" t="str">
        <x:v>RAE-SP-13-CH-05</x:v>
      </x:c>
      <x:c r="E291" s="7" t="str">
        <x:v>Source Characteristics!N131</x:v>
      </x:c>
      <x:c r="F291" s="7" t="str">
        <x:f>'Source Characteristics'!N131</x:f>
        <x:v>OPEN</x:v>
      </x:c>
    </x:row>
    <x:row r="292">
      <x:c r="B292" s="7" t="str">
        <x:v>PHY-0286</x:v>
      </x:c>
      <x:c r="C292" s="7" t="str">
        <x:v>source characteristic</x:v>
      </x:c>
      <x:c r="D292" s="7" t="str">
        <x:v>RAE-SP-13-CH-06</x:v>
      </x:c>
      <x:c r="E292" s="7" t="str">
        <x:v>Source Characteristics!N132</x:v>
      </x:c>
      <x:c r="F292" s="7" t="str">
        <x:f>'Source Characteristics'!N132</x:f>
        <x:v>OPEN</x:v>
      </x:c>
    </x:row>
    <x:row r="293">
      <x:c r="B293" s="7" t="str">
        <x:v>PHY-0287</x:v>
      </x:c>
      <x:c r="C293" s="7" t="str">
        <x:v>source characteristic</x:v>
      </x:c>
      <x:c r="D293" s="7" t="str">
        <x:v>RAE-SP-13-CH-07</x:v>
      </x:c>
      <x:c r="E293" s="7" t="str">
        <x:v>Source Characteristics!N133</x:v>
      </x:c>
      <x:c r="F293" s="7" t="str">
        <x:f>'Source Characteristics'!N133</x:f>
        <x:v>OPEN</x:v>
      </x:c>
    </x:row>
    <x:row r="294">
      <x:c r="B294" s="7" t="str">
        <x:v>PHY-0288</x:v>
      </x:c>
      <x:c r="C294" s="7" t="str">
        <x:v>source characteristic</x:v>
      </x:c>
      <x:c r="D294" s="7" t="str">
        <x:v>RAE-SP-13-CH-08</x:v>
      </x:c>
      <x:c r="E294" s="7" t="str">
        <x:v>Source Characteristics!N134</x:v>
      </x:c>
      <x:c r="F294" s="7" t="str">
        <x:f>'Source Characteristics'!N134</x:f>
        <x:v>OPEN</x:v>
      </x:c>
    </x:row>
    <x:row r="295">
      <x:c r="B295" s="7" t="str">
        <x:v>PHY-0289</x:v>
      </x:c>
      <x:c r="C295" s="7" t="str">
        <x:v>source characteristic</x:v>
      </x:c>
      <x:c r="D295" s="7" t="str">
        <x:v>RAE-SP-13-CH-09</x:v>
      </x:c>
      <x:c r="E295" s="7" t="str">
        <x:v>Source Characteristics!N135</x:v>
      </x:c>
      <x:c r="F295" s="7" t="str">
        <x:f>'Source Characteristics'!N135</x:f>
        <x:v>OPEN</x:v>
      </x:c>
    </x:row>
    <x:row r="296">
      <x:c r="B296" s="7" t="str">
        <x:v>PHY-0290</x:v>
      </x:c>
      <x:c r="C296" s="7" t="str">
        <x:v>source characteristic</x:v>
      </x:c>
      <x:c r="D296" s="7" t="str">
        <x:v>RAE-SP-13-CH-10</x:v>
      </x:c>
      <x:c r="E296" s="7" t="str">
        <x:v>Source Characteristics!N136</x:v>
      </x:c>
      <x:c r="F296" s="7" t="str">
        <x:f>'Source Characteristics'!N136</x:f>
        <x:v>OPEN</x:v>
      </x:c>
    </x:row>
    <x:row r="297">
      <x:c r="B297" s="7" t="str">
        <x:v>PHY-0291</x:v>
      </x:c>
      <x:c r="C297" s="7" t="str">
        <x:v>source characteristic</x:v>
      </x:c>
      <x:c r="D297" s="7" t="str">
        <x:v>RAE-SP-14-CH-01</x:v>
      </x:c>
      <x:c r="E297" s="7" t="str">
        <x:v>Source Characteristics!N137</x:v>
      </x:c>
      <x:c r="F297" s="7" t="str">
        <x:f>'Source Characteristics'!N137</x:f>
        <x:v>OPEN</x:v>
      </x:c>
    </x:row>
    <x:row r="298">
      <x:c r="B298" s="7" t="str">
        <x:v>PHY-0292</x:v>
      </x:c>
      <x:c r="C298" s="7" t="str">
        <x:v>source characteristic</x:v>
      </x:c>
      <x:c r="D298" s="7" t="str">
        <x:v>RAE-SP-14-CH-02</x:v>
      </x:c>
      <x:c r="E298" s="7" t="str">
        <x:v>Source Characteristics!N138</x:v>
      </x:c>
      <x:c r="F298" s="7" t="str">
        <x:f>'Source Characteristics'!N138</x:f>
        <x:v>OPEN</x:v>
      </x:c>
    </x:row>
    <x:row r="299">
      <x:c r="B299" s="7" t="str">
        <x:v>PHY-0293</x:v>
      </x:c>
      <x:c r="C299" s="7" t="str">
        <x:v>source characteristic</x:v>
      </x:c>
      <x:c r="D299" s="7" t="str">
        <x:v>RAE-SP-14-CH-03</x:v>
      </x:c>
      <x:c r="E299" s="7" t="str">
        <x:v>Source Characteristics!N139</x:v>
      </x:c>
      <x:c r="F299" s="7" t="str">
        <x:f>'Source Characteristics'!N139</x:f>
        <x:v>OPEN</x:v>
      </x:c>
    </x:row>
    <x:row r="300">
      <x:c r="B300" s="7" t="str">
        <x:v>PHY-0294</x:v>
      </x:c>
      <x:c r="C300" s="7" t="str">
        <x:v>source characteristic</x:v>
      </x:c>
      <x:c r="D300" s="7" t="str">
        <x:v>RAE-SP-14-CH-04</x:v>
      </x:c>
      <x:c r="E300" s="7" t="str">
        <x:v>Source Characteristics!N140</x:v>
      </x:c>
      <x:c r="F300" s="7" t="str">
        <x:f>'Source Characteristics'!N140</x:f>
        <x:v>OPEN</x:v>
      </x:c>
    </x:row>
    <x:row r="301">
      <x:c r="B301" s="7" t="str">
        <x:v>PHY-0295</x:v>
      </x:c>
      <x:c r="C301" s="7" t="str">
        <x:v>source characteristic</x:v>
      </x:c>
      <x:c r="D301" s="7" t="str">
        <x:v>RAE-SP-14-CH-05</x:v>
      </x:c>
      <x:c r="E301" s="7" t="str">
        <x:v>Source Characteristics!N141</x:v>
      </x:c>
      <x:c r="F301" s="7" t="str">
        <x:f>'Source Characteristics'!N141</x:f>
        <x:v>OPEN</x:v>
      </x:c>
    </x:row>
    <x:row r="302">
      <x:c r="B302" s="7" t="str">
        <x:v>PHY-0296</x:v>
      </x:c>
      <x:c r="C302" s="7" t="str">
        <x:v>source characteristic</x:v>
      </x:c>
      <x:c r="D302" s="7" t="str">
        <x:v>RAE-SP-14-CH-06</x:v>
      </x:c>
      <x:c r="E302" s="7" t="str">
        <x:v>Source Characteristics!N142</x:v>
      </x:c>
      <x:c r="F302" s="7" t="str">
        <x:f>'Source Characteristics'!N142</x:f>
        <x:v>OPEN</x:v>
      </x:c>
    </x:row>
    <x:row r="303">
      <x:c r="B303" s="7" t="str">
        <x:v>PHY-0297</x:v>
      </x:c>
      <x:c r="C303" s="7" t="str">
        <x:v>source characteristic</x:v>
      </x:c>
      <x:c r="D303" s="7" t="str">
        <x:v>RAE-SP-14-CH-07</x:v>
      </x:c>
      <x:c r="E303" s="7" t="str">
        <x:v>Source Characteristics!N143</x:v>
      </x:c>
      <x:c r="F303" s="7" t="str">
        <x:f>'Source Characteristics'!N143</x:f>
        <x:v>OPEN</x:v>
      </x:c>
    </x:row>
    <x:row r="304">
      <x:c r="B304" s="7" t="str">
        <x:v>PHY-0298</x:v>
      </x:c>
      <x:c r="C304" s="7" t="str">
        <x:v>source characteristic</x:v>
      </x:c>
      <x:c r="D304" s="7" t="str">
        <x:v>RAE-SP-14-CH-08</x:v>
      </x:c>
      <x:c r="E304" s="7" t="str">
        <x:v>Source Characteristics!N144</x:v>
      </x:c>
      <x:c r="F304" s="7" t="str">
        <x:f>'Source Characteristics'!N144</x:f>
        <x:v>OPEN</x:v>
      </x:c>
    </x:row>
    <x:row r="305">
      <x:c r="B305" s="7" t="str">
        <x:v>PHY-0299</x:v>
      </x:c>
      <x:c r="C305" s="7" t="str">
        <x:v>source characteristic</x:v>
      </x:c>
      <x:c r="D305" s="7" t="str">
        <x:v>RAE-SP-14-CH-09</x:v>
      </x:c>
      <x:c r="E305" s="7" t="str">
        <x:v>Source Characteristics!N145</x:v>
      </x:c>
      <x:c r="F305" s="7" t="str">
        <x:f>'Source Characteristics'!N145</x:f>
        <x:v>OPEN</x:v>
      </x:c>
    </x:row>
    <x:row r="306">
      <x:c r="B306" s="7" t="str">
        <x:v>PHY-0300</x:v>
      </x:c>
      <x:c r="C306" s="7" t="str">
        <x:v>source characteristic</x:v>
      </x:c>
      <x:c r="D306" s="7" t="str">
        <x:v>RAE-SP-14-CH-10</x:v>
      </x:c>
      <x:c r="E306" s="7" t="str">
        <x:v>Source Characteristics!N146</x:v>
      </x:c>
      <x:c r="F306" s="7" t="str">
        <x:f>'Source Characteristics'!N146</x:f>
        <x:v>OPEN</x:v>
      </x:c>
    </x:row>
    <x:row r="307">
      <x:c r="B307" s="7" t="str">
        <x:v>PHY-0301</x:v>
      </x:c>
      <x:c r="C307" s="7" t="str">
        <x:v>source characteristic</x:v>
      </x:c>
      <x:c r="D307" s="7" t="str">
        <x:v>RAE-SP-15-CH-01</x:v>
      </x:c>
      <x:c r="E307" s="7" t="str">
        <x:v>Source Characteristics!N147</x:v>
      </x:c>
      <x:c r="F307" s="7" t="str">
        <x:f>'Source Characteristics'!N147</x:f>
        <x:v>OPEN</x:v>
      </x:c>
    </x:row>
    <x:row r="308">
      <x:c r="B308" s="7" t="str">
        <x:v>PHY-0302</x:v>
      </x:c>
      <x:c r="C308" s="7" t="str">
        <x:v>source characteristic</x:v>
      </x:c>
      <x:c r="D308" s="7" t="str">
        <x:v>RAE-SP-15-CH-02</x:v>
      </x:c>
      <x:c r="E308" s="7" t="str">
        <x:v>Source Characteristics!N148</x:v>
      </x:c>
      <x:c r="F308" s="7" t="str">
        <x:f>'Source Characteristics'!N148</x:f>
        <x:v>OPEN</x:v>
      </x:c>
    </x:row>
    <x:row r="309">
      <x:c r="B309" s="7" t="str">
        <x:v>PHY-0303</x:v>
      </x:c>
      <x:c r="C309" s="7" t="str">
        <x:v>source characteristic</x:v>
      </x:c>
      <x:c r="D309" s="7" t="str">
        <x:v>RAE-SP-15-CH-03</x:v>
      </x:c>
      <x:c r="E309" s="7" t="str">
        <x:v>Source Characteristics!N149</x:v>
      </x:c>
      <x:c r="F309" s="7" t="str">
        <x:f>'Source Characteristics'!N149</x:f>
        <x:v>OPEN</x:v>
      </x:c>
    </x:row>
    <x:row r="310">
      <x:c r="B310" s="7" t="str">
        <x:v>PHY-0304</x:v>
      </x:c>
      <x:c r="C310" s="7" t="str">
        <x:v>source characteristic</x:v>
      </x:c>
      <x:c r="D310" s="7" t="str">
        <x:v>RAE-SP-15-CH-04</x:v>
      </x:c>
      <x:c r="E310" s="7" t="str">
        <x:v>Source Characteristics!N150</x:v>
      </x:c>
      <x:c r="F310" s="7" t="str">
        <x:f>'Source Characteristics'!N150</x:f>
        <x:v>OPEN</x:v>
      </x:c>
    </x:row>
    <x:row r="311">
      <x:c r="B311" s="7" t="str">
        <x:v>PHY-0305</x:v>
      </x:c>
      <x:c r="C311" s="7" t="str">
        <x:v>source characteristic</x:v>
      </x:c>
      <x:c r="D311" s="7" t="str">
        <x:v>RAE-SP-15-CH-05</x:v>
      </x:c>
      <x:c r="E311" s="7" t="str">
        <x:v>Source Characteristics!N151</x:v>
      </x:c>
      <x:c r="F311" s="7" t="str">
        <x:f>'Source Characteristics'!N151</x:f>
        <x:v>OPEN</x:v>
      </x:c>
    </x:row>
    <x:row r="312">
      <x:c r="B312" s="7" t="str">
        <x:v>PHY-0306</x:v>
      </x:c>
      <x:c r="C312" s="7" t="str">
        <x:v>source characteristic</x:v>
      </x:c>
      <x:c r="D312" s="7" t="str">
        <x:v>RAE-SP-15-CH-06</x:v>
      </x:c>
      <x:c r="E312" s="7" t="str">
        <x:v>Source Characteristics!N152</x:v>
      </x:c>
      <x:c r="F312" s="7" t="str">
        <x:f>'Source Characteristics'!N152</x:f>
        <x:v>OPEN</x:v>
      </x:c>
    </x:row>
    <x:row r="313">
      <x:c r="B313" s="7" t="str">
        <x:v>PHY-0307</x:v>
      </x:c>
      <x:c r="C313" s="7" t="str">
        <x:v>source characteristic</x:v>
      </x:c>
      <x:c r="D313" s="7" t="str">
        <x:v>RAE-SP-15-CH-07</x:v>
      </x:c>
      <x:c r="E313" s="7" t="str">
        <x:v>Source Characteristics!N153</x:v>
      </x:c>
      <x:c r="F313" s="7" t="str">
        <x:f>'Source Characteristics'!N153</x:f>
        <x:v>OPEN</x:v>
      </x:c>
    </x:row>
    <x:row r="314">
      <x:c r="B314" s="7" t="str">
        <x:v>PHY-0308</x:v>
      </x:c>
      <x:c r="C314" s="7" t="str">
        <x:v>source characteristic</x:v>
      </x:c>
      <x:c r="D314" s="7" t="str">
        <x:v>RAE-SP-15-CH-08</x:v>
      </x:c>
      <x:c r="E314" s="7" t="str">
        <x:v>Source Characteristics!N154</x:v>
      </x:c>
      <x:c r="F314" s="7" t="str">
        <x:f>'Source Characteristics'!N154</x:f>
        <x:v>OPEN</x:v>
      </x:c>
    </x:row>
    <x:row r="315">
      <x:c r="B315" s="7" t="str">
        <x:v>PHY-0309</x:v>
      </x:c>
      <x:c r="C315" s="7" t="str">
        <x:v>source characteristic</x:v>
      </x:c>
      <x:c r="D315" s="7" t="str">
        <x:v>RAE-SP-15-CH-09</x:v>
      </x:c>
      <x:c r="E315" s="7" t="str">
        <x:v>Source Characteristics!N155</x:v>
      </x:c>
      <x:c r="F315" s="7" t="str">
        <x:f>'Source Characteristics'!N155</x:f>
        <x:v>OPEN</x:v>
      </x:c>
    </x:row>
    <x:row r="316">
      <x:c r="B316" s="7" t="str">
        <x:v>PHY-0310</x:v>
      </x:c>
      <x:c r="C316" s="7" t="str">
        <x:v>source characteristic</x:v>
      </x:c>
      <x:c r="D316" s="7" t="str">
        <x:v>RAE-SP-15-CH-10</x:v>
      </x:c>
      <x:c r="E316" s="7" t="str">
        <x:v>Source Characteristics!N156</x:v>
      </x:c>
      <x:c r="F316" s="7" t="str">
        <x:f>'Source Characteristics'!N156</x:f>
        <x:v>OPEN</x:v>
      </x:c>
    </x:row>
    <x:row r="317">
      <x:c r="B317" s="7" t="str">
        <x:v>PHY-0311</x:v>
      </x:c>
      <x:c r="C317" s="7" t="str">
        <x:v>source characteristic</x:v>
      </x:c>
      <x:c r="D317" s="7" t="str">
        <x:v>RAE-SP-16-CH-01</x:v>
      </x:c>
      <x:c r="E317" s="7" t="str">
        <x:v>Source Characteristics!N157</x:v>
      </x:c>
      <x:c r="F317" s="7" t="str">
        <x:f>'Source Characteristics'!N157</x:f>
        <x:v>OPEN</x:v>
      </x:c>
    </x:row>
    <x:row r="318">
      <x:c r="B318" s="7" t="str">
        <x:v>PHY-0312</x:v>
      </x:c>
      <x:c r="C318" s="7" t="str">
        <x:v>source characteristic</x:v>
      </x:c>
      <x:c r="D318" s="7" t="str">
        <x:v>RAE-SP-16-CH-02</x:v>
      </x:c>
      <x:c r="E318" s="7" t="str">
        <x:v>Source Characteristics!N158</x:v>
      </x:c>
      <x:c r="F318" s="7" t="str">
        <x:f>'Source Characteristics'!N158</x:f>
        <x:v>OPEN</x:v>
      </x:c>
    </x:row>
    <x:row r="319">
      <x:c r="B319" s="7" t="str">
        <x:v>PHY-0313</x:v>
      </x:c>
      <x:c r="C319" s="7" t="str">
        <x:v>source characteristic</x:v>
      </x:c>
      <x:c r="D319" s="7" t="str">
        <x:v>RAE-SP-16-CH-03</x:v>
      </x:c>
      <x:c r="E319" s="7" t="str">
        <x:v>Source Characteristics!N159</x:v>
      </x:c>
      <x:c r="F319" s="7" t="str">
        <x:f>'Source Characteristics'!N159</x:f>
        <x:v>OPEN</x:v>
      </x:c>
    </x:row>
    <x:row r="320">
      <x:c r="B320" s="7" t="str">
        <x:v>PHY-0314</x:v>
      </x:c>
      <x:c r="C320" s="7" t="str">
        <x:v>source characteristic</x:v>
      </x:c>
      <x:c r="D320" s="7" t="str">
        <x:v>RAE-SP-16-CH-04</x:v>
      </x:c>
      <x:c r="E320" s="7" t="str">
        <x:v>Source Characteristics!N160</x:v>
      </x:c>
      <x:c r="F320" s="7" t="str">
        <x:f>'Source Characteristics'!N160</x:f>
        <x:v>OPEN</x:v>
      </x:c>
    </x:row>
    <x:row r="321">
      <x:c r="B321" s="7" t="str">
        <x:v>PHY-0315</x:v>
      </x:c>
      <x:c r="C321" s="7" t="str">
        <x:v>source characteristic</x:v>
      </x:c>
      <x:c r="D321" s="7" t="str">
        <x:v>RAE-SP-16-CH-05</x:v>
      </x:c>
      <x:c r="E321" s="7" t="str">
        <x:v>Source Characteristics!N161</x:v>
      </x:c>
      <x:c r="F321" s="7" t="str">
        <x:f>'Source Characteristics'!N161</x:f>
        <x:v>OPEN</x:v>
      </x:c>
    </x:row>
    <x:row r="322">
      <x:c r="B322" s="7" t="str">
        <x:v>PHY-0316</x:v>
      </x:c>
      <x:c r="C322" s="7" t="str">
        <x:v>source characteristic</x:v>
      </x:c>
      <x:c r="D322" s="7" t="str">
        <x:v>RAE-SP-16-CH-06</x:v>
      </x:c>
      <x:c r="E322" s="7" t="str">
        <x:v>Source Characteristics!N162</x:v>
      </x:c>
      <x:c r="F322" s="7" t="str">
        <x:f>'Source Characteristics'!N162</x:f>
        <x:v>OPEN</x:v>
      </x:c>
    </x:row>
    <x:row r="323">
      <x:c r="B323" s="7" t="str">
        <x:v>PHY-0317</x:v>
      </x:c>
      <x:c r="C323" s="7" t="str">
        <x:v>source characteristic</x:v>
      </x:c>
      <x:c r="D323" s="7" t="str">
        <x:v>RAE-SP-16-CH-07</x:v>
      </x:c>
      <x:c r="E323" s="7" t="str">
        <x:v>Source Characteristics!N163</x:v>
      </x:c>
      <x:c r="F323" s="7" t="str">
        <x:f>'Source Characteristics'!N163</x:f>
        <x:v>OPEN</x:v>
      </x:c>
    </x:row>
    <x:row r="324">
      <x:c r="B324" s="7" t="str">
        <x:v>PHY-0318</x:v>
      </x:c>
      <x:c r="C324" s="7" t="str">
        <x:v>source characteristic</x:v>
      </x:c>
      <x:c r="D324" s="7" t="str">
        <x:v>RAE-SP-16-CH-08</x:v>
      </x:c>
      <x:c r="E324" s="7" t="str">
        <x:v>Source Characteristics!N164</x:v>
      </x:c>
      <x:c r="F324" s="7" t="str">
        <x:f>'Source Characteristics'!N164</x:f>
        <x:v>OPEN</x:v>
      </x:c>
    </x:row>
    <x:row r="325">
      <x:c r="B325" s="7" t="str">
        <x:v>PHY-0319</x:v>
      </x:c>
      <x:c r="C325" s="7" t="str">
        <x:v>source characteristic</x:v>
      </x:c>
      <x:c r="D325" s="7" t="str">
        <x:v>RAE-SP-16-CH-09</x:v>
      </x:c>
      <x:c r="E325" s="7" t="str">
        <x:v>Source Characteristics!N165</x:v>
      </x:c>
      <x:c r="F325" s="7" t="str">
        <x:f>'Source Characteristics'!N165</x:f>
        <x:v>OPEN</x:v>
      </x:c>
    </x:row>
    <x:row r="326">
      <x:c r="B326" s="7" t="str">
        <x:v>PHY-0320</x:v>
      </x:c>
      <x:c r="C326" s="7" t="str">
        <x:v>source characteristic</x:v>
      </x:c>
      <x:c r="D326" s="7" t="str">
        <x:v>RAE-SP-16-CH-10</x:v>
      </x:c>
      <x:c r="E326" s="7" t="str">
        <x:v>Source Characteristics!N166</x:v>
      </x:c>
      <x:c r="F326" s="7" t="str">
        <x:f>'Source Characteristics'!N166</x:f>
        <x:v>OPEN</x:v>
      </x:c>
    </x:row>
    <x:row r="327">
      <x:c r="B327" s="7" t="str">
        <x:v>PHY-0321</x:v>
      </x:c>
      <x:c r="C327" s="7" t="str">
        <x:v>source characteristic</x:v>
      </x:c>
      <x:c r="D327" s="7" t="str">
        <x:v>RAE-SP-17-CH-01</x:v>
      </x:c>
      <x:c r="E327" s="7" t="str">
        <x:v>Source Characteristics!N167</x:v>
      </x:c>
      <x:c r="F327" s="7" t="str">
        <x:f>'Source Characteristics'!N167</x:f>
        <x:v>OPEN</x:v>
      </x:c>
    </x:row>
    <x:row r="328">
      <x:c r="B328" s="7" t="str">
        <x:v>PHY-0322</x:v>
      </x:c>
      <x:c r="C328" s="7" t="str">
        <x:v>source characteristic</x:v>
      </x:c>
      <x:c r="D328" s="7" t="str">
        <x:v>RAE-SP-17-CH-02</x:v>
      </x:c>
      <x:c r="E328" s="7" t="str">
        <x:v>Source Characteristics!N168</x:v>
      </x:c>
      <x:c r="F328" s="7" t="str">
        <x:f>'Source Characteristics'!N168</x:f>
        <x:v>OPEN</x:v>
      </x:c>
    </x:row>
    <x:row r="329">
      <x:c r="B329" s="7" t="str">
        <x:v>PHY-0323</x:v>
      </x:c>
      <x:c r="C329" s="7" t="str">
        <x:v>source characteristic</x:v>
      </x:c>
      <x:c r="D329" s="7" t="str">
        <x:v>RAE-SP-17-CH-03</x:v>
      </x:c>
      <x:c r="E329" s="7" t="str">
        <x:v>Source Characteristics!N169</x:v>
      </x:c>
      <x:c r="F329" s="7" t="str">
        <x:f>'Source Characteristics'!N169</x:f>
        <x:v>OPEN</x:v>
      </x:c>
    </x:row>
    <x:row r="330">
      <x:c r="B330" s="7" t="str">
        <x:v>PHY-0324</x:v>
      </x:c>
      <x:c r="C330" s="7" t="str">
        <x:v>source characteristic</x:v>
      </x:c>
      <x:c r="D330" s="7" t="str">
        <x:v>RAE-SP-17-CH-04</x:v>
      </x:c>
      <x:c r="E330" s="7" t="str">
        <x:v>Source Characteristics!N170</x:v>
      </x:c>
      <x:c r="F330" s="7" t="str">
        <x:f>'Source Characteristics'!N170</x:f>
        <x:v>OPEN</x:v>
      </x:c>
    </x:row>
    <x:row r="331">
      <x:c r="B331" s="7" t="str">
        <x:v>PHY-0325</x:v>
      </x:c>
      <x:c r="C331" s="7" t="str">
        <x:v>source characteristic</x:v>
      </x:c>
      <x:c r="D331" s="7" t="str">
        <x:v>RAE-SP-17-CH-05</x:v>
      </x:c>
      <x:c r="E331" s="7" t="str">
        <x:v>Source Characteristics!N171</x:v>
      </x:c>
      <x:c r="F331" s="7" t="str">
        <x:f>'Source Characteristics'!N171</x:f>
        <x:v>OPEN</x:v>
      </x:c>
    </x:row>
    <x:row r="332">
      <x:c r="B332" s="7" t="str">
        <x:v>PHY-0326</x:v>
      </x:c>
      <x:c r="C332" s="7" t="str">
        <x:v>source characteristic</x:v>
      </x:c>
      <x:c r="D332" s="7" t="str">
        <x:v>RAE-SP-17-CH-06</x:v>
      </x:c>
      <x:c r="E332" s="7" t="str">
        <x:v>Source Characteristics!N172</x:v>
      </x:c>
      <x:c r="F332" s="7" t="str">
        <x:f>'Source Characteristics'!N172</x:f>
        <x:v>OPEN</x:v>
      </x:c>
    </x:row>
    <x:row r="333">
      <x:c r="B333" s="7" t="str">
        <x:v>PHY-0327</x:v>
      </x:c>
      <x:c r="C333" s="7" t="str">
        <x:v>source characteristic</x:v>
      </x:c>
      <x:c r="D333" s="7" t="str">
        <x:v>RAE-SP-17-CH-07</x:v>
      </x:c>
      <x:c r="E333" s="7" t="str">
        <x:v>Source Characteristics!N173</x:v>
      </x:c>
      <x:c r="F333" s="7" t="str">
        <x:f>'Source Characteristics'!N173</x:f>
        <x:v>OPEN</x:v>
      </x:c>
    </x:row>
    <x:row r="334">
      <x:c r="B334" s="7" t="str">
        <x:v>PHY-0328</x:v>
      </x:c>
      <x:c r="C334" s="7" t="str">
        <x:v>source characteristic</x:v>
      </x:c>
      <x:c r="D334" s="7" t="str">
        <x:v>RAE-SP-17-CH-08</x:v>
      </x:c>
      <x:c r="E334" s="7" t="str">
        <x:v>Source Characteristics!N174</x:v>
      </x:c>
      <x:c r="F334" s="7" t="str">
        <x:f>'Source Characteristics'!N174</x:f>
        <x:v>OPEN</x:v>
      </x:c>
    </x:row>
    <x:row r="335">
      <x:c r="B335" s="7" t="str">
        <x:v>PHY-0329</x:v>
      </x:c>
      <x:c r="C335" s="7" t="str">
        <x:v>source characteristic</x:v>
      </x:c>
      <x:c r="D335" s="7" t="str">
        <x:v>RAE-SP-17-CH-09</x:v>
      </x:c>
      <x:c r="E335" s="7" t="str">
        <x:v>Source Characteristics!N175</x:v>
      </x:c>
      <x:c r="F335" s="7" t="str">
        <x:f>'Source Characteristics'!N175</x:f>
        <x:v>OPEN</x:v>
      </x:c>
    </x:row>
    <x:row r="336">
      <x:c r="B336" s="7" t="str">
        <x:v>PHY-0330</x:v>
      </x:c>
      <x:c r="C336" s="7" t="str">
        <x:v>source characteristic</x:v>
      </x:c>
      <x:c r="D336" s="7" t="str">
        <x:v>RAE-SP-17-CH-10</x:v>
      </x:c>
      <x:c r="E336" s="7" t="str">
        <x:v>Source Characteristics!N176</x:v>
      </x:c>
      <x:c r="F336" s="7" t="str">
        <x:f>'Source Characteristics'!N176</x:f>
        <x:v>OPEN</x:v>
      </x:c>
    </x:row>
    <x:row r="337">
      <x:c r="B337" s="7" t="str">
        <x:v>PHY-0331</x:v>
      </x:c>
      <x:c r="C337" s="7" t="str">
        <x:v>source characteristic</x:v>
      </x:c>
      <x:c r="D337" s="7" t="str">
        <x:v>RAE-SP-18-CH-01</x:v>
      </x:c>
      <x:c r="E337" s="7" t="str">
        <x:v>Source Characteristics!N177</x:v>
      </x:c>
      <x:c r="F337" s="7" t="str">
        <x:f>'Source Characteristics'!N177</x:f>
        <x:v>OPEN</x:v>
      </x:c>
    </x:row>
    <x:row r="338">
      <x:c r="B338" s="7" t="str">
        <x:v>PHY-0332</x:v>
      </x:c>
      <x:c r="C338" s="7" t="str">
        <x:v>source characteristic</x:v>
      </x:c>
      <x:c r="D338" s="7" t="str">
        <x:v>RAE-SP-18-CH-02</x:v>
      </x:c>
      <x:c r="E338" s="7" t="str">
        <x:v>Source Characteristics!N178</x:v>
      </x:c>
      <x:c r="F338" s="7" t="str">
        <x:f>'Source Characteristics'!N178</x:f>
        <x:v>OPEN</x:v>
      </x:c>
    </x:row>
    <x:row r="339">
      <x:c r="B339" s="7" t="str">
        <x:v>PHY-0333</x:v>
      </x:c>
      <x:c r="C339" s="7" t="str">
        <x:v>source characteristic</x:v>
      </x:c>
      <x:c r="D339" s="7" t="str">
        <x:v>RAE-SP-18-CH-03</x:v>
      </x:c>
      <x:c r="E339" s="7" t="str">
        <x:v>Source Characteristics!N179</x:v>
      </x:c>
      <x:c r="F339" s="7" t="str">
        <x:f>'Source Characteristics'!N179</x:f>
        <x:v>OPEN</x:v>
      </x:c>
    </x:row>
    <x:row r="340">
      <x:c r="B340" s="7" t="str">
        <x:v>PHY-0334</x:v>
      </x:c>
      <x:c r="C340" s="7" t="str">
        <x:v>source characteristic</x:v>
      </x:c>
      <x:c r="D340" s="7" t="str">
        <x:v>RAE-SP-18-CH-04</x:v>
      </x:c>
      <x:c r="E340" s="7" t="str">
        <x:v>Source Characteristics!N180</x:v>
      </x:c>
      <x:c r="F340" s="7" t="str">
        <x:f>'Source Characteristics'!N180</x:f>
        <x:v>OPEN</x:v>
      </x:c>
    </x:row>
    <x:row r="341">
      <x:c r="B341" s="7" t="str">
        <x:v>PHY-0335</x:v>
      </x:c>
      <x:c r="C341" s="7" t="str">
        <x:v>source characteristic</x:v>
      </x:c>
      <x:c r="D341" s="7" t="str">
        <x:v>RAE-SP-18-CH-05</x:v>
      </x:c>
      <x:c r="E341" s="7" t="str">
        <x:v>Source Characteristics!N181</x:v>
      </x:c>
      <x:c r="F341" s="7" t="str">
        <x:f>'Source Characteristics'!N181</x:f>
        <x:v>OPEN</x:v>
      </x:c>
    </x:row>
    <x:row r="342">
      <x:c r="B342" s="7" t="str">
        <x:v>PHY-0336</x:v>
      </x:c>
      <x:c r="C342" s="7" t="str">
        <x:v>source characteristic</x:v>
      </x:c>
      <x:c r="D342" s="7" t="str">
        <x:v>RAE-SP-18-CH-06</x:v>
      </x:c>
      <x:c r="E342" s="7" t="str">
        <x:v>Source Characteristics!N182</x:v>
      </x:c>
      <x:c r="F342" s="7" t="str">
        <x:f>'Source Characteristics'!N182</x:f>
        <x:v>OPEN</x:v>
      </x:c>
    </x:row>
    <x:row r="343">
      <x:c r="B343" s="7" t="str">
        <x:v>PHY-0337</x:v>
      </x:c>
      <x:c r="C343" s="7" t="str">
        <x:v>source characteristic</x:v>
      </x:c>
      <x:c r="D343" s="7" t="str">
        <x:v>RAE-SP-18-CH-07</x:v>
      </x:c>
      <x:c r="E343" s="7" t="str">
        <x:v>Source Characteristics!N183</x:v>
      </x:c>
      <x:c r="F343" s="7" t="str">
        <x:f>'Source Characteristics'!N183</x:f>
        <x:v>OPEN</x:v>
      </x:c>
    </x:row>
    <x:row r="344">
      <x:c r="B344" s="7" t="str">
        <x:v>PHY-0338</x:v>
      </x:c>
      <x:c r="C344" s="7" t="str">
        <x:v>source characteristic</x:v>
      </x:c>
      <x:c r="D344" s="7" t="str">
        <x:v>RAE-SP-18-CH-08</x:v>
      </x:c>
      <x:c r="E344" s="7" t="str">
        <x:v>Source Characteristics!N184</x:v>
      </x:c>
      <x:c r="F344" s="7" t="str">
        <x:f>'Source Characteristics'!N184</x:f>
        <x:v>OPEN</x:v>
      </x:c>
    </x:row>
    <x:row r="345">
      <x:c r="B345" s="7" t="str">
        <x:v>PHY-0339</x:v>
      </x:c>
      <x:c r="C345" s="7" t="str">
        <x:v>source characteristic</x:v>
      </x:c>
      <x:c r="D345" s="7" t="str">
        <x:v>RAE-SP-18-CH-09</x:v>
      </x:c>
      <x:c r="E345" s="7" t="str">
        <x:v>Source Characteristics!N185</x:v>
      </x:c>
      <x:c r="F345" s="7" t="str">
        <x:f>'Source Characteristics'!N185</x:f>
        <x:v>OPEN</x:v>
      </x:c>
    </x:row>
    <x:row r="346">
      <x:c r="B346" s="7" t="str">
        <x:v>PHY-0340</x:v>
      </x:c>
      <x:c r="C346" s="7" t="str">
        <x:v>source characteristic</x:v>
      </x:c>
      <x:c r="D346" s="7" t="str">
        <x:v>RAE-SP-18-CH-10</x:v>
      </x:c>
      <x:c r="E346" s="7" t="str">
        <x:v>Source Characteristics!N186</x:v>
      </x:c>
      <x:c r="F346" s="7" t="str">
        <x:f>'Source Characteristics'!N186</x:f>
        <x:v>OPEN</x:v>
      </x:c>
    </x:row>
    <x:row r="347">
      <x:c r="B347" s="7" t="str">
        <x:v>PHY-0341</x:v>
      </x:c>
      <x:c r="C347" s="7" t="str">
        <x:v>source characteristic</x:v>
      </x:c>
      <x:c r="D347" s="7" t="str">
        <x:v>RAE-SP-19-CH-01</x:v>
      </x:c>
      <x:c r="E347" s="7" t="str">
        <x:v>Source Characteristics!N187</x:v>
      </x:c>
      <x:c r="F347" s="7" t="str">
        <x:f>'Source Characteristics'!N187</x:f>
        <x:v>OPEN</x:v>
      </x:c>
    </x:row>
    <x:row r="348">
      <x:c r="B348" s="7" t="str">
        <x:v>PHY-0342</x:v>
      </x:c>
      <x:c r="C348" s="7" t="str">
        <x:v>source characteristic</x:v>
      </x:c>
      <x:c r="D348" s="7" t="str">
        <x:v>RAE-SP-19-CH-02</x:v>
      </x:c>
      <x:c r="E348" s="7" t="str">
        <x:v>Source Characteristics!N188</x:v>
      </x:c>
      <x:c r="F348" s="7" t="str">
        <x:f>'Source Characteristics'!N188</x:f>
        <x:v>OPEN</x:v>
      </x:c>
    </x:row>
    <x:row r="349">
      <x:c r="B349" s="7" t="str">
        <x:v>PHY-0343</x:v>
      </x:c>
      <x:c r="C349" s="7" t="str">
        <x:v>source characteristic</x:v>
      </x:c>
      <x:c r="D349" s="7" t="str">
        <x:v>RAE-SP-19-CH-03</x:v>
      </x:c>
      <x:c r="E349" s="7" t="str">
        <x:v>Source Characteristics!N189</x:v>
      </x:c>
      <x:c r="F349" s="7" t="str">
        <x:f>'Source Characteristics'!N189</x:f>
        <x:v>OPEN</x:v>
      </x:c>
    </x:row>
    <x:row r="350">
      <x:c r="B350" s="7" t="str">
        <x:v>PHY-0344</x:v>
      </x:c>
      <x:c r="C350" s="7" t="str">
        <x:v>source characteristic</x:v>
      </x:c>
      <x:c r="D350" s="7" t="str">
        <x:v>RAE-SP-19-CH-04</x:v>
      </x:c>
      <x:c r="E350" s="7" t="str">
        <x:v>Source Characteristics!N190</x:v>
      </x:c>
      <x:c r="F350" s="7" t="str">
        <x:f>'Source Characteristics'!N190</x:f>
        <x:v>OPEN</x:v>
      </x:c>
    </x:row>
    <x:row r="351">
      <x:c r="B351" s="7" t="str">
        <x:v>PHY-0345</x:v>
      </x:c>
      <x:c r="C351" s="7" t="str">
        <x:v>source characteristic</x:v>
      </x:c>
      <x:c r="D351" s="7" t="str">
        <x:v>RAE-SP-19-CH-05</x:v>
      </x:c>
      <x:c r="E351" s="7" t="str">
        <x:v>Source Characteristics!N191</x:v>
      </x:c>
      <x:c r="F351" s="7" t="str">
        <x:f>'Source Characteristics'!N191</x:f>
        <x:v>OPEN</x:v>
      </x:c>
    </x:row>
    <x:row r="352">
      <x:c r="B352" s="7" t="str">
        <x:v>PHY-0346</x:v>
      </x:c>
      <x:c r="C352" s="7" t="str">
        <x:v>source characteristic</x:v>
      </x:c>
      <x:c r="D352" s="7" t="str">
        <x:v>RAE-SP-19-CH-06</x:v>
      </x:c>
      <x:c r="E352" s="7" t="str">
        <x:v>Source Characteristics!N192</x:v>
      </x:c>
      <x:c r="F352" s="7" t="str">
        <x:f>'Source Characteristics'!N192</x:f>
        <x:v>OPEN</x:v>
      </x:c>
    </x:row>
    <x:row r="353">
      <x:c r="B353" s="7" t="str">
        <x:v>PHY-0347</x:v>
      </x:c>
      <x:c r="C353" s="7" t="str">
        <x:v>source characteristic</x:v>
      </x:c>
      <x:c r="D353" s="7" t="str">
        <x:v>RAE-SP-19-CH-07</x:v>
      </x:c>
      <x:c r="E353" s="7" t="str">
        <x:v>Source Characteristics!N193</x:v>
      </x:c>
      <x:c r="F353" s="7" t="str">
        <x:f>'Source Characteristics'!N193</x:f>
        <x:v>OPEN</x:v>
      </x:c>
    </x:row>
    <x:row r="354">
      <x:c r="B354" s="7" t="str">
        <x:v>PHY-0348</x:v>
      </x:c>
      <x:c r="C354" s="7" t="str">
        <x:v>source characteristic</x:v>
      </x:c>
      <x:c r="D354" s="7" t="str">
        <x:v>RAE-SP-19-CH-08</x:v>
      </x:c>
      <x:c r="E354" s="7" t="str">
        <x:v>Source Characteristics!N194</x:v>
      </x:c>
      <x:c r="F354" s="7" t="str">
        <x:f>'Source Characteristics'!N194</x:f>
        <x:v>OPEN</x:v>
      </x:c>
    </x:row>
    <x:row r="355">
      <x:c r="B355" s="7" t="str">
        <x:v>PHY-0349</x:v>
      </x:c>
      <x:c r="C355" s="7" t="str">
        <x:v>source characteristic</x:v>
      </x:c>
      <x:c r="D355" s="7" t="str">
        <x:v>RAE-SP-19-CH-09</x:v>
      </x:c>
      <x:c r="E355" s="7" t="str">
        <x:v>Source Characteristics!N195</x:v>
      </x:c>
      <x:c r="F355" s="7" t="str">
        <x:f>'Source Characteristics'!N195</x:f>
        <x:v>OPEN</x:v>
      </x:c>
    </x:row>
    <x:row r="356">
      <x:c r="B356" s="7" t="str">
        <x:v>PHY-0350</x:v>
      </x:c>
      <x:c r="C356" s="7" t="str">
        <x:v>source characteristic</x:v>
      </x:c>
      <x:c r="D356" s="7" t="str">
        <x:v>RAE-SP-19-CH-10</x:v>
      </x:c>
      <x:c r="E356" s="7" t="str">
        <x:v>Source Characteristics!N196</x:v>
      </x:c>
      <x:c r="F356" s="7" t="str">
        <x:f>'Source Characteristics'!N196</x:f>
        <x:v>OPEN</x:v>
      </x:c>
    </x:row>
    <x:row r="357">
      <x:c r="B357" s="7" t="str">
        <x:v>PHY-0351</x:v>
      </x:c>
      <x:c r="C357" s="7" t="str">
        <x:v>source characteristic</x:v>
      </x:c>
      <x:c r="D357" s="7" t="str">
        <x:v>RAE-SP-20-CH-01</x:v>
      </x:c>
      <x:c r="E357" s="7" t="str">
        <x:v>Source Characteristics!N197</x:v>
      </x:c>
      <x:c r="F357" s="7" t="str">
        <x:f>'Source Characteristics'!N197</x:f>
        <x:v>OPEN</x:v>
      </x:c>
    </x:row>
    <x:row r="358">
      <x:c r="B358" s="7" t="str">
        <x:v>PHY-0352</x:v>
      </x:c>
      <x:c r="C358" s="7" t="str">
        <x:v>source characteristic</x:v>
      </x:c>
      <x:c r="D358" s="7" t="str">
        <x:v>RAE-SP-20-CH-02</x:v>
      </x:c>
      <x:c r="E358" s="7" t="str">
        <x:v>Source Characteristics!N198</x:v>
      </x:c>
      <x:c r="F358" s="7" t="str">
        <x:f>'Source Characteristics'!N198</x:f>
        <x:v>OPEN</x:v>
      </x:c>
    </x:row>
    <x:row r="359">
      <x:c r="B359" s="7" t="str">
        <x:v>PHY-0353</x:v>
      </x:c>
      <x:c r="C359" s="7" t="str">
        <x:v>source characteristic</x:v>
      </x:c>
      <x:c r="D359" s="7" t="str">
        <x:v>RAE-SP-20-CH-03</x:v>
      </x:c>
      <x:c r="E359" s="7" t="str">
        <x:v>Source Characteristics!N199</x:v>
      </x:c>
      <x:c r="F359" s="7" t="str">
        <x:f>'Source Characteristics'!N199</x:f>
        <x:v>OPEN</x:v>
      </x:c>
    </x:row>
    <x:row r="360">
      <x:c r="B360" s="7" t="str">
        <x:v>PHY-0354</x:v>
      </x:c>
      <x:c r="C360" s="7" t="str">
        <x:v>source characteristic</x:v>
      </x:c>
      <x:c r="D360" s="7" t="str">
        <x:v>RAE-SP-20-CH-04</x:v>
      </x:c>
      <x:c r="E360" s="7" t="str">
        <x:v>Source Characteristics!N200</x:v>
      </x:c>
      <x:c r="F360" s="7" t="str">
        <x:f>'Source Characteristics'!N200</x:f>
        <x:v>OPEN</x:v>
      </x:c>
    </x:row>
    <x:row r="361">
      <x:c r="B361" s="7" t="str">
        <x:v>PHY-0355</x:v>
      </x:c>
      <x:c r="C361" s="7" t="str">
        <x:v>source characteristic</x:v>
      </x:c>
      <x:c r="D361" s="7" t="str">
        <x:v>RAE-SP-20-CH-05</x:v>
      </x:c>
      <x:c r="E361" s="7" t="str">
        <x:v>Source Characteristics!N201</x:v>
      </x:c>
      <x:c r="F361" s="7" t="str">
        <x:f>'Source Characteristics'!N201</x:f>
        <x:v>OPEN</x:v>
      </x:c>
    </x:row>
    <x:row r="362">
      <x:c r="B362" s="7" t="str">
        <x:v>PHY-0356</x:v>
      </x:c>
      <x:c r="C362" s="7" t="str">
        <x:v>source characteristic</x:v>
      </x:c>
      <x:c r="D362" s="7" t="str">
        <x:v>RAE-SP-20-CH-06</x:v>
      </x:c>
      <x:c r="E362" s="7" t="str">
        <x:v>Source Characteristics!N202</x:v>
      </x:c>
      <x:c r="F362" s="7" t="str">
        <x:f>'Source Characteristics'!N202</x:f>
        <x:v>OPEN</x:v>
      </x:c>
    </x:row>
    <x:row r="363">
      <x:c r="B363" s="7" t="str">
        <x:v>PHY-0357</x:v>
      </x:c>
      <x:c r="C363" s="7" t="str">
        <x:v>source characteristic</x:v>
      </x:c>
      <x:c r="D363" s="7" t="str">
        <x:v>RAE-SP-20-CH-07</x:v>
      </x:c>
      <x:c r="E363" s="7" t="str">
        <x:v>Source Characteristics!N203</x:v>
      </x:c>
      <x:c r="F363" s="7" t="str">
        <x:f>'Source Characteristics'!N203</x:f>
        <x:v>OPEN</x:v>
      </x:c>
    </x:row>
    <x:row r="364">
      <x:c r="B364" s="7" t="str">
        <x:v>PHY-0358</x:v>
      </x:c>
      <x:c r="C364" s="7" t="str">
        <x:v>source characteristic</x:v>
      </x:c>
      <x:c r="D364" s="7" t="str">
        <x:v>RAE-SP-20-CH-08</x:v>
      </x:c>
      <x:c r="E364" s="7" t="str">
        <x:v>Source Characteristics!N204</x:v>
      </x:c>
      <x:c r="F364" s="7" t="str">
        <x:f>'Source Characteristics'!N204</x:f>
        <x:v>OPEN</x:v>
      </x:c>
    </x:row>
    <x:row r="365">
      <x:c r="B365" s="7" t="str">
        <x:v>PHY-0359</x:v>
      </x:c>
      <x:c r="C365" s="7" t="str">
        <x:v>source characteristic</x:v>
      </x:c>
      <x:c r="D365" s="7" t="str">
        <x:v>RAE-SP-20-CH-09</x:v>
      </x:c>
      <x:c r="E365" s="7" t="str">
        <x:v>Source Characteristics!N205</x:v>
      </x:c>
      <x:c r="F365" s="7" t="str">
        <x:f>'Source Characteristics'!N205</x:f>
        <x:v>OPEN</x:v>
      </x:c>
    </x:row>
    <x:row r="366">
      <x:c r="B366" s="7" t="str">
        <x:v>PHY-0360</x:v>
      </x:c>
      <x:c r="C366" s="7" t="str">
        <x:v>source characteristic</x:v>
      </x:c>
      <x:c r="D366" s="7" t="str">
        <x:v>RAE-SP-20-CH-10</x:v>
      </x:c>
      <x:c r="E366" s="7" t="str">
        <x:v>Source Characteristics!N206</x:v>
      </x:c>
      <x:c r="F366" s="7" t="str">
        <x:f>'Source Characteristics'!N206</x:f>
        <x:v>OPEN</x:v>
      </x:c>
    </x:row>
    <x:row r="367">
      <x:c r="B367" s="7" t="str">
        <x:v>PHY-0361</x:v>
      </x:c>
      <x:c r="C367" s="7" t="str">
        <x:v>source characteristic</x:v>
      </x:c>
      <x:c r="D367" s="7" t="str">
        <x:v>RAE-SP-21-CH-01</x:v>
      </x:c>
      <x:c r="E367" s="7" t="str">
        <x:v>Source Characteristics!N207</x:v>
      </x:c>
      <x:c r="F367" s="7" t="str">
        <x:f>'Source Characteristics'!N207</x:f>
        <x:v>OPEN</x:v>
      </x:c>
    </x:row>
    <x:row r="368">
      <x:c r="B368" s="7" t="str">
        <x:v>PHY-0362</x:v>
      </x:c>
      <x:c r="C368" s="7" t="str">
        <x:v>source characteristic</x:v>
      </x:c>
      <x:c r="D368" s="7" t="str">
        <x:v>RAE-SP-21-CH-02</x:v>
      </x:c>
      <x:c r="E368" s="7" t="str">
        <x:v>Source Characteristics!N208</x:v>
      </x:c>
      <x:c r="F368" s="7" t="str">
        <x:f>'Source Characteristics'!N208</x:f>
        <x:v>OPEN</x:v>
      </x:c>
    </x:row>
    <x:row r="369">
      <x:c r="B369" s="7" t="str">
        <x:v>PHY-0363</x:v>
      </x:c>
      <x:c r="C369" s="7" t="str">
        <x:v>source characteristic</x:v>
      </x:c>
      <x:c r="D369" s="7" t="str">
        <x:v>RAE-SP-21-CH-03</x:v>
      </x:c>
      <x:c r="E369" s="7" t="str">
        <x:v>Source Characteristics!N209</x:v>
      </x:c>
      <x:c r="F369" s="7" t="str">
        <x:f>'Source Characteristics'!N209</x:f>
        <x:v>OPEN</x:v>
      </x:c>
    </x:row>
    <x:row r="370">
      <x:c r="B370" s="7" t="str">
        <x:v>PHY-0364</x:v>
      </x:c>
      <x:c r="C370" s="7" t="str">
        <x:v>source characteristic</x:v>
      </x:c>
      <x:c r="D370" s="7" t="str">
        <x:v>RAE-SP-21-CH-04</x:v>
      </x:c>
      <x:c r="E370" s="7" t="str">
        <x:v>Source Characteristics!N210</x:v>
      </x:c>
      <x:c r="F370" s="7" t="str">
        <x:f>'Source Characteristics'!N210</x:f>
        <x:v>OPEN</x:v>
      </x:c>
    </x:row>
    <x:row r="371">
      <x:c r="B371" s="7" t="str">
        <x:v>PHY-0365</x:v>
      </x:c>
      <x:c r="C371" s="7" t="str">
        <x:v>source characteristic</x:v>
      </x:c>
      <x:c r="D371" s="7" t="str">
        <x:v>RAE-SP-21-CH-05</x:v>
      </x:c>
      <x:c r="E371" s="7" t="str">
        <x:v>Source Characteristics!N211</x:v>
      </x:c>
      <x:c r="F371" s="7" t="str">
        <x:f>'Source Characteristics'!N211</x:f>
        <x:v>OPEN</x:v>
      </x:c>
    </x:row>
    <x:row r="372">
      <x:c r="B372" s="7" t="str">
        <x:v>PHY-0366</x:v>
      </x:c>
      <x:c r="C372" s="7" t="str">
        <x:v>source characteristic</x:v>
      </x:c>
      <x:c r="D372" s="7" t="str">
        <x:v>RAE-SP-21-CH-06</x:v>
      </x:c>
      <x:c r="E372" s="7" t="str">
        <x:v>Source Characteristics!N212</x:v>
      </x:c>
      <x:c r="F372" s="7" t="str">
        <x:f>'Source Characteristics'!N212</x:f>
        <x:v>OPEN</x:v>
      </x:c>
    </x:row>
    <x:row r="373">
      <x:c r="B373" s="7" t="str">
        <x:v>PHY-0367</x:v>
      </x:c>
      <x:c r="C373" s="7" t="str">
        <x:v>source characteristic</x:v>
      </x:c>
      <x:c r="D373" s="7" t="str">
        <x:v>RAE-SP-21-CH-07</x:v>
      </x:c>
      <x:c r="E373" s="7" t="str">
        <x:v>Source Characteristics!N213</x:v>
      </x:c>
      <x:c r="F373" s="7" t="str">
        <x:f>'Source Characteristics'!N213</x:f>
        <x:v>OPEN</x:v>
      </x:c>
    </x:row>
    <x:row r="374">
      <x:c r="B374" s="7" t="str">
        <x:v>PHY-0368</x:v>
      </x:c>
      <x:c r="C374" s="7" t="str">
        <x:v>source characteristic</x:v>
      </x:c>
      <x:c r="D374" s="7" t="str">
        <x:v>RAE-SP-21-CH-08</x:v>
      </x:c>
      <x:c r="E374" s="7" t="str">
        <x:v>Source Characteristics!N214</x:v>
      </x:c>
      <x:c r="F374" s="7" t="str">
        <x:f>'Source Characteristics'!N214</x:f>
        <x:v>OPEN</x:v>
      </x:c>
    </x:row>
    <x:row r="375">
      <x:c r="B375" s="7" t="str">
        <x:v>PHY-0369</x:v>
      </x:c>
      <x:c r="C375" s="7" t="str">
        <x:v>source characteristic</x:v>
      </x:c>
      <x:c r="D375" s="7" t="str">
        <x:v>RAE-SP-21-CH-09</x:v>
      </x:c>
      <x:c r="E375" s="7" t="str">
        <x:v>Source Characteristics!N215</x:v>
      </x:c>
      <x:c r="F375" s="7" t="str">
        <x:f>'Source Characteristics'!N215</x:f>
        <x:v>OPEN</x:v>
      </x:c>
    </x:row>
    <x:row r="376">
      <x:c r="B376" s="7" t="str">
        <x:v>PHY-0370</x:v>
      </x:c>
      <x:c r="C376" s="7" t="str">
        <x:v>source characteristic</x:v>
      </x:c>
      <x:c r="D376" s="7" t="str">
        <x:v>RAE-SP-21-CH-10</x:v>
      </x:c>
      <x:c r="E376" s="7" t="str">
        <x:v>Source Characteristics!N216</x:v>
      </x:c>
      <x:c r="F376" s="7" t="str">
        <x:f>'Source Characteristics'!N216</x:f>
        <x:v>OPEN</x:v>
      </x:c>
    </x:row>
    <x:row r="377">
      <x:c r="B377" s="7" t="str">
        <x:v>PHY-0371</x:v>
      </x:c>
      <x:c r="C377" s="7" t="str">
        <x:v>source characteristic</x:v>
      </x:c>
      <x:c r="D377" s="7" t="str">
        <x:v>RAE-SP-22-CH-01</x:v>
      </x:c>
      <x:c r="E377" s="7" t="str">
        <x:v>Source Characteristics!N217</x:v>
      </x:c>
      <x:c r="F377" s="7" t="str">
        <x:f>'Source Characteristics'!N217</x:f>
        <x:v>OPEN</x:v>
      </x:c>
    </x:row>
    <x:row r="378">
      <x:c r="B378" s="7" t="str">
        <x:v>PHY-0372</x:v>
      </x:c>
      <x:c r="C378" s="7" t="str">
        <x:v>source characteristic</x:v>
      </x:c>
      <x:c r="D378" s="7" t="str">
        <x:v>RAE-SP-22-CH-02</x:v>
      </x:c>
      <x:c r="E378" s="7" t="str">
        <x:v>Source Characteristics!N218</x:v>
      </x:c>
      <x:c r="F378" s="7" t="str">
        <x:f>'Source Characteristics'!N218</x:f>
        <x:v>OPEN</x:v>
      </x:c>
    </x:row>
    <x:row r="379">
      <x:c r="B379" s="7" t="str">
        <x:v>PHY-0373</x:v>
      </x:c>
      <x:c r="C379" s="7" t="str">
        <x:v>source characteristic</x:v>
      </x:c>
      <x:c r="D379" s="7" t="str">
        <x:v>RAE-SP-22-CH-03</x:v>
      </x:c>
      <x:c r="E379" s="7" t="str">
        <x:v>Source Characteristics!N219</x:v>
      </x:c>
      <x:c r="F379" s="7" t="str">
        <x:f>'Source Characteristics'!N219</x:f>
        <x:v>OPEN</x:v>
      </x:c>
    </x:row>
    <x:row r="380">
      <x:c r="B380" s="7" t="str">
        <x:v>PHY-0374</x:v>
      </x:c>
      <x:c r="C380" s="7" t="str">
        <x:v>source characteristic</x:v>
      </x:c>
      <x:c r="D380" s="7" t="str">
        <x:v>RAE-SP-22-CH-04</x:v>
      </x:c>
      <x:c r="E380" s="7" t="str">
        <x:v>Source Characteristics!N220</x:v>
      </x:c>
      <x:c r="F380" s="7" t="str">
        <x:f>'Source Characteristics'!N220</x:f>
        <x:v>OPEN</x:v>
      </x:c>
    </x:row>
    <x:row r="381">
      <x:c r="B381" s="7" t="str">
        <x:v>PHY-0375</x:v>
      </x:c>
      <x:c r="C381" s="7" t="str">
        <x:v>source characteristic</x:v>
      </x:c>
      <x:c r="D381" s="7" t="str">
        <x:v>RAE-SP-22-CH-05</x:v>
      </x:c>
      <x:c r="E381" s="7" t="str">
        <x:v>Source Characteristics!N221</x:v>
      </x:c>
      <x:c r="F381" s="7" t="str">
        <x:f>'Source Characteristics'!N221</x:f>
        <x:v>OPEN</x:v>
      </x:c>
    </x:row>
    <x:row r="382">
      <x:c r="B382" s="7" t="str">
        <x:v>PHY-0376</x:v>
      </x:c>
      <x:c r="C382" s="7" t="str">
        <x:v>source characteristic</x:v>
      </x:c>
      <x:c r="D382" s="7" t="str">
        <x:v>RAE-SP-22-CH-06</x:v>
      </x:c>
      <x:c r="E382" s="7" t="str">
        <x:v>Source Characteristics!N222</x:v>
      </x:c>
      <x:c r="F382" s="7" t="str">
        <x:f>'Source Characteristics'!N222</x:f>
        <x:v>OPEN</x:v>
      </x:c>
    </x:row>
    <x:row r="383">
      <x:c r="B383" s="7" t="str">
        <x:v>PHY-0377</x:v>
      </x:c>
      <x:c r="C383" s="7" t="str">
        <x:v>source characteristic</x:v>
      </x:c>
      <x:c r="D383" s="7" t="str">
        <x:v>RAE-SP-22-CH-07</x:v>
      </x:c>
      <x:c r="E383" s="7" t="str">
        <x:v>Source Characteristics!N223</x:v>
      </x:c>
      <x:c r="F383" s="7" t="str">
        <x:f>'Source Characteristics'!N223</x:f>
        <x:v>OPEN</x:v>
      </x:c>
    </x:row>
    <x:row r="384">
      <x:c r="B384" s="7" t="str">
        <x:v>PHY-0378</x:v>
      </x:c>
      <x:c r="C384" s="7" t="str">
        <x:v>source characteristic</x:v>
      </x:c>
      <x:c r="D384" s="7" t="str">
        <x:v>RAE-SP-22-CH-08</x:v>
      </x:c>
      <x:c r="E384" s="7" t="str">
        <x:v>Source Characteristics!N224</x:v>
      </x:c>
      <x:c r="F384" s="7" t="str">
        <x:f>'Source Characteristics'!N224</x:f>
        <x:v>OPEN</x:v>
      </x:c>
    </x:row>
    <x:row r="385">
      <x:c r="B385" s="7" t="str">
        <x:v>PHY-0379</x:v>
      </x:c>
      <x:c r="C385" s="7" t="str">
        <x:v>source characteristic</x:v>
      </x:c>
      <x:c r="D385" s="7" t="str">
        <x:v>RAE-SP-22-CH-09</x:v>
      </x:c>
      <x:c r="E385" s="7" t="str">
        <x:v>Source Characteristics!N225</x:v>
      </x:c>
      <x:c r="F385" s="7" t="str">
        <x:f>'Source Characteristics'!N225</x:f>
        <x:v>OPEN</x:v>
      </x:c>
    </x:row>
    <x:row r="386">
      <x:c r="B386" s="7" t="str">
        <x:v>PHY-0380</x:v>
      </x:c>
      <x:c r="C386" s="7" t="str">
        <x:v>source characteristic</x:v>
      </x:c>
      <x:c r="D386" s="7" t="str">
        <x:v>RAE-SP-22-CH-10</x:v>
      </x:c>
      <x:c r="E386" s="7" t="str">
        <x:v>Source Characteristics!N226</x:v>
      </x:c>
      <x:c r="F386" s="7" t="str">
        <x:f>'Source Characteristics'!N226</x:f>
        <x:v>OPEN</x:v>
      </x:c>
    </x:row>
    <x:row r="387">
      <x:c r="B387" s="7" t="str">
        <x:v>PHY-0381</x:v>
      </x:c>
      <x:c r="C387" s="7" t="str">
        <x:v>source characteristic</x:v>
      </x:c>
      <x:c r="D387" s="7" t="str">
        <x:v>RAE-SP-23-CH-01</x:v>
      </x:c>
      <x:c r="E387" s="7" t="str">
        <x:v>Source Characteristics!N227</x:v>
      </x:c>
      <x:c r="F387" s="7" t="str">
        <x:f>'Source Characteristics'!N227</x:f>
        <x:v>OPEN</x:v>
      </x:c>
    </x:row>
    <x:row r="388">
      <x:c r="B388" s="7" t="str">
        <x:v>PHY-0382</x:v>
      </x:c>
      <x:c r="C388" s="7" t="str">
        <x:v>source characteristic</x:v>
      </x:c>
      <x:c r="D388" s="7" t="str">
        <x:v>RAE-SP-23-CH-02</x:v>
      </x:c>
      <x:c r="E388" s="7" t="str">
        <x:v>Source Characteristics!N228</x:v>
      </x:c>
      <x:c r="F388" s="7" t="str">
        <x:f>'Source Characteristics'!N228</x:f>
        <x:v>OPEN</x:v>
      </x:c>
    </x:row>
    <x:row r="389">
      <x:c r="B389" s="7" t="str">
        <x:v>PHY-0383</x:v>
      </x:c>
      <x:c r="C389" s="7" t="str">
        <x:v>source characteristic</x:v>
      </x:c>
      <x:c r="D389" s="7" t="str">
        <x:v>RAE-SP-23-CH-03</x:v>
      </x:c>
      <x:c r="E389" s="7" t="str">
        <x:v>Source Characteristics!N229</x:v>
      </x:c>
      <x:c r="F389" s="7" t="str">
        <x:f>'Source Characteristics'!N229</x:f>
        <x:v>OPEN</x:v>
      </x:c>
    </x:row>
    <x:row r="390">
      <x:c r="B390" s="7" t="str">
        <x:v>PHY-0384</x:v>
      </x:c>
      <x:c r="C390" s="7" t="str">
        <x:v>source characteristic</x:v>
      </x:c>
      <x:c r="D390" s="7" t="str">
        <x:v>RAE-SP-23-CH-04</x:v>
      </x:c>
      <x:c r="E390" s="7" t="str">
        <x:v>Source Characteristics!N230</x:v>
      </x:c>
      <x:c r="F390" s="7" t="str">
        <x:f>'Source Characteristics'!N230</x:f>
        <x:v>OPEN</x:v>
      </x:c>
    </x:row>
    <x:row r="391">
      <x:c r="B391" s="7" t="str">
        <x:v>PHY-0385</x:v>
      </x:c>
      <x:c r="C391" s="7" t="str">
        <x:v>source characteristic</x:v>
      </x:c>
      <x:c r="D391" s="7" t="str">
        <x:v>RAE-SP-23-CH-05</x:v>
      </x:c>
      <x:c r="E391" s="7" t="str">
        <x:v>Source Characteristics!N231</x:v>
      </x:c>
      <x:c r="F391" s="7" t="str">
        <x:f>'Source Characteristics'!N231</x:f>
        <x:v>OPEN</x:v>
      </x:c>
    </x:row>
    <x:row r="392">
      <x:c r="B392" s="7" t="str">
        <x:v>PHY-0386</x:v>
      </x:c>
      <x:c r="C392" s="7" t="str">
        <x:v>source characteristic</x:v>
      </x:c>
      <x:c r="D392" s="7" t="str">
        <x:v>RAE-SP-23-CH-06</x:v>
      </x:c>
      <x:c r="E392" s="7" t="str">
        <x:v>Source Characteristics!N232</x:v>
      </x:c>
      <x:c r="F392" s="7" t="str">
        <x:f>'Source Characteristics'!N232</x:f>
        <x:v>OPEN</x:v>
      </x:c>
    </x:row>
    <x:row r="393">
      <x:c r="B393" s="7" t="str">
        <x:v>PHY-0387</x:v>
      </x:c>
      <x:c r="C393" s="7" t="str">
        <x:v>source characteristic</x:v>
      </x:c>
      <x:c r="D393" s="7" t="str">
        <x:v>RAE-SP-23-CH-07</x:v>
      </x:c>
      <x:c r="E393" s="7" t="str">
        <x:v>Source Characteristics!N233</x:v>
      </x:c>
      <x:c r="F393" s="7" t="str">
        <x:f>'Source Characteristics'!N233</x:f>
        <x:v>OPEN</x:v>
      </x:c>
    </x:row>
    <x:row r="394">
      <x:c r="B394" s="7" t="str">
        <x:v>PHY-0388</x:v>
      </x:c>
      <x:c r="C394" s="7" t="str">
        <x:v>source characteristic</x:v>
      </x:c>
      <x:c r="D394" s="7" t="str">
        <x:v>RAE-SP-23-CH-08</x:v>
      </x:c>
      <x:c r="E394" s="7" t="str">
        <x:v>Source Characteristics!N234</x:v>
      </x:c>
      <x:c r="F394" s="7" t="str">
        <x:f>'Source Characteristics'!N234</x:f>
        <x:v>OPEN</x:v>
      </x:c>
    </x:row>
    <x:row r="395">
      <x:c r="B395" s="7" t="str">
        <x:v>PHY-0389</x:v>
      </x:c>
      <x:c r="C395" s="7" t="str">
        <x:v>source characteristic</x:v>
      </x:c>
      <x:c r="D395" s="7" t="str">
        <x:v>RAE-SP-23-CH-09</x:v>
      </x:c>
      <x:c r="E395" s="7" t="str">
        <x:v>Source Characteristics!N235</x:v>
      </x:c>
      <x:c r="F395" s="7" t="str">
        <x:f>'Source Characteristics'!N235</x:f>
        <x:v>OPEN</x:v>
      </x:c>
    </x:row>
    <x:row r="396">
      <x:c r="B396" s="7" t="str">
        <x:v>PHY-0390</x:v>
      </x:c>
      <x:c r="C396" s="7" t="str">
        <x:v>source characteristic</x:v>
      </x:c>
      <x:c r="D396" s="7" t="str">
        <x:v>RAE-SP-23-CH-10</x:v>
      </x:c>
      <x:c r="E396" s="7" t="str">
        <x:v>Source Characteristics!N236</x:v>
      </x:c>
      <x:c r="F396" s="7" t="str">
        <x:f>'Source Characteristics'!N236</x:f>
        <x:v>OPEN</x:v>
      </x:c>
    </x:row>
    <x:row r="397">
      <x:c r="B397" s="7" t="str">
        <x:v>PHY-0391</x:v>
      </x:c>
      <x:c r="C397" s="7" t="str">
        <x:v>source characteristic</x:v>
      </x:c>
      <x:c r="D397" s="7" t="str">
        <x:v>RAE-SP-24-CH-01</x:v>
      </x:c>
      <x:c r="E397" s="7" t="str">
        <x:v>Source Characteristics!N237</x:v>
      </x:c>
      <x:c r="F397" s="7" t="str">
        <x:f>'Source Characteristics'!N237</x:f>
        <x:v>OPEN</x:v>
      </x:c>
    </x:row>
    <x:row r="398">
      <x:c r="B398" s="7" t="str">
        <x:v>PHY-0392</x:v>
      </x:c>
      <x:c r="C398" s="7" t="str">
        <x:v>source characteristic</x:v>
      </x:c>
      <x:c r="D398" s="7" t="str">
        <x:v>RAE-SP-24-CH-02</x:v>
      </x:c>
      <x:c r="E398" s="7" t="str">
        <x:v>Source Characteristics!N238</x:v>
      </x:c>
      <x:c r="F398" s="7" t="str">
        <x:f>'Source Characteristics'!N238</x:f>
        <x:v>OPEN</x:v>
      </x:c>
    </x:row>
    <x:row r="399">
      <x:c r="B399" s="7" t="str">
        <x:v>PHY-0393</x:v>
      </x:c>
      <x:c r="C399" s="7" t="str">
        <x:v>source characteristic</x:v>
      </x:c>
      <x:c r="D399" s="7" t="str">
        <x:v>RAE-SP-24-CH-03</x:v>
      </x:c>
      <x:c r="E399" s="7" t="str">
        <x:v>Source Characteristics!N239</x:v>
      </x:c>
      <x:c r="F399" s="7" t="str">
        <x:f>'Source Characteristics'!N239</x:f>
        <x:v>OPEN</x:v>
      </x:c>
    </x:row>
    <x:row r="400">
      <x:c r="B400" s="7" t="str">
        <x:v>PHY-0394</x:v>
      </x:c>
      <x:c r="C400" s="7" t="str">
        <x:v>source characteristic</x:v>
      </x:c>
      <x:c r="D400" s="7" t="str">
        <x:v>RAE-SP-24-CH-04</x:v>
      </x:c>
      <x:c r="E400" s="7" t="str">
        <x:v>Source Characteristics!N240</x:v>
      </x:c>
      <x:c r="F400" s="7" t="str">
        <x:f>'Source Characteristics'!N240</x:f>
        <x:v>OPEN</x:v>
      </x:c>
    </x:row>
    <x:row r="401">
      <x:c r="B401" s="7" t="str">
        <x:v>PHY-0395</x:v>
      </x:c>
      <x:c r="C401" s="7" t="str">
        <x:v>source characteristic</x:v>
      </x:c>
      <x:c r="D401" s="7" t="str">
        <x:v>RAE-SP-24-CH-05</x:v>
      </x:c>
      <x:c r="E401" s="7" t="str">
        <x:v>Source Characteristics!N241</x:v>
      </x:c>
      <x:c r="F401" s="7" t="str">
        <x:f>'Source Characteristics'!N241</x:f>
        <x:v>OPEN</x:v>
      </x:c>
    </x:row>
    <x:row r="402">
      <x:c r="B402" s="7" t="str">
        <x:v>PHY-0396</x:v>
      </x:c>
      <x:c r="C402" s="7" t="str">
        <x:v>source characteristic</x:v>
      </x:c>
      <x:c r="D402" s="7" t="str">
        <x:v>RAE-SP-24-CH-06</x:v>
      </x:c>
      <x:c r="E402" s="7" t="str">
        <x:v>Source Characteristics!N242</x:v>
      </x:c>
      <x:c r="F402" s="7" t="str">
        <x:f>'Source Characteristics'!N242</x:f>
        <x:v>OPEN</x:v>
      </x:c>
    </x:row>
    <x:row r="403">
      <x:c r="B403" s="7" t="str">
        <x:v>PHY-0397</x:v>
      </x:c>
      <x:c r="C403" s="7" t="str">
        <x:v>source characteristic</x:v>
      </x:c>
      <x:c r="D403" s="7" t="str">
        <x:v>RAE-SP-24-CH-07</x:v>
      </x:c>
      <x:c r="E403" s="7" t="str">
        <x:v>Source Characteristics!N243</x:v>
      </x:c>
      <x:c r="F403" s="7" t="str">
        <x:f>'Source Characteristics'!N243</x:f>
        <x:v>OPEN</x:v>
      </x:c>
    </x:row>
    <x:row r="404">
      <x:c r="B404" s="7" t="str">
        <x:v>PHY-0398</x:v>
      </x:c>
      <x:c r="C404" s="7" t="str">
        <x:v>source characteristic</x:v>
      </x:c>
      <x:c r="D404" s="7" t="str">
        <x:v>RAE-SP-24-CH-08</x:v>
      </x:c>
      <x:c r="E404" s="7" t="str">
        <x:v>Source Characteristics!N244</x:v>
      </x:c>
      <x:c r="F404" s="7" t="str">
        <x:f>'Source Characteristics'!N244</x:f>
        <x:v>OPEN</x:v>
      </x:c>
    </x:row>
    <x:row r="405">
      <x:c r="B405" s="7" t="str">
        <x:v>PHY-0399</x:v>
      </x:c>
      <x:c r="C405" s="7" t="str">
        <x:v>source characteristic</x:v>
      </x:c>
      <x:c r="D405" s="7" t="str">
        <x:v>RAE-SP-24-CH-09</x:v>
      </x:c>
      <x:c r="E405" s="7" t="str">
        <x:v>Source Characteristics!N245</x:v>
      </x:c>
      <x:c r="F405" s="7" t="str">
        <x:f>'Source Characteristics'!N245</x:f>
        <x:v>OPEN</x:v>
      </x:c>
    </x:row>
    <x:row r="406">
      <x:c r="B406" s="7" t="str">
        <x:v>PHY-0400</x:v>
      </x:c>
      <x:c r="C406" s="7" t="str">
        <x:v>source characteristic</x:v>
      </x:c>
      <x:c r="D406" s="7" t="str">
        <x:v>RAE-SP-24-CH-10</x:v>
      </x:c>
      <x:c r="E406" s="7" t="str">
        <x:v>Source Characteristics!N246</x:v>
      </x:c>
      <x:c r="F406" s="7" t="str">
        <x:f>'Source Characteristics'!N246</x:f>
        <x:v>OPEN</x:v>
      </x:c>
    </x:row>
    <x:row r="407">
      <x:c r="B407" s="7" t="str">
        <x:v>PHY-0401</x:v>
      </x:c>
      <x:c r="C407" s="7" t="str">
        <x:v>source characteristic</x:v>
      </x:c>
      <x:c r="D407" s="7" t="str">
        <x:v>RAE-SP-25-CH-01</x:v>
      </x:c>
      <x:c r="E407" s="7" t="str">
        <x:v>Source Characteristics!N247</x:v>
      </x:c>
      <x:c r="F407" s="7" t="str">
        <x:f>'Source Characteristics'!N247</x:f>
        <x:v>OPEN</x:v>
      </x:c>
    </x:row>
    <x:row r="408">
      <x:c r="B408" s="7" t="str">
        <x:v>PHY-0402</x:v>
      </x:c>
      <x:c r="C408" s="7" t="str">
        <x:v>source characteristic</x:v>
      </x:c>
      <x:c r="D408" s="7" t="str">
        <x:v>RAE-SP-25-CH-02</x:v>
      </x:c>
      <x:c r="E408" s="7" t="str">
        <x:v>Source Characteristics!N248</x:v>
      </x:c>
      <x:c r="F408" s="7" t="str">
        <x:f>'Source Characteristics'!N248</x:f>
        <x:v>OPEN</x:v>
      </x:c>
    </x:row>
    <x:row r="409">
      <x:c r="B409" s="7" t="str">
        <x:v>PHY-0403</x:v>
      </x:c>
      <x:c r="C409" s="7" t="str">
        <x:v>source characteristic</x:v>
      </x:c>
      <x:c r="D409" s="7" t="str">
        <x:v>RAE-SP-25-CH-03</x:v>
      </x:c>
      <x:c r="E409" s="7" t="str">
        <x:v>Source Characteristics!N249</x:v>
      </x:c>
      <x:c r="F409" s="7" t="str">
        <x:f>'Source Characteristics'!N249</x:f>
        <x:v>OPEN</x:v>
      </x:c>
    </x:row>
    <x:row r="410">
      <x:c r="B410" s="7" t="str">
        <x:v>PHY-0404</x:v>
      </x:c>
      <x:c r="C410" s="7" t="str">
        <x:v>source characteristic</x:v>
      </x:c>
      <x:c r="D410" s="7" t="str">
        <x:v>RAE-SP-25-CH-04</x:v>
      </x:c>
      <x:c r="E410" s="7" t="str">
        <x:v>Source Characteristics!N250</x:v>
      </x:c>
      <x:c r="F410" s="7" t="str">
        <x:f>'Source Characteristics'!N250</x:f>
        <x:v>OPEN</x:v>
      </x:c>
    </x:row>
    <x:row r="411">
      <x:c r="B411" s="7" t="str">
        <x:v>PHY-0405</x:v>
      </x:c>
      <x:c r="C411" s="7" t="str">
        <x:v>source characteristic</x:v>
      </x:c>
      <x:c r="D411" s="7" t="str">
        <x:v>RAE-SP-25-CH-05</x:v>
      </x:c>
      <x:c r="E411" s="7" t="str">
        <x:v>Source Characteristics!N251</x:v>
      </x:c>
      <x:c r="F411" s="7" t="str">
        <x:f>'Source Characteristics'!N251</x:f>
        <x:v>OPEN</x:v>
      </x:c>
    </x:row>
    <x:row r="412">
      <x:c r="B412" s="7" t="str">
        <x:v>PHY-0406</x:v>
      </x:c>
      <x:c r="C412" s="7" t="str">
        <x:v>source characteristic</x:v>
      </x:c>
      <x:c r="D412" s="7" t="str">
        <x:v>RAE-SP-25-CH-06</x:v>
      </x:c>
      <x:c r="E412" s="7" t="str">
        <x:v>Source Characteristics!N252</x:v>
      </x:c>
      <x:c r="F412" s="7" t="str">
        <x:f>'Source Characteristics'!N252</x:f>
        <x:v>OPEN</x:v>
      </x:c>
    </x:row>
    <x:row r="413">
      <x:c r="B413" s="7" t="str">
        <x:v>PHY-0407</x:v>
      </x:c>
      <x:c r="C413" s="7" t="str">
        <x:v>source characteristic</x:v>
      </x:c>
      <x:c r="D413" s="7" t="str">
        <x:v>RAE-SP-25-CH-07</x:v>
      </x:c>
      <x:c r="E413" s="7" t="str">
        <x:v>Source Characteristics!N253</x:v>
      </x:c>
      <x:c r="F413" s="7" t="str">
        <x:f>'Source Characteristics'!N253</x:f>
        <x:v>OPEN</x:v>
      </x:c>
    </x:row>
    <x:row r="414">
      <x:c r="B414" s="7" t="str">
        <x:v>PHY-0408</x:v>
      </x:c>
      <x:c r="C414" s="7" t="str">
        <x:v>source characteristic</x:v>
      </x:c>
      <x:c r="D414" s="7" t="str">
        <x:v>RAE-SP-25-CH-08</x:v>
      </x:c>
      <x:c r="E414" s="7" t="str">
        <x:v>Source Characteristics!N254</x:v>
      </x:c>
      <x:c r="F414" s="7" t="str">
        <x:f>'Source Characteristics'!N254</x:f>
        <x:v>OPEN</x:v>
      </x:c>
    </x:row>
    <x:row r="415">
      <x:c r="B415" s="7" t="str">
        <x:v>PHY-0409</x:v>
      </x:c>
      <x:c r="C415" s="7" t="str">
        <x:v>source characteristic</x:v>
      </x:c>
      <x:c r="D415" s="7" t="str">
        <x:v>RAE-SP-25-CH-09</x:v>
      </x:c>
      <x:c r="E415" s="7" t="str">
        <x:v>Source Characteristics!N255</x:v>
      </x:c>
      <x:c r="F415" s="7" t="str">
        <x:f>'Source Characteristics'!N255</x:f>
        <x:v>OPEN</x:v>
      </x:c>
    </x:row>
    <x:row r="416">
      <x:c r="B416" s="7" t="str">
        <x:v>PHY-0410</x:v>
      </x:c>
      <x:c r="C416" s="7" t="str">
        <x:v>source characteristic</x:v>
      </x:c>
      <x:c r="D416" s="7" t="str">
        <x:v>RAE-SP-25-CH-10</x:v>
      </x:c>
      <x:c r="E416" s="7" t="str">
        <x:v>Source Characteristics!N256</x:v>
      </x:c>
      <x:c r="F416" s="7" t="str">
        <x:f>'Source Characteristics'!N256</x:f>
        <x:v>OPEN</x:v>
      </x:c>
    </x:row>
    <x:row r="417">
      <x:c r="B417" s="7" t="str">
        <x:v>PHY-0411</x:v>
      </x:c>
      <x:c r="C417" s="7" t="str">
        <x:v>source characteristic</x:v>
      </x:c>
      <x:c r="D417" s="7" t="str">
        <x:v>RAE-SP-26-CH-01</x:v>
      </x:c>
      <x:c r="E417" s="7" t="str">
        <x:v>Source Characteristics!N257</x:v>
      </x:c>
      <x:c r="F417" s="7" t="str">
        <x:f>'Source Characteristics'!N257</x:f>
        <x:v>OPEN</x:v>
      </x:c>
    </x:row>
    <x:row r="418">
      <x:c r="B418" s="7" t="str">
        <x:v>PHY-0412</x:v>
      </x:c>
      <x:c r="C418" s="7" t="str">
        <x:v>source characteristic</x:v>
      </x:c>
      <x:c r="D418" s="7" t="str">
        <x:v>RAE-SP-26-CH-02</x:v>
      </x:c>
      <x:c r="E418" s="7" t="str">
        <x:v>Source Characteristics!N258</x:v>
      </x:c>
      <x:c r="F418" s="7" t="str">
        <x:f>'Source Characteristics'!N258</x:f>
        <x:v>OPEN</x:v>
      </x:c>
    </x:row>
    <x:row r="419">
      <x:c r="B419" s="7" t="str">
        <x:v>PHY-0413</x:v>
      </x:c>
      <x:c r="C419" s="7" t="str">
        <x:v>source characteristic</x:v>
      </x:c>
      <x:c r="D419" s="7" t="str">
        <x:v>RAE-SP-26-CH-03</x:v>
      </x:c>
      <x:c r="E419" s="7" t="str">
        <x:v>Source Characteristics!N259</x:v>
      </x:c>
      <x:c r="F419" s="7" t="str">
        <x:f>'Source Characteristics'!N259</x:f>
        <x:v>OPEN</x:v>
      </x:c>
    </x:row>
    <x:row r="420">
      <x:c r="B420" s="7" t="str">
        <x:v>PHY-0414</x:v>
      </x:c>
      <x:c r="C420" s="7" t="str">
        <x:v>source characteristic</x:v>
      </x:c>
      <x:c r="D420" s="7" t="str">
        <x:v>RAE-SP-26-CH-04</x:v>
      </x:c>
      <x:c r="E420" s="7" t="str">
        <x:v>Source Characteristics!N260</x:v>
      </x:c>
      <x:c r="F420" s="7" t="str">
        <x:f>'Source Characteristics'!N260</x:f>
        <x:v>OPEN</x:v>
      </x:c>
    </x:row>
    <x:row r="421">
      <x:c r="B421" s="7" t="str">
        <x:v>PHY-0415</x:v>
      </x:c>
      <x:c r="C421" s="7" t="str">
        <x:v>source characteristic</x:v>
      </x:c>
      <x:c r="D421" s="7" t="str">
        <x:v>RAE-SP-26-CH-05</x:v>
      </x:c>
      <x:c r="E421" s="7" t="str">
        <x:v>Source Characteristics!N261</x:v>
      </x:c>
      <x:c r="F421" s="7" t="str">
        <x:f>'Source Characteristics'!N261</x:f>
        <x:v>OPEN</x:v>
      </x:c>
    </x:row>
    <x:row r="422">
      <x:c r="B422" s="7" t="str">
        <x:v>PHY-0416</x:v>
      </x:c>
      <x:c r="C422" s="7" t="str">
        <x:v>source characteristic</x:v>
      </x:c>
      <x:c r="D422" s="7" t="str">
        <x:v>RAE-SP-26-CH-06</x:v>
      </x:c>
      <x:c r="E422" s="7" t="str">
        <x:v>Source Characteristics!N262</x:v>
      </x:c>
      <x:c r="F422" s="7" t="str">
        <x:f>'Source Characteristics'!N262</x:f>
        <x:v>OPEN</x:v>
      </x:c>
    </x:row>
    <x:row r="423">
      <x:c r="B423" s="7" t="str">
        <x:v>PHY-0417</x:v>
      </x:c>
      <x:c r="C423" s="7" t="str">
        <x:v>source characteristic</x:v>
      </x:c>
      <x:c r="D423" s="7" t="str">
        <x:v>RAE-SP-26-CH-07</x:v>
      </x:c>
      <x:c r="E423" s="7" t="str">
        <x:v>Source Characteristics!N263</x:v>
      </x:c>
      <x:c r="F423" s="7" t="str">
        <x:f>'Source Characteristics'!N263</x:f>
        <x:v>OPEN</x:v>
      </x:c>
    </x:row>
    <x:row r="424">
      <x:c r="B424" s="7" t="str">
        <x:v>PHY-0418</x:v>
      </x:c>
      <x:c r="C424" s="7" t="str">
        <x:v>source characteristic</x:v>
      </x:c>
      <x:c r="D424" s="7" t="str">
        <x:v>RAE-SP-26-CH-08</x:v>
      </x:c>
      <x:c r="E424" s="7" t="str">
        <x:v>Source Characteristics!N264</x:v>
      </x:c>
      <x:c r="F424" s="7" t="str">
        <x:f>'Source Characteristics'!N264</x:f>
        <x:v>OPEN</x:v>
      </x:c>
    </x:row>
    <x:row r="425">
      <x:c r="B425" s="7" t="str">
        <x:v>PHY-0419</x:v>
      </x:c>
      <x:c r="C425" s="7" t="str">
        <x:v>source characteristic</x:v>
      </x:c>
      <x:c r="D425" s="7" t="str">
        <x:v>RAE-SP-26-CH-09</x:v>
      </x:c>
      <x:c r="E425" s="7" t="str">
        <x:v>Source Characteristics!N265</x:v>
      </x:c>
      <x:c r="F425" s="7" t="str">
        <x:f>'Source Characteristics'!N265</x:f>
        <x:v>OPEN</x:v>
      </x:c>
    </x:row>
    <x:row r="426">
      <x:c r="B426" s="7" t="str">
        <x:v>PHY-0420</x:v>
      </x:c>
      <x:c r="C426" s="7" t="str">
        <x:v>source characteristic</x:v>
      </x:c>
      <x:c r="D426" s="7" t="str">
        <x:v>RAE-SP-26-CH-10</x:v>
      </x:c>
      <x:c r="E426" s="7" t="str">
        <x:v>Source Characteristics!N266</x:v>
      </x:c>
      <x:c r="F426" s="7" t="str">
        <x:f>'Source Characteristics'!N266</x:f>
        <x:v>OPEN</x:v>
      </x:c>
    </x:row>
    <x:row r="427">
      <x:c r="B427" s="7" t="str">
        <x:v>PHY-0421</x:v>
      </x:c>
      <x:c r="C427" s="7" t="str">
        <x:v>source characteristic</x:v>
      </x:c>
      <x:c r="D427" s="7" t="str">
        <x:v>RAE-SP-27-CH-01</x:v>
      </x:c>
      <x:c r="E427" s="7" t="str">
        <x:v>Source Characteristics!N267</x:v>
      </x:c>
      <x:c r="F427" s="7" t="str">
        <x:f>'Source Characteristics'!N267</x:f>
        <x:v>OPEN</x:v>
      </x:c>
    </x:row>
    <x:row r="428">
      <x:c r="B428" s="7" t="str">
        <x:v>PHY-0422</x:v>
      </x:c>
      <x:c r="C428" s="7" t="str">
        <x:v>source characteristic</x:v>
      </x:c>
      <x:c r="D428" s="7" t="str">
        <x:v>RAE-SP-27-CH-02</x:v>
      </x:c>
      <x:c r="E428" s="7" t="str">
        <x:v>Source Characteristics!N268</x:v>
      </x:c>
      <x:c r="F428" s="7" t="str">
        <x:f>'Source Characteristics'!N268</x:f>
        <x:v>OPEN</x:v>
      </x:c>
    </x:row>
    <x:row r="429">
      <x:c r="B429" s="7" t="str">
        <x:v>PHY-0423</x:v>
      </x:c>
      <x:c r="C429" s="7" t="str">
        <x:v>source characteristic</x:v>
      </x:c>
      <x:c r="D429" s="7" t="str">
        <x:v>RAE-SP-27-CH-03</x:v>
      </x:c>
      <x:c r="E429" s="7" t="str">
        <x:v>Source Characteristics!N269</x:v>
      </x:c>
      <x:c r="F429" s="7" t="str">
        <x:f>'Source Characteristics'!N269</x:f>
        <x:v>OPEN</x:v>
      </x:c>
    </x:row>
    <x:row r="430">
      <x:c r="B430" s="7" t="str">
        <x:v>PHY-0424</x:v>
      </x:c>
      <x:c r="C430" s="7" t="str">
        <x:v>source characteristic</x:v>
      </x:c>
      <x:c r="D430" s="7" t="str">
        <x:v>RAE-SP-27-CH-04</x:v>
      </x:c>
      <x:c r="E430" s="7" t="str">
        <x:v>Source Characteristics!N270</x:v>
      </x:c>
      <x:c r="F430" s="7" t="str">
        <x:f>'Source Characteristics'!N270</x:f>
        <x:v>OPEN</x:v>
      </x:c>
    </x:row>
    <x:row r="431">
      <x:c r="B431" s="7" t="str">
        <x:v>PHY-0425</x:v>
      </x:c>
      <x:c r="C431" s="7" t="str">
        <x:v>source characteristic</x:v>
      </x:c>
      <x:c r="D431" s="7" t="str">
        <x:v>RAE-SP-27-CH-05</x:v>
      </x:c>
      <x:c r="E431" s="7" t="str">
        <x:v>Source Characteristics!N271</x:v>
      </x:c>
      <x:c r="F431" s="7" t="str">
        <x:f>'Source Characteristics'!N271</x:f>
        <x:v>OPEN</x:v>
      </x:c>
    </x:row>
    <x:row r="432">
      <x:c r="B432" s="7" t="str">
        <x:v>PHY-0426</x:v>
      </x:c>
      <x:c r="C432" s="7" t="str">
        <x:v>source characteristic</x:v>
      </x:c>
      <x:c r="D432" s="7" t="str">
        <x:v>RAE-SP-27-CH-06</x:v>
      </x:c>
      <x:c r="E432" s="7" t="str">
        <x:v>Source Characteristics!N272</x:v>
      </x:c>
      <x:c r="F432" s="7" t="str">
        <x:f>'Source Characteristics'!N272</x:f>
        <x:v>OPEN</x:v>
      </x:c>
    </x:row>
    <x:row r="433">
      <x:c r="B433" s="7" t="str">
        <x:v>PHY-0427</x:v>
      </x:c>
      <x:c r="C433" s="7" t="str">
        <x:v>source characteristic</x:v>
      </x:c>
      <x:c r="D433" s="7" t="str">
        <x:v>RAE-SP-27-CH-07</x:v>
      </x:c>
      <x:c r="E433" s="7" t="str">
        <x:v>Source Characteristics!N273</x:v>
      </x:c>
      <x:c r="F433" s="7" t="str">
        <x:f>'Source Characteristics'!N273</x:f>
        <x:v>OPEN</x:v>
      </x:c>
    </x:row>
    <x:row r="434">
      <x:c r="B434" s="7" t="str">
        <x:v>PHY-0428</x:v>
      </x:c>
      <x:c r="C434" s="7" t="str">
        <x:v>source characteristic</x:v>
      </x:c>
      <x:c r="D434" s="7" t="str">
        <x:v>RAE-SP-27-CH-08</x:v>
      </x:c>
      <x:c r="E434" s="7" t="str">
        <x:v>Source Characteristics!N274</x:v>
      </x:c>
      <x:c r="F434" s="7" t="str">
        <x:f>'Source Characteristics'!N274</x:f>
        <x:v>OPEN</x:v>
      </x:c>
    </x:row>
    <x:row r="435">
      <x:c r="B435" s="7" t="str">
        <x:v>PHY-0429</x:v>
      </x:c>
      <x:c r="C435" s="7" t="str">
        <x:v>source characteristic</x:v>
      </x:c>
      <x:c r="D435" s="7" t="str">
        <x:v>RAE-SP-27-CH-09</x:v>
      </x:c>
      <x:c r="E435" s="7" t="str">
        <x:v>Source Characteristics!N275</x:v>
      </x:c>
      <x:c r="F435" s="7" t="str">
        <x:f>'Source Characteristics'!N275</x:f>
        <x:v>OPEN</x:v>
      </x:c>
    </x:row>
    <x:row r="436">
      <x:c r="B436" s="7" t="str">
        <x:v>PHY-0430</x:v>
      </x:c>
      <x:c r="C436" s="7" t="str">
        <x:v>source characteristic</x:v>
      </x:c>
      <x:c r="D436" s="7" t="str">
        <x:v>RAE-SP-27-CH-10</x:v>
      </x:c>
      <x:c r="E436" s="7" t="str">
        <x:v>Source Characteristics!N276</x:v>
      </x:c>
      <x:c r="F436" s="7" t="str">
        <x:f>'Source Characteristics'!N276</x:f>
        <x:v>OPEN</x:v>
      </x:c>
    </x:row>
    <x:row r="437">
      <x:c r="B437" s="7" t="str">
        <x:v>PHY-0431</x:v>
      </x:c>
      <x:c r="C437" s="7" t="str">
        <x:v>source characteristic</x:v>
      </x:c>
      <x:c r="D437" s="7" t="str">
        <x:v>RAE-SP-28-CH-01</x:v>
      </x:c>
      <x:c r="E437" s="7" t="str">
        <x:v>Source Characteristics!N277</x:v>
      </x:c>
      <x:c r="F437" s="7" t="str">
        <x:f>'Source Characteristics'!N277</x:f>
        <x:v>OPEN</x:v>
      </x:c>
    </x:row>
    <x:row r="438">
      <x:c r="B438" s="7" t="str">
        <x:v>PHY-0432</x:v>
      </x:c>
      <x:c r="C438" s="7" t="str">
        <x:v>source characteristic</x:v>
      </x:c>
      <x:c r="D438" s="7" t="str">
        <x:v>RAE-SP-28-CH-02</x:v>
      </x:c>
      <x:c r="E438" s="7" t="str">
        <x:v>Source Characteristics!N278</x:v>
      </x:c>
      <x:c r="F438" s="7" t="str">
        <x:f>'Source Characteristics'!N278</x:f>
        <x:v>OPEN</x:v>
      </x:c>
    </x:row>
    <x:row r="439">
      <x:c r="B439" s="7" t="str">
        <x:v>PHY-0433</x:v>
      </x:c>
      <x:c r="C439" s="7" t="str">
        <x:v>source characteristic</x:v>
      </x:c>
      <x:c r="D439" s="7" t="str">
        <x:v>RAE-SP-28-CH-03</x:v>
      </x:c>
      <x:c r="E439" s="7" t="str">
        <x:v>Source Characteristics!N279</x:v>
      </x:c>
      <x:c r="F439" s="7" t="str">
        <x:f>'Source Characteristics'!N279</x:f>
        <x:v>OPEN</x:v>
      </x:c>
    </x:row>
    <x:row r="440">
      <x:c r="B440" s="7" t="str">
        <x:v>PHY-0434</x:v>
      </x:c>
      <x:c r="C440" s="7" t="str">
        <x:v>source characteristic</x:v>
      </x:c>
      <x:c r="D440" s="7" t="str">
        <x:v>RAE-SP-28-CH-04</x:v>
      </x:c>
      <x:c r="E440" s="7" t="str">
        <x:v>Source Characteristics!N280</x:v>
      </x:c>
      <x:c r="F440" s="7" t="str">
        <x:f>'Source Characteristics'!N280</x:f>
        <x:v>OPEN</x:v>
      </x:c>
    </x:row>
    <x:row r="441">
      <x:c r="B441" s="7" t="str">
        <x:v>PHY-0435</x:v>
      </x:c>
      <x:c r="C441" s="7" t="str">
        <x:v>source characteristic</x:v>
      </x:c>
      <x:c r="D441" s="7" t="str">
        <x:v>RAE-SP-28-CH-05</x:v>
      </x:c>
      <x:c r="E441" s="7" t="str">
        <x:v>Source Characteristics!N281</x:v>
      </x:c>
      <x:c r="F441" s="7" t="str">
        <x:f>'Source Characteristics'!N281</x:f>
        <x:v>OPEN</x:v>
      </x:c>
    </x:row>
    <x:row r="442">
      <x:c r="B442" s="7" t="str">
        <x:v>PHY-0436</x:v>
      </x:c>
      <x:c r="C442" s="7" t="str">
        <x:v>source characteristic</x:v>
      </x:c>
      <x:c r="D442" s="7" t="str">
        <x:v>RAE-SP-28-CH-06</x:v>
      </x:c>
      <x:c r="E442" s="7" t="str">
        <x:v>Source Characteristics!N282</x:v>
      </x:c>
      <x:c r="F442" s="7" t="str">
        <x:f>'Source Characteristics'!N282</x:f>
        <x:v>OPEN</x:v>
      </x:c>
    </x:row>
    <x:row r="443">
      <x:c r="B443" s="7" t="str">
        <x:v>PHY-0437</x:v>
      </x:c>
      <x:c r="C443" s="7" t="str">
        <x:v>source characteristic</x:v>
      </x:c>
      <x:c r="D443" s="7" t="str">
        <x:v>RAE-SP-28-CH-07</x:v>
      </x:c>
      <x:c r="E443" s="7" t="str">
        <x:v>Source Characteristics!N283</x:v>
      </x:c>
      <x:c r="F443" s="7" t="str">
        <x:f>'Source Characteristics'!N283</x:f>
        <x:v>OPEN</x:v>
      </x:c>
    </x:row>
    <x:row r="444">
      <x:c r="B444" s="7" t="str">
        <x:v>PHY-0438</x:v>
      </x:c>
      <x:c r="C444" s="7" t="str">
        <x:v>source characteristic</x:v>
      </x:c>
      <x:c r="D444" s="7" t="str">
        <x:v>RAE-SP-28-CH-08</x:v>
      </x:c>
      <x:c r="E444" s="7" t="str">
        <x:v>Source Characteristics!N284</x:v>
      </x:c>
      <x:c r="F444" s="7" t="str">
        <x:f>'Source Characteristics'!N284</x:f>
        <x:v>OPEN</x:v>
      </x:c>
    </x:row>
    <x:row r="445">
      <x:c r="B445" s="7" t="str">
        <x:v>PHY-0439</x:v>
      </x:c>
      <x:c r="C445" s="7" t="str">
        <x:v>source characteristic</x:v>
      </x:c>
      <x:c r="D445" s="7" t="str">
        <x:v>RAE-SP-28-CH-09</x:v>
      </x:c>
      <x:c r="E445" s="7" t="str">
        <x:v>Source Characteristics!N285</x:v>
      </x:c>
      <x:c r="F445" s="7" t="str">
        <x:f>'Source Characteristics'!N285</x:f>
        <x:v>OPEN</x:v>
      </x:c>
    </x:row>
    <x:row r="446">
      <x:c r="B446" s="7" t="str">
        <x:v>PHY-0440</x:v>
      </x:c>
      <x:c r="C446" s="7" t="str">
        <x:v>source characteristic</x:v>
      </x:c>
      <x:c r="D446" s="7" t="str">
        <x:v>RAE-SP-28-CH-10</x:v>
      </x:c>
      <x:c r="E446" s="7" t="str">
        <x:v>Source Characteristics!N286</x:v>
      </x:c>
      <x:c r="F446" s="7" t="str">
        <x:f>'Source Characteristics'!N286</x:f>
        <x:v>OPEN</x:v>
      </x:c>
    </x:row>
    <x:row r="447">
      <x:c r="B447" s="7" t="str">
        <x:v>PHY-0441</x:v>
      </x:c>
      <x:c r="C447" s="7" t="str">
        <x:v>water package</x:v>
      </x:c>
      <x:c r="D447" s="7" t="str">
        <x:v>RAE-WP-01</x:v>
      </x:c>
      <x:c r="E447" s="7" t="str">
        <x:v>Water Packages!L7</x:v>
      </x:c>
      <x:c r="F447" s="7" t="str">
        <x:f>'Water Packages'!L7</x:f>
        <x:v>OPEN</x:v>
      </x:c>
    </x:row>
    <x:row r="448">
      <x:c r="B448" s="7" t="str">
        <x:v>PHY-0442</x:v>
      </x:c>
      <x:c r="C448" s="7" t="str">
        <x:v>water package</x:v>
      </x:c>
      <x:c r="D448" s="7" t="str">
        <x:v>RAE-WP-02</x:v>
      </x:c>
      <x:c r="E448" s="7" t="str">
        <x:v>Water Packages!L8</x:v>
      </x:c>
      <x:c r="F448" s="7" t="str">
        <x:f>'Water Packages'!L8</x:f>
        <x:v>OPEN</x:v>
      </x:c>
    </x:row>
    <x:row r="449">
      <x:c r="B449" s="7" t="str">
        <x:v>PHY-0443</x:v>
      </x:c>
      <x:c r="C449" s="7" t="str">
        <x:v>water package</x:v>
      </x:c>
      <x:c r="D449" s="7" t="str">
        <x:v>RAE-WP-03</x:v>
      </x:c>
      <x:c r="E449" s="7" t="str">
        <x:v>Water Packages!L9</x:v>
      </x:c>
      <x:c r="F449" s="7" t="str">
        <x:f>'Water Packages'!L9</x:f>
        <x:v>OPEN</x:v>
      </x:c>
    </x:row>
    <x:row r="450">
      <x:c r="B450" s="7" t="str">
        <x:v>PHY-0444</x:v>
      </x:c>
      <x:c r="C450" s="7" t="str">
        <x:v>water package</x:v>
      </x:c>
      <x:c r="D450" s="7" t="str">
        <x:v>RAE-WP-04</x:v>
      </x:c>
      <x:c r="E450" s="7" t="str">
        <x:v>Water Packages!L10</x:v>
      </x:c>
      <x:c r="F450" s="7" t="str">
        <x:f>'Water Packages'!L10</x:f>
        <x:v>OPEN</x:v>
      </x:c>
    </x:row>
    <x:row r="451">
      <x:c r="B451" s="7" t="str">
        <x:v>PHY-0445</x:v>
      </x:c>
      <x:c r="C451" s="7" t="str">
        <x:v>water package</x:v>
      </x:c>
      <x:c r="D451" s="7" t="str">
        <x:v>RAE-WP-05</x:v>
      </x:c>
      <x:c r="E451" s="7" t="str">
        <x:v>Water Packages!L11</x:v>
      </x:c>
      <x:c r="F451" s="7" t="str">
        <x:f>'Water Packages'!L11</x:f>
        <x:v>OPEN</x:v>
      </x:c>
    </x:row>
    <x:row r="452">
      <x:c r="B452" s="7" t="str">
        <x:v>PHY-0446</x:v>
      </x:c>
      <x:c r="C452" s="7" t="str">
        <x:v>water package</x:v>
      </x:c>
      <x:c r="D452" s="7" t="str">
        <x:v>RAE-WP-06</x:v>
      </x:c>
      <x:c r="E452" s="7" t="str">
        <x:v>Water Packages!L12</x:v>
      </x:c>
      <x:c r="F452" s="7" t="str">
        <x:f>'Water Packages'!L12</x:f>
        <x:v>OPEN</x:v>
      </x:c>
    </x:row>
    <x:row r="453">
      <x:c r="B453" s="7" t="str">
        <x:v>PHY-0447</x:v>
      </x:c>
      <x:c r="C453" s="7" t="str">
        <x:v>water package</x:v>
      </x:c>
      <x:c r="D453" s="7" t="str">
        <x:v>RAE-WP-07</x:v>
      </x:c>
      <x:c r="E453" s="7" t="str">
        <x:v>Water Packages!L13</x:v>
      </x:c>
      <x:c r="F453" s="7" t="str">
        <x:f>'Water Packages'!L13</x:f>
        <x:v>OPEN</x:v>
      </x:c>
    </x:row>
    <x:row r="454">
      <x:c r="B454" s="7" t="str">
        <x:v>PHY-0448</x:v>
      </x:c>
      <x:c r="C454" s="7" t="str">
        <x:v>water package</x:v>
      </x:c>
      <x:c r="D454" s="7" t="str">
        <x:v>RAE-WP-08</x:v>
      </x:c>
      <x:c r="E454" s="7" t="str">
        <x:v>Water Packages!L14</x:v>
      </x:c>
      <x:c r="F454" s="7" t="str">
        <x:f>'Water Packages'!L14</x:f>
        <x:v>OPEN</x:v>
      </x:c>
    </x:row>
    <x:row r="455">
      <x:c r="B455" s="7" t="str">
        <x:v>PHY-0449</x:v>
      </x:c>
      <x:c r="C455" s="7" t="str">
        <x:v>water package</x:v>
      </x:c>
      <x:c r="D455" s="7" t="str">
        <x:v>RAE-WP-09</x:v>
      </x:c>
      <x:c r="E455" s="7" t="str">
        <x:v>Water Packages!L15</x:v>
      </x:c>
      <x:c r="F455" s="7" t="str">
        <x:f>'Water Packages'!L15</x:f>
        <x:v>OPEN</x:v>
      </x:c>
    </x:row>
    <x:row r="456">
      <x:c r="B456" s="7" t="str">
        <x:v>PHY-0450</x:v>
      </x:c>
      <x:c r="C456" s="7" t="str">
        <x:v>water package</x:v>
      </x:c>
      <x:c r="D456" s="7" t="str">
        <x:v>RAE-WP-10</x:v>
      </x:c>
      <x:c r="E456" s="7" t="str">
        <x:v>Water Packages!L16</x:v>
      </x:c>
      <x:c r="F456" s="7" t="str">
        <x:f>'Water Packages'!L16</x:f>
        <x:v>OPEN</x:v>
      </x:c>
    </x:row>
    <x:row r="457">
      <x:c r="B457" s="7" t="str">
        <x:v>PHY-0451</x:v>
      </x:c>
      <x:c r="C457" s="7" t="str">
        <x:v>water package</x:v>
      </x:c>
      <x:c r="D457" s="7" t="str">
        <x:v>RAE-WP-11</x:v>
      </x:c>
      <x:c r="E457" s="7" t="str">
        <x:v>Water Packages!L17</x:v>
      </x:c>
      <x:c r="F457" s="7" t="str">
        <x:f>'Water Packages'!L17</x:f>
        <x:v>OPEN</x:v>
      </x:c>
    </x:row>
    <x:row r="458">
      <x:c r="B458" s="7" t="str">
        <x:v>PHY-0452</x:v>
      </x:c>
      <x:c r="C458" s="7" t="str">
        <x:v>water package</x:v>
      </x:c>
      <x:c r="D458" s="7" t="str">
        <x:v>RAE-WP-12</x:v>
      </x:c>
      <x:c r="E458" s="7" t="str">
        <x:v>Water Packages!L18</x:v>
      </x:c>
      <x:c r="F458" s="7" t="str">
        <x:f>'Water Packages'!L18</x:f>
        <x:v>OPEN</x:v>
      </x:c>
    </x:row>
    <x:row r="459">
      <x:c r="B459" s="7" t="str">
        <x:v>PHY-0453</x:v>
      </x:c>
      <x:c r="C459" s="7" t="str">
        <x:v>containment proof</x:v>
      </x:c>
      <x:c r="D459" s="7" t="str">
        <x:v>RAE-CT-01</x:v>
      </x:c>
      <x:c r="E459" s="7" t="str">
        <x:v>Containment!N7</x:v>
      </x:c>
      <x:c r="F459" s="7" t="str">
        <x:f>'Containment'!N7</x:f>
        <x:v>OPEN</x:v>
      </x:c>
    </x:row>
    <x:row r="460">
      <x:c r="B460" s="7" t="str">
        <x:v>PHY-0454</x:v>
      </x:c>
      <x:c r="C460" s="7" t="str">
        <x:v>containment proof</x:v>
      </x:c>
      <x:c r="D460" s="7" t="str">
        <x:v>RAE-CT-02</x:v>
      </x:c>
      <x:c r="E460" s="7" t="str">
        <x:v>Containment!N8</x:v>
      </x:c>
      <x:c r="F460" s="7" t="str">
        <x:f>'Containment'!N8</x:f>
        <x:v>OPEN</x:v>
      </x:c>
    </x:row>
    <x:row r="461">
      <x:c r="B461" s="7" t="str">
        <x:v>PHY-0455</x:v>
      </x:c>
      <x:c r="C461" s="7" t="str">
        <x:v>containment proof</x:v>
      </x:c>
      <x:c r="D461" s="7" t="str">
        <x:v>RAE-CT-03</x:v>
      </x:c>
      <x:c r="E461" s="7" t="str">
        <x:v>Containment!N9</x:v>
      </x:c>
      <x:c r="F461" s="7" t="str">
        <x:f>'Containment'!N9</x:f>
        <x:v>OPEN</x:v>
      </x:c>
    </x:row>
    <x:row r="462">
      <x:c r="B462" s="7" t="str">
        <x:v>PHY-0456</x:v>
      </x:c>
      <x:c r="C462" s="7" t="str">
        <x:v>containment proof</x:v>
      </x:c>
      <x:c r="D462" s="7" t="str">
        <x:v>RAE-CT-04</x:v>
      </x:c>
      <x:c r="E462" s="7" t="str">
        <x:v>Containment!N10</x:v>
      </x:c>
      <x:c r="F462" s="7" t="str">
        <x:f>'Containment'!N10</x:f>
        <x:v>OPEN</x:v>
      </x:c>
    </x:row>
    <x:row r="463">
      <x:c r="B463" s="7" t="str">
        <x:v>PHY-0457</x:v>
      </x:c>
      <x:c r="C463" s="7" t="str">
        <x:v>containment proof</x:v>
      </x:c>
      <x:c r="D463" s="7" t="str">
        <x:v>RAE-CT-05</x:v>
      </x:c>
      <x:c r="E463" s="7" t="str">
        <x:v>Containment!N11</x:v>
      </x:c>
      <x:c r="F463" s="7" t="str">
        <x:f>'Containment'!N11</x:f>
        <x:v>OPEN</x:v>
      </x:c>
    </x:row>
    <x:row r="464">
      <x:c r="B464" s="7" t="str">
        <x:v>PHY-0458</x:v>
      </x:c>
      <x:c r="C464" s="7" t="str">
        <x:v>containment proof</x:v>
      </x:c>
      <x:c r="D464" s="7" t="str">
        <x:v>RAE-CT-06</x:v>
      </x:c>
      <x:c r="E464" s="7" t="str">
        <x:v>Containment!N12</x:v>
      </x:c>
      <x:c r="F464" s="7" t="str">
        <x:f>'Containment'!N12</x:f>
        <x:v>OPEN</x:v>
      </x:c>
    </x:row>
    <x:row r="465">
      <x:c r="B465" s="7" t="str">
        <x:v>PHY-0459</x:v>
      </x:c>
      <x:c r="C465" s="7" t="str">
        <x:v>receiver proof</x:v>
      </x:c>
      <x:c r="D465" s="7" t="str">
        <x:v>RAE-RP-01</x:v>
      </x:c>
      <x:c r="E465" s="7" t="str">
        <x:v>Receiver Proofs!L7</x:v>
      </x:c>
      <x:c r="F465" s="7" t="str">
        <x:f>'Receiver Proofs'!L7</x:f>
        <x:v>OPEN</x:v>
      </x:c>
    </x:row>
    <x:row r="466">
      <x:c r="B466" s="7" t="str">
        <x:v>PHY-0460</x:v>
      </x:c>
      <x:c r="C466" s="7" t="str">
        <x:v>receiver proof</x:v>
      </x:c>
      <x:c r="D466" s="7" t="str">
        <x:v>RAE-RP-02</x:v>
      </x:c>
      <x:c r="E466" s="7" t="str">
        <x:v>Receiver Proofs!L8</x:v>
      </x:c>
      <x:c r="F466" s="7" t="str">
        <x:f>'Receiver Proofs'!L8</x:f>
        <x:v>OPEN</x:v>
      </x:c>
    </x:row>
    <x:row r="467">
      <x:c r="B467" s="7" t="str">
        <x:v>PHY-0461</x:v>
      </x:c>
      <x:c r="C467" s="7" t="str">
        <x:v>receiver proof</x:v>
      </x:c>
      <x:c r="D467" s="7" t="str">
        <x:v>RAE-RP-03</x:v>
      </x:c>
      <x:c r="E467" s="7" t="str">
        <x:v>Receiver Proofs!L9</x:v>
      </x:c>
      <x:c r="F467" s="7" t="str">
        <x:f>'Receiver Proofs'!L9</x:f>
        <x:v>OPEN</x:v>
      </x:c>
    </x:row>
    <x:row r="468">
      <x:c r="B468" s="7" t="str">
        <x:v>PHY-0462</x:v>
      </x:c>
      <x:c r="C468" s="7" t="str">
        <x:v>receiver proof</x:v>
      </x:c>
      <x:c r="D468" s="7" t="str">
        <x:v>RAE-RP-04</x:v>
      </x:c>
      <x:c r="E468" s="7" t="str">
        <x:v>Receiver Proofs!L10</x:v>
      </x:c>
      <x:c r="F468" s="7" t="str">
        <x:f>'Receiver Proofs'!L10</x:f>
        <x:v>OPEN</x:v>
      </x:c>
    </x:row>
    <x:row r="469">
      <x:c r="B469" s="7" t="str">
        <x:v>PHY-0463</x:v>
      </x:c>
      <x:c r="C469" s="7" t="str">
        <x:v>receiver proof</x:v>
      </x:c>
      <x:c r="D469" s="7" t="str">
        <x:v>RAE-RP-05</x:v>
      </x:c>
      <x:c r="E469" s="7" t="str">
        <x:v>Receiver Proofs!L11</x:v>
      </x:c>
      <x:c r="F469" s="7" t="str">
        <x:f>'Receiver Proofs'!L11</x:f>
        <x:v>OPEN</x:v>
      </x:c>
    </x:row>
    <x:row r="470">
      <x:c r="B470" s="7" t="str">
        <x:v>PHY-0464</x:v>
      </x:c>
      <x:c r="C470" s="7" t="str">
        <x:v>receiver proof</x:v>
      </x:c>
      <x:c r="D470" s="7" t="str">
        <x:v>RAE-RP-06</x:v>
      </x:c>
      <x:c r="E470" s="7" t="str">
        <x:v>Receiver Proofs!L12</x:v>
      </x:c>
      <x:c r="F470" s="7" t="str">
        <x:f>'Receiver Proofs'!L12</x:f>
        <x:v>OPEN</x:v>
      </x:c>
    </x:row>
    <x:row r="471">
      <x:c r="B471" s="7" t="str">
        <x:v>PHY-0465</x:v>
      </x:c>
      <x:c r="C471" s="7" t="str">
        <x:v>receiver proof</x:v>
      </x:c>
      <x:c r="D471" s="7" t="str">
        <x:v>RAE-RP-07</x:v>
      </x:c>
      <x:c r="E471" s="7" t="str">
        <x:v>Receiver Proofs!L13</x:v>
      </x:c>
      <x:c r="F471" s="7" t="str">
        <x:f>'Receiver Proofs'!L13</x:f>
        <x:v>OPEN</x:v>
      </x:c>
    </x:row>
    <x:row r="472">
      <x:c r="B472" s="7" t="str">
        <x:v>PHY-0466</x:v>
      </x:c>
      <x:c r="C472" s="7" t="str">
        <x:v>receiver proof</x:v>
      </x:c>
      <x:c r="D472" s="7" t="str">
        <x:v>RAE-RP-08</x:v>
      </x:c>
      <x:c r="E472" s="7" t="str">
        <x:v>Receiver Proofs!L14</x:v>
      </x:c>
      <x:c r="F472" s="7" t="str">
        <x:f>'Receiver Proofs'!L14</x:f>
        <x:v>OPEN</x:v>
      </x:c>
    </x:row>
    <x:row r="473">
      <x:c r="B473" s="7" t="str">
        <x:v>PHY-0467</x:v>
      </x:c>
      <x:c r="C473" s="7" t="str">
        <x:v>receiver proof</x:v>
      </x:c>
      <x:c r="D473" s="7" t="str">
        <x:v>RAE-RP-09</x:v>
      </x:c>
      <x:c r="E473" s="7" t="str">
        <x:v>Receiver Proofs!L15</x:v>
      </x:c>
      <x:c r="F473" s="7" t="str">
        <x:f>'Receiver Proofs'!L15</x:f>
        <x:v>OPEN</x:v>
      </x:c>
    </x:row>
    <x:row r="474">
      <x:c r="B474" s="7" t="str">
        <x:v>PHY-0468</x:v>
      </x:c>
      <x:c r="C474" s="7" t="str">
        <x:v>receiver proof</x:v>
      </x:c>
      <x:c r="D474" s="7" t="str">
        <x:v>RAE-RP-10</x:v>
      </x:c>
      <x:c r="E474" s="7" t="str">
        <x:v>Receiver Proofs!L16</x:v>
      </x:c>
      <x:c r="F474" s="7" t="str">
        <x:f>'Receiver Proofs'!L16</x:f>
        <x:v>OPEN</x:v>
      </x:c>
    </x:row>
    <x:row r="475">
      <x:c r="B475" s="7" t="str">
        <x:v>PHY-0469</x:v>
      </x:c>
      <x:c r="C475" s="7" t="str">
        <x:v>receiver proof</x:v>
      </x:c>
      <x:c r="D475" s="7" t="str">
        <x:v>RAE-RP-11</x:v>
      </x:c>
      <x:c r="E475" s="7" t="str">
        <x:v>Receiver Proofs!L17</x:v>
      </x:c>
      <x:c r="F475" s="7" t="str">
        <x:f>'Receiver Proofs'!L17</x:f>
        <x:v>OPEN</x:v>
      </x:c>
    </x:row>
    <x:row r="476">
      <x:c r="B476" s="7" t="str">
        <x:v>PHY-0470</x:v>
      </x:c>
      <x:c r="C476" s="7" t="str">
        <x:v>receiver proof</x:v>
      </x:c>
      <x:c r="D476" s="7" t="str">
        <x:v>RAE-RP-12</x:v>
      </x:c>
      <x:c r="E476" s="7" t="str">
        <x:v>Receiver Proofs!L18</x:v>
      </x:c>
      <x:c r="F476" s="7" t="str">
        <x:f>'Receiver Proofs'!L18</x:f>
        <x:v>OPEN</x:v>
      </x:c>
    </x:row>
    <x:row r="477">
      <x:c r="B477" s="7" t="str">
        <x:v>PHY-0471</x:v>
      </x:c>
      <x:c r="C477" s="7" t="str">
        <x:v>receiver proof</x:v>
      </x:c>
      <x:c r="D477" s="7" t="str">
        <x:v>RAE-RP-13</x:v>
      </x:c>
      <x:c r="E477" s="7" t="str">
        <x:v>Receiver Proofs!L19</x:v>
      </x:c>
      <x:c r="F477" s="7" t="str">
        <x:f>'Receiver Proofs'!L19</x:f>
        <x:v>OPEN</x:v>
      </x:c>
    </x:row>
    <x:row r="478">
      <x:c r="B478" s="7" t="str">
        <x:v>PHY-0472</x:v>
      </x:c>
      <x:c r="C478" s="7" t="str">
        <x:v>receiver proof</x:v>
      </x:c>
      <x:c r="D478" s="7" t="str">
        <x:v>RAE-RP-14</x:v>
      </x:c>
      <x:c r="E478" s="7" t="str">
        <x:v>Receiver Proofs!L20</x:v>
      </x:c>
      <x:c r="F478" s="7" t="str">
        <x:f>'Receiver Proofs'!L20</x:f>
        <x:v>OPEN</x:v>
      </x:c>
    </x:row>
    <x:row r="479">
      <x:c r="B479" s="7" t="str">
        <x:v>PHY-0473</x:v>
      </x:c>
      <x:c r="C479" s="7" t="str">
        <x:v>receiver proof</x:v>
      </x:c>
      <x:c r="D479" s="7" t="str">
        <x:v>RAE-RP-15</x:v>
      </x:c>
      <x:c r="E479" s="7" t="str">
        <x:v>Receiver Proofs!L21</x:v>
      </x:c>
      <x:c r="F479" s="7" t="str">
        <x:f>'Receiver Proofs'!L21</x:f>
        <x:v>OPEN</x:v>
      </x:c>
    </x:row>
    <x:row r="480">
      <x:c r="B480" s="7" t="str">
        <x:v>PHY-0474</x:v>
      </x:c>
      <x:c r="C480" s="7" t="str">
        <x:v>receiver proof</x:v>
      </x:c>
      <x:c r="D480" s="7" t="str">
        <x:v>RAE-RP-16</x:v>
      </x:c>
      <x:c r="E480" s="7" t="str">
        <x:v>Receiver Proofs!L22</x:v>
      </x:c>
      <x:c r="F480" s="7" t="str">
        <x:f>'Receiver Proofs'!L22</x:f>
        <x:v>OPEN</x:v>
      </x:c>
    </x:row>
    <x:row r="481">
      <x:c r="B481" s="7" t="str">
        <x:v>PHY-0475</x:v>
      </x:c>
      <x:c r="C481" s="7" t="str">
        <x:v>receiver proof</x:v>
      </x:c>
      <x:c r="D481" s="7" t="str">
        <x:v>RAE-RP-17</x:v>
      </x:c>
      <x:c r="E481" s="7" t="str">
        <x:v>Receiver Proofs!L23</x:v>
      </x:c>
      <x:c r="F481" s="7" t="str">
        <x:f>'Receiver Proofs'!L23</x:f>
        <x:v>OPEN</x:v>
      </x:c>
    </x:row>
    <x:row r="482">
      <x:c r="B482" s="7" t="str">
        <x:v>PHY-0476</x:v>
      </x:c>
      <x:c r="C482" s="7" t="str">
        <x:v>receiver proof</x:v>
      </x:c>
      <x:c r="D482" s="7" t="str">
        <x:v>RAE-RP-18</x:v>
      </x:c>
      <x:c r="E482" s="7" t="str">
        <x:v>Receiver Proofs!L24</x:v>
      </x:c>
      <x:c r="F482" s="7" t="str">
        <x:f>'Receiver Proofs'!L24</x:f>
        <x:v>OPEN</x:v>
      </x:c>
    </x:row>
    <x:row r="483">
      <x:c r="B483" s="7" t="str">
        <x:v>PHY-0477</x:v>
      </x:c>
      <x:c r="C483" s="7" t="str">
        <x:v>receiver proof</x:v>
      </x:c>
      <x:c r="D483" s="7" t="str">
        <x:v>RAE-RP-19</x:v>
      </x:c>
      <x:c r="E483" s="7" t="str">
        <x:v>Receiver Proofs!L25</x:v>
      </x:c>
      <x:c r="F483" s="7" t="str">
        <x:f>'Receiver Proofs'!L25</x:f>
        <x:v>OPEN</x:v>
      </x:c>
    </x:row>
    <x:row r="484">
      <x:c r="B484" s="7" t="str">
        <x:v>PHY-0478</x:v>
      </x:c>
      <x:c r="C484" s="7" t="str">
        <x:v>receiver proof</x:v>
      </x:c>
      <x:c r="D484" s="7" t="str">
        <x:v>RAE-RP-20</x:v>
      </x:c>
      <x:c r="E484" s="7" t="str">
        <x:v>Receiver Proofs!L26</x:v>
      </x:c>
      <x:c r="F484" s="7" t="str">
        <x:f>'Receiver Proofs'!L26</x:f>
        <x:v>OPEN</x:v>
      </x:c>
    </x:row>
    <x:row r="485">
      <x:c r="B485" s="7" t="str">
        <x:v>PHY-0479</x:v>
      </x:c>
      <x:c r="C485" s="7" t="str">
        <x:v>receiver proof</x:v>
      </x:c>
      <x:c r="D485" s="7" t="str">
        <x:v>RAE-RP-21</x:v>
      </x:c>
      <x:c r="E485" s="7" t="str">
        <x:v>Receiver Proofs!L27</x:v>
      </x:c>
      <x:c r="F485" s="7" t="str">
        <x:f>'Receiver Proofs'!L27</x:f>
        <x:v>OPEN</x:v>
      </x:c>
    </x:row>
    <x:row r="486">
      <x:c r="B486" s="7" t="str">
        <x:v>PHY-0480</x:v>
      </x:c>
      <x:c r="C486" s="7" t="str">
        <x:v>receiver proof</x:v>
      </x:c>
      <x:c r="D486" s="7" t="str">
        <x:v>RAE-RP-22</x:v>
      </x:c>
      <x:c r="E486" s="7" t="str">
        <x:v>Receiver Proofs!L28</x:v>
      </x:c>
      <x:c r="F486" s="7" t="str">
        <x:f>'Receiver Proofs'!L28</x:f>
        <x:v>OPEN</x:v>
      </x:c>
    </x:row>
    <x:row r="487">
      <x:c r="B487" s="7" t="str">
        <x:v>PHY-0481</x:v>
      </x:c>
      <x:c r="C487" s="7" t="str">
        <x:v>receiver proof</x:v>
      </x:c>
      <x:c r="D487" s="7" t="str">
        <x:v>RAE-RP-23</x:v>
      </x:c>
      <x:c r="E487" s="7" t="str">
        <x:v>Receiver Proofs!L29</x:v>
      </x:c>
      <x:c r="F487" s="7" t="str">
        <x:f>'Receiver Proofs'!L29</x:f>
        <x:v>OPEN</x:v>
      </x:c>
    </x:row>
    <x:row r="488">
      <x:c r="B488" s="7" t="str">
        <x:v>PHY-0482</x:v>
      </x:c>
      <x:c r="C488" s="7" t="str">
        <x:v>receiver proof</x:v>
      </x:c>
      <x:c r="D488" s="7" t="str">
        <x:v>RAE-RP-24</x:v>
      </x:c>
      <x:c r="E488" s="7" t="str">
        <x:v>Receiver Proofs!L30</x:v>
      </x:c>
      <x:c r="F488" s="7" t="str">
        <x:f>'Receiver Proofs'!L30</x:f>
        <x:v>OPEN</x:v>
      </x:c>
    </x:row>
    <x:row r="489">
      <x:c r="B489" s="7" t="str">
        <x:v>PHY-0483</x:v>
      </x:c>
      <x:c r="C489" s="7" t="str">
        <x:v>control element</x:v>
      </x:c>
      <x:c r="D489" s="7" t="str">
        <x:v>RFP-A1-FCE-01</x:v>
      </x:c>
      <x:c r="E489" s="7" t="str">
        <x:v>Control Elements!L7</x:v>
      </x:c>
      <x:c r="F489" s="7" t="str">
        <x:f>'Control Elements'!L7</x:f>
        <x:v>OPEN</x:v>
      </x:c>
    </x:row>
    <x:row r="490">
      <x:c r="B490" s="7" t="str">
        <x:v>PHY-0484</x:v>
      </x:c>
      <x:c r="C490" s="7" t="str">
        <x:v>control element</x:v>
      </x:c>
      <x:c r="D490" s="7" t="str">
        <x:v>RFP-A1-FCE-02</x:v>
      </x:c>
      <x:c r="E490" s="7" t="str">
        <x:v>Control Elements!L8</x:v>
      </x:c>
      <x:c r="F490" s="7" t="str">
        <x:f>'Control Elements'!L8</x:f>
        <x:v>OPEN</x:v>
      </x:c>
    </x:row>
    <x:row r="491">
      <x:c r="B491" s="7" t="str">
        <x:v>PHY-0485</x:v>
      </x:c>
      <x:c r="C491" s="7" t="str">
        <x:v>control element</x:v>
      </x:c>
      <x:c r="D491" s="7" t="str">
        <x:v>RFP-A1-FCE-03</x:v>
      </x:c>
      <x:c r="E491" s="7" t="str">
        <x:v>Control Elements!L9</x:v>
      </x:c>
      <x:c r="F491" s="7" t="str">
        <x:f>'Control Elements'!L9</x:f>
        <x:v>OPEN</x:v>
      </x:c>
    </x:row>
    <x:row r="492">
      <x:c r="B492" s="7" t="str">
        <x:v>PHY-0486</x:v>
      </x:c>
      <x:c r="C492" s="7" t="str">
        <x:v>control element</x:v>
      </x:c>
      <x:c r="D492" s="7" t="str">
        <x:v>RFP-A1-FCE-04</x:v>
      </x:c>
      <x:c r="E492" s="7" t="str">
        <x:v>Control Elements!L10</x:v>
      </x:c>
      <x:c r="F492" s="7" t="str">
        <x:f>'Control Elements'!L10</x:f>
        <x:v>OPEN</x:v>
      </x:c>
    </x:row>
    <x:row r="493">
      <x:c r="B493" s="7" t="str">
        <x:v>PHY-0487</x:v>
      </x:c>
      <x:c r="C493" s="7" t="str">
        <x:v>control element</x:v>
      </x:c>
      <x:c r="D493" s="7" t="str">
        <x:v>RFP-A1-FCE-05</x:v>
      </x:c>
      <x:c r="E493" s="7" t="str">
        <x:v>Control Elements!L11</x:v>
      </x:c>
      <x:c r="F493" s="7" t="str">
        <x:f>'Control Elements'!L11</x:f>
        <x:v>OPEN</x:v>
      </x:c>
    </x:row>
    <x:row r="494">
      <x:c r="B494" s="7" t="str">
        <x:v>PHY-0488</x:v>
      </x:c>
      <x:c r="C494" s="7" t="str">
        <x:v>control element</x:v>
      </x:c>
      <x:c r="D494" s="7" t="str">
        <x:v>RFP-A1-FCE-06</x:v>
      </x:c>
      <x:c r="E494" s="7" t="str">
        <x:v>Control Elements!L12</x:v>
      </x:c>
      <x:c r="F494" s="7" t="str">
        <x:f>'Control Elements'!L12</x:f>
        <x:v>OPEN</x:v>
      </x:c>
    </x:row>
    <x:row r="495">
      <x:c r="B495" s="7" t="str">
        <x:v>PHY-0489</x:v>
      </x:c>
      <x:c r="C495" s="7" t="str">
        <x:v>control element</x:v>
      </x:c>
      <x:c r="D495" s="7" t="str">
        <x:v>RFP-A1-FCE-07</x:v>
      </x:c>
      <x:c r="E495" s="7" t="str">
        <x:v>Control Elements!L13</x:v>
      </x:c>
      <x:c r="F495" s="7" t="str">
        <x:f>'Control Elements'!L13</x:f>
        <x:v>OPEN</x:v>
      </x:c>
    </x:row>
    <x:row r="496">
      <x:c r="B496" s="7" t="str">
        <x:v>PHY-0490</x:v>
      </x:c>
      <x:c r="C496" s="7" t="str">
        <x:v>control element</x:v>
      </x:c>
      <x:c r="D496" s="7" t="str">
        <x:v>RFP-A1-FCE-08</x:v>
      </x:c>
      <x:c r="E496" s="7" t="str">
        <x:v>Control Elements!L14</x:v>
      </x:c>
      <x:c r="F496" s="7" t="str">
        <x:f>'Control Elements'!L14</x:f>
        <x:v>OPEN</x:v>
      </x:c>
    </x:row>
    <x:row r="497">
      <x:c r="B497" s="7" t="str">
        <x:v>PHY-0491</x:v>
      </x:c>
      <x:c r="C497" s="7" t="str">
        <x:v>control element</x:v>
      </x:c>
      <x:c r="D497" s="7" t="str">
        <x:v>RFP-A1-FCE-09</x:v>
      </x:c>
      <x:c r="E497" s="7" t="str">
        <x:v>Control Elements!L15</x:v>
      </x:c>
      <x:c r="F497" s="7" t="str">
        <x:f>'Control Elements'!L15</x:f>
        <x:v>OPEN</x:v>
      </x:c>
    </x:row>
    <x:row r="498">
      <x:c r="B498" s="7" t="str">
        <x:v>PHY-0492</x:v>
      </x:c>
      <x:c r="C498" s="7" t="str">
        <x:v>control element</x:v>
      </x:c>
      <x:c r="D498" s="7" t="str">
        <x:v>RFP-A1-FCE-10</x:v>
      </x:c>
      <x:c r="E498" s="7" t="str">
        <x:v>Control Elements!L16</x:v>
      </x:c>
      <x:c r="F498" s="7" t="str">
        <x:f>'Control Elements'!L16</x:f>
        <x:v>OPEN</x:v>
      </x:c>
    </x:row>
    <x:row r="499">
      <x:c r="B499" s="7" t="str">
        <x:v>PHY-0493</x:v>
      </x:c>
      <x:c r="C499" s="7" t="str">
        <x:v>control element</x:v>
      </x:c>
      <x:c r="D499" s="7" t="str">
        <x:v>RFP-A1-FCE-11</x:v>
      </x:c>
      <x:c r="E499" s="7" t="str">
        <x:v>Control Elements!L17</x:v>
      </x:c>
      <x:c r="F499" s="7" t="str">
        <x:f>'Control Elements'!L17</x:f>
        <x:v>OPEN</x:v>
      </x:c>
    </x:row>
    <x:row r="500">
      <x:c r="B500" s="7" t="str">
        <x:v>PHY-0494</x:v>
      </x:c>
      <x:c r="C500" s="7" t="str">
        <x:v>control element</x:v>
      </x:c>
      <x:c r="D500" s="7" t="str">
        <x:v>RFP-A1-FCE-12</x:v>
      </x:c>
      <x:c r="E500" s="7" t="str">
        <x:v>Control Elements!L18</x:v>
      </x:c>
      <x:c r="F500" s="7" t="str">
        <x:f>'Control Elements'!L18</x:f>
        <x:v>OPEN</x:v>
      </x:c>
    </x:row>
    <x:row r="501">
      <x:c r="B501" s="7" t="str">
        <x:v>PHY-0495</x:v>
      </x:c>
      <x:c r="C501" s="7" t="str">
        <x:v>control element</x:v>
      </x:c>
      <x:c r="D501" s="7" t="str">
        <x:v>RFP-A2-FCE-01</x:v>
      </x:c>
      <x:c r="E501" s="7" t="str">
        <x:v>Control Elements!L19</x:v>
      </x:c>
      <x:c r="F501" s="7" t="str">
        <x:f>'Control Elements'!L19</x:f>
        <x:v>OPEN</x:v>
      </x:c>
    </x:row>
    <x:row r="502">
      <x:c r="B502" s="7" t="str">
        <x:v>PHY-0496</x:v>
      </x:c>
      <x:c r="C502" s="7" t="str">
        <x:v>control element</x:v>
      </x:c>
      <x:c r="D502" s="7" t="str">
        <x:v>RFP-A2-FCE-02</x:v>
      </x:c>
      <x:c r="E502" s="7" t="str">
        <x:v>Control Elements!L20</x:v>
      </x:c>
      <x:c r="F502" s="7" t="str">
        <x:f>'Control Elements'!L20</x:f>
        <x:v>OPEN</x:v>
      </x:c>
    </x:row>
    <x:row r="503">
      <x:c r="B503" s="7" t="str">
        <x:v>PHY-0497</x:v>
      </x:c>
      <x:c r="C503" s="7" t="str">
        <x:v>control element</x:v>
      </x:c>
      <x:c r="D503" s="7" t="str">
        <x:v>RFP-A2-FCE-03</x:v>
      </x:c>
      <x:c r="E503" s="7" t="str">
        <x:v>Control Elements!L21</x:v>
      </x:c>
      <x:c r="F503" s="7" t="str">
        <x:f>'Control Elements'!L21</x:f>
        <x:v>OPEN</x:v>
      </x:c>
    </x:row>
    <x:row r="504">
      <x:c r="B504" s="7" t="str">
        <x:v>PHY-0498</x:v>
      </x:c>
      <x:c r="C504" s="7" t="str">
        <x:v>control element</x:v>
      </x:c>
      <x:c r="D504" s="7" t="str">
        <x:v>RFP-A2-FCE-04</x:v>
      </x:c>
      <x:c r="E504" s="7" t="str">
        <x:v>Control Elements!L22</x:v>
      </x:c>
      <x:c r="F504" s="7" t="str">
        <x:f>'Control Elements'!L22</x:f>
        <x:v>OPEN</x:v>
      </x:c>
    </x:row>
    <x:row r="505">
      <x:c r="B505" s="7" t="str">
        <x:v>PHY-0499</x:v>
      </x:c>
      <x:c r="C505" s="7" t="str">
        <x:v>control element</x:v>
      </x:c>
      <x:c r="D505" s="7" t="str">
        <x:v>RFP-A2-FCE-05</x:v>
      </x:c>
      <x:c r="E505" s="7" t="str">
        <x:v>Control Elements!L23</x:v>
      </x:c>
      <x:c r="F505" s="7" t="str">
        <x:f>'Control Elements'!L23</x:f>
        <x:v>OPEN</x:v>
      </x:c>
    </x:row>
    <x:row r="506">
      <x:c r="B506" s="7" t="str">
        <x:v>PHY-0500</x:v>
      </x:c>
      <x:c r="C506" s="7" t="str">
        <x:v>control element</x:v>
      </x:c>
      <x:c r="D506" s="7" t="str">
        <x:v>RFP-A2-FCE-06</x:v>
      </x:c>
      <x:c r="E506" s="7" t="str">
        <x:v>Control Elements!L24</x:v>
      </x:c>
      <x:c r="F506" s="7" t="str">
        <x:f>'Control Elements'!L24</x:f>
        <x:v>OPEN</x:v>
      </x:c>
    </x:row>
    <x:row r="507">
      <x:c r="B507" s="7" t="str">
        <x:v>PHY-0501</x:v>
      </x:c>
      <x:c r="C507" s="7" t="str">
        <x:v>control element</x:v>
      </x:c>
      <x:c r="D507" s="7" t="str">
        <x:v>RFP-A2-FCE-07</x:v>
      </x:c>
      <x:c r="E507" s="7" t="str">
        <x:v>Control Elements!L25</x:v>
      </x:c>
      <x:c r="F507" s="7" t="str">
        <x:f>'Control Elements'!L25</x:f>
        <x:v>OPEN</x:v>
      </x:c>
    </x:row>
    <x:row r="508">
      <x:c r="B508" s="7" t="str">
        <x:v>PHY-0502</x:v>
      </x:c>
      <x:c r="C508" s="7" t="str">
        <x:v>control element</x:v>
      </x:c>
      <x:c r="D508" s="7" t="str">
        <x:v>RFP-A2-FCE-08</x:v>
      </x:c>
      <x:c r="E508" s="7" t="str">
        <x:v>Control Elements!L26</x:v>
      </x:c>
      <x:c r="F508" s="7" t="str">
        <x:f>'Control Elements'!L26</x:f>
        <x:v>OPEN</x:v>
      </x:c>
    </x:row>
    <x:row r="509">
      <x:c r="B509" s="7" t="str">
        <x:v>PHY-0503</x:v>
      </x:c>
      <x:c r="C509" s="7" t="str">
        <x:v>control element</x:v>
      </x:c>
      <x:c r="D509" s="7" t="str">
        <x:v>RFP-A2-FCE-09</x:v>
      </x:c>
      <x:c r="E509" s="7" t="str">
        <x:v>Control Elements!L27</x:v>
      </x:c>
      <x:c r="F509" s="7" t="str">
        <x:f>'Control Elements'!L27</x:f>
        <x:v>OPEN</x:v>
      </x:c>
    </x:row>
    <x:row r="510">
      <x:c r="B510" s="7" t="str">
        <x:v>PHY-0504</x:v>
      </x:c>
      <x:c r="C510" s="7" t="str">
        <x:v>control element</x:v>
      </x:c>
      <x:c r="D510" s="7" t="str">
        <x:v>RFP-A2-FCE-10</x:v>
      </x:c>
      <x:c r="E510" s="7" t="str">
        <x:v>Control Elements!L28</x:v>
      </x:c>
      <x:c r="F510" s="7" t="str">
        <x:f>'Control Elements'!L28</x:f>
        <x:v>OPEN</x:v>
      </x:c>
    </x:row>
    <x:row r="511">
      <x:c r="B511" s="7" t="str">
        <x:v>PHY-0505</x:v>
      </x:c>
      <x:c r="C511" s="7" t="str">
        <x:v>control element</x:v>
      </x:c>
      <x:c r="D511" s="7" t="str">
        <x:v>RFP-A2-FCE-11</x:v>
      </x:c>
      <x:c r="E511" s="7" t="str">
        <x:v>Control Elements!L29</x:v>
      </x:c>
      <x:c r="F511" s="7" t="str">
        <x:f>'Control Elements'!L29</x:f>
        <x:v>OPEN</x:v>
      </x:c>
    </x:row>
    <x:row r="512">
      <x:c r="B512" s="7" t="str">
        <x:v>PHY-0506</x:v>
      </x:c>
      <x:c r="C512" s="7" t="str">
        <x:v>control element</x:v>
      </x:c>
      <x:c r="D512" s="7" t="str">
        <x:v>RFP-A2-FCE-12</x:v>
      </x:c>
      <x:c r="E512" s="7" t="str">
        <x:v>Control Elements!L30</x:v>
      </x:c>
      <x:c r="F512" s="7" t="str">
        <x:f>'Control Elements'!L30</x:f>
        <x:v>OPEN</x:v>
      </x:c>
    </x:row>
    <x:row r="513">
      <x:c r="B513" s="7" t="str">
        <x:v>PHY-0507</x:v>
      </x:c>
      <x:c r="C513" s="7" t="str">
        <x:v>control element</x:v>
      </x:c>
      <x:c r="D513" s="7" t="str">
        <x:v>RFP-B1-FCE-01</x:v>
      </x:c>
      <x:c r="E513" s="7" t="str">
        <x:v>Control Elements!L31</x:v>
      </x:c>
      <x:c r="F513" s="7" t="str">
        <x:f>'Control Elements'!L31</x:f>
        <x:v>OPEN</x:v>
      </x:c>
    </x:row>
    <x:row r="514">
      <x:c r="B514" s="7" t="str">
        <x:v>PHY-0508</x:v>
      </x:c>
      <x:c r="C514" s="7" t="str">
        <x:v>control element</x:v>
      </x:c>
      <x:c r="D514" s="7" t="str">
        <x:v>RFP-B1-FCE-02</x:v>
      </x:c>
      <x:c r="E514" s="7" t="str">
        <x:v>Control Elements!L32</x:v>
      </x:c>
      <x:c r="F514" s="7" t="str">
        <x:f>'Control Elements'!L32</x:f>
        <x:v>OPEN</x:v>
      </x:c>
    </x:row>
    <x:row r="515">
      <x:c r="B515" s="7" t="str">
        <x:v>PHY-0509</x:v>
      </x:c>
      <x:c r="C515" s="7" t="str">
        <x:v>control element</x:v>
      </x:c>
      <x:c r="D515" s="7" t="str">
        <x:v>RFP-B1-FCE-03</x:v>
      </x:c>
      <x:c r="E515" s="7" t="str">
        <x:v>Control Elements!L33</x:v>
      </x:c>
      <x:c r="F515" s="7" t="str">
        <x:f>'Control Elements'!L33</x:f>
        <x:v>OPEN</x:v>
      </x:c>
    </x:row>
    <x:row r="516">
      <x:c r="B516" s="7" t="str">
        <x:v>PHY-0510</x:v>
      </x:c>
      <x:c r="C516" s="7" t="str">
        <x:v>control element</x:v>
      </x:c>
      <x:c r="D516" s="7" t="str">
        <x:v>RFP-B1-FCE-04</x:v>
      </x:c>
      <x:c r="E516" s="7" t="str">
        <x:v>Control Elements!L34</x:v>
      </x:c>
      <x:c r="F516" s="7" t="str">
        <x:f>'Control Elements'!L34</x:f>
        <x:v>OPEN</x:v>
      </x:c>
    </x:row>
    <x:row r="517">
      <x:c r="B517" s="7" t="str">
        <x:v>PHY-0511</x:v>
      </x:c>
      <x:c r="C517" s="7" t="str">
        <x:v>control element</x:v>
      </x:c>
      <x:c r="D517" s="7" t="str">
        <x:v>RFP-B1-FCE-05</x:v>
      </x:c>
      <x:c r="E517" s="7" t="str">
        <x:v>Control Elements!L35</x:v>
      </x:c>
      <x:c r="F517" s="7" t="str">
        <x:f>'Control Elements'!L35</x:f>
        <x:v>OPEN</x:v>
      </x:c>
    </x:row>
    <x:row r="518">
      <x:c r="B518" s="7" t="str">
        <x:v>PHY-0512</x:v>
      </x:c>
      <x:c r="C518" s="7" t="str">
        <x:v>control element</x:v>
      </x:c>
      <x:c r="D518" s="7" t="str">
        <x:v>RFP-B1-FCE-06</x:v>
      </x:c>
      <x:c r="E518" s="7" t="str">
        <x:v>Control Elements!L36</x:v>
      </x:c>
      <x:c r="F518" s="7" t="str">
        <x:f>'Control Elements'!L36</x:f>
        <x:v>OPEN</x:v>
      </x:c>
    </x:row>
    <x:row r="519">
      <x:c r="B519" s="7" t="str">
        <x:v>PHY-0513</x:v>
      </x:c>
      <x:c r="C519" s="7" t="str">
        <x:v>control element</x:v>
      </x:c>
      <x:c r="D519" s="7" t="str">
        <x:v>RFP-B1-FCE-07</x:v>
      </x:c>
      <x:c r="E519" s="7" t="str">
        <x:v>Control Elements!L37</x:v>
      </x:c>
      <x:c r="F519" s="7" t="str">
        <x:f>'Control Elements'!L37</x:f>
        <x:v>OPEN</x:v>
      </x:c>
    </x:row>
    <x:row r="520">
      <x:c r="B520" s="7" t="str">
        <x:v>PHY-0514</x:v>
      </x:c>
      <x:c r="C520" s="7" t="str">
        <x:v>control element</x:v>
      </x:c>
      <x:c r="D520" s="7" t="str">
        <x:v>RFP-B1-FCE-08</x:v>
      </x:c>
      <x:c r="E520" s="7" t="str">
        <x:v>Control Elements!L38</x:v>
      </x:c>
      <x:c r="F520" s="7" t="str">
        <x:f>'Control Elements'!L38</x:f>
        <x:v>OPEN</x:v>
      </x:c>
    </x:row>
    <x:row r="521">
      <x:c r="B521" s="7" t="str">
        <x:v>PHY-0515</x:v>
      </x:c>
      <x:c r="C521" s="7" t="str">
        <x:v>control element</x:v>
      </x:c>
      <x:c r="D521" s="7" t="str">
        <x:v>RFP-B1-FCE-09</x:v>
      </x:c>
      <x:c r="E521" s="7" t="str">
        <x:v>Control Elements!L39</x:v>
      </x:c>
      <x:c r="F521" s="7" t="str">
        <x:f>'Control Elements'!L39</x:f>
        <x:v>OPEN</x:v>
      </x:c>
    </x:row>
    <x:row r="522">
      <x:c r="B522" s="7" t="str">
        <x:v>PHY-0516</x:v>
      </x:c>
      <x:c r="C522" s="7" t="str">
        <x:v>control element</x:v>
      </x:c>
      <x:c r="D522" s="7" t="str">
        <x:v>RFP-B1-FCE-10</x:v>
      </x:c>
      <x:c r="E522" s="7" t="str">
        <x:v>Control Elements!L40</x:v>
      </x:c>
      <x:c r="F522" s="7" t="str">
        <x:f>'Control Elements'!L40</x:f>
        <x:v>OPEN</x:v>
      </x:c>
    </x:row>
    <x:row r="523">
      <x:c r="B523" s="7" t="str">
        <x:v>PHY-0517</x:v>
      </x:c>
      <x:c r="C523" s="7" t="str">
        <x:v>control element</x:v>
      </x:c>
      <x:c r="D523" s="7" t="str">
        <x:v>RFP-B1-FCE-11</x:v>
      </x:c>
      <x:c r="E523" s="7" t="str">
        <x:v>Control Elements!L41</x:v>
      </x:c>
      <x:c r="F523" s="7" t="str">
        <x:f>'Control Elements'!L41</x:f>
        <x:v>OPEN</x:v>
      </x:c>
    </x:row>
    <x:row r="524">
      <x:c r="B524" s="7" t="str">
        <x:v>PHY-0518</x:v>
      </x:c>
      <x:c r="C524" s="7" t="str">
        <x:v>control element</x:v>
      </x:c>
      <x:c r="D524" s="7" t="str">
        <x:v>RFP-B1-FCE-12</x:v>
      </x:c>
      <x:c r="E524" s="7" t="str">
        <x:v>Control Elements!L42</x:v>
      </x:c>
      <x:c r="F524" s="7" t="str">
        <x:f>'Control Elements'!L42</x:f>
        <x:v>OPEN</x:v>
      </x:c>
    </x:row>
    <x:row r="525">
      <x:c r="B525" s="7" t="str">
        <x:v>PHY-0519</x:v>
      </x:c>
      <x:c r="C525" s="7" t="str">
        <x:v>control element</x:v>
      </x:c>
      <x:c r="D525" s="7" t="str">
        <x:v>RFP-B2-FCE-01</x:v>
      </x:c>
      <x:c r="E525" s="7" t="str">
        <x:v>Control Elements!L43</x:v>
      </x:c>
      <x:c r="F525" s="7" t="str">
        <x:f>'Control Elements'!L43</x:f>
        <x:v>OPEN</x:v>
      </x:c>
    </x:row>
    <x:row r="526">
      <x:c r="B526" s="7" t="str">
        <x:v>PHY-0520</x:v>
      </x:c>
      <x:c r="C526" s="7" t="str">
        <x:v>control element</x:v>
      </x:c>
      <x:c r="D526" s="7" t="str">
        <x:v>RFP-B2-FCE-02</x:v>
      </x:c>
      <x:c r="E526" s="7" t="str">
        <x:v>Control Elements!L44</x:v>
      </x:c>
      <x:c r="F526" s="7" t="str">
        <x:f>'Control Elements'!L44</x:f>
        <x:v>OPEN</x:v>
      </x:c>
    </x:row>
    <x:row r="527">
      <x:c r="B527" s="7" t="str">
        <x:v>PHY-0521</x:v>
      </x:c>
      <x:c r="C527" s="7" t="str">
        <x:v>control element</x:v>
      </x:c>
      <x:c r="D527" s="7" t="str">
        <x:v>RFP-B2-FCE-03</x:v>
      </x:c>
      <x:c r="E527" s="7" t="str">
        <x:v>Control Elements!L45</x:v>
      </x:c>
      <x:c r="F527" s="7" t="str">
        <x:f>'Control Elements'!L45</x:f>
        <x:v>OPEN</x:v>
      </x:c>
    </x:row>
    <x:row r="528">
      <x:c r="B528" s="7" t="str">
        <x:v>PHY-0522</x:v>
      </x:c>
      <x:c r="C528" s="7" t="str">
        <x:v>control element</x:v>
      </x:c>
      <x:c r="D528" s="7" t="str">
        <x:v>RFP-B2-FCE-04</x:v>
      </x:c>
      <x:c r="E528" s="7" t="str">
        <x:v>Control Elements!L46</x:v>
      </x:c>
      <x:c r="F528" s="7" t="str">
        <x:f>'Control Elements'!L46</x:f>
        <x:v>OPEN</x:v>
      </x:c>
    </x:row>
    <x:row r="529">
      <x:c r="B529" s="7" t="str">
        <x:v>PHY-0523</x:v>
      </x:c>
      <x:c r="C529" s="7" t="str">
        <x:v>control element</x:v>
      </x:c>
      <x:c r="D529" s="7" t="str">
        <x:v>RFP-B2-FCE-05</x:v>
      </x:c>
      <x:c r="E529" s="7" t="str">
        <x:v>Control Elements!L47</x:v>
      </x:c>
      <x:c r="F529" s="7" t="str">
        <x:f>'Control Elements'!L47</x:f>
        <x:v>OPEN</x:v>
      </x:c>
    </x:row>
    <x:row r="530">
      <x:c r="B530" s="7" t="str">
        <x:v>PHY-0524</x:v>
      </x:c>
      <x:c r="C530" s="7" t="str">
        <x:v>control element</x:v>
      </x:c>
      <x:c r="D530" s="7" t="str">
        <x:v>RFP-B2-FCE-06</x:v>
      </x:c>
      <x:c r="E530" s="7" t="str">
        <x:v>Control Elements!L48</x:v>
      </x:c>
      <x:c r="F530" s="7" t="str">
        <x:f>'Control Elements'!L48</x:f>
        <x:v>OPEN</x:v>
      </x:c>
    </x:row>
    <x:row r="531">
      <x:c r="B531" s="7" t="str">
        <x:v>PHY-0525</x:v>
      </x:c>
      <x:c r="C531" s="7" t="str">
        <x:v>control element</x:v>
      </x:c>
      <x:c r="D531" s="7" t="str">
        <x:v>RFP-B2-FCE-07</x:v>
      </x:c>
      <x:c r="E531" s="7" t="str">
        <x:v>Control Elements!L49</x:v>
      </x:c>
      <x:c r="F531" s="7" t="str">
        <x:f>'Control Elements'!L49</x:f>
        <x:v>OPEN</x:v>
      </x:c>
    </x:row>
    <x:row r="532">
      <x:c r="B532" s="7" t="str">
        <x:v>PHY-0526</x:v>
      </x:c>
      <x:c r="C532" s="7" t="str">
        <x:v>control element</x:v>
      </x:c>
      <x:c r="D532" s="7" t="str">
        <x:v>RFP-B2-FCE-08</x:v>
      </x:c>
      <x:c r="E532" s="7" t="str">
        <x:v>Control Elements!L50</x:v>
      </x:c>
      <x:c r="F532" s="7" t="str">
        <x:f>'Control Elements'!L50</x:f>
        <x:v>OPEN</x:v>
      </x:c>
    </x:row>
    <x:row r="533">
      <x:c r="B533" s="7" t="str">
        <x:v>PHY-0527</x:v>
      </x:c>
      <x:c r="C533" s="7" t="str">
        <x:v>control element</x:v>
      </x:c>
      <x:c r="D533" s="7" t="str">
        <x:v>RFP-B2-FCE-09</x:v>
      </x:c>
      <x:c r="E533" s="7" t="str">
        <x:v>Control Elements!L51</x:v>
      </x:c>
      <x:c r="F533" s="7" t="str">
        <x:f>'Control Elements'!L51</x:f>
        <x:v>OPEN</x:v>
      </x:c>
    </x:row>
    <x:row r="534">
      <x:c r="B534" s="7" t="str">
        <x:v>PHY-0528</x:v>
      </x:c>
      <x:c r="C534" s="7" t="str">
        <x:v>control element</x:v>
      </x:c>
      <x:c r="D534" s="7" t="str">
        <x:v>RFP-B2-FCE-10</x:v>
      </x:c>
      <x:c r="E534" s="7" t="str">
        <x:v>Control Elements!L52</x:v>
      </x:c>
      <x:c r="F534" s="7" t="str">
        <x:f>'Control Elements'!L52</x:f>
        <x:v>OPEN</x:v>
      </x:c>
    </x:row>
    <x:row r="535">
      <x:c r="B535" s="7" t="str">
        <x:v>PHY-0529</x:v>
      </x:c>
      <x:c r="C535" s="7" t="str">
        <x:v>control element</x:v>
      </x:c>
      <x:c r="D535" s="7" t="str">
        <x:v>RFP-B2-FCE-11</x:v>
      </x:c>
      <x:c r="E535" s="7" t="str">
        <x:v>Control Elements!L53</x:v>
      </x:c>
      <x:c r="F535" s="7" t="str">
        <x:f>'Control Elements'!L53</x:f>
        <x:v>OPEN</x:v>
      </x:c>
    </x:row>
    <x:row r="536">
      <x:c r="B536" s="7" t="str">
        <x:v>PHY-0530</x:v>
      </x:c>
      <x:c r="C536" s="7" t="str">
        <x:v>control element</x:v>
      </x:c>
      <x:c r="D536" s="7" t="str">
        <x:v>RFP-B2-FCE-12</x:v>
      </x:c>
      <x:c r="E536" s="7" t="str">
        <x:v>Control Elements!L54</x:v>
      </x:c>
      <x:c r="F536" s="7" t="str">
        <x:f>'Control Elements'!L54</x:f>
        <x:v>OPEN</x:v>
      </x:c>
    </x:row>
    <x:row r="537">
      <x:c r="B537" s="7" t="str">
        <x:v>PHY-0531</x:v>
      </x:c>
      <x:c r="C537" s="7" t="str">
        <x:v>control element</x:v>
      </x:c>
      <x:c r="D537" s="7" t="str">
        <x:v>RFP-C1-FCE-01</x:v>
      </x:c>
      <x:c r="E537" s="7" t="str">
        <x:v>Control Elements!L55</x:v>
      </x:c>
      <x:c r="F537" s="7" t="str">
        <x:f>'Control Elements'!L55</x:f>
        <x:v>OPEN</x:v>
      </x:c>
    </x:row>
    <x:row r="538">
      <x:c r="B538" s="7" t="str">
        <x:v>PHY-0532</x:v>
      </x:c>
      <x:c r="C538" s="7" t="str">
        <x:v>control element</x:v>
      </x:c>
      <x:c r="D538" s="7" t="str">
        <x:v>RFP-C1-FCE-02</x:v>
      </x:c>
      <x:c r="E538" s="7" t="str">
        <x:v>Control Elements!L56</x:v>
      </x:c>
      <x:c r="F538" s="7" t="str">
        <x:f>'Control Elements'!L56</x:f>
        <x:v>OPEN</x:v>
      </x:c>
    </x:row>
    <x:row r="539">
      <x:c r="B539" s="7" t="str">
        <x:v>PHY-0533</x:v>
      </x:c>
      <x:c r="C539" s="7" t="str">
        <x:v>control element</x:v>
      </x:c>
      <x:c r="D539" s="7" t="str">
        <x:v>RFP-C1-FCE-03</x:v>
      </x:c>
      <x:c r="E539" s="7" t="str">
        <x:v>Control Elements!L57</x:v>
      </x:c>
      <x:c r="F539" s="7" t="str">
        <x:f>'Control Elements'!L57</x:f>
        <x:v>OPEN</x:v>
      </x:c>
    </x:row>
    <x:row r="540">
      <x:c r="B540" s="7" t="str">
        <x:v>PHY-0534</x:v>
      </x:c>
      <x:c r="C540" s="7" t="str">
        <x:v>control element</x:v>
      </x:c>
      <x:c r="D540" s="7" t="str">
        <x:v>RFP-C1-FCE-04</x:v>
      </x:c>
      <x:c r="E540" s="7" t="str">
        <x:v>Control Elements!L58</x:v>
      </x:c>
      <x:c r="F540" s="7" t="str">
        <x:f>'Control Elements'!L58</x:f>
        <x:v>OPEN</x:v>
      </x:c>
    </x:row>
    <x:row r="541">
      <x:c r="B541" s="7" t="str">
        <x:v>PHY-0535</x:v>
      </x:c>
      <x:c r="C541" s="7" t="str">
        <x:v>control element</x:v>
      </x:c>
      <x:c r="D541" s="7" t="str">
        <x:v>RFP-C1-FCE-05</x:v>
      </x:c>
      <x:c r="E541" s="7" t="str">
        <x:v>Control Elements!L59</x:v>
      </x:c>
      <x:c r="F541" s="7" t="str">
        <x:f>'Control Elements'!L59</x:f>
        <x:v>OPEN</x:v>
      </x:c>
    </x:row>
    <x:row r="542">
      <x:c r="B542" s="7" t="str">
        <x:v>PHY-0536</x:v>
      </x:c>
      <x:c r="C542" s="7" t="str">
        <x:v>control element</x:v>
      </x:c>
      <x:c r="D542" s="7" t="str">
        <x:v>RFP-C1-FCE-06</x:v>
      </x:c>
      <x:c r="E542" s="7" t="str">
        <x:v>Control Elements!L60</x:v>
      </x:c>
      <x:c r="F542" s="7" t="str">
        <x:f>'Control Elements'!L60</x:f>
        <x:v>OPEN</x:v>
      </x:c>
    </x:row>
    <x:row r="543">
      <x:c r="B543" s="7" t="str">
        <x:v>PHY-0537</x:v>
      </x:c>
      <x:c r="C543" s="7" t="str">
        <x:v>control element</x:v>
      </x:c>
      <x:c r="D543" s="7" t="str">
        <x:v>RFP-C1-FCE-07</x:v>
      </x:c>
      <x:c r="E543" s="7" t="str">
        <x:v>Control Elements!L61</x:v>
      </x:c>
      <x:c r="F543" s="7" t="str">
        <x:f>'Control Elements'!L61</x:f>
        <x:v>OPEN</x:v>
      </x:c>
    </x:row>
    <x:row r="544">
      <x:c r="B544" s="7" t="str">
        <x:v>PHY-0538</x:v>
      </x:c>
      <x:c r="C544" s="7" t="str">
        <x:v>control element</x:v>
      </x:c>
      <x:c r="D544" s="7" t="str">
        <x:v>RFP-C1-FCE-08</x:v>
      </x:c>
      <x:c r="E544" s="7" t="str">
        <x:v>Control Elements!L62</x:v>
      </x:c>
      <x:c r="F544" s="7" t="str">
        <x:f>'Control Elements'!L62</x:f>
        <x:v>OPEN</x:v>
      </x:c>
    </x:row>
    <x:row r="545">
      <x:c r="B545" s="7" t="str">
        <x:v>PHY-0539</x:v>
      </x:c>
      <x:c r="C545" s="7" t="str">
        <x:v>control element</x:v>
      </x:c>
      <x:c r="D545" s="7" t="str">
        <x:v>RFP-C1-FCE-09</x:v>
      </x:c>
      <x:c r="E545" s="7" t="str">
        <x:v>Control Elements!L63</x:v>
      </x:c>
      <x:c r="F545" s="7" t="str">
        <x:f>'Control Elements'!L63</x:f>
        <x:v>OPEN</x:v>
      </x:c>
    </x:row>
    <x:row r="546">
      <x:c r="B546" s="7" t="str">
        <x:v>PHY-0540</x:v>
      </x:c>
      <x:c r="C546" s="7" t="str">
        <x:v>control element</x:v>
      </x:c>
      <x:c r="D546" s="7" t="str">
        <x:v>RFP-C1-FCE-10</x:v>
      </x:c>
      <x:c r="E546" s="7" t="str">
        <x:v>Control Elements!L64</x:v>
      </x:c>
      <x:c r="F546" s="7" t="str">
        <x:f>'Control Elements'!L64</x:f>
        <x:v>OPEN</x:v>
      </x:c>
    </x:row>
    <x:row r="547">
      <x:c r="B547" s="7" t="str">
        <x:v>PHY-0541</x:v>
      </x:c>
      <x:c r="C547" s="7" t="str">
        <x:v>control element</x:v>
      </x:c>
      <x:c r="D547" s="7" t="str">
        <x:v>RFP-C1-FCE-11</x:v>
      </x:c>
      <x:c r="E547" s="7" t="str">
        <x:v>Control Elements!L65</x:v>
      </x:c>
      <x:c r="F547" s="7" t="str">
        <x:f>'Control Elements'!L65</x:f>
        <x:v>OPEN</x:v>
      </x:c>
    </x:row>
    <x:row r="548">
      <x:c r="B548" s="7" t="str">
        <x:v>PHY-0542</x:v>
      </x:c>
      <x:c r="C548" s="7" t="str">
        <x:v>control element</x:v>
      </x:c>
      <x:c r="D548" s="7" t="str">
        <x:v>RFP-C1-FCE-12</x:v>
      </x:c>
      <x:c r="E548" s="7" t="str">
        <x:v>Control Elements!L66</x:v>
      </x:c>
      <x:c r="F548" s="7" t="str">
        <x:f>'Control Elements'!L66</x:f>
        <x:v>OPEN</x:v>
      </x:c>
    </x:row>
    <x:row r="549">
      <x:c r="B549" s="7" t="str">
        <x:v>PHY-0543</x:v>
      </x:c>
      <x:c r="C549" s="7" t="str">
        <x:v>control element</x:v>
      </x:c>
      <x:c r="D549" s="7" t="str">
        <x:v>RFP-C2-FCE-01</x:v>
      </x:c>
      <x:c r="E549" s="7" t="str">
        <x:v>Control Elements!L67</x:v>
      </x:c>
      <x:c r="F549" s="7" t="str">
        <x:f>'Control Elements'!L67</x:f>
        <x:v>OPEN</x:v>
      </x:c>
    </x:row>
    <x:row r="550">
      <x:c r="B550" s="7" t="str">
        <x:v>PHY-0544</x:v>
      </x:c>
      <x:c r="C550" s="7" t="str">
        <x:v>control element</x:v>
      </x:c>
      <x:c r="D550" s="7" t="str">
        <x:v>RFP-C2-FCE-02</x:v>
      </x:c>
      <x:c r="E550" s="7" t="str">
        <x:v>Control Elements!L68</x:v>
      </x:c>
      <x:c r="F550" s="7" t="str">
        <x:f>'Control Elements'!L68</x:f>
        <x:v>OPEN</x:v>
      </x:c>
    </x:row>
    <x:row r="551">
      <x:c r="B551" s="7" t="str">
        <x:v>PHY-0545</x:v>
      </x:c>
      <x:c r="C551" s="7" t="str">
        <x:v>control element</x:v>
      </x:c>
      <x:c r="D551" s="7" t="str">
        <x:v>RFP-C2-FCE-03</x:v>
      </x:c>
      <x:c r="E551" s="7" t="str">
        <x:v>Control Elements!L69</x:v>
      </x:c>
      <x:c r="F551" s="7" t="str">
        <x:f>'Control Elements'!L69</x:f>
        <x:v>OPEN</x:v>
      </x:c>
    </x:row>
    <x:row r="552">
      <x:c r="B552" s="7" t="str">
        <x:v>PHY-0546</x:v>
      </x:c>
      <x:c r="C552" s="7" t="str">
        <x:v>control element</x:v>
      </x:c>
      <x:c r="D552" s="7" t="str">
        <x:v>RFP-C2-FCE-04</x:v>
      </x:c>
      <x:c r="E552" s="7" t="str">
        <x:v>Control Elements!L70</x:v>
      </x:c>
      <x:c r="F552" s="7" t="str">
        <x:f>'Control Elements'!L70</x:f>
        <x:v>OPEN</x:v>
      </x:c>
    </x:row>
    <x:row r="553">
      <x:c r="B553" s="7" t="str">
        <x:v>PHY-0547</x:v>
      </x:c>
      <x:c r="C553" s="7" t="str">
        <x:v>control element</x:v>
      </x:c>
      <x:c r="D553" s="7" t="str">
        <x:v>RFP-C2-FCE-05</x:v>
      </x:c>
      <x:c r="E553" s="7" t="str">
        <x:v>Control Elements!L71</x:v>
      </x:c>
      <x:c r="F553" s="7" t="str">
        <x:f>'Control Elements'!L71</x:f>
        <x:v>OPEN</x:v>
      </x:c>
    </x:row>
    <x:row r="554">
      <x:c r="B554" s="7" t="str">
        <x:v>PHY-0548</x:v>
      </x:c>
      <x:c r="C554" s="7" t="str">
        <x:v>control element</x:v>
      </x:c>
      <x:c r="D554" s="7" t="str">
        <x:v>RFP-C2-FCE-06</x:v>
      </x:c>
      <x:c r="E554" s="7" t="str">
        <x:v>Control Elements!L72</x:v>
      </x:c>
      <x:c r="F554" s="7" t="str">
        <x:f>'Control Elements'!L72</x:f>
        <x:v>OPEN</x:v>
      </x:c>
    </x:row>
    <x:row r="555">
      <x:c r="B555" s="7" t="str">
        <x:v>PHY-0549</x:v>
      </x:c>
      <x:c r="C555" s="7" t="str">
        <x:v>control element</x:v>
      </x:c>
      <x:c r="D555" s="7" t="str">
        <x:v>RFP-C2-FCE-07</x:v>
      </x:c>
      <x:c r="E555" s="7" t="str">
        <x:v>Control Elements!L73</x:v>
      </x:c>
      <x:c r="F555" s="7" t="str">
        <x:f>'Control Elements'!L73</x:f>
        <x:v>OPEN</x:v>
      </x:c>
    </x:row>
    <x:row r="556">
      <x:c r="B556" s="7" t="str">
        <x:v>PHY-0550</x:v>
      </x:c>
      <x:c r="C556" s="7" t="str">
        <x:v>control element</x:v>
      </x:c>
      <x:c r="D556" s="7" t="str">
        <x:v>RFP-C2-FCE-08</x:v>
      </x:c>
      <x:c r="E556" s="7" t="str">
        <x:v>Control Elements!L74</x:v>
      </x:c>
      <x:c r="F556" s="7" t="str">
        <x:f>'Control Elements'!L74</x:f>
        <x:v>OPEN</x:v>
      </x:c>
    </x:row>
    <x:row r="557">
      <x:c r="B557" s="7" t="str">
        <x:v>PHY-0551</x:v>
      </x:c>
      <x:c r="C557" s="7" t="str">
        <x:v>control element</x:v>
      </x:c>
      <x:c r="D557" s="7" t="str">
        <x:v>RFP-C2-FCE-09</x:v>
      </x:c>
      <x:c r="E557" s="7" t="str">
        <x:v>Control Elements!L75</x:v>
      </x:c>
      <x:c r="F557" s="7" t="str">
        <x:f>'Control Elements'!L75</x:f>
        <x:v>OPEN</x:v>
      </x:c>
    </x:row>
    <x:row r="558">
      <x:c r="B558" s="7" t="str">
        <x:v>PHY-0552</x:v>
      </x:c>
      <x:c r="C558" s="7" t="str">
        <x:v>control element</x:v>
      </x:c>
      <x:c r="D558" s="7" t="str">
        <x:v>RFP-C2-FCE-10</x:v>
      </x:c>
      <x:c r="E558" s="7" t="str">
        <x:v>Control Elements!L76</x:v>
      </x:c>
      <x:c r="F558" s="7" t="str">
        <x:f>'Control Elements'!L76</x:f>
        <x:v>OPEN</x:v>
      </x:c>
    </x:row>
    <x:row r="559">
      <x:c r="B559" s="7" t="str">
        <x:v>PHY-0553</x:v>
      </x:c>
      <x:c r="C559" s="7" t="str">
        <x:v>control element</x:v>
      </x:c>
      <x:c r="D559" s="7" t="str">
        <x:v>RFP-C2-FCE-11</x:v>
      </x:c>
      <x:c r="E559" s="7" t="str">
        <x:v>Control Elements!L77</x:v>
      </x:c>
      <x:c r="F559" s="7" t="str">
        <x:f>'Control Elements'!L77</x:f>
        <x:v>OPEN</x:v>
      </x:c>
    </x:row>
    <x:row r="560">
      <x:c r="B560" s="7" t="str">
        <x:v>PHY-0554</x:v>
      </x:c>
      <x:c r="C560" s="7" t="str">
        <x:v>control element</x:v>
      </x:c>
      <x:c r="D560" s="7" t="str">
        <x:v>RFP-C2-FCE-12</x:v>
      </x:c>
      <x:c r="E560" s="7" t="str">
        <x:v>Control Elements!L78</x:v>
      </x:c>
      <x:c r="F560" s="7" t="str">
        <x:f>'Control Elements'!L78</x:f>
        <x:v>OPEN</x:v>
      </x:c>
    </x:row>
    <x:row r="561">
      <x:c r="B561" s="7" t="str">
        <x:v>PHY-0555</x:v>
      </x:c>
      <x:c r="C561" s="7" t="str">
        <x:v>safeing path</x:v>
      </x:c>
      <x:c r="D561" s="7" t="str">
        <x:v>RFP-A1-FCE-01-P</x:v>
      </x:c>
      <x:c r="E561" s="7" t="str">
        <x:v>Safeing Paths!L7</x:v>
      </x:c>
      <x:c r="F561" s="7" t="str">
        <x:f>'Safeing Paths'!L7</x:f>
        <x:v>OPEN</x:v>
      </x:c>
    </x:row>
    <x:row r="562">
      <x:c r="B562" s="7" t="str">
        <x:v>PHY-0556</x:v>
      </x:c>
      <x:c r="C562" s="7" t="str">
        <x:v>safeing path</x:v>
      </x:c>
      <x:c r="D562" s="7" t="str">
        <x:v>RFP-A1-FCE-01-D</x:v>
      </x:c>
      <x:c r="E562" s="7" t="str">
        <x:v>Safeing Paths!L8</x:v>
      </x:c>
      <x:c r="F562" s="7" t="str">
        <x:f>'Safeing Paths'!L8</x:f>
        <x:v>OPEN</x:v>
      </x:c>
    </x:row>
    <x:row r="563">
      <x:c r="B563" s="7" t="str">
        <x:v>PHY-0557</x:v>
      </x:c>
      <x:c r="C563" s="7" t="str">
        <x:v>safeing path</x:v>
      </x:c>
      <x:c r="D563" s="7" t="str">
        <x:v>RFP-A1-FCE-01-M</x:v>
      </x:c>
      <x:c r="E563" s="7" t="str">
        <x:v>Safeing Paths!L9</x:v>
      </x:c>
      <x:c r="F563" s="7" t="str">
        <x:f>'Safeing Paths'!L9</x:f>
        <x:v>OPEN</x:v>
      </x:c>
    </x:row>
    <x:row r="564">
      <x:c r="B564" s="7" t="str">
        <x:v>PHY-0558</x:v>
      </x:c>
      <x:c r="C564" s="7" t="str">
        <x:v>safeing path</x:v>
      </x:c>
      <x:c r="D564" s="7" t="str">
        <x:v>RFP-A1-FCE-02-P</x:v>
      </x:c>
      <x:c r="E564" s="7" t="str">
        <x:v>Safeing Paths!L10</x:v>
      </x:c>
      <x:c r="F564" s="7" t="str">
        <x:f>'Safeing Paths'!L10</x:f>
        <x:v>OPEN</x:v>
      </x:c>
    </x:row>
    <x:row r="565">
      <x:c r="B565" s="7" t="str">
        <x:v>PHY-0559</x:v>
      </x:c>
      <x:c r="C565" s="7" t="str">
        <x:v>safeing path</x:v>
      </x:c>
      <x:c r="D565" s="7" t="str">
        <x:v>RFP-A1-FCE-02-D</x:v>
      </x:c>
      <x:c r="E565" s="7" t="str">
        <x:v>Safeing Paths!L11</x:v>
      </x:c>
      <x:c r="F565" s="7" t="str">
        <x:f>'Safeing Paths'!L11</x:f>
        <x:v>OPEN</x:v>
      </x:c>
    </x:row>
    <x:row r="566">
      <x:c r="B566" s="7" t="str">
        <x:v>PHY-0560</x:v>
      </x:c>
      <x:c r="C566" s="7" t="str">
        <x:v>safeing path</x:v>
      </x:c>
      <x:c r="D566" s="7" t="str">
        <x:v>RFP-A1-FCE-02-M</x:v>
      </x:c>
      <x:c r="E566" s="7" t="str">
        <x:v>Safeing Paths!L12</x:v>
      </x:c>
      <x:c r="F566" s="7" t="str">
        <x:f>'Safeing Paths'!L12</x:f>
        <x:v>OPEN</x:v>
      </x:c>
    </x:row>
    <x:row r="567">
      <x:c r="B567" s="7" t="str">
        <x:v>PHY-0561</x:v>
      </x:c>
      <x:c r="C567" s="7" t="str">
        <x:v>safeing path</x:v>
      </x:c>
      <x:c r="D567" s="7" t="str">
        <x:v>RFP-A1-FCE-03-P</x:v>
      </x:c>
      <x:c r="E567" s="7" t="str">
        <x:v>Safeing Paths!L13</x:v>
      </x:c>
      <x:c r="F567" s="7" t="str">
        <x:f>'Safeing Paths'!L13</x:f>
        <x:v>OPEN</x:v>
      </x:c>
    </x:row>
    <x:row r="568">
      <x:c r="B568" s="7" t="str">
        <x:v>PHY-0562</x:v>
      </x:c>
      <x:c r="C568" s="7" t="str">
        <x:v>safeing path</x:v>
      </x:c>
      <x:c r="D568" s="7" t="str">
        <x:v>RFP-A1-FCE-03-D</x:v>
      </x:c>
      <x:c r="E568" s="7" t="str">
        <x:v>Safeing Paths!L14</x:v>
      </x:c>
      <x:c r="F568" s="7" t="str">
        <x:f>'Safeing Paths'!L14</x:f>
        <x:v>OPEN</x:v>
      </x:c>
    </x:row>
    <x:row r="569">
      <x:c r="B569" s="7" t="str">
        <x:v>PHY-0563</x:v>
      </x:c>
      <x:c r="C569" s="7" t="str">
        <x:v>safeing path</x:v>
      </x:c>
      <x:c r="D569" s="7" t="str">
        <x:v>RFP-A1-FCE-03-M</x:v>
      </x:c>
      <x:c r="E569" s="7" t="str">
        <x:v>Safeing Paths!L15</x:v>
      </x:c>
      <x:c r="F569" s="7" t="str">
        <x:f>'Safeing Paths'!L15</x:f>
        <x:v>OPEN</x:v>
      </x:c>
    </x:row>
    <x:row r="570">
      <x:c r="B570" s="7" t="str">
        <x:v>PHY-0564</x:v>
      </x:c>
      <x:c r="C570" s="7" t="str">
        <x:v>safeing path</x:v>
      </x:c>
      <x:c r="D570" s="7" t="str">
        <x:v>RFP-A1-FCE-04-P</x:v>
      </x:c>
      <x:c r="E570" s="7" t="str">
        <x:v>Safeing Paths!L16</x:v>
      </x:c>
      <x:c r="F570" s="7" t="str">
        <x:f>'Safeing Paths'!L16</x:f>
        <x:v>OPEN</x:v>
      </x:c>
    </x:row>
    <x:row r="571">
      <x:c r="B571" s="7" t="str">
        <x:v>PHY-0565</x:v>
      </x:c>
      <x:c r="C571" s="7" t="str">
        <x:v>safeing path</x:v>
      </x:c>
      <x:c r="D571" s="7" t="str">
        <x:v>RFP-A1-FCE-04-D</x:v>
      </x:c>
      <x:c r="E571" s="7" t="str">
        <x:v>Safeing Paths!L17</x:v>
      </x:c>
      <x:c r="F571" s="7" t="str">
        <x:f>'Safeing Paths'!L17</x:f>
        <x:v>OPEN</x:v>
      </x:c>
    </x:row>
    <x:row r="572">
      <x:c r="B572" s="7" t="str">
        <x:v>PHY-0566</x:v>
      </x:c>
      <x:c r="C572" s="7" t="str">
        <x:v>safeing path</x:v>
      </x:c>
      <x:c r="D572" s="7" t="str">
        <x:v>RFP-A1-FCE-04-M</x:v>
      </x:c>
      <x:c r="E572" s="7" t="str">
        <x:v>Safeing Paths!L18</x:v>
      </x:c>
      <x:c r="F572" s="7" t="str">
        <x:f>'Safeing Paths'!L18</x:f>
        <x:v>OPEN</x:v>
      </x:c>
    </x:row>
    <x:row r="573">
      <x:c r="B573" s="7" t="str">
        <x:v>PHY-0567</x:v>
      </x:c>
      <x:c r="C573" s="7" t="str">
        <x:v>safeing path</x:v>
      </x:c>
      <x:c r="D573" s="7" t="str">
        <x:v>RFP-A1-FCE-05-P</x:v>
      </x:c>
      <x:c r="E573" s="7" t="str">
        <x:v>Safeing Paths!L19</x:v>
      </x:c>
      <x:c r="F573" s="7" t="str">
        <x:f>'Safeing Paths'!L19</x:f>
        <x:v>OPEN</x:v>
      </x:c>
    </x:row>
    <x:row r="574">
      <x:c r="B574" s="7" t="str">
        <x:v>PHY-0568</x:v>
      </x:c>
      <x:c r="C574" s="7" t="str">
        <x:v>safeing path</x:v>
      </x:c>
      <x:c r="D574" s="7" t="str">
        <x:v>RFP-A1-FCE-05-D</x:v>
      </x:c>
      <x:c r="E574" s="7" t="str">
        <x:v>Safeing Paths!L20</x:v>
      </x:c>
      <x:c r="F574" s="7" t="str">
        <x:f>'Safeing Paths'!L20</x:f>
        <x:v>OPEN</x:v>
      </x:c>
    </x:row>
    <x:row r="575">
      <x:c r="B575" s="7" t="str">
        <x:v>PHY-0569</x:v>
      </x:c>
      <x:c r="C575" s="7" t="str">
        <x:v>safeing path</x:v>
      </x:c>
      <x:c r="D575" s="7" t="str">
        <x:v>RFP-A1-FCE-05-M</x:v>
      </x:c>
      <x:c r="E575" s="7" t="str">
        <x:v>Safeing Paths!L21</x:v>
      </x:c>
      <x:c r="F575" s="7" t="str">
        <x:f>'Safeing Paths'!L21</x:f>
        <x:v>OPEN</x:v>
      </x:c>
    </x:row>
    <x:row r="576">
      <x:c r="B576" s="7" t="str">
        <x:v>PHY-0570</x:v>
      </x:c>
      <x:c r="C576" s="7" t="str">
        <x:v>safeing path</x:v>
      </x:c>
      <x:c r="D576" s="7" t="str">
        <x:v>RFP-A1-FCE-06-P</x:v>
      </x:c>
      <x:c r="E576" s="7" t="str">
        <x:v>Safeing Paths!L22</x:v>
      </x:c>
      <x:c r="F576" s="7" t="str">
        <x:f>'Safeing Paths'!L22</x:f>
        <x:v>OPEN</x:v>
      </x:c>
    </x:row>
    <x:row r="577">
      <x:c r="B577" s="7" t="str">
        <x:v>PHY-0571</x:v>
      </x:c>
      <x:c r="C577" s="7" t="str">
        <x:v>safeing path</x:v>
      </x:c>
      <x:c r="D577" s="7" t="str">
        <x:v>RFP-A1-FCE-06-D</x:v>
      </x:c>
      <x:c r="E577" s="7" t="str">
        <x:v>Safeing Paths!L23</x:v>
      </x:c>
      <x:c r="F577" s="7" t="str">
        <x:f>'Safeing Paths'!L23</x:f>
        <x:v>OPEN</x:v>
      </x:c>
    </x:row>
    <x:row r="578">
      <x:c r="B578" s="7" t="str">
        <x:v>PHY-0572</x:v>
      </x:c>
      <x:c r="C578" s="7" t="str">
        <x:v>safeing path</x:v>
      </x:c>
      <x:c r="D578" s="7" t="str">
        <x:v>RFP-A1-FCE-06-M</x:v>
      </x:c>
      <x:c r="E578" s="7" t="str">
        <x:v>Safeing Paths!L24</x:v>
      </x:c>
      <x:c r="F578" s="7" t="str">
        <x:f>'Safeing Paths'!L24</x:f>
        <x:v>OPEN</x:v>
      </x:c>
    </x:row>
    <x:row r="579">
      <x:c r="B579" s="7" t="str">
        <x:v>PHY-0573</x:v>
      </x:c>
      <x:c r="C579" s="7" t="str">
        <x:v>safeing path</x:v>
      </x:c>
      <x:c r="D579" s="7" t="str">
        <x:v>RFP-A1-FCE-07-P</x:v>
      </x:c>
      <x:c r="E579" s="7" t="str">
        <x:v>Safeing Paths!L25</x:v>
      </x:c>
      <x:c r="F579" s="7" t="str">
        <x:f>'Safeing Paths'!L25</x:f>
        <x:v>OPEN</x:v>
      </x:c>
    </x:row>
    <x:row r="580">
      <x:c r="B580" s="7" t="str">
        <x:v>PHY-0574</x:v>
      </x:c>
      <x:c r="C580" s="7" t="str">
        <x:v>safeing path</x:v>
      </x:c>
      <x:c r="D580" s="7" t="str">
        <x:v>RFP-A1-FCE-07-D</x:v>
      </x:c>
      <x:c r="E580" s="7" t="str">
        <x:v>Safeing Paths!L26</x:v>
      </x:c>
      <x:c r="F580" s="7" t="str">
        <x:f>'Safeing Paths'!L26</x:f>
        <x:v>OPEN</x:v>
      </x:c>
    </x:row>
    <x:row r="581">
      <x:c r="B581" s="7" t="str">
        <x:v>PHY-0575</x:v>
      </x:c>
      <x:c r="C581" s="7" t="str">
        <x:v>safeing path</x:v>
      </x:c>
      <x:c r="D581" s="7" t="str">
        <x:v>RFP-A1-FCE-07-M</x:v>
      </x:c>
      <x:c r="E581" s="7" t="str">
        <x:v>Safeing Paths!L27</x:v>
      </x:c>
      <x:c r="F581" s="7" t="str">
        <x:f>'Safeing Paths'!L27</x:f>
        <x:v>OPEN</x:v>
      </x:c>
    </x:row>
    <x:row r="582">
      <x:c r="B582" s="7" t="str">
        <x:v>PHY-0576</x:v>
      </x:c>
      <x:c r="C582" s="7" t="str">
        <x:v>safeing path</x:v>
      </x:c>
      <x:c r="D582" s="7" t="str">
        <x:v>RFP-A1-FCE-08-P</x:v>
      </x:c>
      <x:c r="E582" s="7" t="str">
        <x:v>Safeing Paths!L28</x:v>
      </x:c>
      <x:c r="F582" s="7" t="str">
        <x:f>'Safeing Paths'!L28</x:f>
        <x:v>OPEN</x:v>
      </x:c>
    </x:row>
    <x:row r="583">
      <x:c r="B583" s="7" t="str">
        <x:v>PHY-0577</x:v>
      </x:c>
      <x:c r="C583" s="7" t="str">
        <x:v>safeing path</x:v>
      </x:c>
      <x:c r="D583" s="7" t="str">
        <x:v>RFP-A1-FCE-08-D</x:v>
      </x:c>
      <x:c r="E583" s="7" t="str">
        <x:v>Safeing Paths!L29</x:v>
      </x:c>
      <x:c r="F583" s="7" t="str">
        <x:f>'Safeing Paths'!L29</x:f>
        <x:v>OPEN</x:v>
      </x:c>
    </x:row>
    <x:row r="584">
      <x:c r="B584" s="7" t="str">
        <x:v>PHY-0578</x:v>
      </x:c>
      <x:c r="C584" s="7" t="str">
        <x:v>safeing path</x:v>
      </x:c>
      <x:c r="D584" s="7" t="str">
        <x:v>RFP-A1-FCE-08-M</x:v>
      </x:c>
      <x:c r="E584" s="7" t="str">
        <x:v>Safeing Paths!L30</x:v>
      </x:c>
      <x:c r="F584" s="7" t="str">
        <x:f>'Safeing Paths'!L30</x:f>
        <x:v>OPEN</x:v>
      </x:c>
    </x:row>
    <x:row r="585">
      <x:c r="B585" s="7" t="str">
        <x:v>PHY-0579</x:v>
      </x:c>
      <x:c r="C585" s="7" t="str">
        <x:v>safeing path</x:v>
      </x:c>
      <x:c r="D585" s="7" t="str">
        <x:v>RFP-A1-FCE-09-P</x:v>
      </x:c>
      <x:c r="E585" s="7" t="str">
        <x:v>Safeing Paths!L31</x:v>
      </x:c>
      <x:c r="F585" s="7" t="str">
        <x:f>'Safeing Paths'!L31</x:f>
        <x:v>OPEN</x:v>
      </x:c>
    </x:row>
    <x:row r="586">
      <x:c r="B586" s="7" t="str">
        <x:v>PHY-0580</x:v>
      </x:c>
      <x:c r="C586" s="7" t="str">
        <x:v>safeing path</x:v>
      </x:c>
      <x:c r="D586" s="7" t="str">
        <x:v>RFP-A1-FCE-09-D</x:v>
      </x:c>
      <x:c r="E586" s="7" t="str">
        <x:v>Safeing Paths!L32</x:v>
      </x:c>
      <x:c r="F586" s="7" t="str">
        <x:f>'Safeing Paths'!L32</x:f>
        <x:v>OPEN</x:v>
      </x:c>
    </x:row>
    <x:row r="587">
      <x:c r="B587" s="7" t="str">
        <x:v>PHY-0581</x:v>
      </x:c>
      <x:c r="C587" s="7" t="str">
        <x:v>safeing path</x:v>
      </x:c>
      <x:c r="D587" s="7" t="str">
        <x:v>RFP-A1-FCE-09-M</x:v>
      </x:c>
      <x:c r="E587" s="7" t="str">
        <x:v>Safeing Paths!L33</x:v>
      </x:c>
      <x:c r="F587" s="7" t="str">
        <x:f>'Safeing Paths'!L33</x:f>
        <x:v>OPEN</x:v>
      </x:c>
    </x:row>
    <x:row r="588">
      <x:c r="B588" s="7" t="str">
        <x:v>PHY-0582</x:v>
      </x:c>
      <x:c r="C588" s="7" t="str">
        <x:v>safeing path</x:v>
      </x:c>
      <x:c r="D588" s="7" t="str">
        <x:v>RFP-A1-FCE-10-P</x:v>
      </x:c>
      <x:c r="E588" s="7" t="str">
        <x:v>Safeing Paths!L34</x:v>
      </x:c>
      <x:c r="F588" s="7" t="str">
        <x:f>'Safeing Paths'!L34</x:f>
        <x:v>OPEN</x:v>
      </x:c>
    </x:row>
    <x:row r="589">
      <x:c r="B589" s="7" t="str">
        <x:v>PHY-0583</x:v>
      </x:c>
      <x:c r="C589" s="7" t="str">
        <x:v>safeing path</x:v>
      </x:c>
      <x:c r="D589" s="7" t="str">
        <x:v>RFP-A1-FCE-10-D</x:v>
      </x:c>
      <x:c r="E589" s="7" t="str">
        <x:v>Safeing Paths!L35</x:v>
      </x:c>
      <x:c r="F589" s="7" t="str">
        <x:f>'Safeing Paths'!L35</x:f>
        <x:v>OPEN</x:v>
      </x:c>
    </x:row>
    <x:row r="590">
      <x:c r="B590" s="7" t="str">
        <x:v>PHY-0584</x:v>
      </x:c>
      <x:c r="C590" s="7" t="str">
        <x:v>safeing path</x:v>
      </x:c>
      <x:c r="D590" s="7" t="str">
        <x:v>RFP-A1-FCE-10-M</x:v>
      </x:c>
      <x:c r="E590" s="7" t="str">
        <x:v>Safeing Paths!L36</x:v>
      </x:c>
      <x:c r="F590" s="7" t="str">
        <x:f>'Safeing Paths'!L36</x:f>
        <x:v>OPEN</x:v>
      </x:c>
    </x:row>
    <x:row r="591">
      <x:c r="B591" s="7" t="str">
        <x:v>PHY-0585</x:v>
      </x:c>
      <x:c r="C591" s="7" t="str">
        <x:v>safeing path</x:v>
      </x:c>
      <x:c r="D591" s="7" t="str">
        <x:v>RFP-A1-FCE-11-P</x:v>
      </x:c>
      <x:c r="E591" s="7" t="str">
        <x:v>Safeing Paths!L37</x:v>
      </x:c>
      <x:c r="F591" s="7" t="str">
        <x:f>'Safeing Paths'!L37</x:f>
        <x:v>OPEN</x:v>
      </x:c>
    </x:row>
    <x:row r="592">
      <x:c r="B592" s="7" t="str">
        <x:v>PHY-0586</x:v>
      </x:c>
      <x:c r="C592" s="7" t="str">
        <x:v>safeing path</x:v>
      </x:c>
      <x:c r="D592" s="7" t="str">
        <x:v>RFP-A1-FCE-11-D</x:v>
      </x:c>
      <x:c r="E592" s="7" t="str">
        <x:v>Safeing Paths!L38</x:v>
      </x:c>
      <x:c r="F592" s="7" t="str">
        <x:f>'Safeing Paths'!L38</x:f>
        <x:v>OPEN</x:v>
      </x:c>
    </x:row>
    <x:row r="593">
      <x:c r="B593" s="7" t="str">
        <x:v>PHY-0587</x:v>
      </x:c>
      <x:c r="C593" s="7" t="str">
        <x:v>safeing path</x:v>
      </x:c>
      <x:c r="D593" s="7" t="str">
        <x:v>RFP-A1-FCE-11-M</x:v>
      </x:c>
      <x:c r="E593" s="7" t="str">
        <x:v>Safeing Paths!L39</x:v>
      </x:c>
      <x:c r="F593" s="7" t="str">
        <x:f>'Safeing Paths'!L39</x:f>
        <x:v>OPEN</x:v>
      </x:c>
    </x:row>
    <x:row r="594">
      <x:c r="B594" s="7" t="str">
        <x:v>PHY-0588</x:v>
      </x:c>
      <x:c r="C594" s="7" t="str">
        <x:v>safeing path</x:v>
      </x:c>
      <x:c r="D594" s="7" t="str">
        <x:v>RFP-A1-FCE-12-P</x:v>
      </x:c>
      <x:c r="E594" s="7" t="str">
        <x:v>Safeing Paths!L40</x:v>
      </x:c>
      <x:c r="F594" s="7" t="str">
        <x:f>'Safeing Paths'!L40</x:f>
        <x:v>OPEN</x:v>
      </x:c>
    </x:row>
    <x:row r="595">
      <x:c r="B595" s="7" t="str">
        <x:v>PHY-0589</x:v>
      </x:c>
      <x:c r="C595" s="7" t="str">
        <x:v>safeing path</x:v>
      </x:c>
      <x:c r="D595" s="7" t="str">
        <x:v>RFP-A1-FCE-12-D</x:v>
      </x:c>
      <x:c r="E595" s="7" t="str">
        <x:v>Safeing Paths!L41</x:v>
      </x:c>
      <x:c r="F595" s="7" t="str">
        <x:f>'Safeing Paths'!L41</x:f>
        <x:v>OPEN</x:v>
      </x:c>
    </x:row>
    <x:row r="596">
      <x:c r="B596" s="7" t="str">
        <x:v>PHY-0590</x:v>
      </x:c>
      <x:c r="C596" s="7" t="str">
        <x:v>safeing path</x:v>
      </x:c>
      <x:c r="D596" s="7" t="str">
        <x:v>RFP-A1-FCE-12-M</x:v>
      </x:c>
      <x:c r="E596" s="7" t="str">
        <x:v>Safeing Paths!L42</x:v>
      </x:c>
      <x:c r="F596" s="7" t="str">
        <x:f>'Safeing Paths'!L42</x:f>
        <x:v>OPEN</x:v>
      </x:c>
    </x:row>
    <x:row r="597">
      <x:c r="B597" s="7" t="str">
        <x:v>PHY-0591</x:v>
      </x:c>
      <x:c r="C597" s="7" t="str">
        <x:v>safeing path</x:v>
      </x:c>
      <x:c r="D597" s="7" t="str">
        <x:v>RFP-A2-FCE-01-P</x:v>
      </x:c>
      <x:c r="E597" s="7" t="str">
        <x:v>Safeing Paths!L43</x:v>
      </x:c>
      <x:c r="F597" s="7" t="str">
        <x:f>'Safeing Paths'!L43</x:f>
        <x:v>OPEN</x:v>
      </x:c>
    </x:row>
    <x:row r="598">
      <x:c r="B598" s="7" t="str">
        <x:v>PHY-0592</x:v>
      </x:c>
      <x:c r="C598" s="7" t="str">
        <x:v>safeing path</x:v>
      </x:c>
      <x:c r="D598" s="7" t="str">
        <x:v>RFP-A2-FCE-01-D</x:v>
      </x:c>
      <x:c r="E598" s="7" t="str">
        <x:v>Safeing Paths!L44</x:v>
      </x:c>
      <x:c r="F598" s="7" t="str">
        <x:f>'Safeing Paths'!L44</x:f>
        <x:v>OPEN</x:v>
      </x:c>
    </x:row>
    <x:row r="599">
      <x:c r="B599" s="7" t="str">
        <x:v>PHY-0593</x:v>
      </x:c>
      <x:c r="C599" s="7" t="str">
        <x:v>safeing path</x:v>
      </x:c>
      <x:c r="D599" s="7" t="str">
        <x:v>RFP-A2-FCE-01-M</x:v>
      </x:c>
      <x:c r="E599" s="7" t="str">
        <x:v>Safeing Paths!L45</x:v>
      </x:c>
      <x:c r="F599" s="7" t="str">
        <x:f>'Safeing Paths'!L45</x:f>
        <x:v>OPEN</x:v>
      </x:c>
    </x:row>
    <x:row r="600">
      <x:c r="B600" s="7" t="str">
        <x:v>PHY-0594</x:v>
      </x:c>
      <x:c r="C600" s="7" t="str">
        <x:v>safeing path</x:v>
      </x:c>
      <x:c r="D600" s="7" t="str">
        <x:v>RFP-A2-FCE-02-P</x:v>
      </x:c>
      <x:c r="E600" s="7" t="str">
        <x:v>Safeing Paths!L46</x:v>
      </x:c>
      <x:c r="F600" s="7" t="str">
        <x:f>'Safeing Paths'!L46</x:f>
        <x:v>OPEN</x:v>
      </x:c>
    </x:row>
    <x:row r="601">
      <x:c r="B601" s="7" t="str">
        <x:v>PHY-0595</x:v>
      </x:c>
      <x:c r="C601" s="7" t="str">
        <x:v>safeing path</x:v>
      </x:c>
      <x:c r="D601" s="7" t="str">
        <x:v>RFP-A2-FCE-02-D</x:v>
      </x:c>
      <x:c r="E601" s="7" t="str">
        <x:v>Safeing Paths!L47</x:v>
      </x:c>
      <x:c r="F601" s="7" t="str">
        <x:f>'Safeing Paths'!L47</x:f>
        <x:v>OPEN</x:v>
      </x:c>
    </x:row>
    <x:row r="602">
      <x:c r="B602" s="7" t="str">
        <x:v>PHY-0596</x:v>
      </x:c>
      <x:c r="C602" s="7" t="str">
        <x:v>safeing path</x:v>
      </x:c>
      <x:c r="D602" s="7" t="str">
        <x:v>RFP-A2-FCE-02-M</x:v>
      </x:c>
      <x:c r="E602" s="7" t="str">
        <x:v>Safeing Paths!L48</x:v>
      </x:c>
      <x:c r="F602" s="7" t="str">
        <x:f>'Safeing Paths'!L48</x:f>
        <x:v>OPEN</x:v>
      </x:c>
    </x:row>
    <x:row r="603">
      <x:c r="B603" s="7" t="str">
        <x:v>PHY-0597</x:v>
      </x:c>
      <x:c r="C603" s="7" t="str">
        <x:v>safeing path</x:v>
      </x:c>
      <x:c r="D603" s="7" t="str">
        <x:v>RFP-A2-FCE-03-P</x:v>
      </x:c>
      <x:c r="E603" s="7" t="str">
        <x:v>Safeing Paths!L49</x:v>
      </x:c>
      <x:c r="F603" s="7" t="str">
        <x:f>'Safeing Paths'!L49</x:f>
        <x:v>OPEN</x:v>
      </x:c>
    </x:row>
    <x:row r="604">
      <x:c r="B604" s="7" t="str">
        <x:v>PHY-0598</x:v>
      </x:c>
      <x:c r="C604" s="7" t="str">
        <x:v>safeing path</x:v>
      </x:c>
      <x:c r="D604" s="7" t="str">
        <x:v>RFP-A2-FCE-03-D</x:v>
      </x:c>
      <x:c r="E604" s="7" t="str">
        <x:v>Safeing Paths!L50</x:v>
      </x:c>
      <x:c r="F604" s="7" t="str">
        <x:f>'Safeing Paths'!L50</x:f>
        <x:v>OPEN</x:v>
      </x:c>
    </x:row>
    <x:row r="605">
      <x:c r="B605" s="7" t="str">
        <x:v>PHY-0599</x:v>
      </x:c>
      <x:c r="C605" s="7" t="str">
        <x:v>safeing path</x:v>
      </x:c>
      <x:c r="D605" s="7" t="str">
        <x:v>RFP-A2-FCE-03-M</x:v>
      </x:c>
      <x:c r="E605" s="7" t="str">
        <x:v>Safeing Paths!L51</x:v>
      </x:c>
      <x:c r="F605" s="7" t="str">
        <x:f>'Safeing Paths'!L51</x:f>
        <x:v>OPEN</x:v>
      </x:c>
    </x:row>
    <x:row r="606">
      <x:c r="B606" s="7" t="str">
        <x:v>PHY-0600</x:v>
      </x:c>
      <x:c r="C606" s="7" t="str">
        <x:v>safeing path</x:v>
      </x:c>
      <x:c r="D606" s="7" t="str">
        <x:v>RFP-A2-FCE-04-P</x:v>
      </x:c>
      <x:c r="E606" s="7" t="str">
        <x:v>Safeing Paths!L52</x:v>
      </x:c>
      <x:c r="F606" s="7" t="str">
        <x:f>'Safeing Paths'!L52</x:f>
        <x:v>OPEN</x:v>
      </x:c>
    </x:row>
    <x:row r="607">
      <x:c r="B607" s="7" t="str">
        <x:v>PHY-0601</x:v>
      </x:c>
      <x:c r="C607" s="7" t="str">
        <x:v>safeing path</x:v>
      </x:c>
      <x:c r="D607" s="7" t="str">
        <x:v>RFP-A2-FCE-04-D</x:v>
      </x:c>
      <x:c r="E607" s="7" t="str">
        <x:v>Safeing Paths!L53</x:v>
      </x:c>
      <x:c r="F607" s="7" t="str">
        <x:f>'Safeing Paths'!L53</x:f>
        <x:v>OPEN</x:v>
      </x:c>
    </x:row>
    <x:row r="608">
      <x:c r="B608" s="7" t="str">
        <x:v>PHY-0602</x:v>
      </x:c>
      <x:c r="C608" s="7" t="str">
        <x:v>safeing path</x:v>
      </x:c>
      <x:c r="D608" s="7" t="str">
        <x:v>RFP-A2-FCE-04-M</x:v>
      </x:c>
      <x:c r="E608" s="7" t="str">
        <x:v>Safeing Paths!L54</x:v>
      </x:c>
      <x:c r="F608" s="7" t="str">
        <x:f>'Safeing Paths'!L54</x:f>
        <x:v>OPEN</x:v>
      </x:c>
    </x:row>
    <x:row r="609">
      <x:c r="B609" s="7" t="str">
        <x:v>PHY-0603</x:v>
      </x:c>
      <x:c r="C609" s="7" t="str">
        <x:v>safeing path</x:v>
      </x:c>
      <x:c r="D609" s="7" t="str">
        <x:v>RFP-A2-FCE-05-P</x:v>
      </x:c>
      <x:c r="E609" s="7" t="str">
        <x:v>Safeing Paths!L55</x:v>
      </x:c>
      <x:c r="F609" s="7" t="str">
        <x:f>'Safeing Paths'!L55</x:f>
        <x:v>OPEN</x:v>
      </x:c>
    </x:row>
    <x:row r="610">
      <x:c r="B610" s="7" t="str">
        <x:v>PHY-0604</x:v>
      </x:c>
      <x:c r="C610" s="7" t="str">
        <x:v>safeing path</x:v>
      </x:c>
      <x:c r="D610" s="7" t="str">
        <x:v>RFP-A2-FCE-05-D</x:v>
      </x:c>
      <x:c r="E610" s="7" t="str">
        <x:v>Safeing Paths!L56</x:v>
      </x:c>
      <x:c r="F610" s="7" t="str">
        <x:f>'Safeing Paths'!L56</x:f>
        <x:v>OPEN</x:v>
      </x:c>
    </x:row>
    <x:row r="611">
      <x:c r="B611" s="7" t="str">
        <x:v>PHY-0605</x:v>
      </x:c>
      <x:c r="C611" s="7" t="str">
        <x:v>safeing path</x:v>
      </x:c>
      <x:c r="D611" s="7" t="str">
        <x:v>RFP-A2-FCE-05-M</x:v>
      </x:c>
      <x:c r="E611" s="7" t="str">
        <x:v>Safeing Paths!L57</x:v>
      </x:c>
      <x:c r="F611" s="7" t="str">
        <x:f>'Safeing Paths'!L57</x:f>
        <x:v>OPEN</x:v>
      </x:c>
    </x:row>
    <x:row r="612">
      <x:c r="B612" s="7" t="str">
        <x:v>PHY-0606</x:v>
      </x:c>
      <x:c r="C612" s="7" t="str">
        <x:v>safeing path</x:v>
      </x:c>
      <x:c r="D612" s="7" t="str">
        <x:v>RFP-A2-FCE-06-P</x:v>
      </x:c>
      <x:c r="E612" s="7" t="str">
        <x:v>Safeing Paths!L58</x:v>
      </x:c>
      <x:c r="F612" s="7" t="str">
        <x:f>'Safeing Paths'!L58</x:f>
        <x:v>OPEN</x:v>
      </x:c>
    </x:row>
    <x:row r="613">
      <x:c r="B613" s="7" t="str">
        <x:v>PHY-0607</x:v>
      </x:c>
      <x:c r="C613" s="7" t="str">
        <x:v>safeing path</x:v>
      </x:c>
      <x:c r="D613" s="7" t="str">
        <x:v>RFP-A2-FCE-06-D</x:v>
      </x:c>
      <x:c r="E613" s="7" t="str">
        <x:v>Safeing Paths!L59</x:v>
      </x:c>
      <x:c r="F613" s="7" t="str">
        <x:f>'Safeing Paths'!L59</x:f>
        <x:v>OPEN</x:v>
      </x:c>
    </x:row>
    <x:row r="614">
      <x:c r="B614" s="7" t="str">
        <x:v>PHY-0608</x:v>
      </x:c>
      <x:c r="C614" s="7" t="str">
        <x:v>safeing path</x:v>
      </x:c>
      <x:c r="D614" s="7" t="str">
        <x:v>RFP-A2-FCE-06-M</x:v>
      </x:c>
      <x:c r="E614" s="7" t="str">
        <x:v>Safeing Paths!L60</x:v>
      </x:c>
      <x:c r="F614" s="7" t="str">
        <x:f>'Safeing Paths'!L60</x:f>
        <x:v>OPEN</x:v>
      </x:c>
    </x:row>
    <x:row r="615">
      <x:c r="B615" s="7" t="str">
        <x:v>PHY-0609</x:v>
      </x:c>
      <x:c r="C615" s="7" t="str">
        <x:v>safeing path</x:v>
      </x:c>
      <x:c r="D615" s="7" t="str">
        <x:v>RFP-A2-FCE-07-P</x:v>
      </x:c>
      <x:c r="E615" s="7" t="str">
        <x:v>Safeing Paths!L61</x:v>
      </x:c>
      <x:c r="F615" s="7" t="str">
        <x:f>'Safeing Paths'!L61</x:f>
        <x:v>OPEN</x:v>
      </x:c>
    </x:row>
    <x:row r="616">
      <x:c r="B616" s="7" t="str">
        <x:v>PHY-0610</x:v>
      </x:c>
      <x:c r="C616" s="7" t="str">
        <x:v>safeing path</x:v>
      </x:c>
      <x:c r="D616" s="7" t="str">
        <x:v>RFP-A2-FCE-07-D</x:v>
      </x:c>
      <x:c r="E616" s="7" t="str">
        <x:v>Safeing Paths!L62</x:v>
      </x:c>
      <x:c r="F616" s="7" t="str">
        <x:f>'Safeing Paths'!L62</x:f>
        <x:v>OPEN</x:v>
      </x:c>
    </x:row>
    <x:row r="617">
      <x:c r="B617" s="7" t="str">
        <x:v>PHY-0611</x:v>
      </x:c>
      <x:c r="C617" s="7" t="str">
        <x:v>safeing path</x:v>
      </x:c>
      <x:c r="D617" s="7" t="str">
        <x:v>RFP-A2-FCE-07-M</x:v>
      </x:c>
      <x:c r="E617" s="7" t="str">
        <x:v>Safeing Paths!L63</x:v>
      </x:c>
      <x:c r="F617" s="7" t="str">
        <x:f>'Safeing Paths'!L63</x:f>
        <x:v>OPEN</x:v>
      </x:c>
    </x:row>
    <x:row r="618">
      <x:c r="B618" s="7" t="str">
        <x:v>PHY-0612</x:v>
      </x:c>
      <x:c r="C618" s="7" t="str">
        <x:v>safeing path</x:v>
      </x:c>
      <x:c r="D618" s="7" t="str">
        <x:v>RFP-A2-FCE-08-P</x:v>
      </x:c>
      <x:c r="E618" s="7" t="str">
        <x:v>Safeing Paths!L64</x:v>
      </x:c>
      <x:c r="F618" s="7" t="str">
        <x:f>'Safeing Paths'!L64</x:f>
        <x:v>OPEN</x:v>
      </x:c>
    </x:row>
    <x:row r="619">
      <x:c r="B619" s="7" t="str">
        <x:v>PHY-0613</x:v>
      </x:c>
      <x:c r="C619" s="7" t="str">
        <x:v>safeing path</x:v>
      </x:c>
      <x:c r="D619" s="7" t="str">
        <x:v>RFP-A2-FCE-08-D</x:v>
      </x:c>
      <x:c r="E619" s="7" t="str">
        <x:v>Safeing Paths!L65</x:v>
      </x:c>
      <x:c r="F619" s="7" t="str">
        <x:f>'Safeing Paths'!L65</x:f>
        <x:v>OPEN</x:v>
      </x:c>
    </x:row>
    <x:row r="620">
      <x:c r="B620" s="7" t="str">
        <x:v>PHY-0614</x:v>
      </x:c>
      <x:c r="C620" s="7" t="str">
        <x:v>safeing path</x:v>
      </x:c>
      <x:c r="D620" s="7" t="str">
        <x:v>RFP-A2-FCE-08-M</x:v>
      </x:c>
      <x:c r="E620" s="7" t="str">
        <x:v>Safeing Paths!L66</x:v>
      </x:c>
      <x:c r="F620" s="7" t="str">
        <x:f>'Safeing Paths'!L66</x:f>
        <x:v>OPEN</x:v>
      </x:c>
    </x:row>
    <x:row r="621">
      <x:c r="B621" s="7" t="str">
        <x:v>PHY-0615</x:v>
      </x:c>
      <x:c r="C621" s="7" t="str">
        <x:v>safeing path</x:v>
      </x:c>
      <x:c r="D621" s="7" t="str">
        <x:v>RFP-A2-FCE-09-P</x:v>
      </x:c>
      <x:c r="E621" s="7" t="str">
        <x:v>Safeing Paths!L67</x:v>
      </x:c>
      <x:c r="F621" s="7" t="str">
        <x:f>'Safeing Paths'!L67</x:f>
        <x:v>OPEN</x:v>
      </x:c>
    </x:row>
    <x:row r="622">
      <x:c r="B622" s="7" t="str">
        <x:v>PHY-0616</x:v>
      </x:c>
      <x:c r="C622" s="7" t="str">
        <x:v>safeing path</x:v>
      </x:c>
      <x:c r="D622" s="7" t="str">
        <x:v>RFP-A2-FCE-09-D</x:v>
      </x:c>
      <x:c r="E622" s="7" t="str">
        <x:v>Safeing Paths!L68</x:v>
      </x:c>
      <x:c r="F622" s="7" t="str">
        <x:f>'Safeing Paths'!L68</x:f>
        <x:v>OPEN</x:v>
      </x:c>
    </x:row>
    <x:row r="623">
      <x:c r="B623" s="7" t="str">
        <x:v>PHY-0617</x:v>
      </x:c>
      <x:c r="C623" s="7" t="str">
        <x:v>safeing path</x:v>
      </x:c>
      <x:c r="D623" s="7" t="str">
        <x:v>RFP-A2-FCE-09-M</x:v>
      </x:c>
      <x:c r="E623" s="7" t="str">
        <x:v>Safeing Paths!L69</x:v>
      </x:c>
      <x:c r="F623" s="7" t="str">
        <x:f>'Safeing Paths'!L69</x:f>
        <x:v>OPEN</x:v>
      </x:c>
    </x:row>
    <x:row r="624">
      <x:c r="B624" s="7" t="str">
        <x:v>PHY-0618</x:v>
      </x:c>
      <x:c r="C624" s="7" t="str">
        <x:v>safeing path</x:v>
      </x:c>
      <x:c r="D624" s="7" t="str">
        <x:v>RFP-A2-FCE-10-P</x:v>
      </x:c>
      <x:c r="E624" s="7" t="str">
        <x:v>Safeing Paths!L70</x:v>
      </x:c>
      <x:c r="F624" s="7" t="str">
        <x:f>'Safeing Paths'!L70</x:f>
        <x:v>OPEN</x:v>
      </x:c>
    </x:row>
    <x:row r="625">
      <x:c r="B625" s="7" t="str">
        <x:v>PHY-0619</x:v>
      </x:c>
      <x:c r="C625" s="7" t="str">
        <x:v>safeing path</x:v>
      </x:c>
      <x:c r="D625" s="7" t="str">
        <x:v>RFP-A2-FCE-10-D</x:v>
      </x:c>
      <x:c r="E625" s="7" t="str">
        <x:v>Safeing Paths!L71</x:v>
      </x:c>
      <x:c r="F625" s="7" t="str">
        <x:f>'Safeing Paths'!L71</x:f>
        <x:v>OPEN</x:v>
      </x:c>
    </x:row>
    <x:row r="626">
      <x:c r="B626" s="7" t="str">
        <x:v>PHY-0620</x:v>
      </x:c>
      <x:c r="C626" s="7" t="str">
        <x:v>safeing path</x:v>
      </x:c>
      <x:c r="D626" s="7" t="str">
        <x:v>RFP-A2-FCE-10-M</x:v>
      </x:c>
      <x:c r="E626" s="7" t="str">
        <x:v>Safeing Paths!L72</x:v>
      </x:c>
      <x:c r="F626" s="7" t="str">
        <x:f>'Safeing Paths'!L72</x:f>
        <x:v>OPEN</x:v>
      </x:c>
    </x:row>
    <x:row r="627">
      <x:c r="B627" s="7" t="str">
        <x:v>PHY-0621</x:v>
      </x:c>
      <x:c r="C627" s="7" t="str">
        <x:v>safeing path</x:v>
      </x:c>
      <x:c r="D627" s="7" t="str">
        <x:v>RFP-A2-FCE-11-P</x:v>
      </x:c>
      <x:c r="E627" s="7" t="str">
        <x:v>Safeing Paths!L73</x:v>
      </x:c>
      <x:c r="F627" s="7" t="str">
        <x:f>'Safeing Paths'!L73</x:f>
        <x:v>OPEN</x:v>
      </x:c>
    </x:row>
    <x:row r="628">
      <x:c r="B628" s="7" t="str">
        <x:v>PHY-0622</x:v>
      </x:c>
      <x:c r="C628" s="7" t="str">
        <x:v>safeing path</x:v>
      </x:c>
      <x:c r="D628" s="7" t="str">
        <x:v>RFP-A2-FCE-11-D</x:v>
      </x:c>
      <x:c r="E628" s="7" t="str">
        <x:v>Safeing Paths!L74</x:v>
      </x:c>
      <x:c r="F628" s="7" t="str">
        <x:f>'Safeing Paths'!L74</x:f>
        <x:v>OPEN</x:v>
      </x:c>
    </x:row>
    <x:row r="629">
      <x:c r="B629" s="7" t="str">
        <x:v>PHY-0623</x:v>
      </x:c>
      <x:c r="C629" s="7" t="str">
        <x:v>safeing path</x:v>
      </x:c>
      <x:c r="D629" s="7" t="str">
        <x:v>RFP-A2-FCE-11-M</x:v>
      </x:c>
      <x:c r="E629" s="7" t="str">
        <x:v>Safeing Paths!L75</x:v>
      </x:c>
      <x:c r="F629" s="7" t="str">
        <x:f>'Safeing Paths'!L75</x:f>
        <x:v>OPEN</x:v>
      </x:c>
    </x:row>
    <x:row r="630">
      <x:c r="B630" s="7" t="str">
        <x:v>PHY-0624</x:v>
      </x:c>
      <x:c r="C630" s="7" t="str">
        <x:v>safeing path</x:v>
      </x:c>
      <x:c r="D630" s="7" t="str">
        <x:v>RFP-A2-FCE-12-P</x:v>
      </x:c>
      <x:c r="E630" s="7" t="str">
        <x:v>Safeing Paths!L76</x:v>
      </x:c>
      <x:c r="F630" s="7" t="str">
        <x:f>'Safeing Paths'!L76</x:f>
        <x:v>OPEN</x:v>
      </x:c>
    </x:row>
    <x:row r="631">
      <x:c r="B631" s="7" t="str">
        <x:v>PHY-0625</x:v>
      </x:c>
      <x:c r="C631" s="7" t="str">
        <x:v>safeing path</x:v>
      </x:c>
      <x:c r="D631" s="7" t="str">
        <x:v>RFP-A2-FCE-12-D</x:v>
      </x:c>
      <x:c r="E631" s="7" t="str">
        <x:v>Safeing Paths!L77</x:v>
      </x:c>
      <x:c r="F631" s="7" t="str">
        <x:f>'Safeing Paths'!L77</x:f>
        <x:v>OPEN</x:v>
      </x:c>
    </x:row>
    <x:row r="632">
      <x:c r="B632" s="7" t="str">
        <x:v>PHY-0626</x:v>
      </x:c>
      <x:c r="C632" s="7" t="str">
        <x:v>safeing path</x:v>
      </x:c>
      <x:c r="D632" s="7" t="str">
        <x:v>RFP-A2-FCE-12-M</x:v>
      </x:c>
      <x:c r="E632" s="7" t="str">
        <x:v>Safeing Paths!L78</x:v>
      </x:c>
      <x:c r="F632" s="7" t="str">
        <x:f>'Safeing Paths'!L78</x:f>
        <x:v>OPEN</x:v>
      </x:c>
    </x:row>
    <x:row r="633">
      <x:c r="B633" s="7" t="str">
        <x:v>PHY-0627</x:v>
      </x:c>
      <x:c r="C633" s="7" t="str">
        <x:v>safeing path</x:v>
      </x:c>
      <x:c r="D633" s="7" t="str">
        <x:v>RFP-B1-FCE-01-P</x:v>
      </x:c>
      <x:c r="E633" s="7" t="str">
        <x:v>Safeing Paths!L79</x:v>
      </x:c>
      <x:c r="F633" s="7" t="str">
        <x:f>'Safeing Paths'!L79</x:f>
        <x:v>OPEN</x:v>
      </x:c>
    </x:row>
    <x:row r="634">
      <x:c r="B634" s="7" t="str">
        <x:v>PHY-0628</x:v>
      </x:c>
      <x:c r="C634" s="7" t="str">
        <x:v>safeing path</x:v>
      </x:c>
      <x:c r="D634" s="7" t="str">
        <x:v>RFP-B1-FCE-01-D</x:v>
      </x:c>
      <x:c r="E634" s="7" t="str">
        <x:v>Safeing Paths!L80</x:v>
      </x:c>
      <x:c r="F634" s="7" t="str">
        <x:f>'Safeing Paths'!L80</x:f>
        <x:v>OPEN</x:v>
      </x:c>
    </x:row>
    <x:row r="635">
      <x:c r="B635" s="7" t="str">
        <x:v>PHY-0629</x:v>
      </x:c>
      <x:c r="C635" s="7" t="str">
        <x:v>safeing path</x:v>
      </x:c>
      <x:c r="D635" s="7" t="str">
        <x:v>RFP-B1-FCE-01-M</x:v>
      </x:c>
      <x:c r="E635" s="7" t="str">
        <x:v>Safeing Paths!L81</x:v>
      </x:c>
      <x:c r="F635" s="7" t="str">
        <x:f>'Safeing Paths'!L81</x:f>
        <x:v>OPEN</x:v>
      </x:c>
    </x:row>
    <x:row r="636">
      <x:c r="B636" s="7" t="str">
        <x:v>PHY-0630</x:v>
      </x:c>
      <x:c r="C636" s="7" t="str">
        <x:v>safeing path</x:v>
      </x:c>
      <x:c r="D636" s="7" t="str">
        <x:v>RFP-B1-FCE-02-P</x:v>
      </x:c>
      <x:c r="E636" s="7" t="str">
        <x:v>Safeing Paths!L82</x:v>
      </x:c>
      <x:c r="F636" s="7" t="str">
        <x:f>'Safeing Paths'!L82</x:f>
        <x:v>OPEN</x:v>
      </x:c>
    </x:row>
    <x:row r="637">
      <x:c r="B637" s="7" t="str">
        <x:v>PHY-0631</x:v>
      </x:c>
      <x:c r="C637" s="7" t="str">
        <x:v>safeing path</x:v>
      </x:c>
      <x:c r="D637" s="7" t="str">
        <x:v>RFP-B1-FCE-02-D</x:v>
      </x:c>
      <x:c r="E637" s="7" t="str">
        <x:v>Safeing Paths!L83</x:v>
      </x:c>
      <x:c r="F637" s="7" t="str">
        <x:f>'Safeing Paths'!L83</x:f>
        <x:v>OPEN</x:v>
      </x:c>
    </x:row>
    <x:row r="638">
      <x:c r="B638" s="7" t="str">
        <x:v>PHY-0632</x:v>
      </x:c>
      <x:c r="C638" s="7" t="str">
        <x:v>safeing path</x:v>
      </x:c>
      <x:c r="D638" s="7" t="str">
        <x:v>RFP-B1-FCE-02-M</x:v>
      </x:c>
      <x:c r="E638" s="7" t="str">
        <x:v>Safeing Paths!L84</x:v>
      </x:c>
      <x:c r="F638" s="7" t="str">
        <x:f>'Safeing Paths'!L84</x:f>
        <x:v>OPEN</x:v>
      </x:c>
    </x:row>
    <x:row r="639">
      <x:c r="B639" s="7" t="str">
        <x:v>PHY-0633</x:v>
      </x:c>
      <x:c r="C639" s="7" t="str">
        <x:v>safeing path</x:v>
      </x:c>
      <x:c r="D639" s="7" t="str">
        <x:v>RFP-B1-FCE-03-P</x:v>
      </x:c>
      <x:c r="E639" s="7" t="str">
        <x:v>Safeing Paths!L85</x:v>
      </x:c>
      <x:c r="F639" s="7" t="str">
        <x:f>'Safeing Paths'!L85</x:f>
        <x:v>OPEN</x:v>
      </x:c>
    </x:row>
    <x:row r="640">
      <x:c r="B640" s="7" t="str">
        <x:v>PHY-0634</x:v>
      </x:c>
      <x:c r="C640" s="7" t="str">
        <x:v>safeing path</x:v>
      </x:c>
      <x:c r="D640" s="7" t="str">
        <x:v>RFP-B1-FCE-03-D</x:v>
      </x:c>
      <x:c r="E640" s="7" t="str">
        <x:v>Safeing Paths!L86</x:v>
      </x:c>
      <x:c r="F640" s="7" t="str">
        <x:f>'Safeing Paths'!L86</x:f>
        <x:v>OPEN</x:v>
      </x:c>
    </x:row>
    <x:row r="641">
      <x:c r="B641" s="7" t="str">
        <x:v>PHY-0635</x:v>
      </x:c>
      <x:c r="C641" s="7" t="str">
        <x:v>safeing path</x:v>
      </x:c>
      <x:c r="D641" s="7" t="str">
        <x:v>RFP-B1-FCE-03-M</x:v>
      </x:c>
      <x:c r="E641" s="7" t="str">
        <x:v>Safeing Paths!L87</x:v>
      </x:c>
      <x:c r="F641" s="7" t="str">
        <x:f>'Safeing Paths'!L87</x:f>
        <x:v>OPEN</x:v>
      </x:c>
    </x:row>
    <x:row r="642">
      <x:c r="B642" s="7" t="str">
        <x:v>PHY-0636</x:v>
      </x:c>
      <x:c r="C642" s="7" t="str">
        <x:v>safeing path</x:v>
      </x:c>
      <x:c r="D642" s="7" t="str">
        <x:v>RFP-B1-FCE-04-P</x:v>
      </x:c>
      <x:c r="E642" s="7" t="str">
        <x:v>Safeing Paths!L88</x:v>
      </x:c>
      <x:c r="F642" s="7" t="str">
        <x:f>'Safeing Paths'!L88</x:f>
        <x:v>OPEN</x:v>
      </x:c>
    </x:row>
    <x:row r="643">
      <x:c r="B643" s="7" t="str">
        <x:v>PHY-0637</x:v>
      </x:c>
      <x:c r="C643" s="7" t="str">
        <x:v>safeing path</x:v>
      </x:c>
      <x:c r="D643" s="7" t="str">
        <x:v>RFP-B1-FCE-04-D</x:v>
      </x:c>
      <x:c r="E643" s="7" t="str">
        <x:v>Safeing Paths!L89</x:v>
      </x:c>
      <x:c r="F643" s="7" t="str">
        <x:f>'Safeing Paths'!L89</x:f>
        <x:v>OPEN</x:v>
      </x:c>
    </x:row>
    <x:row r="644">
      <x:c r="B644" s="7" t="str">
        <x:v>PHY-0638</x:v>
      </x:c>
      <x:c r="C644" s="7" t="str">
        <x:v>safeing path</x:v>
      </x:c>
      <x:c r="D644" s="7" t="str">
        <x:v>RFP-B1-FCE-04-M</x:v>
      </x:c>
      <x:c r="E644" s="7" t="str">
        <x:v>Safeing Paths!L90</x:v>
      </x:c>
      <x:c r="F644" s="7" t="str">
        <x:f>'Safeing Paths'!L90</x:f>
        <x:v>OPEN</x:v>
      </x:c>
    </x:row>
    <x:row r="645">
      <x:c r="B645" s="7" t="str">
        <x:v>PHY-0639</x:v>
      </x:c>
      <x:c r="C645" s="7" t="str">
        <x:v>safeing path</x:v>
      </x:c>
      <x:c r="D645" s="7" t="str">
        <x:v>RFP-B1-FCE-05-P</x:v>
      </x:c>
      <x:c r="E645" s="7" t="str">
        <x:v>Safeing Paths!L91</x:v>
      </x:c>
      <x:c r="F645" s="7" t="str">
        <x:f>'Safeing Paths'!L91</x:f>
        <x:v>OPEN</x:v>
      </x:c>
    </x:row>
    <x:row r="646">
      <x:c r="B646" s="7" t="str">
        <x:v>PHY-0640</x:v>
      </x:c>
      <x:c r="C646" s="7" t="str">
        <x:v>safeing path</x:v>
      </x:c>
      <x:c r="D646" s="7" t="str">
        <x:v>RFP-B1-FCE-05-D</x:v>
      </x:c>
      <x:c r="E646" s="7" t="str">
        <x:v>Safeing Paths!L92</x:v>
      </x:c>
      <x:c r="F646" s="7" t="str">
        <x:f>'Safeing Paths'!L92</x:f>
        <x:v>OPEN</x:v>
      </x:c>
    </x:row>
    <x:row r="647">
      <x:c r="B647" s="7" t="str">
        <x:v>PHY-0641</x:v>
      </x:c>
      <x:c r="C647" s="7" t="str">
        <x:v>safeing path</x:v>
      </x:c>
      <x:c r="D647" s="7" t="str">
        <x:v>RFP-B1-FCE-05-M</x:v>
      </x:c>
      <x:c r="E647" s="7" t="str">
        <x:v>Safeing Paths!L93</x:v>
      </x:c>
      <x:c r="F647" s="7" t="str">
        <x:f>'Safeing Paths'!L93</x:f>
        <x:v>OPEN</x:v>
      </x:c>
    </x:row>
    <x:row r="648">
      <x:c r="B648" s="7" t="str">
        <x:v>PHY-0642</x:v>
      </x:c>
      <x:c r="C648" s="7" t="str">
        <x:v>safeing path</x:v>
      </x:c>
      <x:c r="D648" s="7" t="str">
        <x:v>RFP-B1-FCE-06-P</x:v>
      </x:c>
      <x:c r="E648" s="7" t="str">
        <x:v>Safeing Paths!L94</x:v>
      </x:c>
      <x:c r="F648" s="7" t="str">
        <x:f>'Safeing Paths'!L94</x:f>
        <x:v>OPEN</x:v>
      </x:c>
    </x:row>
    <x:row r="649">
      <x:c r="B649" s="7" t="str">
        <x:v>PHY-0643</x:v>
      </x:c>
      <x:c r="C649" s="7" t="str">
        <x:v>safeing path</x:v>
      </x:c>
      <x:c r="D649" s="7" t="str">
        <x:v>RFP-B1-FCE-06-D</x:v>
      </x:c>
      <x:c r="E649" s="7" t="str">
        <x:v>Safeing Paths!L95</x:v>
      </x:c>
      <x:c r="F649" s="7" t="str">
        <x:f>'Safeing Paths'!L95</x:f>
        <x:v>OPEN</x:v>
      </x:c>
    </x:row>
    <x:row r="650">
      <x:c r="B650" s="7" t="str">
        <x:v>PHY-0644</x:v>
      </x:c>
      <x:c r="C650" s="7" t="str">
        <x:v>safeing path</x:v>
      </x:c>
      <x:c r="D650" s="7" t="str">
        <x:v>RFP-B1-FCE-06-M</x:v>
      </x:c>
      <x:c r="E650" s="7" t="str">
        <x:v>Safeing Paths!L96</x:v>
      </x:c>
      <x:c r="F650" s="7" t="str">
        <x:f>'Safeing Paths'!L96</x:f>
        <x:v>OPEN</x:v>
      </x:c>
    </x:row>
    <x:row r="651">
      <x:c r="B651" s="7" t="str">
        <x:v>PHY-0645</x:v>
      </x:c>
      <x:c r="C651" s="7" t="str">
        <x:v>safeing path</x:v>
      </x:c>
      <x:c r="D651" s="7" t="str">
        <x:v>RFP-B1-FCE-07-P</x:v>
      </x:c>
      <x:c r="E651" s="7" t="str">
        <x:v>Safeing Paths!L97</x:v>
      </x:c>
      <x:c r="F651" s="7" t="str">
        <x:f>'Safeing Paths'!L97</x:f>
        <x:v>OPEN</x:v>
      </x:c>
    </x:row>
    <x:row r="652">
      <x:c r="B652" s="7" t="str">
        <x:v>PHY-0646</x:v>
      </x:c>
      <x:c r="C652" s="7" t="str">
        <x:v>safeing path</x:v>
      </x:c>
      <x:c r="D652" s="7" t="str">
        <x:v>RFP-B1-FCE-07-D</x:v>
      </x:c>
      <x:c r="E652" s="7" t="str">
        <x:v>Safeing Paths!L98</x:v>
      </x:c>
      <x:c r="F652" s="7" t="str">
        <x:f>'Safeing Paths'!L98</x:f>
        <x:v>OPEN</x:v>
      </x:c>
    </x:row>
    <x:row r="653">
      <x:c r="B653" s="7" t="str">
        <x:v>PHY-0647</x:v>
      </x:c>
      <x:c r="C653" s="7" t="str">
        <x:v>safeing path</x:v>
      </x:c>
      <x:c r="D653" s="7" t="str">
        <x:v>RFP-B1-FCE-07-M</x:v>
      </x:c>
      <x:c r="E653" s="7" t="str">
        <x:v>Safeing Paths!L99</x:v>
      </x:c>
      <x:c r="F653" s="7" t="str">
        <x:f>'Safeing Paths'!L99</x:f>
        <x:v>OPEN</x:v>
      </x:c>
    </x:row>
    <x:row r="654">
      <x:c r="B654" s="7" t="str">
        <x:v>PHY-0648</x:v>
      </x:c>
      <x:c r="C654" s="7" t="str">
        <x:v>safeing path</x:v>
      </x:c>
      <x:c r="D654" s="7" t="str">
        <x:v>RFP-B1-FCE-08-P</x:v>
      </x:c>
      <x:c r="E654" s="7" t="str">
        <x:v>Safeing Paths!L100</x:v>
      </x:c>
      <x:c r="F654" s="7" t="str">
        <x:f>'Safeing Paths'!L100</x:f>
        <x:v>OPEN</x:v>
      </x:c>
    </x:row>
    <x:row r="655">
      <x:c r="B655" s="7" t="str">
        <x:v>PHY-0649</x:v>
      </x:c>
      <x:c r="C655" s="7" t="str">
        <x:v>safeing path</x:v>
      </x:c>
      <x:c r="D655" s="7" t="str">
        <x:v>RFP-B1-FCE-08-D</x:v>
      </x:c>
      <x:c r="E655" s="7" t="str">
        <x:v>Safeing Paths!L101</x:v>
      </x:c>
      <x:c r="F655" s="7" t="str">
        <x:f>'Safeing Paths'!L101</x:f>
        <x:v>OPEN</x:v>
      </x:c>
    </x:row>
    <x:row r="656">
      <x:c r="B656" s="7" t="str">
        <x:v>PHY-0650</x:v>
      </x:c>
      <x:c r="C656" s="7" t="str">
        <x:v>safeing path</x:v>
      </x:c>
      <x:c r="D656" s="7" t="str">
        <x:v>RFP-B1-FCE-08-M</x:v>
      </x:c>
      <x:c r="E656" s="7" t="str">
        <x:v>Safeing Paths!L102</x:v>
      </x:c>
      <x:c r="F656" s="7" t="str">
        <x:f>'Safeing Paths'!L102</x:f>
        <x:v>OPEN</x:v>
      </x:c>
    </x:row>
    <x:row r="657">
      <x:c r="B657" s="7" t="str">
        <x:v>PHY-0651</x:v>
      </x:c>
      <x:c r="C657" s="7" t="str">
        <x:v>safeing path</x:v>
      </x:c>
      <x:c r="D657" s="7" t="str">
        <x:v>RFP-B1-FCE-09-P</x:v>
      </x:c>
      <x:c r="E657" s="7" t="str">
        <x:v>Safeing Paths!L103</x:v>
      </x:c>
      <x:c r="F657" s="7" t="str">
        <x:f>'Safeing Paths'!L103</x:f>
        <x:v>OPEN</x:v>
      </x:c>
    </x:row>
    <x:row r="658">
      <x:c r="B658" s="7" t="str">
        <x:v>PHY-0652</x:v>
      </x:c>
      <x:c r="C658" s="7" t="str">
        <x:v>safeing path</x:v>
      </x:c>
      <x:c r="D658" s="7" t="str">
        <x:v>RFP-B1-FCE-09-D</x:v>
      </x:c>
      <x:c r="E658" s="7" t="str">
        <x:v>Safeing Paths!L104</x:v>
      </x:c>
      <x:c r="F658" s="7" t="str">
        <x:f>'Safeing Paths'!L104</x:f>
        <x:v>OPEN</x:v>
      </x:c>
    </x:row>
    <x:row r="659">
      <x:c r="B659" s="7" t="str">
        <x:v>PHY-0653</x:v>
      </x:c>
      <x:c r="C659" s="7" t="str">
        <x:v>safeing path</x:v>
      </x:c>
      <x:c r="D659" s="7" t="str">
        <x:v>RFP-B1-FCE-09-M</x:v>
      </x:c>
      <x:c r="E659" s="7" t="str">
        <x:v>Safeing Paths!L105</x:v>
      </x:c>
      <x:c r="F659" s="7" t="str">
        <x:f>'Safeing Paths'!L105</x:f>
        <x:v>OPEN</x:v>
      </x:c>
    </x:row>
    <x:row r="660">
      <x:c r="B660" s="7" t="str">
        <x:v>PHY-0654</x:v>
      </x:c>
      <x:c r="C660" s="7" t="str">
        <x:v>safeing path</x:v>
      </x:c>
      <x:c r="D660" s="7" t="str">
        <x:v>RFP-B1-FCE-10-P</x:v>
      </x:c>
      <x:c r="E660" s="7" t="str">
        <x:v>Safeing Paths!L106</x:v>
      </x:c>
      <x:c r="F660" s="7" t="str">
        <x:f>'Safeing Paths'!L106</x:f>
        <x:v>OPEN</x:v>
      </x:c>
    </x:row>
    <x:row r="661">
      <x:c r="B661" s="7" t="str">
        <x:v>PHY-0655</x:v>
      </x:c>
      <x:c r="C661" s="7" t="str">
        <x:v>safeing path</x:v>
      </x:c>
      <x:c r="D661" s="7" t="str">
        <x:v>RFP-B1-FCE-10-D</x:v>
      </x:c>
      <x:c r="E661" s="7" t="str">
        <x:v>Safeing Paths!L107</x:v>
      </x:c>
      <x:c r="F661" s="7" t="str">
        <x:f>'Safeing Paths'!L107</x:f>
        <x:v>OPEN</x:v>
      </x:c>
    </x:row>
    <x:row r="662">
      <x:c r="B662" s="7" t="str">
        <x:v>PHY-0656</x:v>
      </x:c>
      <x:c r="C662" s="7" t="str">
        <x:v>safeing path</x:v>
      </x:c>
      <x:c r="D662" s="7" t="str">
        <x:v>RFP-B1-FCE-10-M</x:v>
      </x:c>
      <x:c r="E662" s="7" t="str">
        <x:v>Safeing Paths!L108</x:v>
      </x:c>
      <x:c r="F662" s="7" t="str">
        <x:f>'Safeing Paths'!L108</x:f>
        <x:v>OPEN</x:v>
      </x:c>
    </x:row>
    <x:row r="663">
      <x:c r="B663" s="7" t="str">
        <x:v>PHY-0657</x:v>
      </x:c>
      <x:c r="C663" s="7" t="str">
        <x:v>safeing path</x:v>
      </x:c>
      <x:c r="D663" s="7" t="str">
        <x:v>RFP-B1-FCE-11-P</x:v>
      </x:c>
      <x:c r="E663" s="7" t="str">
        <x:v>Safeing Paths!L109</x:v>
      </x:c>
      <x:c r="F663" s="7" t="str">
        <x:f>'Safeing Paths'!L109</x:f>
        <x:v>OPEN</x:v>
      </x:c>
    </x:row>
    <x:row r="664">
      <x:c r="B664" s="7" t="str">
        <x:v>PHY-0658</x:v>
      </x:c>
      <x:c r="C664" s="7" t="str">
        <x:v>safeing path</x:v>
      </x:c>
      <x:c r="D664" s="7" t="str">
        <x:v>RFP-B1-FCE-11-D</x:v>
      </x:c>
      <x:c r="E664" s="7" t="str">
        <x:v>Safeing Paths!L110</x:v>
      </x:c>
      <x:c r="F664" s="7" t="str">
        <x:f>'Safeing Paths'!L110</x:f>
        <x:v>OPEN</x:v>
      </x:c>
    </x:row>
    <x:row r="665">
      <x:c r="B665" s="7" t="str">
        <x:v>PHY-0659</x:v>
      </x:c>
      <x:c r="C665" s="7" t="str">
        <x:v>safeing path</x:v>
      </x:c>
      <x:c r="D665" s="7" t="str">
        <x:v>RFP-B1-FCE-11-M</x:v>
      </x:c>
      <x:c r="E665" s="7" t="str">
        <x:v>Safeing Paths!L111</x:v>
      </x:c>
      <x:c r="F665" s="7" t="str">
        <x:f>'Safeing Paths'!L111</x:f>
        <x:v>OPEN</x:v>
      </x:c>
    </x:row>
    <x:row r="666">
      <x:c r="B666" s="7" t="str">
        <x:v>PHY-0660</x:v>
      </x:c>
      <x:c r="C666" s="7" t="str">
        <x:v>safeing path</x:v>
      </x:c>
      <x:c r="D666" s="7" t="str">
        <x:v>RFP-B1-FCE-12-P</x:v>
      </x:c>
      <x:c r="E666" s="7" t="str">
        <x:v>Safeing Paths!L112</x:v>
      </x:c>
      <x:c r="F666" s="7" t="str">
        <x:f>'Safeing Paths'!L112</x:f>
        <x:v>OPEN</x:v>
      </x:c>
    </x:row>
    <x:row r="667">
      <x:c r="B667" s="7" t="str">
        <x:v>PHY-0661</x:v>
      </x:c>
      <x:c r="C667" s="7" t="str">
        <x:v>safeing path</x:v>
      </x:c>
      <x:c r="D667" s="7" t="str">
        <x:v>RFP-B1-FCE-12-D</x:v>
      </x:c>
      <x:c r="E667" s="7" t="str">
        <x:v>Safeing Paths!L113</x:v>
      </x:c>
      <x:c r="F667" s="7" t="str">
        <x:f>'Safeing Paths'!L113</x:f>
        <x:v>OPEN</x:v>
      </x:c>
    </x:row>
    <x:row r="668">
      <x:c r="B668" s="7" t="str">
        <x:v>PHY-0662</x:v>
      </x:c>
      <x:c r="C668" s="7" t="str">
        <x:v>safeing path</x:v>
      </x:c>
      <x:c r="D668" s="7" t="str">
        <x:v>RFP-B1-FCE-12-M</x:v>
      </x:c>
      <x:c r="E668" s="7" t="str">
        <x:v>Safeing Paths!L114</x:v>
      </x:c>
      <x:c r="F668" s="7" t="str">
        <x:f>'Safeing Paths'!L114</x:f>
        <x:v>OPEN</x:v>
      </x:c>
    </x:row>
    <x:row r="669">
      <x:c r="B669" s="7" t="str">
        <x:v>PHY-0663</x:v>
      </x:c>
      <x:c r="C669" s="7" t="str">
        <x:v>safeing path</x:v>
      </x:c>
      <x:c r="D669" s="7" t="str">
        <x:v>RFP-B2-FCE-01-P</x:v>
      </x:c>
      <x:c r="E669" s="7" t="str">
        <x:v>Safeing Paths!L115</x:v>
      </x:c>
      <x:c r="F669" s="7" t="str">
        <x:f>'Safeing Paths'!L115</x:f>
        <x:v>OPEN</x:v>
      </x:c>
    </x:row>
    <x:row r="670">
      <x:c r="B670" s="7" t="str">
        <x:v>PHY-0664</x:v>
      </x:c>
      <x:c r="C670" s="7" t="str">
        <x:v>safeing path</x:v>
      </x:c>
      <x:c r="D670" s="7" t="str">
        <x:v>RFP-B2-FCE-01-D</x:v>
      </x:c>
      <x:c r="E670" s="7" t="str">
        <x:v>Safeing Paths!L116</x:v>
      </x:c>
      <x:c r="F670" s="7" t="str">
        <x:f>'Safeing Paths'!L116</x:f>
        <x:v>OPEN</x:v>
      </x:c>
    </x:row>
    <x:row r="671">
      <x:c r="B671" s="7" t="str">
        <x:v>PHY-0665</x:v>
      </x:c>
      <x:c r="C671" s="7" t="str">
        <x:v>safeing path</x:v>
      </x:c>
      <x:c r="D671" s="7" t="str">
        <x:v>RFP-B2-FCE-01-M</x:v>
      </x:c>
      <x:c r="E671" s="7" t="str">
        <x:v>Safeing Paths!L117</x:v>
      </x:c>
      <x:c r="F671" s="7" t="str">
        <x:f>'Safeing Paths'!L117</x:f>
        <x:v>OPEN</x:v>
      </x:c>
    </x:row>
    <x:row r="672">
      <x:c r="B672" s="7" t="str">
        <x:v>PHY-0666</x:v>
      </x:c>
      <x:c r="C672" s="7" t="str">
        <x:v>safeing path</x:v>
      </x:c>
      <x:c r="D672" s="7" t="str">
        <x:v>RFP-B2-FCE-02-P</x:v>
      </x:c>
      <x:c r="E672" s="7" t="str">
        <x:v>Safeing Paths!L118</x:v>
      </x:c>
      <x:c r="F672" s="7" t="str">
        <x:f>'Safeing Paths'!L118</x:f>
        <x:v>OPEN</x:v>
      </x:c>
    </x:row>
    <x:row r="673">
      <x:c r="B673" s="7" t="str">
        <x:v>PHY-0667</x:v>
      </x:c>
      <x:c r="C673" s="7" t="str">
        <x:v>safeing path</x:v>
      </x:c>
      <x:c r="D673" s="7" t="str">
        <x:v>RFP-B2-FCE-02-D</x:v>
      </x:c>
      <x:c r="E673" s="7" t="str">
        <x:v>Safeing Paths!L119</x:v>
      </x:c>
      <x:c r="F673" s="7" t="str">
        <x:f>'Safeing Paths'!L119</x:f>
        <x:v>OPEN</x:v>
      </x:c>
    </x:row>
    <x:row r="674">
      <x:c r="B674" s="7" t="str">
        <x:v>PHY-0668</x:v>
      </x:c>
      <x:c r="C674" s="7" t="str">
        <x:v>safeing path</x:v>
      </x:c>
      <x:c r="D674" s="7" t="str">
        <x:v>RFP-B2-FCE-02-M</x:v>
      </x:c>
      <x:c r="E674" s="7" t="str">
        <x:v>Safeing Paths!L120</x:v>
      </x:c>
      <x:c r="F674" s="7" t="str">
        <x:f>'Safeing Paths'!L120</x:f>
        <x:v>OPEN</x:v>
      </x:c>
    </x:row>
    <x:row r="675">
      <x:c r="B675" s="7" t="str">
        <x:v>PHY-0669</x:v>
      </x:c>
      <x:c r="C675" s="7" t="str">
        <x:v>safeing path</x:v>
      </x:c>
      <x:c r="D675" s="7" t="str">
        <x:v>RFP-B2-FCE-03-P</x:v>
      </x:c>
      <x:c r="E675" s="7" t="str">
        <x:v>Safeing Paths!L121</x:v>
      </x:c>
      <x:c r="F675" s="7" t="str">
        <x:f>'Safeing Paths'!L121</x:f>
        <x:v>OPEN</x:v>
      </x:c>
    </x:row>
    <x:row r="676">
      <x:c r="B676" s="7" t="str">
        <x:v>PHY-0670</x:v>
      </x:c>
      <x:c r="C676" s="7" t="str">
        <x:v>safeing path</x:v>
      </x:c>
      <x:c r="D676" s="7" t="str">
        <x:v>RFP-B2-FCE-03-D</x:v>
      </x:c>
      <x:c r="E676" s="7" t="str">
        <x:v>Safeing Paths!L122</x:v>
      </x:c>
      <x:c r="F676" s="7" t="str">
        <x:f>'Safeing Paths'!L122</x:f>
        <x:v>OPEN</x:v>
      </x:c>
    </x:row>
    <x:row r="677">
      <x:c r="B677" s="7" t="str">
        <x:v>PHY-0671</x:v>
      </x:c>
      <x:c r="C677" s="7" t="str">
        <x:v>safeing path</x:v>
      </x:c>
      <x:c r="D677" s="7" t="str">
        <x:v>RFP-B2-FCE-03-M</x:v>
      </x:c>
      <x:c r="E677" s="7" t="str">
        <x:v>Safeing Paths!L123</x:v>
      </x:c>
      <x:c r="F677" s="7" t="str">
        <x:f>'Safeing Paths'!L123</x:f>
        <x:v>OPEN</x:v>
      </x:c>
    </x:row>
    <x:row r="678">
      <x:c r="B678" s="7" t="str">
        <x:v>PHY-0672</x:v>
      </x:c>
      <x:c r="C678" s="7" t="str">
        <x:v>safeing path</x:v>
      </x:c>
      <x:c r="D678" s="7" t="str">
        <x:v>RFP-B2-FCE-04-P</x:v>
      </x:c>
      <x:c r="E678" s="7" t="str">
        <x:v>Safeing Paths!L124</x:v>
      </x:c>
      <x:c r="F678" s="7" t="str">
        <x:f>'Safeing Paths'!L124</x:f>
        <x:v>OPEN</x:v>
      </x:c>
    </x:row>
    <x:row r="679">
      <x:c r="B679" s="7" t="str">
        <x:v>PHY-0673</x:v>
      </x:c>
      <x:c r="C679" s="7" t="str">
        <x:v>safeing path</x:v>
      </x:c>
      <x:c r="D679" s="7" t="str">
        <x:v>RFP-B2-FCE-04-D</x:v>
      </x:c>
      <x:c r="E679" s="7" t="str">
        <x:v>Safeing Paths!L125</x:v>
      </x:c>
      <x:c r="F679" s="7" t="str">
        <x:f>'Safeing Paths'!L125</x:f>
        <x:v>OPEN</x:v>
      </x:c>
    </x:row>
    <x:row r="680">
      <x:c r="B680" s="7" t="str">
        <x:v>PHY-0674</x:v>
      </x:c>
      <x:c r="C680" s="7" t="str">
        <x:v>safeing path</x:v>
      </x:c>
      <x:c r="D680" s="7" t="str">
        <x:v>RFP-B2-FCE-04-M</x:v>
      </x:c>
      <x:c r="E680" s="7" t="str">
        <x:v>Safeing Paths!L126</x:v>
      </x:c>
      <x:c r="F680" s="7" t="str">
        <x:f>'Safeing Paths'!L126</x:f>
        <x:v>OPEN</x:v>
      </x:c>
    </x:row>
    <x:row r="681">
      <x:c r="B681" s="7" t="str">
        <x:v>PHY-0675</x:v>
      </x:c>
      <x:c r="C681" s="7" t="str">
        <x:v>safeing path</x:v>
      </x:c>
      <x:c r="D681" s="7" t="str">
        <x:v>RFP-B2-FCE-05-P</x:v>
      </x:c>
      <x:c r="E681" s="7" t="str">
        <x:v>Safeing Paths!L127</x:v>
      </x:c>
      <x:c r="F681" s="7" t="str">
        <x:f>'Safeing Paths'!L127</x:f>
        <x:v>OPEN</x:v>
      </x:c>
    </x:row>
    <x:row r="682">
      <x:c r="B682" s="7" t="str">
        <x:v>PHY-0676</x:v>
      </x:c>
      <x:c r="C682" s="7" t="str">
        <x:v>safeing path</x:v>
      </x:c>
      <x:c r="D682" s="7" t="str">
        <x:v>RFP-B2-FCE-05-D</x:v>
      </x:c>
      <x:c r="E682" s="7" t="str">
        <x:v>Safeing Paths!L128</x:v>
      </x:c>
      <x:c r="F682" s="7" t="str">
        <x:f>'Safeing Paths'!L128</x:f>
        <x:v>OPEN</x:v>
      </x:c>
    </x:row>
    <x:row r="683">
      <x:c r="B683" s="7" t="str">
        <x:v>PHY-0677</x:v>
      </x:c>
      <x:c r="C683" s="7" t="str">
        <x:v>safeing path</x:v>
      </x:c>
      <x:c r="D683" s="7" t="str">
        <x:v>RFP-B2-FCE-05-M</x:v>
      </x:c>
      <x:c r="E683" s="7" t="str">
        <x:v>Safeing Paths!L129</x:v>
      </x:c>
      <x:c r="F683" s="7" t="str">
        <x:f>'Safeing Paths'!L129</x:f>
        <x:v>OPEN</x:v>
      </x:c>
    </x:row>
    <x:row r="684">
      <x:c r="B684" s="7" t="str">
        <x:v>PHY-0678</x:v>
      </x:c>
      <x:c r="C684" s="7" t="str">
        <x:v>safeing path</x:v>
      </x:c>
      <x:c r="D684" s="7" t="str">
        <x:v>RFP-B2-FCE-06-P</x:v>
      </x:c>
      <x:c r="E684" s="7" t="str">
        <x:v>Safeing Paths!L130</x:v>
      </x:c>
      <x:c r="F684" s="7" t="str">
        <x:f>'Safeing Paths'!L130</x:f>
        <x:v>OPEN</x:v>
      </x:c>
    </x:row>
    <x:row r="685">
      <x:c r="B685" s="7" t="str">
        <x:v>PHY-0679</x:v>
      </x:c>
      <x:c r="C685" s="7" t="str">
        <x:v>safeing path</x:v>
      </x:c>
      <x:c r="D685" s="7" t="str">
        <x:v>RFP-B2-FCE-06-D</x:v>
      </x:c>
      <x:c r="E685" s="7" t="str">
        <x:v>Safeing Paths!L131</x:v>
      </x:c>
      <x:c r="F685" s="7" t="str">
        <x:f>'Safeing Paths'!L131</x:f>
        <x:v>OPEN</x:v>
      </x:c>
    </x:row>
    <x:row r="686">
      <x:c r="B686" s="7" t="str">
        <x:v>PHY-0680</x:v>
      </x:c>
      <x:c r="C686" s="7" t="str">
        <x:v>safeing path</x:v>
      </x:c>
      <x:c r="D686" s="7" t="str">
        <x:v>RFP-B2-FCE-06-M</x:v>
      </x:c>
      <x:c r="E686" s="7" t="str">
        <x:v>Safeing Paths!L132</x:v>
      </x:c>
      <x:c r="F686" s="7" t="str">
        <x:f>'Safeing Paths'!L132</x:f>
        <x:v>OPEN</x:v>
      </x:c>
    </x:row>
    <x:row r="687">
      <x:c r="B687" s="7" t="str">
        <x:v>PHY-0681</x:v>
      </x:c>
      <x:c r="C687" s="7" t="str">
        <x:v>safeing path</x:v>
      </x:c>
      <x:c r="D687" s="7" t="str">
        <x:v>RFP-B2-FCE-07-P</x:v>
      </x:c>
      <x:c r="E687" s="7" t="str">
        <x:v>Safeing Paths!L133</x:v>
      </x:c>
      <x:c r="F687" s="7" t="str">
        <x:f>'Safeing Paths'!L133</x:f>
        <x:v>OPEN</x:v>
      </x:c>
    </x:row>
    <x:row r="688">
      <x:c r="B688" s="7" t="str">
        <x:v>PHY-0682</x:v>
      </x:c>
      <x:c r="C688" s="7" t="str">
        <x:v>safeing path</x:v>
      </x:c>
      <x:c r="D688" s="7" t="str">
        <x:v>RFP-B2-FCE-07-D</x:v>
      </x:c>
      <x:c r="E688" s="7" t="str">
        <x:v>Safeing Paths!L134</x:v>
      </x:c>
      <x:c r="F688" s="7" t="str">
        <x:f>'Safeing Paths'!L134</x:f>
        <x:v>OPEN</x:v>
      </x:c>
    </x:row>
    <x:row r="689">
      <x:c r="B689" s="7" t="str">
        <x:v>PHY-0683</x:v>
      </x:c>
      <x:c r="C689" s="7" t="str">
        <x:v>safeing path</x:v>
      </x:c>
      <x:c r="D689" s="7" t="str">
        <x:v>RFP-B2-FCE-07-M</x:v>
      </x:c>
      <x:c r="E689" s="7" t="str">
        <x:v>Safeing Paths!L135</x:v>
      </x:c>
      <x:c r="F689" s="7" t="str">
        <x:f>'Safeing Paths'!L135</x:f>
        <x:v>OPEN</x:v>
      </x:c>
    </x:row>
    <x:row r="690">
      <x:c r="B690" s="7" t="str">
        <x:v>PHY-0684</x:v>
      </x:c>
      <x:c r="C690" s="7" t="str">
        <x:v>safeing path</x:v>
      </x:c>
      <x:c r="D690" s="7" t="str">
        <x:v>RFP-B2-FCE-08-P</x:v>
      </x:c>
      <x:c r="E690" s="7" t="str">
        <x:v>Safeing Paths!L136</x:v>
      </x:c>
      <x:c r="F690" s="7" t="str">
        <x:f>'Safeing Paths'!L136</x:f>
        <x:v>OPEN</x:v>
      </x:c>
    </x:row>
    <x:row r="691">
      <x:c r="B691" s="7" t="str">
        <x:v>PHY-0685</x:v>
      </x:c>
      <x:c r="C691" s="7" t="str">
        <x:v>safeing path</x:v>
      </x:c>
      <x:c r="D691" s="7" t="str">
        <x:v>RFP-B2-FCE-08-D</x:v>
      </x:c>
      <x:c r="E691" s="7" t="str">
        <x:v>Safeing Paths!L137</x:v>
      </x:c>
      <x:c r="F691" s="7" t="str">
        <x:f>'Safeing Paths'!L137</x:f>
        <x:v>OPEN</x:v>
      </x:c>
    </x:row>
    <x:row r="692">
      <x:c r="B692" s="7" t="str">
        <x:v>PHY-0686</x:v>
      </x:c>
      <x:c r="C692" s="7" t="str">
        <x:v>safeing path</x:v>
      </x:c>
      <x:c r="D692" s="7" t="str">
        <x:v>RFP-B2-FCE-08-M</x:v>
      </x:c>
      <x:c r="E692" s="7" t="str">
        <x:v>Safeing Paths!L138</x:v>
      </x:c>
      <x:c r="F692" s="7" t="str">
        <x:f>'Safeing Paths'!L138</x:f>
        <x:v>OPEN</x:v>
      </x:c>
    </x:row>
    <x:row r="693">
      <x:c r="B693" s="7" t="str">
        <x:v>PHY-0687</x:v>
      </x:c>
      <x:c r="C693" s="7" t="str">
        <x:v>safeing path</x:v>
      </x:c>
      <x:c r="D693" s="7" t="str">
        <x:v>RFP-B2-FCE-09-P</x:v>
      </x:c>
      <x:c r="E693" s="7" t="str">
        <x:v>Safeing Paths!L139</x:v>
      </x:c>
      <x:c r="F693" s="7" t="str">
        <x:f>'Safeing Paths'!L139</x:f>
        <x:v>OPEN</x:v>
      </x:c>
    </x:row>
    <x:row r="694">
      <x:c r="B694" s="7" t="str">
        <x:v>PHY-0688</x:v>
      </x:c>
      <x:c r="C694" s="7" t="str">
        <x:v>safeing path</x:v>
      </x:c>
      <x:c r="D694" s="7" t="str">
        <x:v>RFP-B2-FCE-09-D</x:v>
      </x:c>
      <x:c r="E694" s="7" t="str">
        <x:v>Safeing Paths!L140</x:v>
      </x:c>
      <x:c r="F694" s="7" t="str">
        <x:f>'Safeing Paths'!L140</x:f>
        <x:v>OPEN</x:v>
      </x:c>
    </x:row>
    <x:row r="695">
      <x:c r="B695" s="7" t="str">
        <x:v>PHY-0689</x:v>
      </x:c>
      <x:c r="C695" s="7" t="str">
        <x:v>safeing path</x:v>
      </x:c>
      <x:c r="D695" s="7" t="str">
        <x:v>RFP-B2-FCE-09-M</x:v>
      </x:c>
      <x:c r="E695" s="7" t="str">
        <x:v>Safeing Paths!L141</x:v>
      </x:c>
      <x:c r="F695" s="7" t="str">
        <x:f>'Safeing Paths'!L141</x:f>
        <x:v>OPEN</x:v>
      </x:c>
    </x:row>
    <x:row r="696">
      <x:c r="B696" s="7" t="str">
        <x:v>PHY-0690</x:v>
      </x:c>
      <x:c r="C696" s="7" t="str">
        <x:v>safeing path</x:v>
      </x:c>
      <x:c r="D696" s="7" t="str">
        <x:v>RFP-B2-FCE-10-P</x:v>
      </x:c>
      <x:c r="E696" s="7" t="str">
        <x:v>Safeing Paths!L142</x:v>
      </x:c>
      <x:c r="F696" s="7" t="str">
        <x:f>'Safeing Paths'!L142</x:f>
        <x:v>OPEN</x:v>
      </x:c>
    </x:row>
    <x:row r="697">
      <x:c r="B697" s="7" t="str">
        <x:v>PHY-0691</x:v>
      </x:c>
      <x:c r="C697" s="7" t="str">
        <x:v>safeing path</x:v>
      </x:c>
      <x:c r="D697" s="7" t="str">
        <x:v>RFP-B2-FCE-10-D</x:v>
      </x:c>
      <x:c r="E697" s="7" t="str">
        <x:v>Safeing Paths!L143</x:v>
      </x:c>
      <x:c r="F697" s="7" t="str">
        <x:f>'Safeing Paths'!L143</x:f>
        <x:v>OPEN</x:v>
      </x:c>
    </x:row>
    <x:row r="698">
      <x:c r="B698" s="7" t="str">
        <x:v>PHY-0692</x:v>
      </x:c>
      <x:c r="C698" s="7" t="str">
        <x:v>safeing path</x:v>
      </x:c>
      <x:c r="D698" s="7" t="str">
        <x:v>RFP-B2-FCE-10-M</x:v>
      </x:c>
      <x:c r="E698" s="7" t="str">
        <x:v>Safeing Paths!L144</x:v>
      </x:c>
      <x:c r="F698" s="7" t="str">
        <x:f>'Safeing Paths'!L144</x:f>
        <x:v>OPEN</x:v>
      </x:c>
    </x:row>
    <x:row r="699">
      <x:c r="B699" s="7" t="str">
        <x:v>PHY-0693</x:v>
      </x:c>
      <x:c r="C699" s="7" t="str">
        <x:v>safeing path</x:v>
      </x:c>
      <x:c r="D699" s="7" t="str">
        <x:v>RFP-B2-FCE-11-P</x:v>
      </x:c>
      <x:c r="E699" s="7" t="str">
        <x:v>Safeing Paths!L145</x:v>
      </x:c>
      <x:c r="F699" s="7" t="str">
        <x:f>'Safeing Paths'!L145</x:f>
        <x:v>OPEN</x:v>
      </x:c>
    </x:row>
    <x:row r="700">
      <x:c r="B700" s="7" t="str">
        <x:v>PHY-0694</x:v>
      </x:c>
      <x:c r="C700" s="7" t="str">
        <x:v>safeing path</x:v>
      </x:c>
      <x:c r="D700" s="7" t="str">
        <x:v>RFP-B2-FCE-11-D</x:v>
      </x:c>
      <x:c r="E700" s="7" t="str">
        <x:v>Safeing Paths!L146</x:v>
      </x:c>
      <x:c r="F700" s="7" t="str">
        <x:f>'Safeing Paths'!L146</x:f>
        <x:v>OPEN</x:v>
      </x:c>
    </x:row>
    <x:row r="701">
      <x:c r="B701" s="7" t="str">
        <x:v>PHY-0695</x:v>
      </x:c>
      <x:c r="C701" s="7" t="str">
        <x:v>safeing path</x:v>
      </x:c>
      <x:c r="D701" s="7" t="str">
        <x:v>RFP-B2-FCE-11-M</x:v>
      </x:c>
      <x:c r="E701" s="7" t="str">
        <x:v>Safeing Paths!L147</x:v>
      </x:c>
      <x:c r="F701" s="7" t="str">
        <x:f>'Safeing Paths'!L147</x:f>
        <x:v>OPEN</x:v>
      </x:c>
    </x:row>
    <x:row r="702">
      <x:c r="B702" s="7" t="str">
        <x:v>PHY-0696</x:v>
      </x:c>
      <x:c r="C702" s="7" t="str">
        <x:v>safeing path</x:v>
      </x:c>
      <x:c r="D702" s="7" t="str">
        <x:v>RFP-B2-FCE-12-P</x:v>
      </x:c>
      <x:c r="E702" s="7" t="str">
        <x:v>Safeing Paths!L148</x:v>
      </x:c>
      <x:c r="F702" s="7" t="str">
        <x:f>'Safeing Paths'!L148</x:f>
        <x:v>OPEN</x:v>
      </x:c>
    </x:row>
    <x:row r="703">
      <x:c r="B703" s="7" t="str">
        <x:v>PHY-0697</x:v>
      </x:c>
      <x:c r="C703" s="7" t="str">
        <x:v>safeing path</x:v>
      </x:c>
      <x:c r="D703" s="7" t="str">
        <x:v>RFP-B2-FCE-12-D</x:v>
      </x:c>
      <x:c r="E703" s="7" t="str">
        <x:v>Safeing Paths!L149</x:v>
      </x:c>
      <x:c r="F703" s="7" t="str">
        <x:f>'Safeing Paths'!L149</x:f>
        <x:v>OPEN</x:v>
      </x:c>
    </x:row>
    <x:row r="704">
      <x:c r="B704" s="7" t="str">
        <x:v>PHY-0698</x:v>
      </x:c>
      <x:c r="C704" s="7" t="str">
        <x:v>safeing path</x:v>
      </x:c>
      <x:c r="D704" s="7" t="str">
        <x:v>RFP-B2-FCE-12-M</x:v>
      </x:c>
      <x:c r="E704" s="7" t="str">
        <x:v>Safeing Paths!L150</x:v>
      </x:c>
      <x:c r="F704" s="7" t="str">
        <x:f>'Safeing Paths'!L150</x:f>
        <x:v>OPEN</x:v>
      </x:c>
    </x:row>
    <x:row r="705">
      <x:c r="B705" s="7" t="str">
        <x:v>PHY-0699</x:v>
      </x:c>
      <x:c r="C705" s="7" t="str">
        <x:v>safeing path</x:v>
      </x:c>
      <x:c r="D705" s="7" t="str">
        <x:v>RFP-C1-FCE-01-P</x:v>
      </x:c>
      <x:c r="E705" s="7" t="str">
        <x:v>Safeing Paths!L151</x:v>
      </x:c>
      <x:c r="F705" s="7" t="str">
        <x:f>'Safeing Paths'!L151</x:f>
        <x:v>OPEN</x:v>
      </x:c>
    </x:row>
    <x:row r="706">
      <x:c r="B706" s="7" t="str">
        <x:v>PHY-0700</x:v>
      </x:c>
      <x:c r="C706" s="7" t="str">
        <x:v>safeing path</x:v>
      </x:c>
      <x:c r="D706" s="7" t="str">
        <x:v>RFP-C1-FCE-01-D</x:v>
      </x:c>
      <x:c r="E706" s="7" t="str">
        <x:v>Safeing Paths!L152</x:v>
      </x:c>
      <x:c r="F706" s="7" t="str">
        <x:f>'Safeing Paths'!L152</x:f>
        <x:v>OPEN</x:v>
      </x:c>
    </x:row>
    <x:row r="707">
      <x:c r="B707" s="7" t="str">
        <x:v>PHY-0701</x:v>
      </x:c>
      <x:c r="C707" s="7" t="str">
        <x:v>safeing path</x:v>
      </x:c>
      <x:c r="D707" s="7" t="str">
        <x:v>RFP-C1-FCE-01-M</x:v>
      </x:c>
      <x:c r="E707" s="7" t="str">
        <x:v>Safeing Paths!L153</x:v>
      </x:c>
      <x:c r="F707" s="7" t="str">
        <x:f>'Safeing Paths'!L153</x:f>
        <x:v>OPEN</x:v>
      </x:c>
    </x:row>
    <x:row r="708">
      <x:c r="B708" s="7" t="str">
        <x:v>PHY-0702</x:v>
      </x:c>
      <x:c r="C708" s="7" t="str">
        <x:v>safeing path</x:v>
      </x:c>
      <x:c r="D708" s="7" t="str">
        <x:v>RFP-C1-FCE-02-P</x:v>
      </x:c>
      <x:c r="E708" s="7" t="str">
        <x:v>Safeing Paths!L154</x:v>
      </x:c>
      <x:c r="F708" s="7" t="str">
        <x:f>'Safeing Paths'!L154</x:f>
        <x:v>OPEN</x:v>
      </x:c>
    </x:row>
    <x:row r="709">
      <x:c r="B709" s="7" t="str">
        <x:v>PHY-0703</x:v>
      </x:c>
      <x:c r="C709" s="7" t="str">
        <x:v>safeing path</x:v>
      </x:c>
      <x:c r="D709" s="7" t="str">
        <x:v>RFP-C1-FCE-02-D</x:v>
      </x:c>
      <x:c r="E709" s="7" t="str">
        <x:v>Safeing Paths!L155</x:v>
      </x:c>
      <x:c r="F709" s="7" t="str">
        <x:f>'Safeing Paths'!L155</x:f>
        <x:v>OPEN</x:v>
      </x:c>
    </x:row>
    <x:row r="710">
      <x:c r="B710" s="7" t="str">
        <x:v>PHY-0704</x:v>
      </x:c>
      <x:c r="C710" s="7" t="str">
        <x:v>safeing path</x:v>
      </x:c>
      <x:c r="D710" s="7" t="str">
        <x:v>RFP-C1-FCE-02-M</x:v>
      </x:c>
      <x:c r="E710" s="7" t="str">
        <x:v>Safeing Paths!L156</x:v>
      </x:c>
      <x:c r="F710" s="7" t="str">
        <x:f>'Safeing Paths'!L156</x:f>
        <x:v>OPEN</x:v>
      </x:c>
    </x:row>
    <x:row r="711">
      <x:c r="B711" s="7" t="str">
        <x:v>PHY-0705</x:v>
      </x:c>
      <x:c r="C711" s="7" t="str">
        <x:v>safeing path</x:v>
      </x:c>
      <x:c r="D711" s="7" t="str">
        <x:v>RFP-C1-FCE-03-P</x:v>
      </x:c>
      <x:c r="E711" s="7" t="str">
        <x:v>Safeing Paths!L157</x:v>
      </x:c>
      <x:c r="F711" s="7" t="str">
        <x:f>'Safeing Paths'!L157</x:f>
        <x:v>OPEN</x:v>
      </x:c>
    </x:row>
    <x:row r="712">
      <x:c r="B712" s="7" t="str">
        <x:v>PHY-0706</x:v>
      </x:c>
      <x:c r="C712" s="7" t="str">
        <x:v>safeing path</x:v>
      </x:c>
      <x:c r="D712" s="7" t="str">
        <x:v>RFP-C1-FCE-03-D</x:v>
      </x:c>
      <x:c r="E712" s="7" t="str">
        <x:v>Safeing Paths!L158</x:v>
      </x:c>
      <x:c r="F712" s="7" t="str">
        <x:f>'Safeing Paths'!L158</x:f>
        <x:v>OPEN</x:v>
      </x:c>
    </x:row>
    <x:row r="713">
      <x:c r="B713" s="7" t="str">
        <x:v>PHY-0707</x:v>
      </x:c>
      <x:c r="C713" s="7" t="str">
        <x:v>safeing path</x:v>
      </x:c>
      <x:c r="D713" s="7" t="str">
        <x:v>RFP-C1-FCE-03-M</x:v>
      </x:c>
      <x:c r="E713" s="7" t="str">
        <x:v>Safeing Paths!L159</x:v>
      </x:c>
      <x:c r="F713" s="7" t="str">
        <x:f>'Safeing Paths'!L159</x:f>
        <x:v>OPEN</x:v>
      </x:c>
    </x:row>
    <x:row r="714">
      <x:c r="B714" s="7" t="str">
        <x:v>PHY-0708</x:v>
      </x:c>
      <x:c r="C714" s="7" t="str">
        <x:v>safeing path</x:v>
      </x:c>
      <x:c r="D714" s="7" t="str">
        <x:v>RFP-C1-FCE-04-P</x:v>
      </x:c>
      <x:c r="E714" s="7" t="str">
        <x:v>Safeing Paths!L160</x:v>
      </x:c>
      <x:c r="F714" s="7" t="str">
        <x:f>'Safeing Paths'!L160</x:f>
        <x:v>OPEN</x:v>
      </x:c>
    </x:row>
    <x:row r="715">
      <x:c r="B715" s="7" t="str">
        <x:v>PHY-0709</x:v>
      </x:c>
      <x:c r="C715" s="7" t="str">
        <x:v>safeing path</x:v>
      </x:c>
      <x:c r="D715" s="7" t="str">
        <x:v>RFP-C1-FCE-04-D</x:v>
      </x:c>
      <x:c r="E715" s="7" t="str">
        <x:v>Safeing Paths!L161</x:v>
      </x:c>
      <x:c r="F715" s="7" t="str">
        <x:f>'Safeing Paths'!L161</x:f>
        <x:v>OPEN</x:v>
      </x:c>
    </x:row>
    <x:row r="716">
      <x:c r="B716" s="7" t="str">
        <x:v>PHY-0710</x:v>
      </x:c>
      <x:c r="C716" s="7" t="str">
        <x:v>safeing path</x:v>
      </x:c>
      <x:c r="D716" s="7" t="str">
        <x:v>RFP-C1-FCE-04-M</x:v>
      </x:c>
      <x:c r="E716" s="7" t="str">
        <x:v>Safeing Paths!L162</x:v>
      </x:c>
      <x:c r="F716" s="7" t="str">
        <x:f>'Safeing Paths'!L162</x:f>
        <x:v>OPEN</x:v>
      </x:c>
    </x:row>
    <x:row r="717">
      <x:c r="B717" s="7" t="str">
        <x:v>PHY-0711</x:v>
      </x:c>
      <x:c r="C717" s="7" t="str">
        <x:v>safeing path</x:v>
      </x:c>
      <x:c r="D717" s="7" t="str">
        <x:v>RFP-C1-FCE-05-P</x:v>
      </x:c>
      <x:c r="E717" s="7" t="str">
        <x:v>Safeing Paths!L163</x:v>
      </x:c>
      <x:c r="F717" s="7" t="str">
        <x:f>'Safeing Paths'!L163</x:f>
        <x:v>OPEN</x:v>
      </x:c>
    </x:row>
    <x:row r="718">
      <x:c r="B718" s="7" t="str">
        <x:v>PHY-0712</x:v>
      </x:c>
      <x:c r="C718" s="7" t="str">
        <x:v>safeing path</x:v>
      </x:c>
      <x:c r="D718" s="7" t="str">
        <x:v>RFP-C1-FCE-05-D</x:v>
      </x:c>
      <x:c r="E718" s="7" t="str">
        <x:v>Safeing Paths!L164</x:v>
      </x:c>
      <x:c r="F718" s="7" t="str">
        <x:f>'Safeing Paths'!L164</x:f>
        <x:v>OPEN</x:v>
      </x:c>
    </x:row>
    <x:row r="719">
      <x:c r="B719" s="7" t="str">
        <x:v>PHY-0713</x:v>
      </x:c>
      <x:c r="C719" s="7" t="str">
        <x:v>safeing path</x:v>
      </x:c>
      <x:c r="D719" s="7" t="str">
        <x:v>RFP-C1-FCE-05-M</x:v>
      </x:c>
      <x:c r="E719" s="7" t="str">
        <x:v>Safeing Paths!L165</x:v>
      </x:c>
      <x:c r="F719" s="7" t="str">
        <x:f>'Safeing Paths'!L165</x:f>
        <x:v>OPEN</x:v>
      </x:c>
    </x:row>
    <x:row r="720">
      <x:c r="B720" s="7" t="str">
        <x:v>PHY-0714</x:v>
      </x:c>
      <x:c r="C720" s="7" t="str">
        <x:v>safeing path</x:v>
      </x:c>
      <x:c r="D720" s="7" t="str">
        <x:v>RFP-C1-FCE-06-P</x:v>
      </x:c>
      <x:c r="E720" s="7" t="str">
        <x:v>Safeing Paths!L166</x:v>
      </x:c>
      <x:c r="F720" s="7" t="str">
        <x:f>'Safeing Paths'!L166</x:f>
        <x:v>OPEN</x:v>
      </x:c>
    </x:row>
    <x:row r="721">
      <x:c r="B721" s="7" t="str">
        <x:v>PHY-0715</x:v>
      </x:c>
      <x:c r="C721" s="7" t="str">
        <x:v>safeing path</x:v>
      </x:c>
      <x:c r="D721" s="7" t="str">
        <x:v>RFP-C1-FCE-06-D</x:v>
      </x:c>
      <x:c r="E721" s="7" t="str">
        <x:v>Safeing Paths!L167</x:v>
      </x:c>
      <x:c r="F721" s="7" t="str">
        <x:f>'Safeing Paths'!L167</x:f>
        <x:v>OPEN</x:v>
      </x:c>
    </x:row>
    <x:row r="722">
      <x:c r="B722" s="7" t="str">
        <x:v>PHY-0716</x:v>
      </x:c>
      <x:c r="C722" s="7" t="str">
        <x:v>safeing path</x:v>
      </x:c>
      <x:c r="D722" s="7" t="str">
        <x:v>RFP-C1-FCE-06-M</x:v>
      </x:c>
      <x:c r="E722" s="7" t="str">
        <x:v>Safeing Paths!L168</x:v>
      </x:c>
      <x:c r="F722" s="7" t="str">
        <x:f>'Safeing Paths'!L168</x:f>
        <x:v>OPEN</x:v>
      </x:c>
    </x:row>
    <x:row r="723">
      <x:c r="B723" s="7" t="str">
        <x:v>PHY-0717</x:v>
      </x:c>
      <x:c r="C723" s="7" t="str">
        <x:v>safeing path</x:v>
      </x:c>
      <x:c r="D723" s="7" t="str">
        <x:v>RFP-C1-FCE-07-P</x:v>
      </x:c>
      <x:c r="E723" s="7" t="str">
        <x:v>Safeing Paths!L169</x:v>
      </x:c>
      <x:c r="F723" s="7" t="str">
        <x:f>'Safeing Paths'!L169</x:f>
        <x:v>OPEN</x:v>
      </x:c>
    </x:row>
    <x:row r="724">
      <x:c r="B724" s="7" t="str">
        <x:v>PHY-0718</x:v>
      </x:c>
      <x:c r="C724" s="7" t="str">
        <x:v>safeing path</x:v>
      </x:c>
      <x:c r="D724" s="7" t="str">
        <x:v>RFP-C1-FCE-07-D</x:v>
      </x:c>
      <x:c r="E724" s="7" t="str">
        <x:v>Safeing Paths!L170</x:v>
      </x:c>
      <x:c r="F724" s="7" t="str">
        <x:f>'Safeing Paths'!L170</x:f>
        <x:v>OPEN</x:v>
      </x:c>
    </x:row>
    <x:row r="725">
      <x:c r="B725" s="7" t="str">
        <x:v>PHY-0719</x:v>
      </x:c>
      <x:c r="C725" s="7" t="str">
        <x:v>safeing path</x:v>
      </x:c>
      <x:c r="D725" s="7" t="str">
        <x:v>RFP-C1-FCE-07-M</x:v>
      </x:c>
      <x:c r="E725" s="7" t="str">
        <x:v>Safeing Paths!L171</x:v>
      </x:c>
      <x:c r="F725" s="7" t="str">
        <x:f>'Safeing Paths'!L171</x:f>
        <x:v>OPEN</x:v>
      </x:c>
    </x:row>
    <x:row r="726">
      <x:c r="B726" s="7" t="str">
        <x:v>PHY-0720</x:v>
      </x:c>
      <x:c r="C726" s="7" t="str">
        <x:v>safeing path</x:v>
      </x:c>
      <x:c r="D726" s="7" t="str">
        <x:v>RFP-C1-FCE-08-P</x:v>
      </x:c>
      <x:c r="E726" s="7" t="str">
        <x:v>Safeing Paths!L172</x:v>
      </x:c>
      <x:c r="F726" s="7" t="str">
        <x:f>'Safeing Paths'!L172</x:f>
        <x:v>OPEN</x:v>
      </x:c>
    </x:row>
    <x:row r="727">
      <x:c r="B727" s="7" t="str">
        <x:v>PHY-0721</x:v>
      </x:c>
      <x:c r="C727" s="7" t="str">
        <x:v>safeing path</x:v>
      </x:c>
      <x:c r="D727" s="7" t="str">
        <x:v>RFP-C1-FCE-08-D</x:v>
      </x:c>
      <x:c r="E727" s="7" t="str">
        <x:v>Safeing Paths!L173</x:v>
      </x:c>
      <x:c r="F727" s="7" t="str">
        <x:f>'Safeing Paths'!L173</x:f>
        <x:v>OPEN</x:v>
      </x:c>
    </x:row>
    <x:row r="728">
      <x:c r="B728" s="7" t="str">
        <x:v>PHY-0722</x:v>
      </x:c>
      <x:c r="C728" s="7" t="str">
        <x:v>safeing path</x:v>
      </x:c>
      <x:c r="D728" s="7" t="str">
        <x:v>RFP-C1-FCE-08-M</x:v>
      </x:c>
      <x:c r="E728" s="7" t="str">
        <x:v>Safeing Paths!L174</x:v>
      </x:c>
      <x:c r="F728" s="7" t="str">
        <x:f>'Safeing Paths'!L174</x:f>
        <x:v>OPEN</x:v>
      </x:c>
    </x:row>
    <x:row r="729">
      <x:c r="B729" s="7" t="str">
        <x:v>PHY-0723</x:v>
      </x:c>
      <x:c r="C729" s="7" t="str">
        <x:v>safeing path</x:v>
      </x:c>
      <x:c r="D729" s="7" t="str">
        <x:v>RFP-C1-FCE-09-P</x:v>
      </x:c>
      <x:c r="E729" s="7" t="str">
        <x:v>Safeing Paths!L175</x:v>
      </x:c>
      <x:c r="F729" s="7" t="str">
        <x:f>'Safeing Paths'!L175</x:f>
        <x:v>OPEN</x:v>
      </x:c>
    </x:row>
    <x:row r="730">
      <x:c r="B730" s="7" t="str">
        <x:v>PHY-0724</x:v>
      </x:c>
      <x:c r="C730" s="7" t="str">
        <x:v>safeing path</x:v>
      </x:c>
      <x:c r="D730" s="7" t="str">
        <x:v>RFP-C1-FCE-09-D</x:v>
      </x:c>
      <x:c r="E730" s="7" t="str">
        <x:v>Safeing Paths!L176</x:v>
      </x:c>
      <x:c r="F730" s="7" t="str">
        <x:f>'Safeing Paths'!L176</x:f>
        <x:v>OPEN</x:v>
      </x:c>
    </x:row>
    <x:row r="731">
      <x:c r="B731" s="7" t="str">
        <x:v>PHY-0725</x:v>
      </x:c>
      <x:c r="C731" s="7" t="str">
        <x:v>safeing path</x:v>
      </x:c>
      <x:c r="D731" s="7" t="str">
        <x:v>RFP-C1-FCE-09-M</x:v>
      </x:c>
      <x:c r="E731" s="7" t="str">
        <x:v>Safeing Paths!L177</x:v>
      </x:c>
      <x:c r="F731" s="7" t="str">
        <x:f>'Safeing Paths'!L177</x:f>
        <x:v>OPEN</x:v>
      </x:c>
    </x:row>
    <x:row r="732">
      <x:c r="B732" s="7" t="str">
        <x:v>PHY-0726</x:v>
      </x:c>
      <x:c r="C732" s="7" t="str">
        <x:v>safeing path</x:v>
      </x:c>
      <x:c r="D732" s="7" t="str">
        <x:v>RFP-C1-FCE-10-P</x:v>
      </x:c>
      <x:c r="E732" s="7" t="str">
        <x:v>Safeing Paths!L178</x:v>
      </x:c>
      <x:c r="F732" s="7" t="str">
        <x:f>'Safeing Paths'!L178</x:f>
        <x:v>OPEN</x:v>
      </x:c>
    </x:row>
    <x:row r="733">
      <x:c r="B733" s="7" t="str">
        <x:v>PHY-0727</x:v>
      </x:c>
      <x:c r="C733" s="7" t="str">
        <x:v>safeing path</x:v>
      </x:c>
      <x:c r="D733" s="7" t="str">
        <x:v>RFP-C1-FCE-10-D</x:v>
      </x:c>
      <x:c r="E733" s="7" t="str">
        <x:v>Safeing Paths!L179</x:v>
      </x:c>
      <x:c r="F733" s="7" t="str">
        <x:f>'Safeing Paths'!L179</x:f>
        <x:v>OPEN</x:v>
      </x:c>
    </x:row>
    <x:row r="734">
      <x:c r="B734" s="7" t="str">
        <x:v>PHY-0728</x:v>
      </x:c>
      <x:c r="C734" s="7" t="str">
        <x:v>safeing path</x:v>
      </x:c>
      <x:c r="D734" s="7" t="str">
        <x:v>RFP-C1-FCE-10-M</x:v>
      </x:c>
      <x:c r="E734" s="7" t="str">
        <x:v>Safeing Paths!L180</x:v>
      </x:c>
      <x:c r="F734" s="7" t="str">
        <x:f>'Safeing Paths'!L180</x:f>
        <x:v>OPEN</x:v>
      </x:c>
    </x:row>
    <x:row r="735">
      <x:c r="B735" s="7" t="str">
        <x:v>PHY-0729</x:v>
      </x:c>
      <x:c r="C735" s="7" t="str">
        <x:v>safeing path</x:v>
      </x:c>
      <x:c r="D735" s="7" t="str">
        <x:v>RFP-C1-FCE-11-P</x:v>
      </x:c>
      <x:c r="E735" s="7" t="str">
        <x:v>Safeing Paths!L181</x:v>
      </x:c>
      <x:c r="F735" s="7" t="str">
        <x:f>'Safeing Paths'!L181</x:f>
        <x:v>OPEN</x:v>
      </x:c>
    </x:row>
    <x:row r="736">
      <x:c r="B736" s="7" t="str">
        <x:v>PHY-0730</x:v>
      </x:c>
      <x:c r="C736" s="7" t="str">
        <x:v>safeing path</x:v>
      </x:c>
      <x:c r="D736" s="7" t="str">
        <x:v>RFP-C1-FCE-11-D</x:v>
      </x:c>
      <x:c r="E736" s="7" t="str">
        <x:v>Safeing Paths!L182</x:v>
      </x:c>
      <x:c r="F736" s="7" t="str">
        <x:f>'Safeing Paths'!L182</x:f>
        <x:v>OPEN</x:v>
      </x:c>
    </x:row>
    <x:row r="737">
      <x:c r="B737" s="7" t="str">
        <x:v>PHY-0731</x:v>
      </x:c>
      <x:c r="C737" s="7" t="str">
        <x:v>safeing path</x:v>
      </x:c>
      <x:c r="D737" s="7" t="str">
        <x:v>RFP-C1-FCE-11-M</x:v>
      </x:c>
      <x:c r="E737" s="7" t="str">
        <x:v>Safeing Paths!L183</x:v>
      </x:c>
      <x:c r="F737" s="7" t="str">
        <x:f>'Safeing Paths'!L183</x:f>
        <x:v>OPEN</x:v>
      </x:c>
    </x:row>
    <x:row r="738">
      <x:c r="B738" s="7" t="str">
        <x:v>PHY-0732</x:v>
      </x:c>
      <x:c r="C738" s="7" t="str">
        <x:v>safeing path</x:v>
      </x:c>
      <x:c r="D738" s="7" t="str">
        <x:v>RFP-C1-FCE-12-P</x:v>
      </x:c>
      <x:c r="E738" s="7" t="str">
        <x:v>Safeing Paths!L184</x:v>
      </x:c>
      <x:c r="F738" s="7" t="str">
        <x:f>'Safeing Paths'!L184</x:f>
        <x:v>OPEN</x:v>
      </x:c>
    </x:row>
    <x:row r="739">
      <x:c r="B739" s="7" t="str">
        <x:v>PHY-0733</x:v>
      </x:c>
      <x:c r="C739" s="7" t="str">
        <x:v>safeing path</x:v>
      </x:c>
      <x:c r="D739" s="7" t="str">
        <x:v>RFP-C1-FCE-12-D</x:v>
      </x:c>
      <x:c r="E739" s="7" t="str">
        <x:v>Safeing Paths!L185</x:v>
      </x:c>
      <x:c r="F739" s="7" t="str">
        <x:f>'Safeing Paths'!L185</x:f>
        <x:v>OPEN</x:v>
      </x:c>
    </x:row>
    <x:row r="740">
      <x:c r="B740" s="7" t="str">
        <x:v>PHY-0734</x:v>
      </x:c>
      <x:c r="C740" s="7" t="str">
        <x:v>safeing path</x:v>
      </x:c>
      <x:c r="D740" s="7" t="str">
        <x:v>RFP-C1-FCE-12-M</x:v>
      </x:c>
      <x:c r="E740" s="7" t="str">
        <x:v>Safeing Paths!L186</x:v>
      </x:c>
      <x:c r="F740" s="7" t="str">
        <x:f>'Safeing Paths'!L186</x:f>
        <x:v>OPEN</x:v>
      </x:c>
    </x:row>
    <x:row r="741">
      <x:c r="B741" s="7" t="str">
        <x:v>PHY-0735</x:v>
      </x:c>
      <x:c r="C741" s="7" t="str">
        <x:v>safeing path</x:v>
      </x:c>
      <x:c r="D741" s="7" t="str">
        <x:v>RFP-C2-FCE-01-P</x:v>
      </x:c>
      <x:c r="E741" s="7" t="str">
        <x:v>Safeing Paths!L187</x:v>
      </x:c>
      <x:c r="F741" s="7" t="str">
        <x:f>'Safeing Paths'!L187</x:f>
        <x:v>OPEN</x:v>
      </x:c>
    </x:row>
    <x:row r="742">
      <x:c r="B742" s="7" t="str">
        <x:v>PHY-0736</x:v>
      </x:c>
      <x:c r="C742" s="7" t="str">
        <x:v>safeing path</x:v>
      </x:c>
      <x:c r="D742" s="7" t="str">
        <x:v>RFP-C2-FCE-01-D</x:v>
      </x:c>
      <x:c r="E742" s="7" t="str">
        <x:v>Safeing Paths!L188</x:v>
      </x:c>
      <x:c r="F742" s="7" t="str">
        <x:f>'Safeing Paths'!L188</x:f>
        <x:v>OPEN</x:v>
      </x:c>
    </x:row>
    <x:row r="743">
      <x:c r="B743" s="7" t="str">
        <x:v>PHY-0737</x:v>
      </x:c>
      <x:c r="C743" s="7" t="str">
        <x:v>safeing path</x:v>
      </x:c>
      <x:c r="D743" s="7" t="str">
        <x:v>RFP-C2-FCE-01-M</x:v>
      </x:c>
      <x:c r="E743" s="7" t="str">
        <x:v>Safeing Paths!L189</x:v>
      </x:c>
      <x:c r="F743" s="7" t="str">
        <x:f>'Safeing Paths'!L189</x:f>
        <x:v>OPEN</x:v>
      </x:c>
    </x:row>
    <x:row r="744">
      <x:c r="B744" s="7" t="str">
        <x:v>PHY-0738</x:v>
      </x:c>
      <x:c r="C744" s="7" t="str">
        <x:v>safeing path</x:v>
      </x:c>
      <x:c r="D744" s="7" t="str">
        <x:v>RFP-C2-FCE-02-P</x:v>
      </x:c>
      <x:c r="E744" s="7" t="str">
        <x:v>Safeing Paths!L190</x:v>
      </x:c>
      <x:c r="F744" s="7" t="str">
        <x:f>'Safeing Paths'!L190</x:f>
        <x:v>OPEN</x:v>
      </x:c>
    </x:row>
    <x:row r="745">
      <x:c r="B745" s="7" t="str">
        <x:v>PHY-0739</x:v>
      </x:c>
      <x:c r="C745" s="7" t="str">
        <x:v>safeing path</x:v>
      </x:c>
      <x:c r="D745" s="7" t="str">
        <x:v>RFP-C2-FCE-02-D</x:v>
      </x:c>
      <x:c r="E745" s="7" t="str">
        <x:v>Safeing Paths!L191</x:v>
      </x:c>
      <x:c r="F745" s="7" t="str">
        <x:f>'Safeing Paths'!L191</x:f>
        <x:v>OPEN</x:v>
      </x:c>
    </x:row>
    <x:row r="746">
      <x:c r="B746" s="7" t="str">
        <x:v>PHY-0740</x:v>
      </x:c>
      <x:c r="C746" s="7" t="str">
        <x:v>safeing path</x:v>
      </x:c>
      <x:c r="D746" s="7" t="str">
        <x:v>RFP-C2-FCE-02-M</x:v>
      </x:c>
      <x:c r="E746" s="7" t="str">
        <x:v>Safeing Paths!L192</x:v>
      </x:c>
      <x:c r="F746" s="7" t="str">
        <x:f>'Safeing Paths'!L192</x:f>
        <x:v>OPEN</x:v>
      </x:c>
    </x:row>
    <x:row r="747">
      <x:c r="B747" s="7" t="str">
        <x:v>PHY-0741</x:v>
      </x:c>
      <x:c r="C747" s="7" t="str">
        <x:v>safeing path</x:v>
      </x:c>
      <x:c r="D747" s="7" t="str">
        <x:v>RFP-C2-FCE-03-P</x:v>
      </x:c>
      <x:c r="E747" s="7" t="str">
        <x:v>Safeing Paths!L193</x:v>
      </x:c>
      <x:c r="F747" s="7" t="str">
        <x:f>'Safeing Paths'!L193</x:f>
        <x:v>OPEN</x:v>
      </x:c>
    </x:row>
    <x:row r="748">
      <x:c r="B748" s="7" t="str">
        <x:v>PHY-0742</x:v>
      </x:c>
      <x:c r="C748" s="7" t="str">
        <x:v>safeing path</x:v>
      </x:c>
      <x:c r="D748" s="7" t="str">
        <x:v>RFP-C2-FCE-03-D</x:v>
      </x:c>
      <x:c r="E748" s="7" t="str">
        <x:v>Safeing Paths!L194</x:v>
      </x:c>
      <x:c r="F748" s="7" t="str">
        <x:f>'Safeing Paths'!L194</x:f>
        <x:v>OPEN</x:v>
      </x:c>
    </x:row>
    <x:row r="749">
      <x:c r="B749" s="7" t="str">
        <x:v>PHY-0743</x:v>
      </x:c>
      <x:c r="C749" s="7" t="str">
        <x:v>safeing path</x:v>
      </x:c>
      <x:c r="D749" s="7" t="str">
        <x:v>RFP-C2-FCE-03-M</x:v>
      </x:c>
      <x:c r="E749" s="7" t="str">
        <x:v>Safeing Paths!L195</x:v>
      </x:c>
      <x:c r="F749" s="7" t="str">
        <x:f>'Safeing Paths'!L195</x:f>
        <x:v>OPEN</x:v>
      </x:c>
    </x:row>
    <x:row r="750">
      <x:c r="B750" s="7" t="str">
        <x:v>PHY-0744</x:v>
      </x:c>
      <x:c r="C750" s="7" t="str">
        <x:v>safeing path</x:v>
      </x:c>
      <x:c r="D750" s="7" t="str">
        <x:v>RFP-C2-FCE-04-P</x:v>
      </x:c>
      <x:c r="E750" s="7" t="str">
        <x:v>Safeing Paths!L196</x:v>
      </x:c>
      <x:c r="F750" s="7" t="str">
        <x:f>'Safeing Paths'!L196</x:f>
        <x:v>OPEN</x:v>
      </x:c>
    </x:row>
    <x:row r="751">
      <x:c r="B751" s="7" t="str">
        <x:v>PHY-0745</x:v>
      </x:c>
      <x:c r="C751" s="7" t="str">
        <x:v>safeing path</x:v>
      </x:c>
      <x:c r="D751" s="7" t="str">
        <x:v>RFP-C2-FCE-04-D</x:v>
      </x:c>
      <x:c r="E751" s="7" t="str">
        <x:v>Safeing Paths!L197</x:v>
      </x:c>
      <x:c r="F751" s="7" t="str">
        <x:f>'Safeing Paths'!L197</x:f>
        <x:v>OPEN</x:v>
      </x:c>
    </x:row>
    <x:row r="752">
      <x:c r="B752" s="7" t="str">
        <x:v>PHY-0746</x:v>
      </x:c>
      <x:c r="C752" s="7" t="str">
        <x:v>safeing path</x:v>
      </x:c>
      <x:c r="D752" s="7" t="str">
        <x:v>RFP-C2-FCE-04-M</x:v>
      </x:c>
      <x:c r="E752" s="7" t="str">
        <x:v>Safeing Paths!L198</x:v>
      </x:c>
      <x:c r="F752" s="7" t="str">
        <x:f>'Safeing Paths'!L198</x:f>
        <x:v>OPEN</x:v>
      </x:c>
    </x:row>
    <x:row r="753">
      <x:c r="B753" s="7" t="str">
        <x:v>PHY-0747</x:v>
      </x:c>
      <x:c r="C753" s="7" t="str">
        <x:v>safeing path</x:v>
      </x:c>
      <x:c r="D753" s="7" t="str">
        <x:v>RFP-C2-FCE-05-P</x:v>
      </x:c>
      <x:c r="E753" s="7" t="str">
        <x:v>Safeing Paths!L199</x:v>
      </x:c>
      <x:c r="F753" s="7" t="str">
        <x:f>'Safeing Paths'!L199</x:f>
        <x:v>OPEN</x:v>
      </x:c>
    </x:row>
    <x:row r="754">
      <x:c r="B754" s="7" t="str">
        <x:v>PHY-0748</x:v>
      </x:c>
      <x:c r="C754" s="7" t="str">
        <x:v>safeing path</x:v>
      </x:c>
      <x:c r="D754" s="7" t="str">
        <x:v>RFP-C2-FCE-05-D</x:v>
      </x:c>
      <x:c r="E754" s="7" t="str">
        <x:v>Safeing Paths!L200</x:v>
      </x:c>
      <x:c r="F754" s="7" t="str">
        <x:f>'Safeing Paths'!L200</x:f>
        <x:v>OPEN</x:v>
      </x:c>
    </x:row>
    <x:row r="755">
      <x:c r="B755" s="7" t="str">
        <x:v>PHY-0749</x:v>
      </x:c>
      <x:c r="C755" s="7" t="str">
        <x:v>safeing path</x:v>
      </x:c>
      <x:c r="D755" s="7" t="str">
        <x:v>RFP-C2-FCE-05-M</x:v>
      </x:c>
      <x:c r="E755" s="7" t="str">
        <x:v>Safeing Paths!L201</x:v>
      </x:c>
      <x:c r="F755" s="7" t="str">
        <x:f>'Safeing Paths'!L201</x:f>
        <x:v>OPEN</x:v>
      </x:c>
    </x:row>
    <x:row r="756">
      <x:c r="B756" s="7" t="str">
        <x:v>PHY-0750</x:v>
      </x:c>
      <x:c r="C756" s="7" t="str">
        <x:v>safeing path</x:v>
      </x:c>
      <x:c r="D756" s="7" t="str">
        <x:v>RFP-C2-FCE-06-P</x:v>
      </x:c>
      <x:c r="E756" s="7" t="str">
        <x:v>Safeing Paths!L202</x:v>
      </x:c>
      <x:c r="F756" s="7" t="str">
        <x:f>'Safeing Paths'!L202</x:f>
        <x:v>OPEN</x:v>
      </x:c>
    </x:row>
    <x:row r="757">
      <x:c r="B757" s="7" t="str">
        <x:v>PHY-0751</x:v>
      </x:c>
      <x:c r="C757" s="7" t="str">
        <x:v>safeing path</x:v>
      </x:c>
      <x:c r="D757" s="7" t="str">
        <x:v>RFP-C2-FCE-06-D</x:v>
      </x:c>
      <x:c r="E757" s="7" t="str">
        <x:v>Safeing Paths!L203</x:v>
      </x:c>
      <x:c r="F757" s="7" t="str">
        <x:f>'Safeing Paths'!L203</x:f>
        <x:v>OPEN</x:v>
      </x:c>
    </x:row>
    <x:row r="758">
      <x:c r="B758" s="7" t="str">
        <x:v>PHY-0752</x:v>
      </x:c>
      <x:c r="C758" s="7" t="str">
        <x:v>safeing path</x:v>
      </x:c>
      <x:c r="D758" s="7" t="str">
        <x:v>RFP-C2-FCE-06-M</x:v>
      </x:c>
      <x:c r="E758" s="7" t="str">
        <x:v>Safeing Paths!L204</x:v>
      </x:c>
      <x:c r="F758" s="7" t="str">
        <x:f>'Safeing Paths'!L204</x:f>
        <x:v>OPEN</x:v>
      </x:c>
    </x:row>
    <x:row r="759">
      <x:c r="B759" s="7" t="str">
        <x:v>PHY-0753</x:v>
      </x:c>
      <x:c r="C759" s="7" t="str">
        <x:v>safeing path</x:v>
      </x:c>
      <x:c r="D759" s="7" t="str">
        <x:v>RFP-C2-FCE-07-P</x:v>
      </x:c>
      <x:c r="E759" s="7" t="str">
        <x:v>Safeing Paths!L205</x:v>
      </x:c>
      <x:c r="F759" s="7" t="str">
        <x:f>'Safeing Paths'!L205</x:f>
        <x:v>OPEN</x:v>
      </x:c>
    </x:row>
    <x:row r="760">
      <x:c r="B760" s="7" t="str">
        <x:v>PHY-0754</x:v>
      </x:c>
      <x:c r="C760" s="7" t="str">
        <x:v>safeing path</x:v>
      </x:c>
      <x:c r="D760" s="7" t="str">
        <x:v>RFP-C2-FCE-07-D</x:v>
      </x:c>
      <x:c r="E760" s="7" t="str">
        <x:v>Safeing Paths!L206</x:v>
      </x:c>
      <x:c r="F760" s="7" t="str">
        <x:f>'Safeing Paths'!L206</x:f>
        <x:v>OPEN</x:v>
      </x:c>
    </x:row>
    <x:row r="761">
      <x:c r="B761" s="7" t="str">
        <x:v>PHY-0755</x:v>
      </x:c>
      <x:c r="C761" s="7" t="str">
        <x:v>safeing path</x:v>
      </x:c>
      <x:c r="D761" s="7" t="str">
        <x:v>RFP-C2-FCE-07-M</x:v>
      </x:c>
      <x:c r="E761" s="7" t="str">
        <x:v>Safeing Paths!L207</x:v>
      </x:c>
      <x:c r="F761" s="7" t="str">
        <x:f>'Safeing Paths'!L207</x:f>
        <x:v>OPEN</x:v>
      </x:c>
    </x:row>
    <x:row r="762">
      <x:c r="B762" s="7" t="str">
        <x:v>PHY-0756</x:v>
      </x:c>
      <x:c r="C762" s="7" t="str">
        <x:v>safeing path</x:v>
      </x:c>
      <x:c r="D762" s="7" t="str">
        <x:v>RFP-C2-FCE-08-P</x:v>
      </x:c>
      <x:c r="E762" s="7" t="str">
        <x:v>Safeing Paths!L208</x:v>
      </x:c>
      <x:c r="F762" s="7" t="str">
        <x:f>'Safeing Paths'!L208</x:f>
        <x:v>OPEN</x:v>
      </x:c>
    </x:row>
    <x:row r="763">
      <x:c r="B763" s="7" t="str">
        <x:v>PHY-0757</x:v>
      </x:c>
      <x:c r="C763" s="7" t="str">
        <x:v>safeing path</x:v>
      </x:c>
      <x:c r="D763" s="7" t="str">
        <x:v>RFP-C2-FCE-08-D</x:v>
      </x:c>
      <x:c r="E763" s="7" t="str">
        <x:v>Safeing Paths!L209</x:v>
      </x:c>
      <x:c r="F763" s="7" t="str">
        <x:f>'Safeing Paths'!L209</x:f>
        <x:v>OPEN</x:v>
      </x:c>
    </x:row>
    <x:row r="764">
      <x:c r="B764" s="7" t="str">
        <x:v>PHY-0758</x:v>
      </x:c>
      <x:c r="C764" s="7" t="str">
        <x:v>safeing path</x:v>
      </x:c>
      <x:c r="D764" s="7" t="str">
        <x:v>RFP-C2-FCE-08-M</x:v>
      </x:c>
      <x:c r="E764" s="7" t="str">
        <x:v>Safeing Paths!L210</x:v>
      </x:c>
      <x:c r="F764" s="7" t="str">
        <x:f>'Safeing Paths'!L210</x:f>
        <x:v>OPEN</x:v>
      </x:c>
    </x:row>
    <x:row r="765">
      <x:c r="B765" s="7" t="str">
        <x:v>PHY-0759</x:v>
      </x:c>
      <x:c r="C765" s="7" t="str">
        <x:v>safeing path</x:v>
      </x:c>
      <x:c r="D765" s="7" t="str">
        <x:v>RFP-C2-FCE-09-P</x:v>
      </x:c>
      <x:c r="E765" s="7" t="str">
        <x:v>Safeing Paths!L211</x:v>
      </x:c>
      <x:c r="F765" s="7" t="str">
        <x:f>'Safeing Paths'!L211</x:f>
        <x:v>OPEN</x:v>
      </x:c>
    </x:row>
    <x:row r="766">
      <x:c r="B766" s="7" t="str">
        <x:v>PHY-0760</x:v>
      </x:c>
      <x:c r="C766" s="7" t="str">
        <x:v>safeing path</x:v>
      </x:c>
      <x:c r="D766" s="7" t="str">
        <x:v>RFP-C2-FCE-09-D</x:v>
      </x:c>
      <x:c r="E766" s="7" t="str">
        <x:v>Safeing Paths!L212</x:v>
      </x:c>
      <x:c r="F766" s="7" t="str">
        <x:f>'Safeing Paths'!L212</x:f>
        <x:v>OPEN</x:v>
      </x:c>
    </x:row>
    <x:row r="767">
      <x:c r="B767" s="7" t="str">
        <x:v>PHY-0761</x:v>
      </x:c>
      <x:c r="C767" s="7" t="str">
        <x:v>safeing path</x:v>
      </x:c>
      <x:c r="D767" s="7" t="str">
        <x:v>RFP-C2-FCE-09-M</x:v>
      </x:c>
      <x:c r="E767" s="7" t="str">
        <x:v>Safeing Paths!L213</x:v>
      </x:c>
      <x:c r="F767" s="7" t="str">
        <x:f>'Safeing Paths'!L213</x:f>
        <x:v>OPEN</x:v>
      </x:c>
    </x:row>
    <x:row r="768">
      <x:c r="B768" s="7" t="str">
        <x:v>PHY-0762</x:v>
      </x:c>
      <x:c r="C768" s="7" t="str">
        <x:v>safeing path</x:v>
      </x:c>
      <x:c r="D768" s="7" t="str">
        <x:v>RFP-C2-FCE-10-P</x:v>
      </x:c>
      <x:c r="E768" s="7" t="str">
        <x:v>Safeing Paths!L214</x:v>
      </x:c>
      <x:c r="F768" s="7" t="str">
        <x:f>'Safeing Paths'!L214</x:f>
        <x:v>OPEN</x:v>
      </x:c>
    </x:row>
    <x:row r="769">
      <x:c r="B769" s="7" t="str">
        <x:v>PHY-0763</x:v>
      </x:c>
      <x:c r="C769" s="7" t="str">
        <x:v>safeing path</x:v>
      </x:c>
      <x:c r="D769" s="7" t="str">
        <x:v>RFP-C2-FCE-10-D</x:v>
      </x:c>
      <x:c r="E769" s="7" t="str">
        <x:v>Safeing Paths!L215</x:v>
      </x:c>
      <x:c r="F769" s="7" t="str">
        <x:f>'Safeing Paths'!L215</x:f>
        <x:v>OPEN</x:v>
      </x:c>
    </x:row>
    <x:row r="770">
      <x:c r="B770" s="7" t="str">
        <x:v>PHY-0764</x:v>
      </x:c>
      <x:c r="C770" s="7" t="str">
        <x:v>safeing path</x:v>
      </x:c>
      <x:c r="D770" s="7" t="str">
        <x:v>RFP-C2-FCE-10-M</x:v>
      </x:c>
      <x:c r="E770" s="7" t="str">
        <x:v>Safeing Paths!L216</x:v>
      </x:c>
      <x:c r="F770" s="7" t="str">
        <x:f>'Safeing Paths'!L216</x:f>
        <x:v>OPEN</x:v>
      </x:c>
    </x:row>
    <x:row r="771">
      <x:c r="B771" s="7" t="str">
        <x:v>PHY-0765</x:v>
      </x:c>
      <x:c r="C771" s="7" t="str">
        <x:v>safeing path</x:v>
      </x:c>
      <x:c r="D771" s="7" t="str">
        <x:v>RFP-C2-FCE-11-P</x:v>
      </x:c>
      <x:c r="E771" s="7" t="str">
        <x:v>Safeing Paths!L217</x:v>
      </x:c>
      <x:c r="F771" s="7" t="str">
        <x:f>'Safeing Paths'!L217</x:f>
        <x:v>OPEN</x:v>
      </x:c>
    </x:row>
    <x:row r="772">
      <x:c r="B772" s="7" t="str">
        <x:v>PHY-0766</x:v>
      </x:c>
      <x:c r="C772" s="7" t="str">
        <x:v>safeing path</x:v>
      </x:c>
      <x:c r="D772" s="7" t="str">
        <x:v>RFP-C2-FCE-11-D</x:v>
      </x:c>
      <x:c r="E772" s="7" t="str">
        <x:v>Safeing Paths!L218</x:v>
      </x:c>
      <x:c r="F772" s="7" t="str">
        <x:f>'Safeing Paths'!L218</x:f>
        <x:v>OPEN</x:v>
      </x:c>
    </x:row>
    <x:row r="773">
      <x:c r="B773" s="7" t="str">
        <x:v>PHY-0767</x:v>
      </x:c>
      <x:c r="C773" s="7" t="str">
        <x:v>safeing path</x:v>
      </x:c>
      <x:c r="D773" s="7" t="str">
        <x:v>RFP-C2-FCE-11-M</x:v>
      </x:c>
      <x:c r="E773" s="7" t="str">
        <x:v>Safeing Paths!L219</x:v>
      </x:c>
      <x:c r="F773" s="7" t="str">
        <x:f>'Safeing Paths'!L219</x:f>
        <x:v>OPEN</x:v>
      </x:c>
    </x:row>
    <x:row r="774">
      <x:c r="B774" s="7" t="str">
        <x:v>PHY-0768</x:v>
      </x:c>
      <x:c r="C774" s="7" t="str">
        <x:v>safeing path</x:v>
      </x:c>
      <x:c r="D774" s="7" t="str">
        <x:v>RFP-C2-FCE-12-P</x:v>
      </x:c>
      <x:c r="E774" s="7" t="str">
        <x:v>Safeing Paths!L220</x:v>
      </x:c>
      <x:c r="F774" s="7" t="str">
        <x:f>'Safeing Paths'!L220</x:f>
        <x:v>OPEN</x:v>
      </x:c>
    </x:row>
    <x:row r="775">
      <x:c r="B775" s="7" t="str">
        <x:v>PHY-0769</x:v>
      </x:c>
      <x:c r="C775" s="7" t="str">
        <x:v>safeing path</x:v>
      </x:c>
      <x:c r="D775" s="7" t="str">
        <x:v>RFP-C2-FCE-12-D</x:v>
      </x:c>
      <x:c r="E775" s="7" t="str">
        <x:v>Safeing Paths!L221</x:v>
      </x:c>
      <x:c r="F775" s="7" t="str">
        <x:f>'Safeing Paths'!L221</x:f>
        <x:v>OPEN</x:v>
      </x:c>
    </x:row>
    <x:row r="776">
      <x:c r="B776" s="7" t="str">
        <x:v>PHY-0770</x:v>
      </x:c>
      <x:c r="C776" s="7" t="str">
        <x:v>safeing path</x:v>
      </x:c>
      <x:c r="D776" s="7" t="str">
        <x:v>RFP-C2-FCE-12-M</x:v>
      </x:c>
      <x:c r="E776" s="7" t="str">
        <x:v>Safeing Paths!L222</x:v>
      </x:c>
      <x:c r="F776" s="7" t="str">
        <x:f>'Safeing Paths'!L222</x:f>
        <x:v>OPEN</x:v>
      </x:c>
    </x:row>
    <x:row r="777">
      <x:c r="B777" s="7" t="str">
        <x:v>PHY-0771</x:v>
      </x:c>
      <x:c r="C777" s="7" t="str">
        <x:v>path proof</x:v>
      </x:c>
      <x:c r="D777" s="7" t="str">
        <x:v>RAE-PP-001</x:v>
      </x:c>
      <x:c r="E777" s="7" t="str">
        <x:v>Path Proofs!M7</x:v>
      </x:c>
      <x:c r="F777" s="7" t="n">
        <x:f>'Path Proofs'!M7</x:f>
        <x:v>0</x:v>
      </x:c>
    </x:row>
    <x:row r="778">
      <x:c r="B778" s="7" t="str">
        <x:v>PHY-0772</x:v>
      </x:c>
      <x:c r="C778" s="7" t="str">
        <x:v>path proof</x:v>
      </x:c>
      <x:c r="D778" s="7" t="str">
        <x:v>RAE-PP-002</x:v>
      </x:c>
      <x:c r="E778" s="7" t="str">
        <x:v>Path Proofs!M8</x:v>
      </x:c>
      <x:c r="F778" s="7" t="n">
        <x:f>'Path Proofs'!M8</x:f>
        <x:v>0</x:v>
      </x:c>
    </x:row>
    <x:row r="779">
      <x:c r="B779" s="7" t="str">
        <x:v>PHY-0773</x:v>
      </x:c>
      <x:c r="C779" s="7" t="str">
        <x:v>path proof</x:v>
      </x:c>
      <x:c r="D779" s="7" t="str">
        <x:v>RAE-PP-003</x:v>
      </x:c>
      <x:c r="E779" s="7" t="str">
        <x:v>Path Proofs!M9</x:v>
      </x:c>
      <x:c r="F779" s="7" t="n">
        <x:f>'Path Proofs'!M9</x:f>
        <x:v>0</x:v>
      </x:c>
    </x:row>
    <x:row r="780">
      <x:c r="B780" s="7" t="str">
        <x:v>PHY-0774</x:v>
      </x:c>
      <x:c r="C780" s="7" t="str">
        <x:v>path proof</x:v>
      </x:c>
      <x:c r="D780" s="7" t="str">
        <x:v>RAE-PP-004</x:v>
      </x:c>
      <x:c r="E780" s="7" t="str">
        <x:v>Path Proofs!M10</x:v>
      </x:c>
      <x:c r="F780" s="7" t="n">
        <x:f>'Path Proofs'!M10</x:f>
        <x:v>0</x:v>
      </x:c>
    </x:row>
    <x:row r="781">
      <x:c r="B781" s="7" t="str">
        <x:v>PHY-0775</x:v>
      </x:c>
      <x:c r="C781" s="7" t="str">
        <x:v>path proof</x:v>
      </x:c>
      <x:c r="D781" s="7" t="str">
        <x:v>RAE-PP-005</x:v>
      </x:c>
      <x:c r="E781" s="7" t="str">
        <x:v>Path Proofs!M11</x:v>
      </x:c>
      <x:c r="F781" s="7" t="n">
        <x:f>'Path Proofs'!M11</x:f>
        <x:v>0</x:v>
      </x:c>
    </x:row>
    <x:row r="782">
      <x:c r="B782" s="7" t="str">
        <x:v>PHY-0776</x:v>
      </x:c>
      <x:c r="C782" s="7" t="str">
        <x:v>path proof</x:v>
      </x:c>
      <x:c r="D782" s="7" t="str">
        <x:v>RAE-PP-006</x:v>
      </x:c>
      <x:c r="E782" s="7" t="str">
        <x:v>Path Proofs!M12</x:v>
      </x:c>
      <x:c r="F782" s="7" t="n">
        <x:f>'Path Proofs'!M12</x:f>
        <x:v>0</x:v>
      </x:c>
    </x:row>
    <x:row r="783">
      <x:c r="B783" s="7" t="str">
        <x:v>PHY-0777</x:v>
      </x:c>
      <x:c r="C783" s="7" t="str">
        <x:v>path proof</x:v>
      </x:c>
      <x:c r="D783" s="7" t="str">
        <x:v>RAE-PP-007</x:v>
      </x:c>
      <x:c r="E783" s="7" t="str">
        <x:v>Path Proofs!M13</x:v>
      </x:c>
      <x:c r="F783" s="7" t="n">
        <x:f>'Path Proofs'!M13</x:f>
        <x:v>0</x:v>
      </x:c>
    </x:row>
    <x:row r="784">
      <x:c r="B784" s="7" t="str">
        <x:v>PHY-0778</x:v>
      </x:c>
      <x:c r="C784" s="7" t="str">
        <x:v>path proof</x:v>
      </x:c>
      <x:c r="D784" s="7" t="str">
        <x:v>RAE-PP-008</x:v>
      </x:c>
      <x:c r="E784" s="7" t="str">
        <x:v>Path Proofs!M14</x:v>
      </x:c>
      <x:c r="F784" s="7" t="n">
        <x:f>'Path Proofs'!M14</x:f>
        <x:v>0</x:v>
      </x:c>
    </x:row>
    <x:row r="785">
      <x:c r="B785" s="7" t="str">
        <x:v>PHY-0779</x:v>
      </x:c>
      <x:c r="C785" s="7" t="str">
        <x:v>path proof</x:v>
      </x:c>
      <x:c r="D785" s="7" t="str">
        <x:v>RAE-PP-009</x:v>
      </x:c>
      <x:c r="E785" s="7" t="str">
        <x:v>Path Proofs!M15</x:v>
      </x:c>
      <x:c r="F785" s="7" t="n">
        <x:f>'Path Proofs'!M15</x:f>
        <x:v>0</x:v>
      </x:c>
    </x:row>
    <x:row r="786">
      <x:c r="B786" s="7" t="str">
        <x:v>PHY-0780</x:v>
      </x:c>
      <x:c r="C786" s="7" t="str">
        <x:v>path proof</x:v>
      </x:c>
      <x:c r="D786" s="7" t="str">
        <x:v>RAE-PP-010</x:v>
      </x:c>
      <x:c r="E786" s="7" t="str">
        <x:v>Path Proofs!M16</x:v>
      </x:c>
      <x:c r="F786" s="7" t="n">
        <x:f>'Path Proofs'!M16</x:f>
        <x:v>0</x:v>
      </x:c>
    </x:row>
    <x:row r="787">
      <x:c r="B787" s="7" t="str">
        <x:v>PHY-0781</x:v>
      </x:c>
      <x:c r="C787" s="7" t="str">
        <x:v>path proof</x:v>
      </x:c>
      <x:c r="D787" s="7" t="str">
        <x:v>RAE-PP-011</x:v>
      </x:c>
      <x:c r="E787" s="7" t="str">
        <x:v>Path Proofs!M17</x:v>
      </x:c>
      <x:c r="F787" s="7" t="n">
        <x:f>'Path Proofs'!M17</x:f>
        <x:v>0</x:v>
      </x:c>
    </x:row>
    <x:row r="788">
      <x:c r="B788" s="7" t="str">
        <x:v>PHY-0782</x:v>
      </x:c>
      <x:c r="C788" s="7" t="str">
        <x:v>path proof</x:v>
      </x:c>
      <x:c r="D788" s="7" t="str">
        <x:v>RAE-PP-012</x:v>
      </x:c>
      <x:c r="E788" s="7" t="str">
        <x:v>Path Proofs!M18</x:v>
      </x:c>
      <x:c r="F788" s="7" t="n">
        <x:f>'Path Proofs'!M18</x:f>
        <x:v>0</x:v>
      </x:c>
    </x:row>
    <x:row r="789">
      <x:c r="B789" s="7" t="str">
        <x:v>PHY-0783</x:v>
      </x:c>
      <x:c r="C789" s="7" t="str">
        <x:v>path proof</x:v>
      </x:c>
      <x:c r="D789" s="7" t="str">
        <x:v>RAE-PP-013</x:v>
      </x:c>
      <x:c r="E789" s="7" t="str">
        <x:v>Path Proofs!M19</x:v>
      </x:c>
      <x:c r="F789" s="7" t="n">
        <x:f>'Path Proofs'!M19</x:f>
        <x:v>0</x:v>
      </x:c>
    </x:row>
    <x:row r="790">
      <x:c r="B790" s="7" t="str">
        <x:v>PHY-0784</x:v>
      </x:c>
      <x:c r="C790" s="7" t="str">
        <x:v>path proof</x:v>
      </x:c>
      <x:c r="D790" s="7" t="str">
        <x:v>RAE-PP-014</x:v>
      </x:c>
      <x:c r="E790" s="7" t="str">
        <x:v>Path Proofs!M20</x:v>
      </x:c>
      <x:c r="F790" s="7" t="n">
        <x:f>'Path Proofs'!M20</x:f>
        <x:v>0</x:v>
      </x:c>
    </x:row>
    <x:row r="791">
      <x:c r="B791" s="7" t="str">
        <x:v>PHY-0785</x:v>
      </x:c>
      <x:c r="C791" s="7" t="str">
        <x:v>path proof</x:v>
      </x:c>
      <x:c r="D791" s="7" t="str">
        <x:v>RAE-PP-015</x:v>
      </x:c>
      <x:c r="E791" s="7" t="str">
        <x:v>Path Proofs!M21</x:v>
      </x:c>
      <x:c r="F791" s="7" t="n">
        <x:f>'Path Proofs'!M21</x:f>
        <x:v>0</x:v>
      </x:c>
    </x:row>
    <x:row r="792">
      <x:c r="B792" s="7" t="str">
        <x:v>PHY-0786</x:v>
      </x:c>
      <x:c r="C792" s="7" t="str">
        <x:v>path proof</x:v>
      </x:c>
      <x:c r="D792" s="7" t="str">
        <x:v>RAE-PP-016</x:v>
      </x:c>
      <x:c r="E792" s="7" t="str">
        <x:v>Path Proofs!M22</x:v>
      </x:c>
      <x:c r="F792" s="7" t="n">
        <x:f>'Path Proofs'!M22</x:f>
        <x:v>0</x:v>
      </x:c>
    </x:row>
    <x:row r="793">
      <x:c r="B793" s="7" t="str">
        <x:v>PHY-0787</x:v>
      </x:c>
      <x:c r="C793" s="7" t="str">
        <x:v>path proof</x:v>
      </x:c>
      <x:c r="D793" s="7" t="str">
        <x:v>RAE-PP-017</x:v>
      </x:c>
      <x:c r="E793" s="7" t="str">
        <x:v>Path Proofs!M23</x:v>
      </x:c>
      <x:c r="F793" s="7" t="n">
        <x:f>'Path Proofs'!M23</x:f>
        <x:v>0</x:v>
      </x:c>
    </x:row>
    <x:row r="794">
      <x:c r="B794" s="7" t="str">
        <x:v>PHY-0788</x:v>
      </x:c>
      <x:c r="C794" s="7" t="str">
        <x:v>path proof</x:v>
      </x:c>
      <x:c r="D794" s="7" t="str">
        <x:v>RAE-PP-018</x:v>
      </x:c>
      <x:c r="E794" s="7" t="str">
        <x:v>Path Proofs!M24</x:v>
      </x:c>
      <x:c r="F794" s="7" t="n">
        <x:f>'Path Proofs'!M24</x:f>
        <x:v>0</x:v>
      </x:c>
    </x:row>
    <x:row r="795">
      <x:c r="B795" s="7" t="str">
        <x:v>PHY-0789</x:v>
      </x:c>
      <x:c r="C795" s="7" t="str">
        <x:v>path proof</x:v>
      </x:c>
      <x:c r="D795" s="7" t="str">
        <x:v>RAE-PP-019</x:v>
      </x:c>
      <x:c r="E795" s="7" t="str">
        <x:v>Path Proofs!M25</x:v>
      </x:c>
      <x:c r="F795" s="7" t="n">
        <x:f>'Path Proofs'!M25</x:f>
        <x:v>0</x:v>
      </x:c>
    </x:row>
    <x:row r="796">
      <x:c r="B796" s="7" t="str">
        <x:v>PHY-0790</x:v>
      </x:c>
      <x:c r="C796" s="7" t="str">
        <x:v>path proof</x:v>
      </x:c>
      <x:c r="D796" s="7" t="str">
        <x:v>RAE-PP-020</x:v>
      </x:c>
      <x:c r="E796" s="7" t="str">
        <x:v>Path Proofs!M26</x:v>
      </x:c>
      <x:c r="F796" s="7" t="n">
        <x:f>'Path Proofs'!M26</x:f>
        <x:v>0</x:v>
      </x:c>
    </x:row>
    <x:row r="797">
      <x:c r="B797" s="7" t="str">
        <x:v>PHY-0791</x:v>
      </x:c>
      <x:c r="C797" s="7" t="str">
        <x:v>path proof</x:v>
      </x:c>
      <x:c r="D797" s="7" t="str">
        <x:v>RAE-PP-021</x:v>
      </x:c>
      <x:c r="E797" s="7" t="str">
        <x:v>Path Proofs!M27</x:v>
      </x:c>
      <x:c r="F797" s="7" t="n">
        <x:f>'Path Proofs'!M27</x:f>
        <x:v>0</x:v>
      </x:c>
    </x:row>
    <x:row r="798">
      <x:c r="B798" s="7" t="str">
        <x:v>PHY-0792</x:v>
      </x:c>
      <x:c r="C798" s="7" t="str">
        <x:v>path proof</x:v>
      </x:c>
      <x:c r="D798" s="7" t="str">
        <x:v>RAE-PP-022</x:v>
      </x:c>
      <x:c r="E798" s="7" t="str">
        <x:v>Path Proofs!M28</x:v>
      </x:c>
      <x:c r="F798" s="7" t="n">
        <x:f>'Path Proofs'!M28</x:f>
        <x:v>0</x:v>
      </x:c>
    </x:row>
    <x:row r="799">
      <x:c r="B799" s="7" t="str">
        <x:v>PHY-0793</x:v>
      </x:c>
      <x:c r="C799" s="7" t="str">
        <x:v>path proof</x:v>
      </x:c>
      <x:c r="D799" s="7" t="str">
        <x:v>RAE-PP-023</x:v>
      </x:c>
      <x:c r="E799" s="7" t="str">
        <x:v>Path Proofs!M29</x:v>
      </x:c>
      <x:c r="F799" s="7" t="n">
        <x:f>'Path Proofs'!M29</x:f>
        <x:v>0</x:v>
      </x:c>
    </x:row>
    <x:row r="800">
      <x:c r="B800" s="7" t="str">
        <x:v>PHY-0794</x:v>
      </x:c>
      <x:c r="C800" s="7" t="str">
        <x:v>path proof</x:v>
      </x:c>
      <x:c r="D800" s="7" t="str">
        <x:v>RAE-PP-024</x:v>
      </x:c>
      <x:c r="E800" s="7" t="str">
        <x:v>Path Proofs!M30</x:v>
      </x:c>
      <x:c r="F800" s="7" t="n">
        <x:f>'Path Proofs'!M30</x:f>
        <x:v>0</x:v>
      </x:c>
    </x:row>
    <x:row r="801">
      <x:c r="B801" s="7" t="str">
        <x:v>PHY-0795</x:v>
      </x:c>
      <x:c r="C801" s="7" t="str">
        <x:v>path proof</x:v>
      </x:c>
      <x:c r="D801" s="7" t="str">
        <x:v>RAE-PP-025</x:v>
      </x:c>
      <x:c r="E801" s="7" t="str">
        <x:v>Path Proofs!M31</x:v>
      </x:c>
      <x:c r="F801" s="7" t="n">
        <x:f>'Path Proofs'!M31</x:f>
        <x:v>0</x:v>
      </x:c>
    </x:row>
    <x:row r="802">
      <x:c r="B802" s="7" t="str">
        <x:v>PHY-0796</x:v>
      </x:c>
      <x:c r="C802" s="7" t="str">
        <x:v>path proof</x:v>
      </x:c>
      <x:c r="D802" s="7" t="str">
        <x:v>RAE-PP-026</x:v>
      </x:c>
      <x:c r="E802" s="7" t="str">
        <x:v>Path Proofs!M32</x:v>
      </x:c>
      <x:c r="F802" s="7" t="n">
        <x:f>'Path Proofs'!M32</x:f>
        <x:v>0</x:v>
      </x:c>
    </x:row>
    <x:row r="803">
      <x:c r="B803" s="7" t="str">
        <x:v>PHY-0797</x:v>
      </x:c>
      <x:c r="C803" s="7" t="str">
        <x:v>path proof</x:v>
      </x:c>
      <x:c r="D803" s="7" t="str">
        <x:v>RAE-PP-027</x:v>
      </x:c>
      <x:c r="E803" s="7" t="str">
        <x:v>Path Proofs!M33</x:v>
      </x:c>
      <x:c r="F803" s="7" t="n">
        <x:f>'Path Proofs'!M33</x:f>
        <x:v>0</x:v>
      </x:c>
    </x:row>
    <x:row r="804">
      <x:c r="B804" s="7" t="str">
        <x:v>PHY-0798</x:v>
      </x:c>
      <x:c r="C804" s="7" t="str">
        <x:v>path proof</x:v>
      </x:c>
      <x:c r="D804" s="7" t="str">
        <x:v>RAE-PP-028</x:v>
      </x:c>
      <x:c r="E804" s="7" t="str">
        <x:v>Path Proofs!M34</x:v>
      </x:c>
      <x:c r="F804" s="7" t="n">
        <x:f>'Path Proofs'!M34</x:f>
        <x:v>0</x:v>
      </x:c>
    </x:row>
    <x:row r="805">
      <x:c r="B805" s="7" t="str">
        <x:v>PHY-0799</x:v>
      </x:c>
      <x:c r="C805" s="7" t="str">
        <x:v>path proof</x:v>
      </x:c>
      <x:c r="D805" s="7" t="str">
        <x:v>RAE-PP-029</x:v>
      </x:c>
      <x:c r="E805" s="7" t="str">
        <x:v>Path Proofs!M35</x:v>
      </x:c>
      <x:c r="F805" s="7" t="n">
        <x:f>'Path Proofs'!M35</x:f>
        <x:v>0</x:v>
      </x:c>
    </x:row>
    <x:row r="806">
      <x:c r="B806" s="7" t="str">
        <x:v>PHY-0800</x:v>
      </x:c>
      <x:c r="C806" s="7" t="str">
        <x:v>path proof</x:v>
      </x:c>
      <x:c r="D806" s="7" t="str">
        <x:v>RAE-PP-030</x:v>
      </x:c>
      <x:c r="E806" s="7" t="str">
        <x:v>Path Proofs!M36</x:v>
      </x:c>
      <x:c r="F806" s="7" t="n">
        <x:f>'Path Proofs'!M36</x:f>
        <x:v>0</x:v>
      </x:c>
    </x:row>
    <x:row r="807">
      <x:c r="B807" s="7" t="str">
        <x:v>PHY-0801</x:v>
      </x:c>
      <x:c r="C807" s="7" t="str">
        <x:v>path proof</x:v>
      </x:c>
      <x:c r="D807" s="7" t="str">
        <x:v>RAE-PP-031</x:v>
      </x:c>
      <x:c r="E807" s="7" t="str">
        <x:v>Path Proofs!M37</x:v>
      </x:c>
      <x:c r="F807" s="7" t="n">
        <x:f>'Path Proofs'!M37</x:f>
        <x:v>0</x:v>
      </x:c>
    </x:row>
    <x:row r="808">
      <x:c r="B808" s="7" t="str">
        <x:v>PHY-0802</x:v>
      </x:c>
      <x:c r="C808" s="7" t="str">
        <x:v>path proof</x:v>
      </x:c>
      <x:c r="D808" s="7" t="str">
        <x:v>RAE-PP-032</x:v>
      </x:c>
      <x:c r="E808" s="7" t="str">
        <x:v>Path Proofs!M38</x:v>
      </x:c>
      <x:c r="F808" s="7" t="n">
        <x:f>'Path Proofs'!M38</x:f>
        <x:v>0</x:v>
      </x:c>
    </x:row>
    <x:row r="809">
      <x:c r="B809" s="7" t="str">
        <x:v>PHY-0803</x:v>
      </x:c>
      <x:c r="C809" s="7" t="str">
        <x:v>path proof</x:v>
      </x:c>
      <x:c r="D809" s="7" t="str">
        <x:v>RAE-PP-033</x:v>
      </x:c>
      <x:c r="E809" s="7" t="str">
        <x:v>Path Proofs!M39</x:v>
      </x:c>
      <x:c r="F809" s="7" t="n">
        <x:f>'Path Proofs'!M39</x:f>
        <x:v>0</x:v>
      </x:c>
    </x:row>
    <x:row r="810">
      <x:c r="B810" s="7" t="str">
        <x:v>PHY-0804</x:v>
      </x:c>
      <x:c r="C810" s="7" t="str">
        <x:v>path proof</x:v>
      </x:c>
      <x:c r="D810" s="7" t="str">
        <x:v>RAE-PP-034</x:v>
      </x:c>
      <x:c r="E810" s="7" t="str">
        <x:v>Path Proofs!M40</x:v>
      </x:c>
      <x:c r="F810" s="7" t="n">
        <x:f>'Path Proofs'!M40</x:f>
        <x:v>0</x:v>
      </x:c>
    </x:row>
    <x:row r="811">
      <x:c r="B811" s="7" t="str">
        <x:v>PHY-0805</x:v>
      </x:c>
      <x:c r="C811" s="7" t="str">
        <x:v>path proof</x:v>
      </x:c>
      <x:c r="D811" s="7" t="str">
        <x:v>RAE-PP-035</x:v>
      </x:c>
      <x:c r="E811" s="7" t="str">
        <x:v>Path Proofs!M41</x:v>
      </x:c>
      <x:c r="F811" s="7" t="n">
        <x:f>'Path Proofs'!M41</x:f>
        <x:v>0</x:v>
      </x:c>
    </x:row>
    <x:row r="812">
      <x:c r="B812" s="7" t="str">
        <x:v>PHY-0806</x:v>
      </x:c>
      <x:c r="C812" s="7" t="str">
        <x:v>path proof</x:v>
      </x:c>
      <x:c r="D812" s="7" t="str">
        <x:v>RAE-PP-036</x:v>
      </x:c>
      <x:c r="E812" s="7" t="str">
        <x:v>Path Proofs!M42</x:v>
      </x:c>
      <x:c r="F812" s="7" t="n">
        <x:f>'Path Proofs'!M42</x:f>
        <x:v>0</x:v>
      </x:c>
    </x:row>
    <x:row r="813">
      <x:c r="B813" s="7" t="str">
        <x:v>PHY-0807</x:v>
      </x:c>
      <x:c r="C813" s="7" t="str">
        <x:v>path proof</x:v>
      </x:c>
      <x:c r="D813" s="7" t="str">
        <x:v>RAE-PP-037</x:v>
      </x:c>
      <x:c r="E813" s="7" t="str">
        <x:v>Path Proofs!M43</x:v>
      </x:c>
      <x:c r="F813" s="7" t="n">
        <x:f>'Path Proofs'!M43</x:f>
        <x:v>0</x:v>
      </x:c>
    </x:row>
    <x:row r="814">
      <x:c r="B814" s="7" t="str">
        <x:v>PHY-0808</x:v>
      </x:c>
      <x:c r="C814" s="7" t="str">
        <x:v>path proof</x:v>
      </x:c>
      <x:c r="D814" s="7" t="str">
        <x:v>RAE-PP-038</x:v>
      </x:c>
      <x:c r="E814" s="7" t="str">
        <x:v>Path Proofs!M44</x:v>
      </x:c>
      <x:c r="F814" s="7" t="n">
        <x:f>'Path Proofs'!M44</x:f>
        <x:v>0</x:v>
      </x:c>
    </x:row>
    <x:row r="815">
      <x:c r="B815" s="7" t="str">
        <x:v>PHY-0809</x:v>
      </x:c>
      <x:c r="C815" s="7" t="str">
        <x:v>path proof</x:v>
      </x:c>
      <x:c r="D815" s="7" t="str">
        <x:v>RAE-PP-039</x:v>
      </x:c>
      <x:c r="E815" s="7" t="str">
        <x:v>Path Proofs!M45</x:v>
      </x:c>
      <x:c r="F815" s="7" t="n">
        <x:f>'Path Proofs'!M45</x:f>
        <x:v>0</x:v>
      </x:c>
    </x:row>
    <x:row r="816">
      <x:c r="B816" s="7" t="str">
        <x:v>PHY-0810</x:v>
      </x:c>
      <x:c r="C816" s="7" t="str">
        <x:v>path proof</x:v>
      </x:c>
      <x:c r="D816" s="7" t="str">
        <x:v>RAE-PP-040</x:v>
      </x:c>
      <x:c r="E816" s="7" t="str">
        <x:v>Path Proofs!M46</x:v>
      </x:c>
      <x:c r="F816" s="7" t="n">
        <x:f>'Path Proofs'!M46</x:f>
        <x:v>0</x:v>
      </x:c>
    </x:row>
    <x:row r="817">
      <x:c r="B817" s="7" t="str">
        <x:v>PHY-0811</x:v>
      </x:c>
      <x:c r="C817" s="7" t="str">
        <x:v>path proof</x:v>
      </x:c>
      <x:c r="D817" s="7" t="str">
        <x:v>RAE-PP-041</x:v>
      </x:c>
      <x:c r="E817" s="7" t="str">
        <x:v>Path Proofs!M47</x:v>
      </x:c>
      <x:c r="F817" s="7" t="n">
        <x:f>'Path Proofs'!M47</x:f>
        <x:v>0</x:v>
      </x:c>
    </x:row>
    <x:row r="818">
      <x:c r="B818" s="7" t="str">
        <x:v>PHY-0812</x:v>
      </x:c>
      <x:c r="C818" s="7" t="str">
        <x:v>path proof</x:v>
      </x:c>
      <x:c r="D818" s="7" t="str">
        <x:v>RAE-PP-042</x:v>
      </x:c>
      <x:c r="E818" s="7" t="str">
        <x:v>Path Proofs!M48</x:v>
      </x:c>
      <x:c r="F818" s="7" t="n">
        <x:f>'Path Proofs'!M48</x:f>
        <x:v>0</x:v>
      </x:c>
    </x:row>
    <x:row r="819">
      <x:c r="B819" s="7" t="str">
        <x:v>PHY-0813</x:v>
      </x:c>
      <x:c r="C819" s="7" t="str">
        <x:v>path proof</x:v>
      </x:c>
      <x:c r="D819" s="7" t="str">
        <x:v>RAE-PP-043</x:v>
      </x:c>
      <x:c r="E819" s="7" t="str">
        <x:v>Path Proofs!M49</x:v>
      </x:c>
      <x:c r="F819" s="7" t="n">
        <x:f>'Path Proofs'!M49</x:f>
        <x:v>0</x:v>
      </x:c>
    </x:row>
    <x:row r="820">
      <x:c r="B820" s="7" t="str">
        <x:v>PHY-0814</x:v>
      </x:c>
      <x:c r="C820" s="7" t="str">
        <x:v>path proof</x:v>
      </x:c>
      <x:c r="D820" s="7" t="str">
        <x:v>RAE-PP-044</x:v>
      </x:c>
      <x:c r="E820" s="7" t="str">
        <x:v>Path Proofs!M50</x:v>
      </x:c>
      <x:c r="F820" s="7" t="n">
        <x:f>'Path Proofs'!M50</x:f>
        <x:v>0</x:v>
      </x:c>
    </x:row>
    <x:row r="821">
      <x:c r="B821" s="7" t="str">
        <x:v>PHY-0815</x:v>
      </x:c>
      <x:c r="C821" s="7" t="str">
        <x:v>path proof</x:v>
      </x:c>
      <x:c r="D821" s="7" t="str">
        <x:v>RAE-PP-045</x:v>
      </x:c>
      <x:c r="E821" s="7" t="str">
        <x:v>Path Proofs!M51</x:v>
      </x:c>
      <x:c r="F821" s="7" t="n">
        <x:f>'Path Proofs'!M51</x:f>
        <x:v>0</x:v>
      </x:c>
    </x:row>
    <x:row r="822">
      <x:c r="B822" s="7" t="str">
        <x:v>PHY-0816</x:v>
      </x:c>
      <x:c r="C822" s="7" t="str">
        <x:v>path proof</x:v>
      </x:c>
      <x:c r="D822" s="7" t="str">
        <x:v>RAE-PP-046</x:v>
      </x:c>
      <x:c r="E822" s="7" t="str">
        <x:v>Path Proofs!M52</x:v>
      </x:c>
      <x:c r="F822" s="7" t="n">
        <x:f>'Path Proofs'!M52</x:f>
        <x:v>0</x:v>
      </x:c>
    </x:row>
    <x:row r="823">
      <x:c r="B823" s="7" t="str">
        <x:v>PHY-0817</x:v>
      </x:c>
      <x:c r="C823" s="7" t="str">
        <x:v>path proof</x:v>
      </x:c>
      <x:c r="D823" s="7" t="str">
        <x:v>RAE-PP-047</x:v>
      </x:c>
      <x:c r="E823" s="7" t="str">
        <x:v>Path Proofs!M53</x:v>
      </x:c>
      <x:c r="F823" s="7" t="n">
        <x:f>'Path Proofs'!M53</x:f>
        <x:v>0</x:v>
      </x:c>
    </x:row>
    <x:row r="824">
      <x:c r="B824" s="7" t="str">
        <x:v>PHY-0818</x:v>
      </x:c>
      <x:c r="C824" s="7" t="str">
        <x:v>path proof</x:v>
      </x:c>
      <x:c r="D824" s="7" t="str">
        <x:v>RAE-PP-048</x:v>
      </x:c>
      <x:c r="E824" s="7" t="str">
        <x:v>Path Proofs!M54</x:v>
      </x:c>
      <x:c r="F824" s="7" t="n">
        <x:f>'Path Proofs'!M54</x:f>
        <x:v>0</x:v>
      </x:c>
    </x:row>
    <x:row r="825">
      <x:c r="B825" s="7" t="str">
        <x:v>PHY-0819</x:v>
      </x:c>
      <x:c r="C825" s="7" t="str">
        <x:v>path proof</x:v>
      </x:c>
      <x:c r="D825" s="7" t="str">
        <x:v>RAE-PP-049</x:v>
      </x:c>
      <x:c r="E825" s="7" t="str">
        <x:v>Path Proofs!M55</x:v>
      </x:c>
      <x:c r="F825" s="7" t="n">
        <x:f>'Path Proofs'!M55</x:f>
        <x:v>0</x:v>
      </x:c>
    </x:row>
    <x:row r="826">
      <x:c r="B826" s="7" t="str">
        <x:v>PHY-0820</x:v>
      </x:c>
      <x:c r="C826" s="7" t="str">
        <x:v>path proof</x:v>
      </x:c>
      <x:c r="D826" s="7" t="str">
        <x:v>RAE-PP-050</x:v>
      </x:c>
      <x:c r="E826" s="7" t="str">
        <x:v>Path Proofs!M56</x:v>
      </x:c>
      <x:c r="F826" s="7" t="n">
        <x:f>'Path Proofs'!M56</x:f>
        <x:v>0</x:v>
      </x:c>
    </x:row>
    <x:row r="827">
      <x:c r="B827" s="7" t="str">
        <x:v>PHY-0821</x:v>
      </x:c>
      <x:c r="C827" s="7" t="str">
        <x:v>path proof</x:v>
      </x:c>
      <x:c r="D827" s="7" t="str">
        <x:v>RAE-PP-051</x:v>
      </x:c>
      <x:c r="E827" s="7" t="str">
        <x:v>Path Proofs!M57</x:v>
      </x:c>
      <x:c r="F827" s="7" t="n">
        <x:f>'Path Proofs'!M57</x:f>
        <x:v>0</x:v>
      </x:c>
    </x:row>
    <x:row r="828">
      <x:c r="B828" s="7" t="str">
        <x:v>PHY-0822</x:v>
      </x:c>
      <x:c r="C828" s="7" t="str">
        <x:v>path proof</x:v>
      </x:c>
      <x:c r="D828" s="7" t="str">
        <x:v>RAE-PP-052</x:v>
      </x:c>
      <x:c r="E828" s="7" t="str">
        <x:v>Path Proofs!M58</x:v>
      </x:c>
      <x:c r="F828" s="7" t="n">
        <x:f>'Path Proofs'!M58</x:f>
        <x:v>0</x:v>
      </x:c>
    </x:row>
    <x:row r="829">
      <x:c r="B829" s="7" t="str">
        <x:v>PHY-0823</x:v>
      </x:c>
      <x:c r="C829" s="7" t="str">
        <x:v>path proof</x:v>
      </x:c>
      <x:c r="D829" s="7" t="str">
        <x:v>RAE-PP-053</x:v>
      </x:c>
      <x:c r="E829" s="7" t="str">
        <x:v>Path Proofs!M59</x:v>
      </x:c>
      <x:c r="F829" s="7" t="n">
        <x:f>'Path Proofs'!M59</x:f>
        <x:v>0</x:v>
      </x:c>
    </x:row>
    <x:row r="830">
      <x:c r="B830" s="7" t="str">
        <x:v>PHY-0824</x:v>
      </x:c>
      <x:c r="C830" s="7" t="str">
        <x:v>path proof</x:v>
      </x:c>
      <x:c r="D830" s="7" t="str">
        <x:v>RAE-PP-054</x:v>
      </x:c>
      <x:c r="E830" s="7" t="str">
        <x:v>Path Proofs!M60</x:v>
      </x:c>
      <x:c r="F830" s="7" t="n">
        <x:f>'Path Proofs'!M60</x:f>
        <x:v>0</x:v>
      </x:c>
    </x:row>
    <x:row r="831">
      <x:c r="B831" s="7" t="str">
        <x:v>PHY-0825</x:v>
      </x:c>
      <x:c r="C831" s="7" t="str">
        <x:v>path proof</x:v>
      </x:c>
      <x:c r="D831" s="7" t="str">
        <x:v>RAE-PP-055</x:v>
      </x:c>
      <x:c r="E831" s="7" t="str">
        <x:v>Path Proofs!M61</x:v>
      </x:c>
      <x:c r="F831" s="7" t="n">
        <x:f>'Path Proofs'!M61</x:f>
        <x:v>0</x:v>
      </x:c>
    </x:row>
    <x:row r="832">
      <x:c r="B832" s="7" t="str">
        <x:v>PHY-0826</x:v>
      </x:c>
      <x:c r="C832" s="7" t="str">
        <x:v>path proof</x:v>
      </x:c>
      <x:c r="D832" s="7" t="str">
        <x:v>RAE-PP-056</x:v>
      </x:c>
      <x:c r="E832" s="7" t="str">
        <x:v>Path Proofs!M62</x:v>
      </x:c>
      <x:c r="F832" s="7" t="n">
        <x:f>'Path Proofs'!M62</x:f>
        <x:v>0</x:v>
      </x:c>
    </x:row>
    <x:row r="833">
      <x:c r="B833" s="7" t="str">
        <x:v>PHY-0827</x:v>
      </x:c>
      <x:c r="C833" s="7" t="str">
        <x:v>path proof</x:v>
      </x:c>
      <x:c r="D833" s="7" t="str">
        <x:v>RAE-PP-057</x:v>
      </x:c>
      <x:c r="E833" s="7" t="str">
        <x:v>Path Proofs!M63</x:v>
      </x:c>
      <x:c r="F833" s="7" t="n">
        <x:f>'Path Proofs'!M63</x:f>
        <x:v>0</x:v>
      </x:c>
    </x:row>
    <x:row r="834">
      <x:c r="B834" s="7" t="str">
        <x:v>PHY-0828</x:v>
      </x:c>
      <x:c r="C834" s="7" t="str">
        <x:v>path proof</x:v>
      </x:c>
      <x:c r="D834" s="7" t="str">
        <x:v>RAE-PP-058</x:v>
      </x:c>
      <x:c r="E834" s="7" t="str">
        <x:v>Path Proofs!M64</x:v>
      </x:c>
      <x:c r="F834" s="7" t="n">
        <x:f>'Path Proofs'!M64</x:f>
        <x:v>0</x:v>
      </x:c>
    </x:row>
    <x:row r="835">
      <x:c r="B835" s="7" t="str">
        <x:v>PHY-0829</x:v>
      </x:c>
      <x:c r="C835" s="7" t="str">
        <x:v>path proof</x:v>
      </x:c>
      <x:c r="D835" s="7" t="str">
        <x:v>RAE-PP-059</x:v>
      </x:c>
      <x:c r="E835" s="7" t="str">
        <x:v>Path Proofs!M65</x:v>
      </x:c>
      <x:c r="F835" s="7" t="n">
        <x:f>'Path Proofs'!M65</x:f>
        <x:v>0</x:v>
      </x:c>
    </x:row>
    <x:row r="836">
      <x:c r="B836" s="7" t="str">
        <x:v>PHY-0830</x:v>
      </x:c>
      <x:c r="C836" s="7" t="str">
        <x:v>path proof</x:v>
      </x:c>
      <x:c r="D836" s="7" t="str">
        <x:v>RAE-PP-060</x:v>
      </x:c>
      <x:c r="E836" s="7" t="str">
        <x:v>Path Proofs!M66</x:v>
      </x:c>
      <x:c r="F836" s="7" t="n">
        <x:f>'Path Proofs'!M66</x:f>
        <x:v>0</x:v>
      </x:c>
    </x:row>
    <x:row r="837">
      <x:c r="B837" s="7" t="str">
        <x:v>PHY-0831</x:v>
      </x:c>
      <x:c r="C837" s="7" t="str">
        <x:v>path proof</x:v>
      </x:c>
      <x:c r="D837" s="7" t="str">
        <x:v>RAE-PP-061</x:v>
      </x:c>
      <x:c r="E837" s="7" t="str">
        <x:v>Path Proofs!M67</x:v>
      </x:c>
      <x:c r="F837" s="7" t="n">
        <x:f>'Path Proofs'!M67</x:f>
        <x:v>0</x:v>
      </x:c>
    </x:row>
    <x:row r="838">
      <x:c r="B838" s="7" t="str">
        <x:v>PHY-0832</x:v>
      </x:c>
      <x:c r="C838" s="7" t="str">
        <x:v>path proof</x:v>
      </x:c>
      <x:c r="D838" s="7" t="str">
        <x:v>RAE-PP-062</x:v>
      </x:c>
      <x:c r="E838" s="7" t="str">
        <x:v>Path Proofs!M68</x:v>
      </x:c>
      <x:c r="F838" s="7" t="n">
        <x:f>'Path Proofs'!M68</x:f>
        <x:v>0</x:v>
      </x:c>
    </x:row>
    <x:row r="839">
      <x:c r="B839" s="7" t="str">
        <x:v>PHY-0833</x:v>
      </x:c>
      <x:c r="C839" s="7" t="str">
        <x:v>path proof</x:v>
      </x:c>
      <x:c r="D839" s="7" t="str">
        <x:v>RAE-PP-063</x:v>
      </x:c>
      <x:c r="E839" s="7" t="str">
        <x:v>Path Proofs!M69</x:v>
      </x:c>
      <x:c r="F839" s="7" t="n">
        <x:f>'Path Proofs'!M69</x:f>
        <x:v>0</x:v>
      </x:c>
    </x:row>
    <x:row r="840">
      <x:c r="B840" s="7" t="str">
        <x:v>PHY-0834</x:v>
      </x:c>
      <x:c r="C840" s="7" t="str">
        <x:v>path proof</x:v>
      </x:c>
      <x:c r="D840" s="7" t="str">
        <x:v>RAE-PP-064</x:v>
      </x:c>
      <x:c r="E840" s="7" t="str">
        <x:v>Path Proofs!M70</x:v>
      </x:c>
      <x:c r="F840" s="7" t="n">
        <x:f>'Path Proofs'!M70</x:f>
        <x:v>0</x:v>
      </x:c>
    </x:row>
    <x:row r="841">
      <x:c r="B841" s="7" t="str">
        <x:v>PHY-0835</x:v>
      </x:c>
      <x:c r="C841" s="7" t="str">
        <x:v>path proof</x:v>
      </x:c>
      <x:c r="D841" s="7" t="str">
        <x:v>RAE-PP-065</x:v>
      </x:c>
      <x:c r="E841" s="7" t="str">
        <x:v>Path Proofs!M71</x:v>
      </x:c>
      <x:c r="F841" s="7" t="n">
        <x:f>'Path Proofs'!M71</x:f>
        <x:v>0</x:v>
      </x:c>
    </x:row>
    <x:row r="842">
      <x:c r="B842" s="7" t="str">
        <x:v>PHY-0836</x:v>
      </x:c>
      <x:c r="C842" s="7" t="str">
        <x:v>path proof</x:v>
      </x:c>
      <x:c r="D842" s="7" t="str">
        <x:v>RAE-PP-066</x:v>
      </x:c>
      <x:c r="E842" s="7" t="str">
        <x:v>Path Proofs!M72</x:v>
      </x:c>
      <x:c r="F842" s="7" t="n">
        <x:f>'Path Proofs'!M72</x:f>
        <x:v>0</x:v>
      </x:c>
    </x:row>
    <x:row r="843">
      <x:c r="B843" s="7" t="str">
        <x:v>PHY-0837</x:v>
      </x:c>
      <x:c r="C843" s="7" t="str">
        <x:v>path proof</x:v>
      </x:c>
      <x:c r="D843" s="7" t="str">
        <x:v>RAE-PP-067</x:v>
      </x:c>
      <x:c r="E843" s="7" t="str">
        <x:v>Path Proofs!M73</x:v>
      </x:c>
      <x:c r="F843" s="7" t="n">
        <x:f>'Path Proofs'!M73</x:f>
        <x:v>0</x:v>
      </x:c>
    </x:row>
    <x:row r="844">
      <x:c r="B844" s="7" t="str">
        <x:v>PHY-0838</x:v>
      </x:c>
      <x:c r="C844" s="7" t="str">
        <x:v>path proof</x:v>
      </x:c>
      <x:c r="D844" s="7" t="str">
        <x:v>RAE-PP-068</x:v>
      </x:c>
      <x:c r="E844" s="7" t="str">
        <x:v>Path Proofs!M74</x:v>
      </x:c>
      <x:c r="F844" s="7" t="n">
        <x:f>'Path Proofs'!M74</x:f>
        <x:v>0</x:v>
      </x:c>
    </x:row>
    <x:row r="845">
      <x:c r="B845" s="7" t="str">
        <x:v>PHY-0839</x:v>
      </x:c>
      <x:c r="C845" s="7" t="str">
        <x:v>path proof</x:v>
      </x:c>
      <x:c r="D845" s="7" t="str">
        <x:v>RAE-PP-069</x:v>
      </x:c>
      <x:c r="E845" s="7" t="str">
        <x:v>Path Proofs!M75</x:v>
      </x:c>
      <x:c r="F845" s="7" t="n">
        <x:f>'Path Proofs'!M75</x:f>
        <x:v>0</x:v>
      </x:c>
    </x:row>
    <x:row r="846">
      <x:c r="B846" s="7" t="str">
        <x:v>PHY-0840</x:v>
      </x:c>
      <x:c r="C846" s="7" t="str">
        <x:v>path proof</x:v>
      </x:c>
      <x:c r="D846" s="7" t="str">
        <x:v>RAE-PP-070</x:v>
      </x:c>
      <x:c r="E846" s="7" t="str">
        <x:v>Path Proofs!M76</x:v>
      </x:c>
      <x:c r="F846" s="7" t="n">
        <x:f>'Path Proofs'!M76</x:f>
        <x:v>0</x:v>
      </x:c>
    </x:row>
    <x:row r="847">
      <x:c r="B847" s="7" t="str">
        <x:v>PHY-0841</x:v>
      </x:c>
      <x:c r="C847" s="7" t="str">
        <x:v>path proof</x:v>
      </x:c>
      <x:c r="D847" s="7" t="str">
        <x:v>RAE-PP-071</x:v>
      </x:c>
      <x:c r="E847" s="7" t="str">
        <x:v>Path Proofs!M77</x:v>
      </x:c>
      <x:c r="F847" s="7" t="n">
        <x:f>'Path Proofs'!M77</x:f>
        <x:v>0</x:v>
      </x:c>
    </x:row>
    <x:row r="848">
      <x:c r="B848" s="7" t="str">
        <x:v>PHY-0842</x:v>
      </x:c>
      <x:c r="C848" s="7" t="str">
        <x:v>path proof</x:v>
      </x:c>
      <x:c r="D848" s="7" t="str">
        <x:v>RAE-PP-072</x:v>
      </x:c>
      <x:c r="E848" s="7" t="str">
        <x:v>Path Proofs!M78</x:v>
      </x:c>
      <x:c r="F848" s="7" t="n">
        <x:f>'Path Proofs'!M78</x:f>
        <x:v>0</x:v>
      </x:c>
    </x:row>
    <x:row r="849">
      <x:c r="B849" s="7" t="str">
        <x:v>PHY-0843</x:v>
      </x:c>
      <x:c r="C849" s="7" t="str">
        <x:v>path proof</x:v>
      </x:c>
      <x:c r="D849" s="7" t="str">
        <x:v>RAE-PP-073</x:v>
      </x:c>
      <x:c r="E849" s="7" t="str">
        <x:v>Path Proofs!M79</x:v>
      </x:c>
      <x:c r="F849" s="7" t="n">
        <x:f>'Path Proofs'!M79</x:f>
        <x:v>0</x:v>
      </x:c>
    </x:row>
    <x:row r="850">
      <x:c r="B850" s="7" t="str">
        <x:v>PHY-0844</x:v>
      </x:c>
      <x:c r="C850" s="7" t="str">
        <x:v>path proof</x:v>
      </x:c>
      <x:c r="D850" s="7" t="str">
        <x:v>RAE-PP-074</x:v>
      </x:c>
      <x:c r="E850" s="7" t="str">
        <x:v>Path Proofs!M80</x:v>
      </x:c>
      <x:c r="F850" s="7" t="n">
        <x:f>'Path Proofs'!M80</x:f>
        <x:v>0</x:v>
      </x:c>
    </x:row>
    <x:row r="851">
      <x:c r="B851" s="7" t="str">
        <x:v>PHY-0845</x:v>
      </x:c>
      <x:c r="C851" s="7" t="str">
        <x:v>path proof</x:v>
      </x:c>
      <x:c r="D851" s="7" t="str">
        <x:v>RAE-PP-075</x:v>
      </x:c>
      <x:c r="E851" s="7" t="str">
        <x:v>Path Proofs!M81</x:v>
      </x:c>
      <x:c r="F851" s="7" t="n">
        <x:f>'Path Proofs'!M81</x:f>
        <x:v>0</x:v>
      </x:c>
    </x:row>
    <x:row r="852">
      <x:c r="B852" s="7" t="str">
        <x:v>PHY-0846</x:v>
      </x:c>
      <x:c r="C852" s="7" t="str">
        <x:v>path proof</x:v>
      </x:c>
      <x:c r="D852" s="7" t="str">
        <x:v>RAE-PP-076</x:v>
      </x:c>
      <x:c r="E852" s="7" t="str">
        <x:v>Path Proofs!M82</x:v>
      </x:c>
      <x:c r="F852" s="7" t="n">
        <x:f>'Path Proofs'!M82</x:f>
        <x:v>0</x:v>
      </x:c>
    </x:row>
    <x:row r="853">
      <x:c r="B853" s="7" t="str">
        <x:v>PHY-0847</x:v>
      </x:c>
      <x:c r="C853" s="7" t="str">
        <x:v>path proof</x:v>
      </x:c>
      <x:c r="D853" s="7" t="str">
        <x:v>RAE-PP-077</x:v>
      </x:c>
      <x:c r="E853" s="7" t="str">
        <x:v>Path Proofs!M83</x:v>
      </x:c>
      <x:c r="F853" s="7" t="n">
        <x:f>'Path Proofs'!M83</x:f>
        <x:v>0</x:v>
      </x:c>
    </x:row>
    <x:row r="854">
      <x:c r="B854" s="7" t="str">
        <x:v>PHY-0848</x:v>
      </x:c>
      <x:c r="C854" s="7" t="str">
        <x:v>path proof</x:v>
      </x:c>
      <x:c r="D854" s="7" t="str">
        <x:v>RAE-PP-078</x:v>
      </x:c>
      <x:c r="E854" s="7" t="str">
        <x:v>Path Proofs!M84</x:v>
      </x:c>
      <x:c r="F854" s="7" t="n">
        <x:f>'Path Proofs'!M84</x:f>
        <x:v>0</x:v>
      </x:c>
    </x:row>
    <x:row r="855">
      <x:c r="B855" s="7" t="str">
        <x:v>PHY-0849</x:v>
      </x:c>
      <x:c r="C855" s="7" t="str">
        <x:v>path proof</x:v>
      </x:c>
      <x:c r="D855" s="7" t="str">
        <x:v>RAE-PP-079</x:v>
      </x:c>
      <x:c r="E855" s="7" t="str">
        <x:v>Path Proofs!M85</x:v>
      </x:c>
      <x:c r="F855" s="7" t="n">
        <x:f>'Path Proofs'!M85</x:f>
        <x:v>0</x:v>
      </x:c>
    </x:row>
    <x:row r="856">
      <x:c r="B856" s="7" t="str">
        <x:v>PHY-0850</x:v>
      </x:c>
      <x:c r="C856" s="7" t="str">
        <x:v>path proof</x:v>
      </x:c>
      <x:c r="D856" s="7" t="str">
        <x:v>RAE-PP-080</x:v>
      </x:c>
      <x:c r="E856" s="7" t="str">
        <x:v>Path Proofs!M86</x:v>
      </x:c>
      <x:c r="F856" s="7" t="n">
        <x:f>'Path Proofs'!M86</x:f>
        <x:v>0</x:v>
      </x:c>
    </x:row>
    <x:row r="857">
      <x:c r="B857" s="7" t="str">
        <x:v>PHY-0851</x:v>
      </x:c>
      <x:c r="C857" s="7" t="str">
        <x:v>path proof</x:v>
      </x:c>
      <x:c r="D857" s="7" t="str">
        <x:v>RAE-PP-081</x:v>
      </x:c>
      <x:c r="E857" s="7" t="str">
        <x:v>Path Proofs!M87</x:v>
      </x:c>
      <x:c r="F857" s="7" t="n">
        <x:f>'Path Proofs'!M87</x:f>
        <x:v>0</x:v>
      </x:c>
    </x:row>
    <x:row r="858">
      <x:c r="B858" s="7" t="str">
        <x:v>PHY-0852</x:v>
      </x:c>
      <x:c r="C858" s="7" t="str">
        <x:v>path proof</x:v>
      </x:c>
      <x:c r="D858" s="7" t="str">
        <x:v>RAE-PP-082</x:v>
      </x:c>
      <x:c r="E858" s="7" t="str">
        <x:v>Path Proofs!M88</x:v>
      </x:c>
      <x:c r="F858" s="7" t="n">
        <x:f>'Path Proofs'!M88</x:f>
        <x:v>0</x:v>
      </x:c>
    </x:row>
    <x:row r="859">
      <x:c r="B859" s="7" t="str">
        <x:v>PHY-0853</x:v>
      </x:c>
      <x:c r="C859" s="7" t="str">
        <x:v>path proof</x:v>
      </x:c>
      <x:c r="D859" s="7" t="str">
        <x:v>RAE-PP-083</x:v>
      </x:c>
      <x:c r="E859" s="7" t="str">
        <x:v>Path Proofs!M89</x:v>
      </x:c>
      <x:c r="F859" s="7" t="n">
        <x:f>'Path Proofs'!M89</x:f>
        <x:v>0</x:v>
      </x:c>
    </x:row>
    <x:row r="860">
      <x:c r="B860" s="7" t="str">
        <x:v>PHY-0854</x:v>
      </x:c>
      <x:c r="C860" s="7" t="str">
        <x:v>path proof</x:v>
      </x:c>
      <x:c r="D860" s="7" t="str">
        <x:v>RAE-PP-084</x:v>
      </x:c>
      <x:c r="E860" s="7" t="str">
        <x:v>Path Proofs!M90</x:v>
      </x:c>
      <x:c r="F860" s="7" t="n">
        <x:f>'Path Proofs'!M90</x:f>
        <x:v>0</x:v>
      </x:c>
    </x:row>
    <x:row r="861">
      <x:c r="B861" s="7" t="str">
        <x:v>PHY-0855</x:v>
      </x:c>
      <x:c r="C861" s="7" t="str">
        <x:v>path proof</x:v>
      </x:c>
      <x:c r="D861" s="7" t="str">
        <x:v>RAE-PP-085</x:v>
      </x:c>
      <x:c r="E861" s="7" t="str">
        <x:v>Path Proofs!M91</x:v>
      </x:c>
      <x:c r="F861" s="7" t="n">
        <x:f>'Path Proofs'!M91</x:f>
        <x:v>0</x:v>
      </x:c>
    </x:row>
    <x:row r="862">
      <x:c r="B862" s="7" t="str">
        <x:v>PHY-0856</x:v>
      </x:c>
      <x:c r="C862" s="7" t="str">
        <x:v>path proof</x:v>
      </x:c>
      <x:c r="D862" s="7" t="str">
        <x:v>RAE-PP-086</x:v>
      </x:c>
      <x:c r="E862" s="7" t="str">
        <x:v>Path Proofs!M92</x:v>
      </x:c>
      <x:c r="F862" s="7" t="n">
        <x:f>'Path Proofs'!M92</x:f>
        <x:v>0</x:v>
      </x:c>
    </x:row>
    <x:row r="863">
      <x:c r="B863" s="7" t="str">
        <x:v>PHY-0857</x:v>
      </x:c>
      <x:c r="C863" s="7" t="str">
        <x:v>path proof</x:v>
      </x:c>
      <x:c r="D863" s="7" t="str">
        <x:v>RAE-PP-087</x:v>
      </x:c>
      <x:c r="E863" s="7" t="str">
        <x:v>Path Proofs!M93</x:v>
      </x:c>
      <x:c r="F863" s="7" t="n">
        <x:f>'Path Proofs'!M93</x:f>
        <x:v>0</x:v>
      </x:c>
    </x:row>
    <x:row r="864">
      <x:c r="B864" s="7" t="str">
        <x:v>PHY-0858</x:v>
      </x:c>
      <x:c r="C864" s="7" t="str">
        <x:v>path proof</x:v>
      </x:c>
      <x:c r="D864" s="7" t="str">
        <x:v>RAE-PP-088</x:v>
      </x:c>
      <x:c r="E864" s="7" t="str">
        <x:v>Path Proofs!M94</x:v>
      </x:c>
      <x:c r="F864" s="7" t="n">
        <x:f>'Path Proofs'!M94</x:f>
        <x:v>0</x:v>
      </x:c>
    </x:row>
    <x:row r="865">
      <x:c r="B865" s="7" t="str">
        <x:v>PHY-0859</x:v>
      </x:c>
      <x:c r="C865" s="7" t="str">
        <x:v>path proof</x:v>
      </x:c>
      <x:c r="D865" s="7" t="str">
        <x:v>RAE-PP-089</x:v>
      </x:c>
      <x:c r="E865" s="7" t="str">
        <x:v>Path Proofs!M95</x:v>
      </x:c>
      <x:c r="F865" s="7" t="n">
        <x:f>'Path Proofs'!M95</x:f>
        <x:v>0</x:v>
      </x:c>
    </x:row>
    <x:row r="866">
      <x:c r="B866" s="7" t="str">
        <x:v>PHY-0860</x:v>
      </x:c>
      <x:c r="C866" s="7" t="str">
        <x:v>path proof</x:v>
      </x:c>
      <x:c r="D866" s="7" t="str">
        <x:v>RAE-PP-090</x:v>
      </x:c>
      <x:c r="E866" s="7" t="str">
        <x:v>Path Proofs!M96</x:v>
      </x:c>
      <x:c r="F866" s="7" t="n">
        <x:f>'Path Proofs'!M96</x:f>
        <x:v>0</x:v>
      </x:c>
    </x:row>
    <x:row r="867">
      <x:c r="B867" s="7" t="str">
        <x:v>PHY-0861</x:v>
      </x:c>
      <x:c r="C867" s="7" t="str">
        <x:v>path proof</x:v>
      </x:c>
      <x:c r="D867" s="7" t="str">
        <x:v>RAE-PP-091</x:v>
      </x:c>
      <x:c r="E867" s="7" t="str">
        <x:v>Path Proofs!M97</x:v>
      </x:c>
      <x:c r="F867" s="7" t="n">
        <x:f>'Path Proofs'!M97</x:f>
        <x:v>0</x:v>
      </x:c>
    </x:row>
    <x:row r="868">
      <x:c r="B868" s="7" t="str">
        <x:v>PHY-0862</x:v>
      </x:c>
      <x:c r="C868" s="7" t="str">
        <x:v>path proof</x:v>
      </x:c>
      <x:c r="D868" s="7" t="str">
        <x:v>RAE-PP-092</x:v>
      </x:c>
      <x:c r="E868" s="7" t="str">
        <x:v>Path Proofs!M98</x:v>
      </x:c>
      <x:c r="F868" s="7" t="n">
        <x:f>'Path Proofs'!M98</x:f>
        <x:v>0</x:v>
      </x:c>
    </x:row>
    <x:row r="869">
      <x:c r="B869" s="7" t="str">
        <x:v>PHY-0863</x:v>
      </x:c>
      <x:c r="C869" s="7" t="str">
        <x:v>path proof</x:v>
      </x:c>
      <x:c r="D869" s="7" t="str">
        <x:v>RAE-PP-093</x:v>
      </x:c>
      <x:c r="E869" s="7" t="str">
        <x:v>Path Proofs!M99</x:v>
      </x:c>
      <x:c r="F869" s="7" t="n">
        <x:f>'Path Proofs'!M99</x:f>
        <x:v>0</x:v>
      </x:c>
    </x:row>
    <x:row r="870">
      <x:c r="B870" s="7" t="str">
        <x:v>PHY-0864</x:v>
      </x:c>
      <x:c r="C870" s="7" t="str">
        <x:v>path proof</x:v>
      </x:c>
      <x:c r="D870" s="7" t="str">
        <x:v>RAE-PP-094</x:v>
      </x:c>
      <x:c r="E870" s="7" t="str">
        <x:v>Path Proofs!M100</x:v>
      </x:c>
      <x:c r="F870" s="7" t="n">
        <x:f>'Path Proofs'!M100</x:f>
        <x:v>0</x:v>
      </x:c>
    </x:row>
    <x:row r="871">
      <x:c r="B871" s="7" t="str">
        <x:v>PHY-0865</x:v>
      </x:c>
      <x:c r="C871" s="7" t="str">
        <x:v>path proof</x:v>
      </x:c>
      <x:c r="D871" s="7" t="str">
        <x:v>RAE-PP-095</x:v>
      </x:c>
      <x:c r="E871" s="7" t="str">
        <x:v>Path Proofs!M101</x:v>
      </x:c>
      <x:c r="F871" s="7" t="n">
        <x:f>'Path Proofs'!M101</x:f>
        <x:v>0</x:v>
      </x:c>
    </x:row>
    <x:row r="872">
      <x:c r="B872" s="7" t="str">
        <x:v>PHY-0866</x:v>
      </x:c>
      <x:c r="C872" s="7" t="str">
        <x:v>path proof</x:v>
      </x:c>
      <x:c r="D872" s="7" t="str">
        <x:v>RAE-PP-096</x:v>
      </x:c>
      <x:c r="E872" s="7" t="str">
        <x:v>Path Proofs!M102</x:v>
      </x:c>
      <x:c r="F872" s="7" t="n">
        <x:f>'Path Proofs'!M102</x:f>
        <x:v>0</x:v>
      </x:c>
    </x:row>
    <x:row r="873">
      <x:c r="B873" s="7" t="str">
        <x:v>PHY-0867</x:v>
      </x:c>
      <x:c r="C873" s="7" t="str">
        <x:v>path proof</x:v>
      </x:c>
      <x:c r="D873" s="7" t="str">
        <x:v>RAE-PP-097</x:v>
      </x:c>
      <x:c r="E873" s="7" t="str">
        <x:v>Path Proofs!M103</x:v>
      </x:c>
      <x:c r="F873" s="7" t="n">
        <x:f>'Path Proofs'!M103</x:f>
        <x:v>0</x:v>
      </x:c>
    </x:row>
    <x:row r="874">
      <x:c r="B874" s="7" t="str">
        <x:v>PHY-0868</x:v>
      </x:c>
      <x:c r="C874" s="7" t="str">
        <x:v>path proof</x:v>
      </x:c>
      <x:c r="D874" s="7" t="str">
        <x:v>RAE-PP-098</x:v>
      </x:c>
      <x:c r="E874" s="7" t="str">
        <x:v>Path Proofs!M104</x:v>
      </x:c>
      <x:c r="F874" s="7" t="n">
        <x:f>'Path Proofs'!M104</x:f>
        <x:v>0</x:v>
      </x:c>
    </x:row>
    <x:row r="875">
      <x:c r="B875" s="7" t="str">
        <x:v>PHY-0869</x:v>
      </x:c>
      <x:c r="C875" s="7" t="str">
        <x:v>path proof</x:v>
      </x:c>
      <x:c r="D875" s="7" t="str">
        <x:v>RAE-PP-099</x:v>
      </x:c>
      <x:c r="E875" s="7" t="str">
        <x:v>Path Proofs!M105</x:v>
      </x:c>
      <x:c r="F875" s="7" t="n">
        <x:f>'Path Proofs'!M105</x:f>
        <x:v>0</x:v>
      </x:c>
    </x:row>
    <x:row r="876">
      <x:c r="B876" s="7" t="str">
        <x:v>PHY-0870</x:v>
      </x:c>
      <x:c r="C876" s="7" t="str">
        <x:v>path proof</x:v>
      </x:c>
      <x:c r="D876" s="7" t="str">
        <x:v>RAE-PP-100</x:v>
      </x:c>
      <x:c r="E876" s="7" t="str">
        <x:v>Path Proofs!M106</x:v>
      </x:c>
      <x:c r="F876" s="7" t="n">
        <x:f>'Path Proofs'!M106</x:f>
        <x:v>0</x:v>
      </x:c>
    </x:row>
    <x:row r="877">
      <x:c r="B877" s="7" t="str">
        <x:v>PHY-0871</x:v>
      </x:c>
      <x:c r="C877" s="7" t="str">
        <x:v>path proof</x:v>
      </x:c>
      <x:c r="D877" s="7" t="str">
        <x:v>RAE-PP-101</x:v>
      </x:c>
      <x:c r="E877" s="7" t="str">
        <x:v>Path Proofs!M107</x:v>
      </x:c>
      <x:c r="F877" s="7" t="n">
        <x:f>'Path Proofs'!M107</x:f>
        <x:v>0</x:v>
      </x:c>
    </x:row>
    <x:row r="878">
      <x:c r="B878" s="7" t="str">
        <x:v>PHY-0872</x:v>
      </x:c>
      <x:c r="C878" s="7" t="str">
        <x:v>path proof</x:v>
      </x:c>
      <x:c r="D878" s="7" t="str">
        <x:v>RAE-PP-102</x:v>
      </x:c>
      <x:c r="E878" s="7" t="str">
        <x:v>Path Proofs!M108</x:v>
      </x:c>
      <x:c r="F878" s="7" t="n">
        <x:f>'Path Proofs'!M108</x:f>
        <x:v>0</x:v>
      </x:c>
    </x:row>
    <x:row r="879">
      <x:c r="B879" s="7" t="str">
        <x:v>PHY-0873</x:v>
      </x:c>
      <x:c r="C879" s="7" t="str">
        <x:v>path proof</x:v>
      </x:c>
      <x:c r="D879" s="7" t="str">
        <x:v>RAE-PP-103</x:v>
      </x:c>
      <x:c r="E879" s="7" t="str">
        <x:v>Path Proofs!M109</x:v>
      </x:c>
      <x:c r="F879" s="7" t="n">
        <x:f>'Path Proofs'!M109</x:f>
        <x:v>0</x:v>
      </x:c>
    </x:row>
    <x:row r="880">
      <x:c r="B880" s="7" t="str">
        <x:v>PHY-0874</x:v>
      </x:c>
      <x:c r="C880" s="7" t="str">
        <x:v>path proof</x:v>
      </x:c>
      <x:c r="D880" s="7" t="str">
        <x:v>RAE-PP-104</x:v>
      </x:c>
      <x:c r="E880" s="7" t="str">
        <x:v>Path Proofs!M110</x:v>
      </x:c>
      <x:c r="F880" s="7" t="n">
        <x:f>'Path Proofs'!M110</x:f>
        <x:v>0</x:v>
      </x:c>
    </x:row>
    <x:row r="881">
      <x:c r="B881" s="7" t="str">
        <x:v>PHY-0875</x:v>
      </x:c>
      <x:c r="C881" s="7" t="str">
        <x:v>path proof</x:v>
      </x:c>
      <x:c r="D881" s="7" t="str">
        <x:v>RAE-PP-105</x:v>
      </x:c>
      <x:c r="E881" s="7" t="str">
        <x:v>Path Proofs!M111</x:v>
      </x:c>
      <x:c r="F881" s="7" t="n">
        <x:f>'Path Proofs'!M111</x:f>
        <x:v>0</x:v>
      </x:c>
    </x:row>
    <x:row r="882">
      <x:c r="B882" s="7" t="str">
        <x:v>PHY-0876</x:v>
      </x:c>
      <x:c r="C882" s="7" t="str">
        <x:v>path proof</x:v>
      </x:c>
      <x:c r="D882" s="7" t="str">
        <x:v>RAE-PP-106</x:v>
      </x:c>
      <x:c r="E882" s="7" t="str">
        <x:v>Path Proofs!M112</x:v>
      </x:c>
      <x:c r="F882" s="7" t="n">
        <x:f>'Path Proofs'!M112</x:f>
        <x:v>0</x:v>
      </x:c>
    </x:row>
    <x:row r="883">
      <x:c r="B883" s="7" t="str">
        <x:v>PHY-0877</x:v>
      </x:c>
      <x:c r="C883" s="7" t="str">
        <x:v>path proof</x:v>
      </x:c>
      <x:c r="D883" s="7" t="str">
        <x:v>RAE-PP-107</x:v>
      </x:c>
      <x:c r="E883" s="7" t="str">
        <x:v>Path Proofs!M113</x:v>
      </x:c>
      <x:c r="F883" s="7" t="n">
        <x:f>'Path Proofs'!M113</x:f>
        <x:v>0</x:v>
      </x:c>
    </x:row>
    <x:row r="884">
      <x:c r="B884" s="7" t="str">
        <x:v>PHY-0878</x:v>
      </x:c>
      <x:c r="C884" s="7" t="str">
        <x:v>path proof</x:v>
      </x:c>
      <x:c r="D884" s="7" t="str">
        <x:v>RAE-PP-108</x:v>
      </x:c>
      <x:c r="E884" s="7" t="str">
        <x:v>Path Proofs!M114</x:v>
      </x:c>
      <x:c r="F884" s="7" t="n">
        <x:f>'Path Proofs'!M114</x:f>
        <x:v>0</x:v>
      </x:c>
    </x:row>
    <x:row r="885">
      <x:c r="B885" s="7" t="str">
        <x:v>PHY-0879</x:v>
      </x:c>
      <x:c r="C885" s="7" t="str">
        <x:v>path proof</x:v>
      </x:c>
      <x:c r="D885" s="7" t="str">
        <x:v>RAE-PP-109</x:v>
      </x:c>
      <x:c r="E885" s="7" t="str">
        <x:v>Path Proofs!M115</x:v>
      </x:c>
      <x:c r="F885" s="7" t="n">
        <x:f>'Path Proofs'!M115</x:f>
        <x:v>0</x:v>
      </x:c>
    </x:row>
    <x:row r="886">
      <x:c r="B886" s="7" t="str">
        <x:v>PHY-0880</x:v>
      </x:c>
      <x:c r="C886" s="7" t="str">
        <x:v>path proof</x:v>
      </x:c>
      <x:c r="D886" s="7" t="str">
        <x:v>RAE-PP-110</x:v>
      </x:c>
      <x:c r="E886" s="7" t="str">
        <x:v>Path Proofs!M116</x:v>
      </x:c>
      <x:c r="F886" s="7" t="n">
        <x:f>'Path Proofs'!M116</x:f>
        <x:v>0</x:v>
      </x:c>
    </x:row>
    <x:row r="887">
      <x:c r="B887" s="7" t="str">
        <x:v>PHY-0881</x:v>
      </x:c>
      <x:c r="C887" s="7" t="str">
        <x:v>path proof</x:v>
      </x:c>
      <x:c r="D887" s="7" t="str">
        <x:v>RAE-PP-111</x:v>
      </x:c>
      <x:c r="E887" s="7" t="str">
        <x:v>Path Proofs!M117</x:v>
      </x:c>
      <x:c r="F887" s="7" t="n">
        <x:f>'Path Proofs'!M117</x:f>
        <x:v>0</x:v>
      </x:c>
    </x:row>
    <x:row r="888">
      <x:c r="B888" s="7" t="str">
        <x:v>PHY-0882</x:v>
      </x:c>
      <x:c r="C888" s="7" t="str">
        <x:v>path proof</x:v>
      </x:c>
      <x:c r="D888" s="7" t="str">
        <x:v>RAE-PP-112</x:v>
      </x:c>
      <x:c r="E888" s="7" t="str">
        <x:v>Path Proofs!M118</x:v>
      </x:c>
      <x:c r="F888" s="7" t="n">
        <x:f>'Path Proofs'!M118</x:f>
        <x:v>0</x:v>
      </x:c>
    </x:row>
    <x:row r="889">
      <x:c r="B889" s="7" t="str">
        <x:v>PHY-0883</x:v>
      </x:c>
      <x:c r="C889" s="7" t="str">
        <x:v>path proof</x:v>
      </x:c>
      <x:c r="D889" s="7" t="str">
        <x:v>RAE-PP-113</x:v>
      </x:c>
      <x:c r="E889" s="7" t="str">
        <x:v>Path Proofs!M119</x:v>
      </x:c>
      <x:c r="F889" s="7" t="n">
        <x:f>'Path Proofs'!M119</x:f>
        <x:v>0</x:v>
      </x:c>
    </x:row>
    <x:row r="890">
      <x:c r="B890" s="7" t="str">
        <x:v>PHY-0884</x:v>
      </x:c>
      <x:c r="C890" s="7" t="str">
        <x:v>path proof</x:v>
      </x:c>
      <x:c r="D890" s="7" t="str">
        <x:v>RAE-PP-114</x:v>
      </x:c>
      <x:c r="E890" s="7" t="str">
        <x:v>Path Proofs!M120</x:v>
      </x:c>
      <x:c r="F890" s="7" t="n">
        <x:f>'Path Proofs'!M120</x:f>
        <x:v>0</x:v>
      </x:c>
    </x:row>
    <x:row r="891">
      <x:c r="B891" s="7" t="str">
        <x:v>PHY-0885</x:v>
      </x:c>
      <x:c r="C891" s="7" t="str">
        <x:v>path proof</x:v>
      </x:c>
      <x:c r="D891" s="7" t="str">
        <x:v>RAE-PP-115</x:v>
      </x:c>
      <x:c r="E891" s="7" t="str">
        <x:v>Path Proofs!M121</x:v>
      </x:c>
      <x:c r="F891" s="7" t="n">
        <x:f>'Path Proofs'!M121</x:f>
        <x:v>0</x:v>
      </x:c>
    </x:row>
    <x:row r="892">
      <x:c r="B892" s="7" t="str">
        <x:v>PHY-0886</x:v>
      </x:c>
      <x:c r="C892" s="7" t="str">
        <x:v>path proof</x:v>
      </x:c>
      <x:c r="D892" s="7" t="str">
        <x:v>RAE-PP-116</x:v>
      </x:c>
      <x:c r="E892" s="7" t="str">
        <x:v>Path Proofs!M122</x:v>
      </x:c>
      <x:c r="F892" s="7" t="n">
        <x:f>'Path Proofs'!M122</x:f>
        <x:v>0</x:v>
      </x:c>
    </x:row>
    <x:row r="893">
      <x:c r="B893" s="7" t="str">
        <x:v>PHY-0887</x:v>
      </x:c>
      <x:c r="C893" s="7" t="str">
        <x:v>path proof</x:v>
      </x:c>
      <x:c r="D893" s="7" t="str">
        <x:v>RAE-PP-117</x:v>
      </x:c>
      <x:c r="E893" s="7" t="str">
        <x:v>Path Proofs!M123</x:v>
      </x:c>
      <x:c r="F893" s="7" t="n">
        <x:f>'Path Proofs'!M123</x:f>
        <x:v>0</x:v>
      </x:c>
    </x:row>
    <x:row r="894">
      <x:c r="B894" s="7" t="str">
        <x:v>PHY-0888</x:v>
      </x:c>
      <x:c r="C894" s="7" t="str">
        <x:v>path proof</x:v>
      </x:c>
      <x:c r="D894" s="7" t="str">
        <x:v>RAE-PP-118</x:v>
      </x:c>
      <x:c r="E894" s="7" t="str">
        <x:v>Path Proofs!M124</x:v>
      </x:c>
      <x:c r="F894" s="7" t="n">
        <x:f>'Path Proofs'!M124</x:f>
        <x:v>0</x:v>
      </x:c>
    </x:row>
    <x:row r="895">
      <x:c r="B895" s="7" t="str">
        <x:v>PHY-0889</x:v>
      </x:c>
      <x:c r="C895" s="7" t="str">
        <x:v>path proof</x:v>
      </x:c>
      <x:c r="D895" s="7" t="str">
        <x:v>RAE-PP-119</x:v>
      </x:c>
      <x:c r="E895" s="7" t="str">
        <x:v>Path Proofs!M125</x:v>
      </x:c>
      <x:c r="F895" s="7" t="n">
        <x:f>'Path Proofs'!M125</x:f>
        <x:v>0</x:v>
      </x:c>
    </x:row>
    <x:row r="896">
      <x:c r="B896" s="7" t="str">
        <x:v>PHY-0890</x:v>
      </x:c>
      <x:c r="C896" s="7" t="str">
        <x:v>path proof</x:v>
      </x:c>
      <x:c r="D896" s="7" t="str">
        <x:v>RAE-PP-120</x:v>
      </x:c>
      <x:c r="E896" s="7" t="str">
        <x:v>Path Proofs!M126</x:v>
      </x:c>
      <x:c r="F896" s="7" t="n">
        <x:f>'Path Proofs'!M126</x:f>
        <x:v>0</x:v>
      </x:c>
    </x:row>
    <x:row r="897">
      <x:c r="B897" s="7" t="str">
        <x:v>PHY-0891</x:v>
      </x:c>
      <x:c r="C897" s="7" t="str">
        <x:v>path proof</x:v>
      </x:c>
      <x:c r="D897" s="7" t="str">
        <x:v>RAE-PP-121</x:v>
      </x:c>
      <x:c r="E897" s="7" t="str">
        <x:v>Path Proofs!M127</x:v>
      </x:c>
      <x:c r="F897" s="7" t="n">
        <x:f>'Path Proofs'!M127</x:f>
        <x:v>0</x:v>
      </x:c>
    </x:row>
    <x:row r="898">
      <x:c r="B898" s="7" t="str">
        <x:v>PHY-0892</x:v>
      </x:c>
      <x:c r="C898" s="7" t="str">
        <x:v>path proof</x:v>
      </x:c>
      <x:c r="D898" s="7" t="str">
        <x:v>RAE-PP-122</x:v>
      </x:c>
      <x:c r="E898" s="7" t="str">
        <x:v>Path Proofs!M128</x:v>
      </x:c>
      <x:c r="F898" s="7" t="n">
        <x:f>'Path Proofs'!M128</x:f>
        <x:v>0</x:v>
      </x:c>
    </x:row>
    <x:row r="899">
      <x:c r="B899" s="7" t="str">
        <x:v>PHY-0893</x:v>
      </x:c>
      <x:c r="C899" s="7" t="str">
        <x:v>path proof</x:v>
      </x:c>
      <x:c r="D899" s="7" t="str">
        <x:v>RAE-PP-123</x:v>
      </x:c>
      <x:c r="E899" s="7" t="str">
        <x:v>Path Proofs!M129</x:v>
      </x:c>
      <x:c r="F899" s="7" t="n">
        <x:f>'Path Proofs'!M129</x:f>
        <x:v>0</x:v>
      </x:c>
    </x:row>
    <x:row r="900">
      <x:c r="B900" s="7" t="str">
        <x:v>PHY-0894</x:v>
      </x:c>
      <x:c r="C900" s="7" t="str">
        <x:v>path proof</x:v>
      </x:c>
      <x:c r="D900" s="7" t="str">
        <x:v>RAE-PP-124</x:v>
      </x:c>
      <x:c r="E900" s="7" t="str">
        <x:v>Path Proofs!M130</x:v>
      </x:c>
      <x:c r="F900" s="7" t="n">
        <x:f>'Path Proofs'!M130</x:f>
        <x:v>0</x:v>
      </x:c>
    </x:row>
    <x:row r="901">
      <x:c r="B901" s="7" t="str">
        <x:v>PHY-0895</x:v>
      </x:c>
      <x:c r="C901" s="7" t="str">
        <x:v>path proof</x:v>
      </x:c>
      <x:c r="D901" s="7" t="str">
        <x:v>RAE-PP-125</x:v>
      </x:c>
      <x:c r="E901" s="7" t="str">
        <x:v>Path Proofs!M131</x:v>
      </x:c>
      <x:c r="F901" s="7" t="n">
        <x:f>'Path Proofs'!M131</x:f>
        <x:v>0</x:v>
      </x:c>
    </x:row>
    <x:row r="902">
      <x:c r="B902" s="7" t="str">
        <x:v>PHY-0896</x:v>
      </x:c>
      <x:c r="C902" s="7" t="str">
        <x:v>path proof</x:v>
      </x:c>
      <x:c r="D902" s="7" t="str">
        <x:v>RAE-PP-126</x:v>
      </x:c>
      <x:c r="E902" s="7" t="str">
        <x:v>Path Proofs!M132</x:v>
      </x:c>
      <x:c r="F902" s="7" t="n">
        <x:f>'Path Proofs'!M132</x:f>
        <x:v>0</x:v>
      </x:c>
    </x:row>
    <x:row r="903">
      <x:c r="B903" s="7" t="str">
        <x:v>PHY-0897</x:v>
      </x:c>
      <x:c r="C903" s="7" t="str">
        <x:v>path proof</x:v>
      </x:c>
      <x:c r="D903" s="7" t="str">
        <x:v>RAE-PP-127</x:v>
      </x:c>
      <x:c r="E903" s="7" t="str">
        <x:v>Path Proofs!M133</x:v>
      </x:c>
      <x:c r="F903" s="7" t="n">
        <x:f>'Path Proofs'!M133</x:f>
        <x:v>0</x:v>
      </x:c>
    </x:row>
    <x:row r="904">
      <x:c r="B904" s="7" t="str">
        <x:v>PHY-0898</x:v>
      </x:c>
      <x:c r="C904" s="7" t="str">
        <x:v>path proof</x:v>
      </x:c>
      <x:c r="D904" s="7" t="str">
        <x:v>RAE-PP-128</x:v>
      </x:c>
      <x:c r="E904" s="7" t="str">
        <x:v>Path Proofs!M134</x:v>
      </x:c>
      <x:c r="F904" s="7" t="n">
        <x:f>'Path Proofs'!M134</x:f>
        <x:v>0</x:v>
      </x:c>
    </x:row>
    <x:row r="905">
      <x:c r="B905" s="7" t="str">
        <x:v>PHY-0899</x:v>
      </x:c>
      <x:c r="C905" s="7" t="str">
        <x:v>path proof</x:v>
      </x:c>
      <x:c r="D905" s="7" t="str">
        <x:v>RAE-PP-129</x:v>
      </x:c>
      <x:c r="E905" s="7" t="str">
        <x:v>Path Proofs!M135</x:v>
      </x:c>
      <x:c r="F905" s="7" t="n">
        <x:f>'Path Proofs'!M135</x:f>
        <x:v>0</x:v>
      </x:c>
    </x:row>
    <x:row r="906">
      <x:c r="B906" s="7" t="str">
        <x:v>PHY-0900</x:v>
      </x:c>
      <x:c r="C906" s="7" t="str">
        <x:v>path proof</x:v>
      </x:c>
      <x:c r="D906" s="7" t="str">
        <x:v>RAE-PP-130</x:v>
      </x:c>
      <x:c r="E906" s="7" t="str">
        <x:v>Path Proofs!M136</x:v>
      </x:c>
      <x:c r="F906" s="7" t="n">
        <x:f>'Path Proofs'!M136</x:f>
        <x:v>0</x:v>
      </x:c>
    </x:row>
    <x:row r="907">
      <x:c r="B907" s="7" t="str">
        <x:v>PHY-0901</x:v>
      </x:c>
      <x:c r="C907" s="7" t="str">
        <x:v>path proof</x:v>
      </x:c>
      <x:c r="D907" s="7" t="str">
        <x:v>RAE-PP-131</x:v>
      </x:c>
      <x:c r="E907" s="7" t="str">
        <x:v>Path Proofs!M137</x:v>
      </x:c>
      <x:c r="F907" s="7" t="n">
        <x:f>'Path Proofs'!M137</x:f>
        <x:v>0</x:v>
      </x:c>
    </x:row>
    <x:row r="908">
      <x:c r="B908" s="7" t="str">
        <x:v>PHY-0902</x:v>
      </x:c>
      <x:c r="C908" s="7" t="str">
        <x:v>path proof</x:v>
      </x:c>
      <x:c r="D908" s="7" t="str">
        <x:v>RAE-PP-132</x:v>
      </x:c>
      <x:c r="E908" s="7" t="str">
        <x:v>Path Proofs!M138</x:v>
      </x:c>
      <x:c r="F908" s="7" t="n">
        <x:f>'Path Proofs'!M138</x:f>
        <x:v>0</x:v>
      </x:c>
    </x:row>
    <x:row r="909">
      <x:c r="B909" s="7" t="str">
        <x:v>PHY-0903</x:v>
      </x:c>
      <x:c r="C909" s="7" t="str">
        <x:v>path proof</x:v>
      </x:c>
      <x:c r="D909" s="7" t="str">
        <x:v>RAE-PP-133</x:v>
      </x:c>
      <x:c r="E909" s="7" t="str">
        <x:v>Path Proofs!M139</x:v>
      </x:c>
      <x:c r="F909" s="7" t="n">
        <x:f>'Path Proofs'!M139</x:f>
        <x:v>0</x:v>
      </x:c>
    </x:row>
    <x:row r="910">
      <x:c r="B910" s="7" t="str">
        <x:v>PHY-0904</x:v>
      </x:c>
      <x:c r="C910" s="7" t="str">
        <x:v>path proof</x:v>
      </x:c>
      <x:c r="D910" s="7" t="str">
        <x:v>RAE-PP-134</x:v>
      </x:c>
      <x:c r="E910" s="7" t="str">
        <x:v>Path Proofs!M140</x:v>
      </x:c>
      <x:c r="F910" s="7" t="n">
        <x:f>'Path Proofs'!M140</x:f>
        <x:v>0</x:v>
      </x:c>
    </x:row>
    <x:row r="911">
      <x:c r="B911" s="7" t="str">
        <x:v>PHY-0905</x:v>
      </x:c>
      <x:c r="C911" s="7" t="str">
        <x:v>path proof</x:v>
      </x:c>
      <x:c r="D911" s="7" t="str">
        <x:v>RAE-PP-135</x:v>
      </x:c>
      <x:c r="E911" s="7" t="str">
        <x:v>Path Proofs!M141</x:v>
      </x:c>
      <x:c r="F911" s="7" t="n">
        <x:f>'Path Proofs'!M141</x:f>
        <x:v>0</x:v>
      </x:c>
    </x:row>
    <x:row r="912">
      <x:c r="B912" s="7" t="str">
        <x:v>PHY-0906</x:v>
      </x:c>
      <x:c r="C912" s="7" t="str">
        <x:v>path proof</x:v>
      </x:c>
      <x:c r="D912" s="7" t="str">
        <x:v>RAE-PP-136</x:v>
      </x:c>
      <x:c r="E912" s="7" t="str">
        <x:v>Path Proofs!M142</x:v>
      </x:c>
      <x:c r="F912" s="7" t="n">
        <x:f>'Path Proofs'!M142</x:f>
        <x:v>0</x:v>
      </x:c>
    </x:row>
    <x:row r="913">
      <x:c r="B913" s="7" t="str">
        <x:v>PHY-0907</x:v>
      </x:c>
      <x:c r="C913" s="7" t="str">
        <x:v>path proof</x:v>
      </x:c>
      <x:c r="D913" s="7" t="str">
        <x:v>RAE-PP-137</x:v>
      </x:c>
      <x:c r="E913" s="7" t="str">
        <x:v>Path Proofs!M143</x:v>
      </x:c>
      <x:c r="F913" s="7" t="n">
        <x:f>'Path Proofs'!M143</x:f>
        <x:v>0</x:v>
      </x:c>
    </x:row>
    <x:row r="914">
      <x:c r="B914" s="7" t="str">
        <x:v>PHY-0908</x:v>
      </x:c>
      <x:c r="C914" s="7" t="str">
        <x:v>path proof</x:v>
      </x:c>
      <x:c r="D914" s="7" t="str">
        <x:v>RAE-PP-138</x:v>
      </x:c>
      <x:c r="E914" s="7" t="str">
        <x:v>Path Proofs!M144</x:v>
      </x:c>
      <x:c r="F914" s="7" t="n">
        <x:f>'Path Proofs'!M144</x:f>
        <x:v>0</x:v>
      </x:c>
    </x:row>
    <x:row r="915">
      <x:c r="B915" s="7" t="str">
        <x:v>PHY-0909</x:v>
      </x:c>
      <x:c r="C915" s="7" t="str">
        <x:v>path proof</x:v>
      </x:c>
      <x:c r="D915" s="7" t="str">
        <x:v>RAE-PP-139</x:v>
      </x:c>
      <x:c r="E915" s="7" t="str">
        <x:v>Path Proofs!M145</x:v>
      </x:c>
      <x:c r="F915" s="7" t="n">
        <x:f>'Path Proofs'!M145</x:f>
        <x:v>0</x:v>
      </x:c>
    </x:row>
    <x:row r="916">
      <x:c r="B916" s="7" t="str">
        <x:v>PHY-0910</x:v>
      </x:c>
      <x:c r="C916" s="7" t="str">
        <x:v>path proof</x:v>
      </x:c>
      <x:c r="D916" s="7" t="str">
        <x:v>RAE-PP-140</x:v>
      </x:c>
      <x:c r="E916" s="7" t="str">
        <x:v>Path Proofs!M146</x:v>
      </x:c>
      <x:c r="F916" s="7" t="n">
        <x:f>'Path Proofs'!M146</x:f>
        <x:v>0</x:v>
      </x:c>
    </x:row>
    <x:row r="917">
      <x:c r="B917" s="7" t="str">
        <x:v>PHY-0911</x:v>
      </x:c>
      <x:c r="C917" s="7" t="str">
        <x:v>path proof</x:v>
      </x:c>
      <x:c r="D917" s="7" t="str">
        <x:v>RAE-PP-141</x:v>
      </x:c>
      <x:c r="E917" s="7" t="str">
        <x:v>Path Proofs!M147</x:v>
      </x:c>
      <x:c r="F917" s="7" t="n">
        <x:f>'Path Proofs'!M147</x:f>
        <x:v>0</x:v>
      </x:c>
    </x:row>
    <x:row r="918">
      <x:c r="B918" s="7" t="str">
        <x:v>PHY-0912</x:v>
      </x:c>
      <x:c r="C918" s="7" t="str">
        <x:v>path proof</x:v>
      </x:c>
      <x:c r="D918" s="7" t="str">
        <x:v>RAE-PP-142</x:v>
      </x:c>
      <x:c r="E918" s="7" t="str">
        <x:v>Path Proofs!M148</x:v>
      </x:c>
      <x:c r="F918" s="7" t="n">
        <x:f>'Path Proofs'!M148</x:f>
        <x:v>0</x:v>
      </x:c>
    </x:row>
    <x:row r="919">
      <x:c r="B919" s="7" t="str">
        <x:v>PHY-0913</x:v>
      </x:c>
      <x:c r="C919" s="7" t="str">
        <x:v>path proof</x:v>
      </x:c>
      <x:c r="D919" s="7" t="str">
        <x:v>RAE-PP-143</x:v>
      </x:c>
      <x:c r="E919" s="7" t="str">
        <x:v>Path Proofs!M149</x:v>
      </x:c>
      <x:c r="F919" s="7" t="n">
        <x:f>'Path Proofs'!M149</x:f>
        <x:v>0</x:v>
      </x:c>
    </x:row>
    <x:row r="920">
      <x:c r="B920" s="7" t="str">
        <x:v>PHY-0914</x:v>
      </x:c>
      <x:c r="C920" s="7" t="str">
        <x:v>path proof</x:v>
      </x:c>
      <x:c r="D920" s="7" t="str">
        <x:v>RAE-PP-144</x:v>
      </x:c>
      <x:c r="E920" s="7" t="str">
        <x:v>Path Proofs!M150</x:v>
      </x:c>
      <x:c r="F920" s="7" t="n">
        <x:f>'Path Proofs'!M150</x:f>
        <x:v>0</x:v>
      </x:c>
    </x:row>
    <x:row r="921">
      <x:c r="B921" s="7" t="str">
        <x:v>PHY-0915</x:v>
      </x:c>
      <x:c r="C921" s="7" t="str">
        <x:v>path proof</x:v>
      </x:c>
      <x:c r="D921" s="7" t="str">
        <x:v>RAE-PP-145</x:v>
      </x:c>
      <x:c r="E921" s="7" t="str">
        <x:v>Path Proofs!M151</x:v>
      </x:c>
      <x:c r="F921" s="7" t="n">
        <x:f>'Path Proofs'!M151</x:f>
        <x:v>0</x:v>
      </x:c>
    </x:row>
    <x:row r="922">
      <x:c r="B922" s="7" t="str">
        <x:v>PHY-0916</x:v>
      </x:c>
      <x:c r="C922" s="7" t="str">
        <x:v>path proof</x:v>
      </x:c>
      <x:c r="D922" s="7" t="str">
        <x:v>RAE-PP-146</x:v>
      </x:c>
      <x:c r="E922" s="7" t="str">
        <x:v>Path Proofs!M152</x:v>
      </x:c>
      <x:c r="F922" s="7" t="n">
        <x:f>'Path Proofs'!M152</x:f>
        <x:v>0</x:v>
      </x:c>
    </x:row>
    <x:row r="923">
      <x:c r="B923" s="7" t="str">
        <x:v>PHY-0917</x:v>
      </x:c>
      <x:c r="C923" s="7" t="str">
        <x:v>path proof</x:v>
      </x:c>
      <x:c r="D923" s="7" t="str">
        <x:v>RAE-PP-147</x:v>
      </x:c>
      <x:c r="E923" s="7" t="str">
        <x:v>Path Proofs!M153</x:v>
      </x:c>
      <x:c r="F923" s="7" t="n">
        <x:f>'Path Proofs'!M153</x:f>
        <x:v>0</x:v>
      </x:c>
    </x:row>
    <x:row r="924">
      <x:c r="B924" s="7" t="str">
        <x:v>PHY-0918</x:v>
      </x:c>
      <x:c r="C924" s="7" t="str">
        <x:v>path proof</x:v>
      </x:c>
      <x:c r="D924" s="7" t="str">
        <x:v>RAE-PP-148</x:v>
      </x:c>
      <x:c r="E924" s="7" t="str">
        <x:v>Path Proofs!M154</x:v>
      </x:c>
      <x:c r="F924" s="7" t="n">
        <x:f>'Path Proofs'!M154</x:f>
        <x:v>0</x:v>
      </x:c>
    </x:row>
    <x:row r="925">
      <x:c r="B925" s="7" t="str">
        <x:v>PHY-0919</x:v>
      </x:c>
      <x:c r="C925" s="7" t="str">
        <x:v>path proof</x:v>
      </x:c>
      <x:c r="D925" s="7" t="str">
        <x:v>RAE-PP-149</x:v>
      </x:c>
      <x:c r="E925" s="7" t="str">
        <x:v>Path Proofs!M155</x:v>
      </x:c>
      <x:c r="F925" s="7" t="n">
        <x:f>'Path Proofs'!M155</x:f>
        <x:v>0</x:v>
      </x:c>
    </x:row>
    <x:row r="926">
      <x:c r="B926" s="7" t="str">
        <x:v>PHY-0920</x:v>
      </x:c>
      <x:c r="C926" s="7" t="str">
        <x:v>path proof</x:v>
      </x:c>
      <x:c r="D926" s="7" t="str">
        <x:v>RAE-PP-150</x:v>
      </x:c>
      <x:c r="E926" s="7" t="str">
        <x:v>Path Proofs!M156</x:v>
      </x:c>
      <x:c r="F926" s="7" t="n">
        <x:f>'Path Proofs'!M156</x:f>
        <x:v>0</x:v>
      </x:c>
    </x:row>
    <x:row r="927">
      <x:c r="B927" s="7" t="str">
        <x:v>PHY-0921</x:v>
      </x:c>
      <x:c r="C927" s="7" t="str">
        <x:v>path proof</x:v>
      </x:c>
      <x:c r="D927" s="7" t="str">
        <x:v>RAE-PP-151</x:v>
      </x:c>
      <x:c r="E927" s="7" t="str">
        <x:v>Path Proofs!M157</x:v>
      </x:c>
      <x:c r="F927" s="7" t="n">
        <x:f>'Path Proofs'!M157</x:f>
        <x:v>0</x:v>
      </x:c>
    </x:row>
    <x:row r="928">
      <x:c r="B928" s="7" t="str">
        <x:v>PHY-0922</x:v>
      </x:c>
      <x:c r="C928" s="7" t="str">
        <x:v>path proof</x:v>
      </x:c>
      <x:c r="D928" s="7" t="str">
        <x:v>RAE-PP-152</x:v>
      </x:c>
      <x:c r="E928" s="7" t="str">
        <x:v>Path Proofs!M158</x:v>
      </x:c>
      <x:c r="F928" s="7" t="n">
        <x:f>'Path Proofs'!M158</x:f>
        <x:v>0</x:v>
      </x:c>
    </x:row>
    <x:row r="929">
      <x:c r="B929" s="7" t="str">
        <x:v>PHY-0923</x:v>
      </x:c>
      <x:c r="C929" s="7" t="str">
        <x:v>path proof</x:v>
      </x:c>
      <x:c r="D929" s="7" t="str">
        <x:v>RAE-PP-153</x:v>
      </x:c>
      <x:c r="E929" s="7" t="str">
        <x:v>Path Proofs!M159</x:v>
      </x:c>
      <x:c r="F929" s="7" t="n">
        <x:f>'Path Proofs'!M159</x:f>
        <x:v>0</x:v>
      </x:c>
    </x:row>
    <x:row r="930">
      <x:c r="B930" s="7" t="str">
        <x:v>PHY-0924</x:v>
      </x:c>
      <x:c r="C930" s="7" t="str">
        <x:v>path proof</x:v>
      </x:c>
      <x:c r="D930" s="7" t="str">
        <x:v>RAE-PP-154</x:v>
      </x:c>
      <x:c r="E930" s="7" t="str">
        <x:v>Path Proofs!M160</x:v>
      </x:c>
      <x:c r="F930" s="7" t="n">
        <x:f>'Path Proofs'!M160</x:f>
        <x:v>0</x:v>
      </x:c>
    </x:row>
    <x:row r="931">
      <x:c r="B931" s="7" t="str">
        <x:v>PHY-0925</x:v>
      </x:c>
      <x:c r="C931" s="7" t="str">
        <x:v>path proof</x:v>
      </x:c>
      <x:c r="D931" s="7" t="str">
        <x:v>RAE-PP-155</x:v>
      </x:c>
      <x:c r="E931" s="7" t="str">
        <x:v>Path Proofs!M161</x:v>
      </x:c>
      <x:c r="F931" s="7" t="n">
        <x:f>'Path Proofs'!M161</x:f>
        <x:v>0</x:v>
      </x:c>
    </x:row>
    <x:row r="932">
      <x:c r="B932" s="7" t="str">
        <x:v>PHY-0926</x:v>
      </x:c>
      <x:c r="C932" s="7" t="str">
        <x:v>path proof</x:v>
      </x:c>
      <x:c r="D932" s="7" t="str">
        <x:v>RAE-PP-156</x:v>
      </x:c>
      <x:c r="E932" s="7" t="str">
        <x:v>Path Proofs!M162</x:v>
      </x:c>
      <x:c r="F932" s="7" t="n">
        <x:f>'Path Proofs'!M162</x:f>
        <x:v>0</x:v>
      </x:c>
    </x:row>
    <x:row r="933">
      <x:c r="B933" s="7" t="str">
        <x:v>PHY-0927</x:v>
      </x:c>
      <x:c r="C933" s="7" t="str">
        <x:v>path proof</x:v>
      </x:c>
      <x:c r="D933" s="7" t="str">
        <x:v>RAE-PP-157</x:v>
      </x:c>
      <x:c r="E933" s="7" t="str">
        <x:v>Path Proofs!M163</x:v>
      </x:c>
      <x:c r="F933" s="7" t="n">
        <x:f>'Path Proofs'!M163</x:f>
        <x:v>0</x:v>
      </x:c>
    </x:row>
    <x:row r="934">
      <x:c r="B934" s="7" t="str">
        <x:v>PHY-0928</x:v>
      </x:c>
      <x:c r="C934" s="7" t="str">
        <x:v>path proof</x:v>
      </x:c>
      <x:c r="D934" s="7" t="str">
        <x:v>RAE-PP-158</x:v>
      </x:c>
      <x:c r="E934" s="7" t="str">
        <x:v>Path Proofs!M164</x:v>
      </x:c>
      <x:c r="F934" s="7" t="n">
        <x:f>'Path Proofs'!M164</x:f>
        <x:v>0</x:v>
      </x:c>
    </x:row>
    <x:row r="935">
      <x:c r="B935" s="7" t="str">
        <x:v>PHY-0929</x:v>
      </x:c>
      <x:c r="C935" s="7" t="str">
        <x:v>path proof</x:v>
      </x:c>
      <x:c r="D935" s="7" t="str">
        <x:v>RAE-PP-159</x:v>
      </x:c>
      <x:c r="E935" s="7" t="str">
        <x:v>Path Proofs!M165</x:v>
      </x:c>
      <x:c r="F935" s="7" t="n">
        <x:f>'Path Proofs'!M165</x:f>
        <x:v>0</x:v>
      </x:c>
    </x:row>
    <x:row r="936">
      <x:c r="B936" s="7" t="str">
        <x:v>PHY-0930</x:v>
      </x:c>
      <x:c r="C936" s="7" t="str">
        <x:v>path proof</x:v>
      </x:c>
      <x:c r="D936" s="7" t="str">
        <x:v>RAE-PP-160</x:v>
      </x:c>
      <x:c r="E936" s="7" t="str">
        <x:v>Path Proofs!M166</x:v>
      </x:c>
      <x:c r="F936" s="7" t="n">
        <x:f>'Path Proofs'!M166</x:f>
        <x:v>0</x:v>
      </x:c>
    </x:row>
    <x:row r="937">
      <x:c r="B937" s="7" t="str">
        <x:v>PHY-0931</x:v>
      </x:c>
      <x:c r="C937" s="7" t="str">
        <x:v>path proof</x:v>
      </x:c>
      <x:c r="D937" s="7" t="str">
        <x:v>RAE-PP-161</x:v>
      </x:c>
      <x:c r="E937" s="7" t="str">
        <x:v>Path Proofs!M167</x:v>
      </x:c>
      <x:c r="F937" s="7" t="n">
        <x:f>'Path Proofs'!M167</x:f>
        <x:v>0</x:v>
      </x:c>
    </x:row>
    <x:row r="938">
      <x:c r="B938" s="7" t="str">
        <x:v>PHY-0932</x:v>
      </x:c>
      <x:c r="C938" s="7" t="str">
        <x:v>path proof</x:v>
      </x:c>
      <x:c r="D938" s="7" t="str">
        <x:v>RAE-PP-162</x:v>
      </x:c>
      <x:c r="E938" s="7" t="str">
        <x:v>Path Proofs!M168</x:v>
      </x:c>
      <x:c r="F938" s="7" t="n">
        <x:f>'Path Proofs'!M168</x:f>
        <x:v>0</x:v>
      </x:c>
    </x:row>
    <x:row r="939">
      <x:c r="B939" s="7" t="str">
        <x:v>PHY-0933</x:v>
      </x:c>
      <x:c r="C939" s="7" t="str">
        <x:v>path proof</x:v>
      </x:c>
      <x:c r="D939" s="7" t="str">
        <x:v>RAE-PP-163</x:v>
      </x:c>
      <x:c r="E939" s="7" t="str">
        <x:v>Path Proofs!M169</x:v>
      </x:c>
      <x:c r="F939" s="7" t="n">
        <x:f>'Path Proofs'!M169</x:f>
        <x:v>0</x:v>
      </x:c>
    </x:row>
    <x:row r="940">
      <x:c r="B940" s="7" t="str">
        <x:v>PHY-0934</x:v>
      </x:c>
      <x:c r="C940" s="7" t="str">
        <x:v>path proof</x:v>
      </x:c>
      <x:c r="D940" s="7" t="str">
        <x:v>RAE-PP-164</x:v>
      </x:c>
      <x:c r="E940" s="7" t="str">
        <x:v>Path Proofs!M170</x:v>
      </x:c>
      <x:c r="F940" s="7" t="n">
        <x:f>'Path Proofs'!M170</x:f>
        <x:v>0</x:v>
      </x:c>
    </x:row>
    <x:row r="941">
      <x:c r="B941" s="7" t="str">
        <x:v>PHY-0935</x:v>
      </x:c>
      <x:c r="C941" s="7" t="str">
        <x:v>path proof</x:v>
      </x:c>
      <x:c r="D941" s="7" t="str">
        <x:v>RAE-PP-165</x:v>
      </x:c>
      <x:c r="E941" s="7" t="str">
        <x:v>Path Proofs!M171</x:v>
      </x:c>
      <x:c r="F941" s="7" t="n">
        <x:f>'Path Proofs'!M171</x:f>
        <x:v>0</x:v>
      </x:c>
    </x:row>
    <x:row r="942">
      <x:c r="B942" s="7" t="str">
        <x:v>PHY-0936</x:v>
      </x:c>
      <x:c r="C942" s="7" t="str">
        <x:v>path proof</x:v>
      </x:c>
      <x:c r="D942" s="7" t="str">
        <x:v>RAE-PP-166</x:v>
      </x:c>
      <x:c r="E942" s="7" t="str">
        <x:v>Path Proofs!M172</x:v>
      </x:c>
      <x:c r="F942" s="7" t="n">
        <x:f>'Path Proofs'!M172</x:f>
        <x:v>0</x:v>
      </x:c>
    </x:row>
    <x:row r="943">
      <x:c r="B943" s="7" t="str">
        <x:v>PHY-0937</x:v>
      </x:c>
      <x:c r="C943" s="7" t="str">
        <x:v>path proof</x:v>
      </x:c>
      <x:c r="D943" s="7" t="str">
        <x:v>RAE-PP-167</x:v>
      </x:c>
      <x:c r="E943" s="7" t="str">
        <x:v>Path Proofs!M173</x:v>
      </x:c>
      <x:c r="F943" s="7" t="n">
        <x:f>'Path Proofs'!M173</x:f>
        <x:v>0</x:v>
      </x:c>
    </x:row>
    <x:row r="944">
      <x:c r="B944" s="7" t="str">
        <x:v>PHY-0938</x:v>
      </x:c>
      <x:c r="C944" s="7" t="str">
        <x:v>path proof</x:v>
      </x:c>
      <x:c r="D944" s="7" t="str">
        <x:v>RAE-PP-168</x:v>
      </x:c>
      <x:c r="E944" s="7" t="str">
        <x:v>Path Proofs!M174</x:v>
      </x:c>
      <x:c r="F944" s="7" t="n">
        <x:f>'Path Proofs'!M174</x:f>
        <x:v>0</x:v>
      </x:c>
    </x:row>
    <x:row r="945">
      <x:c r="B945" s="7" t="str">
        <x:v>PHY-0939</x:v>
      </x:c>
      <x:c r="C945" s="7" t="str">
        <x:v>path proof</x:v>
      </x:c>
      <x:c r="D945" s="7" t="str">
        <x:v>RAE-PP-169</x:v>
      </x:c>
      <x:c r="E945" s="7" t="str">
        <x:v>Path Proofs!M175</x:v>
      </x:c>
      <x:c r="F945" s="7" t="n">
        <x:f>'Path Proofs'!M175</x:f>
        <x:v>0</x:v>
      </x:c>
    </x:row>
    <x:row r="946">
      <x:c r="B946" s="7" t="str">
        <x:v>PHY-0940</x:v>
      </x:c>
      <x:c r="C946" s="7" t="str">
        <x:v>path proof</x:v>
      </x:c>
      <x:c r="D946" s="7" t="str">
        <x:v>RAE-PP-170</x:v>
      </x:c>
      <x:c r="E946" s="7" t="str">
        <x:v>Path Proofs!M176</x:v>
      </x:c>
      <x:c r="F946" s="7" t="n">
        <x:f>'Path Proofs'!M176</x:f>
        <x:v>0</x:v>
      </x:c>
    </x:row>
    <x:row r="947">
      <x:c r="B947" s="7" t="str">
        <x:v>PHY-0941</x:v>
      </x:c>
      <x:c r="C947" s="7" t="str">
        <x:v>path proof</x:v>
      </x:c>
      <x:c r="D947" s="7" t="str">
        <x:v>RAE-PP-171</x:v>
      </x:c>
      <x:c r="E947" s="7" t="str">
        <x:v>Path Proofs!M177</x:v>
      </x:c>
      <x:c r="F947" s="7" t="n">
        <x:f>'Path Proofs'!M177</x:f>
        <x:v>0</x:v>
      </x:c>
    </x:row>
    <x:row r="948">
      <x:c r="B948" s="7" t="str">
        <x:v>PHY-0942</x:v>
      </x:c>
      <x:c r="C948" s="7" t="str">
        <x:v>path proof</x:v>
      </x:c>
      <x:c r="D948" s="7" t="str">
        <x:v>RAE-PP-172</x:v>
      </x:c>
      <x:c r="E948" s="7" t="str">
        <x:v>Path Proofs!M178</x:v>
      </x:c>
      <x:c r="F948" s="7" t="n">
        <x:f>'Path Proofs'!M178</x:f>
        <x:v>0</x:v>
      </x:c>
    </x:row>
    <x:row r="949">
      <x:c r="B949" s="7" t="str">
        <x:v>PHY-0943</x:v>
      </x:c>
      <x:c r="C949" s="7" t="str">
        <x:v>path proof</x:v>
      </x:c>
      <x:c r="D949" s="7" t="str">
        <x:v>RAE-PP-173</x:v>
      </x:c>
      <x:c r="E949" s="7" t="str">
        <x:v>Path Proofs!M179</x:v>
      </x:c>
      <x:c r="F949" s="7" t="n">
        <x:f>'Path Proofs'!M179</x:f>
        <x:v>0</x:v>
      </x:c>
    </x:row>
    <x:row r="950">
      <x:c r="B950" s="7" t="str">
        <x:v>PHY-0944</x:v>
      </x:c>
      <x:c r="C950" s="7" t="str">
        <x:v>path proof</x:v>
      </x:c>
      <x:c r="D950" s="7" t="str">
        <x:v>RAE-PP-174</x:v>
      </x:c>
      <x:c r="E950" s="7" t="str">
        <x:v>Path Proofs!M180</x:v>
      </x:c>
      <x:c r="F950" s="7" t="n">
        <x:f>'Path Proofs'!M180</x:f>
        <x:v>0</x:v>
      </x:c>
    </x:row>
    <x:row r="951">
      <x:c r="B951" s="7" t="str">
        <x:v>PHY-0945</x:v>
      </x:c>
      <x:c r="C951" s="7" t="str">
        <x:v>path proof</x:v>
      </x:c>
      <x:c r="D951" s="7" t="str">
        <x:v>RAE-PP-175</x:v>
      </x:c>
      <x:c r="E951" s="7" t="str">
        <x:v>Path Proofs!M181</x:v>
      </x:c>
      <x:c r="F951" s="7" t="n">
        <x:f>'Path Proofs'!M181</x:f>
        <x:v>0</x:v>
      </x:c>
    </x:row>
    <x:row r="952">
      <x:c r="B952" s="7" t="str">
        <x:v>PHY-0946</x:v>
      </x:c>
      <x:c r="C952" s="7" t="str">
        <x:v>path proof</x:v>
      </x:c>
      <x:c r="D952" s="7" t="str">
        <x:v>RAE-PP-176</x:v>
      </x:c>
      <x:c r="E952" s="7" t="str">
        <x:v>Path Proofs!M182</x:v>
      </x:c>
      <x:c r="F952" s="7" t="n">
        <x:f>'Path Proofs'!M182</x:f>
        <x:v>0</x:v>
      </x:c>
    </x:row>
    <x:row r="953">
      <x:c r="B953" s="7" t="str">
        <x:v>PHY-0947</x:v>
      </x:c>
      <x:c r="C953" s="7" t="str">
        <x:v>path proof</x:v>
      </x:c>
      <x:c r="D953" s="7" t="str">
        <x:v>RAE-PP-177</x:v>
      </x:c>
      <x:c r="E953" s="7" t="str">
        <x:v>Path Proofs!M183</x:v>
      </x:c>
      <x:c r="F953" s="7" t="n">
        <x:f>'Path Proofs'!M183</x:f>
        <x:v>0</x:v>
      </x:c>
    </x:row>
    <x:row r="954">
      <x:c r="B954" s="7" t="str">
        <x:v>PHY-0948</x:v>
      </x:c>
      <x:c r="C954" s="7" t="str">
        <x:v>path proof</x:v>
      </x:c>
      <x:c r="D954" s="7" t="str">
        <x:v>RAE-PP-178</x:v>
      </x:c>
      <x:c r="E954" s="7" t="str">
        <x:v>Path Proofs!M184</x:v>
      </x:c>
      <x:c r="F954" s="7" t="n">
        <x:f>'Path Proofs'!M184</x:f>
        <x:v>0</x:v>
      </x:c>
    </x:row>
    <x:row r="955">
      <x:c r="B955" s="7" t="str">
        <x:v>PHY-0949</x:v>
      </x:c>
      <x:c r="C955" s="7" t="str">
        <x:v>path proof</x:v>
      </x:c>
      <x:c r="D955" s="7" t="str">
        <x:v>RAE-PP-179</x:v>
      </x:c>
      <x:c r="E955" s="7" t="str">
        <x:v>Path Proofs!M185</x:v>
      </x:c>
      <x:c r="F955" s="7" t="n">
        <x:f>'Path Proofs'!M185</x:f>
        <x:v>0</x:v>
      </x:c>
    </x:row>
    <x:row r="956">
      <x:c r="B956" s="7" t="str">
        <x:v>PHY-0950</x:v>
      </x:c>
      <x:c r="C956" s="7" t="str">
        <x:v>path proof</x:v>
      </x:c>
      <x:c r="D956" s="7" t="str">
        <x:v>RAE-PP-180</x:v>
      </x:c>
      <x:c r="E956" s="7" t="str">
        <x:v>Path Proofs!M186</x:v>
      </x:c>
      <x:c r="F956" s="7" t="n">
        <x:f>'Path Proofs'!M186</x:f>
        <x:v>0</x:v>
      </x:c>
    </x:row>
    <x:row r="957">
      <x:c r="B957" s="7" t="str">
        <x:v>PHY-0951</x:v>
      </x:c>
      <x:c r="C957" s="7" t="str">
        <x:v>path proof</x:v>
      </x:c>
      <x:c r="D957" s="7" t="str">
        <x:v>RAE-PP-181</x:v>
      </x:c>
      <x:c r="E957" s="7" t="str">
        <x:v>Path Proofs!M187</x:v>
      </x:c>
      <x:c r="F957" s="7" t="n">
        <x:f>'Path Proofs'!M187</x:f>
        <x:v>0</x:v>
      </x:c>
    </x:row>
    <x:row r="958">
      <x:c r="B958" s="7" t="str">
        <x:v>PHY-0952</x:v>
      </x:c>
      <x:c r="C958" s="7" t="str">
        <x:v>path proof</x:v>
      </x:c>
      <x:c r="D958" s="7" t="str">
        <x:v>RAE-PP-182</x:v>
      </x:c>
      <x:c r="E958" s="7" t="str">
        <x:v>Path Proofs!M188</x:v>
      </x:c>
      <x:c r="F958" s="7" t="n">
        <x:f>'Path Proofs'!M188</x:f>
        <x:v>0</x:v>
      </x:c>
    </x:row>
    <x:row r="959">
      <x:c r="B959" s="7" t="str">
        <x:v>PHY-0953</x:v>
      </x:c>
      <x:c r="C959" s="7" t="str">
        <x:v>path proof</x:v>
      </x:c>
      <x:c r="D959" s="7" t="str">
        <x:v>RAE-PP-183</x:v>
      </x:c>
      <x:c r="E959" s="7" t="str">
        <x:v>Path Proofs!M189</x:v>
      </x:c>
      <x:c r="F959" s="7" t="n">
        <x:f>'Path Proofs'!M189</x:f>
        <x:v>0</x:v>
      </x:c>
    </x:row>
    <x:row r="960">
      <x:c r="B960" s="7" t="str">
        <x:v>PHY-0954</x:v>
      </x:c>
      <x:c r="C960" s="7" t="str">
        <x:v>path proof</x:v>
      </x:c>
      <x:c r="D960" s="7" t="str">
        <x:v>RAE-PP-184</x:v>
      </x:c>
      <x:c r="E960" s="7" t="str">
        <x:v>Path Proofs!M190</x:v>
      </x:c>
      <x:c r="F960" s="7" t="n">
        <x:f>'Path Proofs'!M190</x:f>
        <x:v>0</x:v>
      </x:c>
    </x:row>
    <x:row r="961">
      <x:c r="B961" s="7" t="str">
        <x:v>PHY-0955</x:v>
      </x:c>
      <x:c r="C961" s="7" t="str">
        <x:v>path proof</x:v>
      </x:c>
      <x:c r="D961" s="7" t="str">
        <x:v>RAE-PP-185</x:v>
      </x:c>
      <x:c r="E961" s="7" t="str">
        <x:v>Path Proofs!M191</x:v>
      </x:c>
      <x:c r="F961" s="7" t="n">
        <x:f>'Path Proofs'!M191</x:f>
        <x:v>0</x:v>
      </x:c>
    </x:row>
    <x:row r="962">
      <x:c r="B962" s="7" t="str">
        <x:v>PHY-0956</x:v>
      </x:c>
      <x:c r="C962" s="7" t="str">
        <x:v>path proof</x:v>
      </x:c>
      <x:c r="D962" s="7" t="str">
        <x:v>RAE-PP-186</x:v>
      </x:c>
      <x:c r="E962" s="7" t="str">
        <x:v>Path Proofs!M192</x:v>
      </x:c>
      <x:c r="F962" s="7" t="n">
        <x:f>'Path Proofs'!M192</x:f>
        <x:v>0</x:v>
      </x:c>
    </x:row>
    <x:row r="963">
      <x:c r="B963" s="7" t="str">
        <x:v>PHY-0957</x:v>
      </x:c>
      <x:c r="C963" s="7" t="str">
        <x:v>path proof</x:v>
      </x:c>
      <x:c r="D963" s="7" t="str">
        <x:v>RAE-PP-187</x:v>
      </x:c>
      <x:c r="E963" s="7" t="str">
        <x:v>Path Proofs!M193</x:v>
      </x:c>
      <x:c r="F963" s="7" t="n">
        <x:f>'Path Proofs'!M193</x:f>
        <x:v>0</x:v>
      </x:c>
    </x:row>
    <x:row r="964">
      <x:c r="B964" s="7" t="str">
        <x:v>PHY-0958</x:v>
      </x:c>
      <x:c r="C964" s="7" t="str">
        <x:v>path proof</x:v>
      </x:c>
      <x:c r="D964" s="7" t="str">
        <x:v>RAE-PP-188</x:v>
      </x:c>
      <x:c r="E964" s="7" t="str">
        <x:v>Path Proofs!M194</x:v>
      </x:c>
      <x:c r="F964" s="7" t="n">
        <x:f>'Path Proofs'!M194</x:f>
        <x:v>0</x:v>
      </x:c>
    </x:row>
    <x:row r="965">
      <x:c r="B965" s="7" t="str">
        <x:v>PHY-0959</x:v>
      </x:c>
      <x:c r="C965" s="7" t="str">
        <x:v>path proof</x:v>
      </x:c>
      <x:c r="D965" s="7" t="str">
        <x:v>RAE-PP-189</x:v>
      </x:c>
      <x:c r="E965" s="7" t="str">
        <x:v>Path Proofs!M195</x:v>
      </x:c>
      <x:c r="F965" s="7" t="n">
        <x:f>'Path Proofs'!M195</x:f>
        <x:v>0</x:v>
      </x:c>
    </x:row>
    <x:row r="966">
      <x:c r="B966" s="7" t="str">
        <x:v>PHY-0960</x:v>
      </x:c>
      <x:c r="C966" s="7" t="str">
        <x:v>path proof</x:v>
      </x:c>
      <x:c r="D966" s="7" t="str">
        <x:v>RAE-PP-190</x:v>
      </x:c>
      <x:c r="E966" s="7" t="str">
        <x:v>Path Proofs!M196</x:v>
      </x:c>
      <x:c r="F966" s="7" t="n">
        <x:f>'Path Proofs'!M196</x:f>
        <x:v>0</x:v>
      </x:c>
    </x:row>
    <x:row r="967">
      <x:c r="B967" s="7" t="str">
        <x:v>PHY-0961</x:v>
      </x:c>
      <x:c r="C967" s="7" t="str">
        <x:v>path proof</x:v>
      </x:c>
      <x:c r="D967" s="7" t="str">
        <x:v>RAE-PP-191</x:v>
      </x:c>
      <x:c r="E967" s="7" t="str">
        <x:v>Path Proofs!M197</x:v>
      </x:c>
      <x:c r="F967" s="7" t="n">
        <x:f>'Path Proofs'!M197</x:f>
        <x:v>0</x:v>
      </x:c>
    </x:row>
    <x:row r="968">
      <x:c r="B968" s="7" t="str">
        <x:v>PHY-0962</x:v>
      </x:c>
      <x:c r="C968" s="7" t="str">
        <x:v>path proof</x:v>
      </x:c>
      <x:c r="D968" s="7" t="str">
        <x:v>RAE-PP-192</x:v>
      </x:c>
      <x:c r="E968" s="7" t="str">
        <x:v>Path Proofs!M198</x:v>
      </x:c>
      <x:c r="F968" s="7" t="n">
        <x:f>'Path Proofs'!M198</x:f>
        <x:v>0</x:v>
      </x:c>
    </x:row>
    <x:row r="969">
      <x:c r="B969" s="7" t="str">
        <x:v>PHY-0963</x:v>
      </x:c>
      <x:c r="C969" s="7" t="str">
        <x:v>path proof</x:v>
      </x:c>
      <x:c r="D969" s="7" t="str">
        <x:v>RAE-PP-193</x:v>
      </x:c>
      <x:c r="E969" s="7" t="str">
        <x:v>Path Proofs!M199</x:v>
      </x:c>
      <x:c r="F969" s="7" t="n">
        <x:f>'Path Proofs'!M199</x:f>
        <x:v>0</x:v>
      </x:c>
    </x:row>
    <x:row r="970">
      <x:c r="B970" s="7" t="str">
        <x:v>PHY-0964</x:v>
      </x:c>
      <x:c r="C970" s="7" t="str">
        <x:v>path proof</x:v>
      </x:c>
      <x:c r="D970" s="7" t="str">
        <x:v>RAE-PP-194</x:v>
      </x:c>
      <x:c r="E970" s="7" t="str">
        <x:v>Path Proofs!M200</x:v>
      </x:c>
      <x:c r="F970" s="7" t="n">
        <x:f>'Path Proofs'!M200</x:f>
        <x:v>0</x:v>
      </x:c>
    </x:row>
    <x:row r="971">
      <x:c r="B971" s="7" t="str">
        <x:v>PHY-0965</x:v>
      </x:c>
      <x:c r="C971" s="7" t="str">
        <x:v>path proof</x:v>
      </x:c>
      <x:c r="D971" s="7" t="str">
        <x:v>RAE-PP-195</x:v>
      </x:c>
      <x:c r="E971" s="7" t="str">
        <x:v>Path Proofs!M201</x:v>
      </x:c>
      <x:c r="F971" s="7" t="n">
        <x:f>'Path Proofs'!M201</x:f>
        <x:v>0</x:v>
      </x:c>
    </x:row>
    <x:row r="972">
      <x:c r="B972" s="7" t="str">
        <x:v>PHY-0966</x:v>
      </x:c>
      <x:c r="C972" s="7" t="str">
        <x:v>path proof</x:v>
      </x:c>
      <x:c r="D972" s="7" t="str">
        <x:v>RAE-PP-196</x:v>
      </x:c>
      <x:c r="E972" s="7" t="str">
        <x:v>Path Proofs!M202</x:v>
      </x:c>
      <x:c r="F972" s="7" t="n">
        <x:f>'Path Proofs'!M202</x:f>
        <x:v>0</x:v>
      </x:c>
    </x:row>
    <x:row r="973">
      <x:c r="B973" s="7" t="str">
        <x:v>PHY-0967</x:v>
      </x:c>
      <x:c r="C973" s="7" t="str">
        <x:v>path proof</x:v>
      </x:c>
      <x:c r="D973" s="7" t="str">
        <x:v>RAE-PP-197</x:v>
      </x:c>
      <x:c r="E973" s="7" t="str">
        <x:v>Path Proofs!M203</x:v>
      </x:c>
      <x:c r="F973" s="7" t="n">
        <x:f>'Path Proofs'!M203</x:f>
        <x:v>0</x:v>
      </x:c>
    </x:row>
    <x:row r="974">
      <x:c r="B974" s="7" t="str">
        <x:v>PHY-0968</x:v>
      </x:c>
      <x:c r="C974" s="7" t="str">
        <x:v>path proof</x:v>
      </x:c>
      <x:c r="D974" s="7" t="str">
        <x:v>RAE-PP-198</x:v>
      </x:c>
      <x:c r="E974" s="7" t="str">
        <x:v>Path Proofs!M204</x:v>
      </x:c>
      <x:c r="F974" s="7" t="n">
        <x:f>'Path Proofs'!M204</x:f>
        <x:v>0</x:v>
      </x:c>
    </x:row>
    <x:row r="975">
      <x:c r="B975" s="7" t="str">
        <x:v>PHY-0969</x:v>
      </x:c>
      <x:c r="C975" s="7" t="str">
        <x:v>path proof</x:v>
      </x:c>
      <x:c r="D975" s="7" t="str">
        <x:v>RAE-PP-199</x:v>
      </x:c>
      <x:c r="E975" s="7" t="str">
        <x:v>Path Proofs!M205</x:v>
      </x:c>
      <x:c r="F975" s="7" t="n">
        <x:f>'Path Proofs'!M205</x:f>
        <x:v>0</x:v>
      </x:c>
    </x:row>
    <x:row r="976">
      <x:c r="B976" s="7" t="str">
        <x:v>PHY-0970</x:v>
      </x:c>
      <x:c r="C976" s="7" t="str">
        <x:v>path proof</x:v>
      </x:c>
      <x:c r="D976" s="7" t="str">
        <x:v>RAE-PP-200</x:v>
      </x:c>
      <x:c r="E976" s="7" t="str">
        <x:v>Path Proofs!M206</x:v>
      </x:c>
      <x:c r="F976" s="7" t="n">
        <x:f>'Path Proofs'!M206</x:f>
        <x:v>0</x:v>
      </x:c>
    </x:row>
    <x:row r="977">
      <x:c r="B977" s="7" t="str">
        <x:v>PHY-0971</x:v>
      </x:c>
      <x:c r="C977" s="7" t="str">
        <x:v>path proof</x:v>
      </x:c>
      <x:c r="D977" s="7" t="str">
        <x:v>RAE-PP-201</x:v>
      </x:c>
      <x:c r="E977" s="7" t="str">
        <x:v>Path Proofs!M207</x:v>
      </x:c>
      <x:c r="F977" s="7" t="n">
        <x:f>'Path Proofs'!M207</x:f>
        <x:v>0</x:v>
      </x:c>
    </x:row>
    <x:row r="978">
      <x:c r="B978" s="7" t="str">
        <x:v>PHY-0972</x:v>
      </x:c>
      <x:c r="C978" s="7" t="str">
        <x:v>path proof</x:v>
      </x:c>
      <x:c r="D978" s="7" t="str">
        <x:v>RAE-PP-202</x:v>
      </x:c>
      <x:c r="E978" s="7" t="str">
        <x:v>Path Proofs!M208</x:v>
      </x:c>
      <x:c r="F978" s="7" t="n">
        <x:f>'Path Proofs'!M208</x:f>
        <x:v>0</x:v>
      </x:c>
    </x:row>
    <x:row r="979">
      <x:c r="B979" s="7" t="str">
        <x:v>PHY-0973</x:v>
      </x:c>
      <x:c r="C979" s="7" t="str">
        <x:v>path proof</x:v>
      </x:c>
      <x:c r="D979" s="7" t="str">
        <x:v>RAE-PP-203</x:v>
      </x:c>
      <x:c r="E979" s="7" t="str">
        <x:v>Path Proofs!M209</x:v>
      </x:c>
      <x:c r="F979" s="7" t="n">
        <x:f>'Path Proofs'!M209</x:f>
        <x:v>0</x:v>
      </x:c>
    </x:row>
    <x:row r="980">
      <x:c r="B980" s="7" t="str">
        <x:v>PHY-0974</x:v>
      </x:c>
      <x:c r="C980" s="7" t="str">
        <x:v>path proof</x:v>
      </x:c>
      <x:c r="D980" s="7" t="str">
        <x:v>RAE-PP-204</x:v>
      </x:c>
      <x:c r="E980" s="7" t="str">
        <x:v>Path Proofs!M210</x:v>
      </x:c>
      <x:c r="F980" s="7" t="n">
        <x:f>'Path Proofs'!M210</x:f>
        <x:v>0</x:v>
      </x:c>
    </x:row>
    <x:row r="981">
      <x:c r="B981" s="7" t="str">
        <x:v>PHY-0975</x:v>
      </x:c>
      <x:c r="C981" s="7" t="str">
        <x:v>path proof</x:v>
      </x:c>
      <x:c r="D981" s="7" t="str">
        <x:v>RAE-PP-205</x:v>
      </x:c>
      <x:c r="E981" s="7" t="str">
        <x:v>Path Proofs!M211</x:v>
      </x:c>
      <x:c r="F981" s="7" t="n">
        <x:f>'Path Proofs'!M211</x:f>
        <x:v>0</x:v>
      </x:c>
    </x:row>
    <x:row r="982">
      <x:c r="B982" s="7" t="str">
        <x:v>PHY-0976</x:v>
      </x:c>
      <x:c r="C982" s="7" t="str">
        <x:v>path proof</x:v>
      </x:c>
      <x:c r="D982" s="7" t="str">
        <x:v>RAE-PP-206</x:v>
      </x:c>
      <x:c r="E982" s="7" t="str">
        <x:v>Path Proofs!M212</x:v>
      </x:c>
      <x:c r="F982" s="7" t="n">
        <x:f>'Path Proofs'!M212</x:f>
        <x:v>0</x:v>
      </x:c>
    </x:row>
    <x:row r="983">
      <x:c r="B983" s="7" t="str">
        <x:v>PHY-0977</x:v>
      </x:c>
      <x:c r="C983" s="7" t="str">
        <x:v>path proof</x:v>
      </x:c>
      <x:c r="D983" s="7" t="str">
        <x:v>RAE-PP-207</x:v>
      </x:c>
      <x:c r="E983" s="7" t="str">
        <x:v>Path Proofs!M213</x:v>
      </x:c>
      <x:c r="F983" s="7" t="n">
        <x:f>'Path Proofs'!M213</x:f>
        <x:v>0</x:v>
      </x:c>
    </x:row>
    <x:row r="984">
      <x:c r="B984" s="7" t="str">
        <x:v>PHY-0978</x:v>
      </x:c>
      <x:c r="C984" s="7" t="str">
        <x:v>path proof</x:v>
      </x:c>
      <x:c r="D984" s="7" t="str">
        <x:v>RAE-PP-208</x:v>
      </x:c>
      <x:c r="E984" s="7" t="str">
        <x:v>Path Proofs!M214</x:v>
      </x:c>
      <x:c r="F984" s="7" t="n">
        <x:f>'Path Proofs'!M214</x:f>
        <x:v>0</x:v>
      </x:c>
    </x:row>
    <x:row r="985">
      <x:c r="B985" s="7" t="str">
        <x:v>PHY-0979</x:v>
      </x:c>
      <x:c r="C985" s="7" t="str">
        <x:v>path proof</x:v>
      </x:c>
      <x:c r="D985" s="7" t="str">
        <x:v>RAE-PP-209</x:v>
      </x:c>
      <x:c r="E985" s="7" t="str">
        <x:v>Path Proofs!M215</x:v>
      </x:c>
      <x:c r="F985" s="7" t="n">
        <x:f>'Path Proofs'!M215</x:f>
        <x:v>0</x:v>
      </x:c>
    </x:row>
    <x:row r="986">
      <x:c r="B986" s="7" t="str">
        <x:v>PHY-0980</x:v>
      </x:c>
      <x:c r="C986" s="7" t="str">
        <x:v>path proof</x:v>
      </x:c>
      <x:c r="D986" s="7" t="str">
        <x:v>RAE-PP-210</x:v>
      </x:c>
      <x:c r="E986" s="7" t="str">
        <x:v>Path Proofs!M216</x:v>
      </x:c>
      <x:c r="F986" s="7" t="n">
        <x:f>'Path Proofs'!M216</x:f>
        <x:v>0</x:v>
      </x:c>
    </x:row>
    <x:row r="987">
      <x:c r="B987" s="7" t="str">
        <x:v>PHY-0981</x:v>
      </x:c>
      <x:c r="C987" s="7" t="str">
        <x:v>path proof</x:v>
      </x:c>
      <x:c r="D987" s="7" t="str">
        <x:v>RAE-PP-211</x:v>
      </x:c>
      <x:c r="E987" s="7" t="str">
        <x:v>Path Proofs!M217</x:v>
      </x:c>
      <x:c r="F987" s="7" t="n">
        <x:f>'Path Proofs'!M217</x:f>
        <x:v>0</x:v>
      </x:c>
    </x:row>
    <x:row r="988">
      <x:c r="B988" s="7" t="str">
        <x:v>PHY-0982</x:v>
      </x:c>
      <x:c r="C988" s="7" t="str">
        <x:v>path proof</x:v>
      </x:c>
      <x:c r="D988" s="7" t="str">
        <x:v>RAE-PP-212</x:v>
      </x:c>
      <x:c r="E988" s="7" t="str">
        <x:v>Path Proofs!M218</x:v>
      </x:c>
      <x:c r="F988" s="7" t="n">
        <x:f>'Path Proofs'!M218</x:f>
        <x:v>0</x:v>
      </x:c>
    </x:row>
    <x:row r="989">
      <x:c r="B989" s="7" t="str">
        <x:v>PHY-0983</x:v>
      </x:c>
      <x:c r="C989" s="7" t="str">
        <x:v>path proof</x:v>
      </x:c>
      <x:c r="D989" s="7" t="str">
        <x:v>RAE-PP-213</x:v>
      </x:c>
      <x:c r="E989" s="7" t="str">
        <x:v>Path Proofs!M219</x:v>
      </x:c>
      <x:c r="F989" s="7" t="n">
        <x:f>'Path Proofs'!M219</x:f>
        <x:v>0</x:v>
      </x:c>
    </x:row>
    <x:row r="990">
      <x:c r="B990" s="7" t="str">
        <x:v>PHY-0984</x:v>
      </x:c>
      <x:c r="C990" s="7" t="str">
        <x:v>path proof</x:v>
      </x:c>
      <x:c r="D990" s="7" t="str">
        <x:v>RAE-PP-214</x:v>
      </x:c>
      <x:c r="E990" s="7" t="str">
        <x:v>Path Proofs!M220</x:v>
      </x:c>
      <x:c r="F990" s="7" t="n">
        <x:f>'Path Proofs'!M220</x:f>
        <x:v>0</x:v>
      </x:c>
    </x:row>
    <x:row r="991">
      <x:c r="B991" s="7" t="str">
        <x:v>PHY-0985</x:v>
      </x:c>
      <x:c r="C991" s="7" t="str">
        <x:v>path proof</x:v>
      </x:c>
      <x:c r="D991" s="7" t="str">
        <x:v>RAE-PP-215</x:v>
      </x:c>
      <x:c r="E991" s="7" t="str">
        <x:v>Path Proofs!M221</x:v>
      </x:c>
      <x:c r="F991" s="7" t="n">
        <x:f>'Path Proofs'!M221</x:f>
        <x:v>0</x:v>
      </x:c>
    </x:row>
    <x:row r="992">
      <x:c r="B992" s="7" t="str">
        <x:v>PHY-0986</x:v>
      </x:c>
      <x:c r="C992" s="7" t="str">
        <x:v>path proof</x:v>
      </x:c>
      <x:c r="D992" s="7" t="str">
        <x:v>RAE-PP-216</x:v>
      </x:c>
      <x:c r="E992" s="7" t="str">
        <x:v>Path Proofs!M222</x:v>
      </x:c>
      <x:c r="F992" s="7" t="n">
        <x:f>'Path Proofs'!M222</x:f>
        <x:v>0</x:v>
      </x:c>
    </x:row>
    <x:row r="993">
      <x:c r="B993" s="7" t="str">
        <x:v>PHY-0987</x:v>
      </x:c>
      <x:c r="C993" s="7" t="str">
        <x:v>walkdown</x:v>
      </x:c>
      <x:c r="D993" s="7" t="str">
        <x:v>RFP-A1-WD-01</x:v>
      </x:c>
      <x:c r="E993" s="7" t="str">
        <x:v>Walkdown Ledger!J7</x:v>
      </x:c>
      <x:c r="F993" s="7" t="str">
        <x:f>'Walkdown Ledger'!J7</x:f>
        <x:v>OPEN</x:v>
      </x:c>
    </x:row>
    <x:row r="994">
      <x:c r="B994" s="7" t="str">
        <x:v>PHY-0988</x:v>
      </x:c>
      <x:c r="C994" s="7" t="str">
        <x:v>walkdown</x:v>
      </x:c>
      <x:c r="D994" s="7" t="str">
        <x:v>RFP-A1-WD-02</x:v>
      </x:c>
      <x:c r="E994" s="7" t="str">
        <x:v>Walkdown Ledger!J8</x:v>
      </x:c>
      <x:c r="F994" s="7" t="str">
        <x:f>'Walkdown Ledger'!J8</x:f>
        <x:v>OPEN</x:v>
      </x:c>
    </x:row>
    <x:row r="995">
      <x:c r="B995" s="7" t="str">
        <x:v>PHY-0989</x:v>
      </x:c>
      <x:c r="C995" s="7" t="str">
        <x:v>walkdown</x:v>
      </x:c>
      <x:c r="D995" s="7" t="str">
        <x:v>RFP-A1-WD-03</x:v>
      </x:c>
      <x:c r="E995" s="7" t="str">
        <x:v>Walkdown Ledger!J9</x:v>
      </x:c>
      <x:c r="F995" s="7" t="str">
        <x:f>'Walkdown Ledger'!J9</x:f>
        <x:v>OPEN</x:v>
      </x:c>
    </x:row>
    <x:row r="996">
      <x:c r="B996" s="7" t="str">
        <x:v>PHY-0990</x:v>
      </x:c>
      <x:c r="C996" s="7" t="str">
        <x:v>walkdown</x:v>
      </x:c>
      <x:c r="D996" s="7" t="str">
        <x:v>RFP-A1-WD-04</x:v>
      </x:c>
      <x:c r="E996" s="7" t="str">
        <x:v>Walkdown Ledger!J10</x:v>
      </x:c>
      <x:c r="F996" s="7" t="str">
        <x:f>'Walkdown Ledger'!J10</x:f>
        <x:v>OPEN</x:v>
      </x:c>
    </x:row>
    <x:row r="997">
      <x:c r="B997" s="7" t="str">
        <x:v>PHY-0991</x:v>
      </x:c>
      <x:c r="C997" s="7" t="str">
        <x:v>walkdown</x:v>
      </x:c>
      <x:c r="D997" s="7" t="str">
        <x:v>RFP-A1-WD-05</x:v>
      </x:c>
      <x:c r="E997" s="7" t="str">
        <x:v>Walkdown Ledger!J11</x:v>
      </x:c>
      <x:c r="F997" s="7" t="str">
        <x:f>'Walkdown Ledger'!J11</x:f>
        <x:v>OPEN</x:v>
      </x:c>
    </x:row>
    <x:row r="998">
      <x:c r="B998" s="7" t="str">
        <x:v>PHY-0992</x:v>
      </x:c>
      <x:c r="C998" s="7" t="str">
        <x:v>walkdown</x:v>
      </x:c>
      <x:c r="D998" s="7" t="str">
        <x:v>RFP-A1-WD-06</x:v>
      </x:c>
      <x:c r="E998" s="7" t="str">
        <x:v>Walkdown Ledger!J12</x:v>
      </x:c>
      <x:c r="F998" s="7" t="str">
        <x:f>'Walkdown Ledger'!J12</x:f>
        <x:v>OPEN</x:v>
      </x:c>
    </x:row>
    <x:row r="999">
      <x:c r="B999" s="7" t="str">
        <x:v>PHY-0993</x:v>
      </x:c>
      <x:c r="C999" s="7" t="str">
        <x:v>walkdown</x:v>
      </x:c>
      <x:c r="D999" s="7" t="str">
        <x:v>RFP-A1-WD-07</x:v>
      </x:c>
      <x:c r="E999" s="7" t="str">
        <x:v>Walkdown Ledger!J13</x:v>
      </x:c>
      <x:c r="F999" s="7" t="str">
        <x:f>'Walkdown Ledger'!J13</x:f>
        <x:v>OPEN</x:v>
      </x:c>
    </x:row>
    <x:row r="1000">
      <x:c r="B1000" s="7" t="str">
        <x:v>PHY-0994</x:v>
      </x:c>
      <x:c r="C1000" s="7" t="str">
        <x:v>walkdown</x:v>
      </x:c>
      <x:c r="D1000" s="7" t="str">
        <x:v>RFP-A1-WD-08</x:v>
      </x:c>
      <x:c r="E1000" s="7" t="str">
        <x:v>Walkdown Ledger!J14</x:v>
      </x:c>
      <x:c r="F1000" s="7" t="str">
        <x:f>'Walkdown Ledger'!J14</x:f>
        <x:v>OPEN</x:v>
      </x:c>
    </x:row>
    <x:row r="1001">
      <x:c r="B1001" s="7" t="str">
        <x:v>PHY-0995</x:v>
      </x:c>
      <x:c r="C1001" s="7" t="str">
        <x:v>walkdown</x:v>
      </x:c>
      <x:c r="D1001" s="7" t="str">
        <x:v>RFP-A1-WD-09</x:v>
      </x:c>
      <x:c r="E1001" s="7" t="str">
        <x:v>Walkdown Ledger!J15</x:v>
      </x:c>
      <x:c r="F1001" s="7" t="str">
        <x:f>'Walkdown Ledger'!J15</x:f>
        <x:v>OPEN</x:v>
      </x:c>
    </x:row>
    <x:row r="1002">
      <x:c r="B1002" s="7" t="str">
        <x:v>PHY-0996</x:v>
      </x:c>
      <x:c r="C1002" s="7" t="str">
        <x:v>walkdown</x:v>
      </x:c>
      <x:c r="D1002" s="7" t="str">
        <x:v>RFP-A1-WD-10</x:v>
      </x:c>
      <x:c r="E1002" s="7" t="str">
        <x:v>Walkdown Ledger!J16</x:v>
      </x:c>
      <x:c r="F1002" s="7" t="str">
        <x:f>'Walkdown Ledger'!J16</x:f>
        <x:v>OPEN</x:v>
      </x:c>
    </x:row>
    <x:row r="1003">
      <x:c r="B1003" s="7" t="str">
        <x:v>PHY-0997</x:v>
      </x:c>
      <x:c r="C1003" s="7" t="str">
        <x:v>walkdown</x:v>
      </x:c>
      <x:c r="D1003" s="7" t="str">
        <x:v>RFP-A1-WD-11</x:v>
      </x:c>
      <x:c r="E1003" s="7" t="str">
        <x:v>Walkdown Ledger!J17</x:v>
      </x:c>
      <x:c r="F1003" s="7" t="str">
        <x:f>'Walkdown Ledger'!J17</x:f>
        <x:v>OPEN</x:v>
      </x:c>
    </x:row>
    <x:row r="1004">
      <x:c r="B1004" s="7" t="str">
        <x:v>PHY-0998</x:v>
      </x:c>
      <x:c r="C1004" s="7" t="str">
        <x:v>walkdown</x:v>
      </x:c>
      <x:c r="D1004" s="7" t="str">
        <x:v>RFP-A1-WD-12</x:v>
      </x:c>
      <x:c r="E1004" s="7" t="str">
        <x:v>Walkdown Ledger!J18</x:v>
      </x:c>
      <x:c r="F1004" s="7" t="str">
        <x:f>'Walkdown Ledger'!J18</x:f>
        <x:v>OPEN</x:v>
      </x:c>
    </x:row>
    <x:row r="1005">
      <x:c r="B1005" s="7" t="str">
        <x:v>PHY-0999</x:v>
      </x:c>
      <x:c r="C1005" s="7" t="str">
        <x:v>walkdown</x:v>
      </x:c>
      <x:c r="D1005" s="7" t="str">
        <x:v>RFP-A1-WD-13</x:v>
      </x:c>
      <x:c r="E1005" s="7" t="str">
        <x:v>Walkdown Ledger!J19</x:v>
      </x:c>
      <x:c r="F1005" s="7" t="str">
        <x:f>'Walkdown Ledger'!J19</x:f>
        <x:v>OPEN</x:v>
      </x:c>
    </x:row>
    <x:row r="1006">
      <x:c r="B1006" s="7" t="str">
        <x:v>PHY-1000</x:v>
      </x:c>
      <x:c r="C1006" s="7" t="str">
        <x:v>walkdown</x:v>
      </x:c>
      <x:c r="D1006" s="7" t="str">
        <x:v>RFP-A1-WD-14</x:v>
      </x:c>
      <x:c r="E1006" s="7" t="str">
        <x:v>Walkdown Ledger!J20</x:v>
      </x:c>
      <x:c r="F1006" s="7" t="str">
        <x:f>'Walkdown Ledger'!J20</x:f>
        <x:v>OPEN</x:v>
      </x:c>
    </x:row>
    <x:row r="1007">
      <x:c r="B1007" s="7" t="str">
        <x:v>PHY-1001</x:v>
      </x:c>
      <x:c r="C1007" s="7" t="str">
        <x:v>walkdown</x:v>
      </x:c>
      <x:c r="D1007" s="7" t="str">
        <x:v>RFP-A1-WD-15</x:v>
      </x:c>
      <x:c r="E1007" s="7" t="str">
        <x:v>Walkdown Ledger!J21</x:v>
      </x:c>
      <x:c r="F1007" s="7" t="str">
        <x:f>'Walkdown Ledger'!J21</x:f>
        <x:v>OPEN</x:v>
      </x:c>
    </x:row>
    <x:row r="1008">
      <x:c r="B1008" s="7" t="str">
        <x:v>PHY-1002</x:v>
      </x:c>
      <x:c r="C1008" s="7" t="str">
        <x:v>walkdown</x:v>
      </x:c>
      <x:c r="D1008" s="7" t="str">
        <x:v>RFP-A1-WD-16</x:v>
      </x:c>
      <x:c r="E1008" s="7" t="str">
        <x:v>Walkdown Ledger!J22</x:v>
      </x:c>
      <x:c r="F1008" s="7" t="str">
        <x:f>'Walkdown Ledger'!J22</x:f>
        <x:v>OPEN</x:v>
      </x:c>
    </x:row>
    <x:row r="1009">
      <x:c r="B1009" s="7" t="str">
        <x:v>PHY-1003</x:v>
      </x:c>
      <x:c r="C1009" s="7" t="str">
        <x:v>walkdown</x:v>
      </x:c>
      <x:c r="D1009" s="7" t="str">
        <x:v>RFP-A1-WD-17</x:v>
      </x:c>
      <x:c r="E1009" s="7" t="str">
        <x:v>Walkdown Ledger!J23</x:v>
      </x:c>
      <x:c r="F1009" s="7" t="str">
        <x:f>'Walkdown Ledger'!J23</x:f>
        <x:v>OPEN</x:v>
      </x:c>
    </x:row>
    <x:row r="1010">
      <x:c r="B1010" s="7" t="str">
        <x:v>PHY-1004</x:v>
      </x:c>
      <x:c r="C1010" s="7" t="str">
        <x:v>walkdown</x:v>
      </x:c>
      <x:c r="D1010" s="7" t="str">
        <x:v>RFP-A1-WD-18</x:v>
      </x:c>
      <x:c r="E1010" s="7" t="str">
        <x:v>Walkdown Ledger!J24</x:v>
      </x:c>
      <x:c r="F1010" s="7" t="str">
        <x:f>'Walkdown Ledger'!J24</x:f>
        <x:v>OPEN</x:v>
      </x:c>
    </x:row>
    <x:row r="1011">
      <x:c r="B1011" s="7" t="str">
        <x:v>PHY-1005</x:v>
      </x:c>
      <x:c r="C1011" s="7" t="str">
        <x:v>walkdown</x:v>
      </x:c>
      <x:c r="D1011" s="7" t="str">
        <x:v>RFP-A1-WD-19</x:v>
      </x:c>
      <x:c r="E1011" s="7" t="str">
        <x:v>Walkdown Ledger!J25</x:v>
      </x:c>
      <x:c r="F1011" s="7" t="str">
        <x:f>'Walkdown Ledger'!J25</x:f>
        <x:v>OPEN</x:v>
      </x:c>
    </x:row>
    <x:row r="1012">
      <x:c r="B1012" s="7" t="str">
        <x:v>PHY-1006</x:v>
      </x:c>
      <x:c r="C1012" s="7" t="str">
        <x:v>walkdown</x:v>
      </x:c>
      <x:c r="D1012" s="7" t="str">
        <x:v>RFP-A1-WD-20</x:v>
      </x:c>
      <x:c r="E1012" s="7" t="str">
        <x:v>Walkdown Ledger!J26</x:v>
      </x:c>
      <x:c r="F1012" s="7" t="str">
        <x:f>'Walkdown Ledger'!J26</x:f>
        <x:v>OPEN</x:v>
      </x:c>
    </x:row>
    <x:row r="1013">
      <x:c r="B1013" s="7" t="str">
        <x:v>PHY-1007</x:v>
      </x:c>
      <x:c r="C1013" s="7" t="str">
        <x:v>walkdown</x:v>
      </x:c>
      <x:c r="D1013" s="7" t="str">
        <x:v>RFP-A1-WD-21</x:v>
      </x:c>
      <x:c r="E1013" s="7" t="str">
        <x:v>Walkdown Ledger!J27</x:v>
      </x:c>
      <x:c r="F1013" s="7" t="str">
        <x:f>'Walkdown Ledger'!J27</x:f>
        <x:v>OPEN</x:v>
      </x:c>
    </x:row>
    <x:row r="1014">
      <x:c r="B1014" s="7" t="str">
        <x:v>PHY-1008</x:v>
      </x:c>
      <x:c r="C1014" s="7" t="str">
        <x:v>walkdown</x:v>
      </x:c>
      <x:c r="D1014" s="7" t="str">
        <x:v>RFP-A1-WD-22</x:v>
      </x:c>
      <x:c r="E1014" s="7" t="str">
        <x:v>Walkdown Ledger!J28</x:v>
      </x:c>
      <x:c r="F1014" s="7" t="str">
        <x:f>'Walkdown Ledger'!J28</x:f>
        <x:v>OPEN</x:v>
      </x:c>
    </x:row>
    <x:row r="1015">
      <x:c r="B1015" s="7" t="str">
        <x:v>PHY-1009</x:v>
      </x:c>
      <x:c r="C1015" s="7" t="str">
        <x:v>walkdown</x:v>
      </x:c>
      <x:c r="D1015" s="7" t="str">
        <x:v>RFP-A1-WD-23</x:v>
      </x:c>
      <x:c r="E1015" s="7" t="str">
        <x:v>Walkdown Ledger!J29</x:v>
      </x:c>
      <x:c r="F1015" s="7" t="str">
        <x:f>'Walkdown Ledger'!J29</x:f>
        <x:v>OPEN</x:v>
      </x:c>
    </x:row>
    <x:row r="1016">
      <x:c r="B1016" s="7" t="str">
        <x:v>PHY-1010</x:v>
      </x:c>
      <x:c r="C1016" s="7" t="str">
        <x:v>walkdown</x:v>
      </x:c>
      <x:c r="D1016" s="7" t="str">
        <x:v>RFP-A1-WD-24</x:v>
      </x:c>
      <x:c r="E1016" s="7" t="str">
        <x:v>Walkdown Ledger!J30</x:v>
      </x:c>
      <x:c r="F1016" s="7" t="str">
        <x:f>'Walkdown Ledger'!J30</x:f>
        <x:v>OPEN</x:v>
      </x:c>
    </x:row>
    <x:row r="1017">
      <x:c r="B1017" s="7" t="str">
        <x:v>PHY-1011</x:v>
      </x:c>
      <x:c r="C1017" s="7" t="str">
        <x:v>walkdown</x:v>
      </x:c>
      <x:c r="D1017" s="7" t="str">
        <x:v>RFP-A1-WD-25</x:v>
      </x:c>
      <x:c r="E1017" s="7" t="str">
        <x:v>Walkdown Ledger!J31</x:v>
      </x:c>
      <x:c r="F1017" s="7" t="str">
        <x:f>'Walkdown Ledger'!J31</x:f>
        <x:v>OPEN</x:v>
      </x:c>
    </x:row>
    <x:row r="1018">
      <x:c r="B1018" s="7" t="str">
        <x:v>PHY-1012</x:v>
      </x:c>
      <x:c r="C1018" s="7" t="str">
        <x:v>walkdown</x:v>
      </x:c>
      <x:c r="D1018" s="7" t="str">
        <x:v>RFP-A1-WD-26</x:v>
      </x:c>
      <x:c r="E1018" s="7" t="str">
        <x:v>Walkdown Ledger!J32</x:v>
      </x:c>
      <x:c r="F1018" s="7" t="str">
        <x:f>'Walkdown Ledger'!J32</x:f>
        <x:v>OPEN</x:v>
      </x:c>
    </x:row>
    <x:row r="1019">
      <x:c r="B1019" s="7" t="str">
        <x:v>PHY-1013</x:v>
      </x:c>
      <x:c r="C1019" s="7" t="str">
        <x:v>walkdown</x:v>
      </x:c>
      <x:c r="D1019" s="7" t="str">
        <x:v>RFP-A1-WD-27</x:v>
      </x:c>
      <x:c r="E1019" s="7" t="str">
        <x:v>Walkdown Ledger!J33</x:v>
      </x:c>
      <x:c r="F1019" s="7" t="str">
        <x:f>'Walkdown Ledger'!J33</x:f>
        <x:v>OPEN</x:v>
      </x:c>
    </x:row>
    <x:row r="1020">
      <x:c r="B1020" s="7" t="str">
        <x:v>PHY-1014</x:v>
      </x:c>
      <x:c r="C1020" s="7" t="str">
        <x:v>walkdown</x:v>
      </x:c>
      <x:c r="D1020" s="7" t="str">
        <x:v>RFP-A1-WD-28</x:v>
      </x:c>
      <x:c r="E1020" s="7" t="str">
        <x:v>Walkdown Ledger!J34</x:v>
      </x:c>
      <x:c r="F1020" s="7" t="str">
        <x:f>'Walkdown Ledger'!J34</x:f>
        <x:v>OPEN</x:v>
      </x:c>
    </x:row>
    <x:row r="1021">
      <x:c r="B1021" s="7" t="str">
        <x:v>PHY-1015</x:v>
      </x:c>
      <x:c r="C1021" s="7" t="str">
        <x:v>walkdown</x:v>
      </x:c>
      <x:c r="D1021" s="7" t="str">
        <x:v>RFP-A1-WD-29</x:v>
      </x:c>
      <x:c r="E1021" s="7" t="str">
        <x:v>Walkdown Ledger!J35</x:v>
      </x:c>
      <x:c r="F1021" s="7" t="str">
        <x:f>'Walkdown Ledger'!J35</x:f>
        <x:v>OPEN</x:v>
      </x:c>
    </x:row>
    <x:row r="1022">
      <x:c r="B1022" s="7" t="str">
        <x:v>PHY-1016</x:v>
      </x:c>
      <x:c r="C1022" s="7" t="str">
        <x:v>walkdown</x:v>
      </x:c>
      <x:c r="D1022" s="7" t="str">
        <x:v>RFP-A1-WD-30</x:v>
      </x:c>
      <x:c r="E1022" s="7" t="str">
        <x:v>Walkdown Ledger!J36</x:v>
      </x:c>
      <x:c r="F1022" s="7" t="str">
        <x:f>'Walkdown Ledger'!J36</x:f>
        <x:v>OPEN</x:v>
      </x:c>
    </x:row>
    <x:row r="1023">
      <x:c r="B1023" s="7" t="str">
        <x:v>PHY-1017</x:v>
      </x:c>
      <x:c r="C1023" s="7" t="str">
        <x:v>walkdown</x:v>
      </x:c>
      <x:c r="D1023" s="7" t="str">
        <x:v>RFP-A1-WD-31</x:v>
      </x:c>
      <x:c r="E1023" s="7" t="str">
        <x:v>Walkdown Ledger!J37</x:v>
      </x:c>
      <x:c r="F1023" s="7" t="str">
        <x:f>'Walkdown Ledger'!J37</x:f>
        <x:v>OPEN</x:v>
      </x:c>
    </x:row>
    <x:row r="1024">
      <x:c r="B1024" s="7" t="str">
        <x:v>PHY-1018</x:v>
      </x:c>
      <x:c r="C1024" s="7" t="str">
        <x:v>walkdown</x:v>
      </x:c>
      <x:c r="D1024" s="7" t="str">
        <x:v>RFP-A1-WD-32</x:v>
      </x:c>
      <x:c r="E1024" s="7" t="str">
        <x:v>Walkdown Ledger!J38</x:v>
      </x:c>
      <x:c r="F1024" s="7" t="str">
        <x:f>'Walkdown Ledger'!J38</x:f>
        <x:v>OPEN</x:v>
      </x:c>
    </x:row>
    <x:row r="1025">
      <x:c r="B1025" s="7" t="str">
        <x:v>PHY-1019</x:v>
      </x:c>
      <x:c r="C1025" s="7" t="str">
        <x:v>walkdown</x:v>
      </x:c>
      <x:c r="D1025" s="7" t="str">
        <x:v>RFP-A2-WD-01</x:v>
      </x:c>
      <x:c r="E1025" s="7" t="str">
        <x:v>Walkdown Ledger!J39</x:v>
      </x:c>
      <x:c r="F1025" s="7" t="str">
        <x:f>'Walkdown Ledger'!J39</x:f>
        <x:v>OPEN</x:v>
      </x:c>
    </x:row>
    <x:row r="1026">
      <x:c r="B1026" s="7" t="str">
        <x:v>PHY-1020</x:v>
      </x:c>
      <x:c r="C1026" s="7" t="str">
        <x:v>walkdown</x:v>
      </x:c>
      <x:c r="D1026" s="7" t="str">
        <x:v>RFP-A2-WD-02</x:v>
      </x:c>
      <x:c r="E1026" s="7" t="str">
        <x:v>Walkdown Ledger!J40</x:v>
      </x:c>
      <x:c r="F1026" s="7" t="str">
        <x:f>'Walkdown Ledger'!J40</x:f>
        <x:v>OPEN</x:v>
      </x:c>
    </x:row>
    <x:row r="1027">
      <x:c r="B1027" s="7" t="str">
        <x:v>PHY-1021</x:v>
      </x:c>
      <x:c r="C1027" s="7" t="str">
        <x:v>walkdown</x:v>
      </x:c>
      <x:c r="D1027" s="7" t="str">
        <x:v>RFP-A2-WD-03</x:v>
      </x:c>
      <x:c r="E1027" s="7" t="str">
        <x:v>Walkdown Ledger!J41</x:v>
      </x:c>
      <x:c r="F1027" s="7" t="str">
        <x:f>'Walkdown Ledger'!J41</x:f>
        <x:v>OPEN</x:v>
      </x:c>
    </x:row>
    <x:row r="1028">
      <x:c r="B1028" s="7" t="str">
        <x:v>PHY-1022</x:v>
      </x:c>
      <x:c r="C1028" s="7" t="str">
        <x:v>walkdown</x:v>
      </x:c>
      <x:c r="D1028" s="7" t="str">
        <x:v>RFP-A2-WD-04</x:v>
      </x:c>
      <x:c r="E1028" s="7" t="str">
        <x:v>Walkdown Ledger!J42</x:v>
      </x:c>
      <x:c r="F1028" s="7" t="str">
        <x:f>'Walkdown Ledger'!J42</x:f>
        <x:v>OPEN</x:v>
      </x:c>
    </x:row>
    <x:row r="1029">
      <x:c r="B1029" s="7" t="str">
        <x:v>PHY-1023</x:v>
      </x:c>
      <x:c r="C1029" s="7" t="str">
        <x:v>walkdown</x:v>
      </x:c>
      <x:c r="D1029" s="7" t="str">
        <x:v>RFP-A2-WD-05</x:v>
      </x:c>
      <x:c r="E1029" s="7" t="str">
        <x:v>Walkdown Ledger!J43</x:v>
      </x:c>
      <x:c r="F1029" s="7" t="str">
        <x:f>'Walkdown Ledger'!J43</x:f>
        <x:v>OPEN</x:v>
      </x:c>
    </x:row>
    <x:row r="1030">
      <x:c r="B1030" s="7" t="str">
        <x:v>PHY-1024</x:v>
      </x:c>
      <x:c r="C1030" s="7" t="str">
        <x:v>walkdown</x:v>
      </x:c>
      <x:c r="D1030" s="7" t="str">
        <x:v>RFP-A2-WD-06</x:v>
      </x:c>
      <x:c r="E1030" s="7" t="str">
        <x:v>Walkdown Ledger!J44</x:v>
      </x:c>
      <x:c r="F1030" s="7" t="str">
        <x:f>'Walkdown Ledger'!J44</x:f>
        <x:v>OPEN</x:v>
      </x:c>
    </x:row>
    <x:row r="1031">
      <x:c r="B1031" s="7" t="str">
        <x:v>PHY-1025</x:v>
      </x:c>
      <x:c r="C1031" s="7" t="str">
        <x:v>walkdown</x:v>
      </x:c>
      <x:c r="D1031" s="7" t="str">
        <x:v>RFP-A2-WD-07</x:v>
      </x:c>
      <x:c r="E1031" s="7" t="str">
        <x:v>Walkdown Ledger!J45</x:v>
      </x:c>
      <x:c r="F1031" s="7" t="str">
        <x:f>'Walkdown Ledger'!J45</x:f>
        <x:v>OPEN</x:v>
      </x:c>
    </x:row>
    <x:row r="1032">
      <x:c r="B1032" s="7" t="str">
        <x:v>PHY-1026</x:v>
      </x:c>
      <x:c r="C1032" s="7" t="str">
        <x:v>walkdown</x:v>
      </x:c>
      <x:c r="D1032" s="7" t="str">
        <x:v>RFP-A2-WD-08</x:v>
      </x:c>
      <x:c r="E1032" s="7" t="str">
        <x:v>Walkdown Ledger!J46</x:v>
      </x:c>
      <x:c r="F1032" s="7" t="str">
        <x:f>'Walkdown Ledger'!J46</x:f>
        <x:v>OPEN</x:v>
      </x:c>
    </x:row>
    <x:row r="1033">
      <x:c r="B1033" s="7" t="str">
        <x:v>PHY-1027</x:v>
      </x:c>
      <x:c r="C1033" s="7" t="str">
        <x:v>walkdown</x:v>
      </x:c>
      <x:c r="D1033" s="7" t="str">
        <x:v>RFP-A2-WD-09</x:v>
      </x:c>
      <x:c r="E1033" s="7" t="str">
        <x:v>Walkdown Ledger!J47</x:v>
      </x:c>
      <x:c r="F1033" s="7" t="str">
        <x:f>'Walkdown Ledger'!J47</x:f>
        <x:v>OPEN</x:v>
      </x:c>
    </x:row>
    <x:row r="1034">
      <x:c r="B1034" s="7" t="str">
        <x:v>PHY-1028</x:v>
      </x:c>
      <x:c r="C1034" s="7" t="str">
        <x:v>walkdown</x:v>
      </x:c>
      <x:c r="D1034" s="7" t="str">
        <x:v>RFP-A2-WD-10</x:v>
      </x:c>
      <x:c r="E1034" s="7" t="str">
        <x:v>Walkdown Ledger!J48</x:v>
      </x:c>
      <x:c r="F1034" s="7" t="str">
        <x:f>'Walkdown Ledger'!J48</x:f>
        <x:v>OPEN</x:v>
      </x:c>
    </x:row>
    <x:row r="1035">
      <x:c r="B1035" s="7" t="str">
        <x:v>PHY-1029</x:v>
      </x:c>
      <x:c r="C1035" s="7" t="str">
        <x:v>walkdown</x:v>
      </x:c>
      <x:c r="D1035" s="7" t="str">
        <x:v>RFP-A2-WD-11</x:v>
      </x:c>
      <x:c r="E1035" s="7" t="str">
        <x:v>Walkdown Ledger!J49</x:v>
      </x:c>
      <x:c r="F1035" s="7" t="str">
        <x:f>'Walkdown Ledger'!J49</x:f>
        <x:v>OPEN</x:v>
      </x:c>
    </x:row>
    <x:row r="1036">
      <x:c r="B1036" s="7" t="str">
        <x:v>PHY-1030</x:v>
      </x:c>
      <x:c r="C1036" s="7" t="str">
        <x:v>walkdown</x:v>
      </x:c>
      <x:c r="D1036" s="7" t="str">
        <x:v>RFP-A2-WD-12</x:v>
      </x:c>
      <x:c r="E1036" s="7" t="str">
        <x:v>Walkdown Ledger!J50</x:v>
      </x:c>
      <x:c r="F1036" s="7" t="str">
        <x:f>'Walkdown Ledger'!J50</x:f>
        <x:v>OPEN</x:v>
      </x:c>
    </x:row>
    <x:row r="1037">
      <x:c r="B1037" s="7" t="str">
        <x:v>PHY-1031</x:v>
      </x:c>
      <x:c r="C1037" s="7" t="str">
        <x:v>walkdown</x:v>
      </x:c>
      <x:c r="D1037" s="7" t="str">
        <x:v>RFP-A2-WD-13</x:v>
      </x:c>
      <x:c r="E1037" s="7" t="str">
        <x:v>Walkdown Ledger!J51</x:v>
      </x:c>
      <x:c r="F1037" s="7" t="str">
        <x:f>'Walkdown Ledger'!J51</x:f>
        <x:v>OPEN</x:v>
      </x:c>
    </x:row>
    <x:row r="1038">
      <x:c r="B1038" s="7" t="str">
        <x:v>PHY-1032</x:v>
      </x:c>
      <x:c r="C1038" s="7" t="str">
        <x:v>walkdown</x:v>
      </x:c>
      <x:c r="D1038" s="7" t="str">
        <x:v>RFP-A2-WD-14</x:v>
      </x:c>
      <x:c r="E1038" s="7" t="str">
        <x:v>Walkdown Ledger!J52</x:v>
      </x:c>
      <x:c r="F1038" s="7" t="str">
        <x:f>'Walkdown Ledger'!J52</x:f>
        <x:v>OPEN</x:v>
      </x:c>
    </x:row>
    <x:row r="1039">
      <x:c r="B1039" s="7" t="str">
        <x:v>PHY-1033</x:v>
      </x:c>
      <x:c r="C1039" s="7" t="str">
        <x:v>walkdown</x:v>
      </x:c>
      <x:c r="D1039" s="7" t="str">
        <x:v>RFP-A2-WD-15</x:v>
      </x:c>
      <x:c r="E1039" s="7" t="str">
        <x:v>Walkdown Ledger!J53</x:v>
      </x:c>
      <x:c r="F1039" s="7" t="str">
        <x:f>'Walkdown Ledger'!J53</x:f>
        <x:v>OPEN</x:v>
      </x:c>
    </x:row>
    <x:row r="1040">
      <x:c r="B1040" s="7" t="str">
        <x:v>PHY-1034</x:v>
      </x:c>
      <x:c r="C1040" s="7" t="str">
        <x:v>walkdown</x:v>
      </x:c>
      <x:c r="D1040" s="7" t="str">
        <x:v>RFP-A2-WD-16</x:v>
      </x:c>
      <x:c r="E1040" s="7" t="str">
        <x:v>Walkdown Ledger!J54</x:v>
      </x:c>
      <x:c r="F1040" s="7" t="str">
        <x:f>'Walkdown Ledger'!J54</x:f>
        <x:v>OPEN</x:v>
      </x:c>
    </x:row>
    <x:row r="1041">
      <x:c r="B1041" s="7" t="str">
        <x:v>PHY-1035</x:v>
      </x:c>
      <x:c r="C1041" s="7" t="str">
        <x:v>walkdown</x:v>
      </x:c>
      <x:c r="D1041" s="7" t="str">
        <x:v>RFP-A2-WD-17</x:v>
      </x:c>
      <x:c r="E1041" s="7" t="str">
        <x:v>Walkdown Ledger!J55</x:v>
      </x:c>
      <x:c r="F1041" s="7" t="str">
        <x:f>'Walkdown Ledger'!J55</x:f>
        <x:v>OPEN</x:v>
      </x:c>
    </x:row>
    <x:row r="1042">
      <x:c r="B1042" s="7" t="str">
        <x:v>PHY-1036</x:v>
      </x:c>
      <x:c r="C1042" s="7" t="str">
        <x:v>walkdown</x:v>
      </x:c>
      <x:c r="D1042" s="7" t="str">
        <x:v>RFP-A2-WD-18</x:v>
      </x:c>
      <x:c r="E1042" s="7" t="str">
        <x:v>Walkdown Ledger!J56</x:v>
      </x:c>
      <x:c r="F1042" s="7" t="str">
        <x:f>'Walkdown Ledger'!J56</x:f>
        <x:v>OPEN</x:v>
      </x:c>
    </x:row>
    <x:row r="1043">
      <x:c r="B1043" s="7" t="str">
        <x:v>PHY-1037</x:v>
      </x:c>
      <x:c r="C1043" s="7" t="str">
        <x:v>walkdown</x:v>
      </x:c>
      <x:c r="D1043" s="7" t="str">
        <x:v>RFP-A2-WD-19</x:v>
      </x:c>
      <x:c r="E1043" s="7" t="str">
        <x:v>Walkdown Ledger!J57</x:v>
      </x:c>
      <x:c r="F1043" s="7" t="str">
        <x:f>'Walkdown Ledger'!J57</x:f>
        <x:v>OPEN</x:v>
      </x:c>
    </x:row>
    <x:row r="1044">
      <x:c r="B1044" s="7" t="str">
        <x:v>PHY-1038</x:v>
      </x:c>
      <x:c r="C1044" s="7" t="str">
        <x:v>walkdown</x:v>
      </x:c>
      <x:c r="D1044" s="7" t="str">
        <x:v>RFP-A2-WD-20</x:v>
      </x:c>
      <x:c r="E1044" s="7" t="str">
        <x:v>Walkdown Ledger!J58</x:v>
      </x:c>
      <x:c r="F1044" s="7" t="str">
        <x:f>'Walkdown Ledger'!J58</x:f>
        <x:v>OPEN</x:v>
      </x:c>
    </x:row>
    <x:row r="1045">
      <x:c r="B1045" s="7" t="str">
        <x:v>PHY-1039</x:v>
      </x:c>
      <x:c r="C1045" s="7" t="str">
        <x:v>walkdown</x:v>
      </x:c>
      <x:c r="D1045" s="7" t="str">
        <x:v>RFP-A2-WD-21</x:v>
      </x:c>
      <x:c r="E1045" s="7" t="str">
        <x:v>Walkdown Ledger!J59</x:v>
      </x:c>
      <x:c r="F1045" s="7" t="str">
        <x:f>'Walkdown Ledger'!J59</x:f>
        <x:v>OPEN</x:v>
      </x:c>
    </x:row>
    <x:row r="1046">
      <x:c r="B1046" s="7" t="str">
        <x:v>PHY-1040</x:v>
      </x:c>
      <x:c r="C1046" s="7" t="str">
        <x:v>walkdown</x:v>
      </x:c>
      <x:c r="D1046" s="7" t="str">
        <x:v>RFP-A2-WD-22</x:v>
      </x:c>
      <x:c r="E1046" s="7" t="str">
        <x:v>Walkdown Ledger!J60</x:v>
      </x:c>
      <x:c r="F1046" s="7" t="str">
        <x:f>'Walkdown Ledger'!J60</x:f>
        <x:v>OPEN</x:v>
      </x:c>
    </x:row>
    <x:row r="1047">
      <x:c r="B1047" s="7" t="str">
        <x:v>PHY-1041</x:v>
      </x:c>
      <x:c r="C1047" s="7" t="str">
        <x:v>walkdown</x:v>
      </x:c>
      <x:c r="D1047" s="7" t="str">
        <x:v>RFP-A2-WD-23</x:v>
      </x:c>
      <x:c r="E1047" s="7" t="str">
        <x:v>Walkdown Ledger!J61</x:v>
      </x:c>
      <x:c r="F1047" s="7" t="str">
        <x:f>'Walkdown Ledger'!J61</x:f>
        <x:v>OPEN</x:v>
      </x:c>
    </x:row>
    <x:row r="1048">
      <x:c r="B1048" s="7" t="str">
        <x:v>PHY-1042</x:v>
      </x:c>
      <x:c r="C1048" s="7" t="str">
        <x:v>walkdown</x:v>
      </x:c>
      <x:c r="D1048" s="7" t="str">
        <x:v>RFP-A2-WD-24</x:v>
      </x:c>
      <x:c r="E1048" s="7" t="str">
        <x:v>Walkdown Ledger!J62</x:v>
      </x:c>
      <x:c r="F1048" s="7" t="str">
        <x:f>'Walkdown Ledger'!J62</x:f>
        <x:v>OPEN</x:v>
      </x:c>
    </x:row>
    <x:row r="1049">
      <x:c r="B1049" s="7" t="str">
        <x:v>PHY-1043</x:v>
      </x:c>
      <x:c r="C1049" s="7" t="str">
        <x:v>walkdown</x:v>
      </x:c>
      <x:c r="D1049" s="7" t="str">
        <x:v>RFP-A2-WD-25</x:v>
      </x:c>
      <x:c r="E1049" s="7" t="str">
        <x:v>Walkdown Ledger!J63</x:v>
      </x:c>
      <x:c r="F1049" s="7" t="str">
        <x:f>'Walkdown Ledger'!J63</x:f>
        <x:v>OPEN</x:v>
      </x:c>
    </x:row>
    <x:row r="1050">
      <x:c r="B1050" s="7" t="str">
        <x:v>PHY-1044</x:v>
      </x:c>
      <x:c r="C1050" s="7" t="str">
        <x:v>walkdown</x:v>
      </x:c>
      <x:c r="D1050" s="7" t="str">
        <x:v>RFP-A2-WD-26</x:v>
      </x:c>
      <x:c r="E1050" s="7" t="str">
        <x:v>Walkdown Ledger!J64</x:v>
      </x:c>
      <x:c r="F1050" s="7" t="str">
        <x:f>'Walkdown Ledger'!J64</x:f>
        <x:v>OPEN</x:v>
      </x:c>
    </x:row>
    <x:row r="1051">
      <x:c r="B1051" s="7" t="str">
        <x:v>PHY-1045</x:v>
      </x:c>
      <x:c r="C1051" s="7" t="str">
        <x:v>walkdown</x:v>
      </x:c>
      <x:c r="D1051" s="7" t="str">
        <x:v>RFP-A2-WD-27</x:v>
      </x:c>
      <x:c r="E1051" s="7" t="str">
        <x:v>Walkdown Ledger!J65</x:v>
      </x:c>
      <x:c r="F1051" s="7" t="str">
        <x:f>'Walkdown Ledger'!J65</x:f>
        <x:v>OPEN</x:v>
      </x:c>
    </x:row>
    <x:row r="1052">
      <x:c r="B1052" s="7" t="str">
        <x:v>PHY-1046</x:v>
      </x:c>
      <x:c r="C1052" s="7" t="str">
        <x:v>walkdown</x:v>
      </x:c>
      <x:c r="D1052" s="7" t="str">
        <x:v>RFP-A2-WD-28</x:v>
      </x:c>
      <x:c r="E1052" s="7" t="str">
        <x:v>Walkdown Ledger!J66</x:v>
      </x:c>
      <x:c r="F1052" s="7" t="str">
        <x:f>'Walkdown Ledger'!J66</x:f>
        <x:v>OPEN</x:v>
      </x:c>
    </x:row>
    <x:row r="1053">
      <x:c r="B1053" s="7" t="str">
        <x:v>PHY-1047</x:v>
      </x:c>
      <x:c r="C1053" s="7" t="str">
        <x:v>walkdown</x:v>
      </x:c>
      <x:c r="D1053" s="7" t="str">
        <x:v>RFP-A2-WD-29</x:v>
      </x:c>
      <x:c r="E1053" s="7" t="str">
        <x:v>Walkdown Ledger!J67</x:v>
      </x:c>
      <x:c r="F1053" s="7" t="str">
        <x:f>'Walkdown Ledger'!J67</x:f>
        <x:v>OPEN</x:v>
      </x:c>
    </x:row>
    <x:row r="1054">
      <x:c r="B1054" s="7" t="str">
        <x:v>PHY-1048</x:v>
      </x:c>
      <x:c r="C1054" s="7" t="str">
        <x:v>walkdown</x:v>
      </x:c>
      <x:c r="D1054" s="7" t="str">
        <x:v>RFP-A2-WD-30</x:v>
      </x:c>
      <x:c r="E1054" s="7" t="str">
        <x:v>Walkdown Ledger!J68</x:v>
      </x:c>
      <x:c r="F1054" s="7" t="str">
        <x:f>'Walkdown Ledger'!J68</x:f>
        <x:v>OPEN</x:v>
      </x:c>
    </x:row>
    <x:row r="1055">
      <x:c r="B1055" s="7" t="str">
        <x:v>PHY-1049</x:v>
      </x:c>
      <x:c r="C1055" s="7" t="str">
        <x:v>walkdown</x:v>
      </x:c>
      <x:c r="D1055" s="7" t="str">
        <x:v>RFP-A2-WD-31</x:v>
      </x:c>
      <x:c r="E1055" s="7" t="str">
        <x:v>Walkdown Ledger!J69</x:v>
      </x:c>
      <x:c r="F1055" s="7" t="str">
        <x:f>'Walkdown Ledger'!J69</x:f>
        <x:v>OPEN</x:v>
      </x:c>
    </x:row>
    <x:row r="1056">
      <x:c r="B1056" s="7" t="str">
        <x:v>PHY-1050</x:v>
      </x:c>
      <x:c r="C1056" s="7" t="str">
        <x:v>walkdown</x:v>
      </x:c>
      <x:c r="D1056" s="7" t="str">
        <x:v>RFP-A2-WD-32</x:v>
      </x:c>
      <x:c r="E1056" s="7" t="str">
        <x:v>Walkdown Ledger!J70</x:v>
      </x:c>
      <x:c r="F1056" s="7" t="str">
        <x:f>'Walkdown Ledger'!J70</x:f>
        <x:v>OPEN</x:v>
      </x:c>
    </x:row>
    <x:row r="1057">
      <x:c r="B1057" s="7" t="str">
        <x:v>PHY-1051</x:v>
      </x:c>
      <x:c r="C1057" s="7" t="str">
        <x:v>walkdown</x:v>
      </x:c>
      <x:c r="D1057" s="7" t="str">
        <x:v>RFP-B1-WD-01</x:v>
      </x:c>
      <x:c r="E1057" s="7" t="str">
        <x:v>Walkdown Ledger!J71</x:v>
      </x:c>
      <x:c r="F1057" s="7" t="str">
        <x:f>'Walkdown Ledger'!J71</x:f>
        <x:v>OPEN</x:v>
      </x:c>
    </x:row>
    <x:row r="1058">
      <x:c r="B1058" s="7" t="str">
        <x:v>PHY-1052</x:v>
      </x:c>
      <x:c r="C1058" s="7" t="str">
        <x:v>walkdown</x:v>
      </x:c>
      <x:c r="D1058" s="7" t="str">
        <x:v>RFP-B1-WD-02</x:v>
      </x:c>
      <x:c r="E1058" s="7" t="str">
        <x:v>Walkdown Ledger!J72</x:v>
      </x:c>
      <x:c r="F1058" s="7" t="str">
        <x:f>'Walkdown Ledger'!J72</x:f>
        <x:v>OPEN</x:v>
      </x:c>
    </x:row>
    <x:row r="1059">
      <x:c r="B1059" s="7" t="str">
        <x:v>PHY-1053</x:v>
      </x:c>
      <x:c r="C1059" s="7" t="str">
        <x:v>walkdown</x:v>
      </x:c>
      <x:c r="D1059" s="7" t="str">
        <x:v>RFP-B1-WD-03</x:v>
      </x:c>
      <x:c r="E1059" s="7" t="str">
        <x:v>Walkdown Ledger!J73</x:v>
      </x:c>
      <x:c r="F1059" s="7" t="str">
        <x:f>'Walkdown Ledger'!J73</x:f>
        <x:v>OPEN</x:v>
      </x:c>
    </x:row>
    <x:row r="1060">
      <x:c r="B1060" s="7" t="str">
        <x:v>PHY-1054</x:v>
      </x:c>
      <x:c r="C1060" s="7" t="str">
        <x:v>walkdown</x:v>
      </x:c>
      <x:c r="D1060" s="7" t="str">
        <x:v>RFP-B1-WD-04</x:v>
      </x:c>
      <x:c r="E1060" s="7" t="str">
        <x:v>Walkdown Ledger!J74</x:v>
      </x:c>
      <x:c r="F1060" s="7" t="str">
        <x:f>'Walkdown Ledger'!J74</x:f>
        <x:v>OPEN</x:v>
      </x:c>
    </x:row>
    <x:row r="1061">
      <x:c r="B1061" s="7" t="str">
        <x:v>PHY-1055</x:v>
      </x:c>
      <x:c r="C1061" s="7" t="str">
        <x:v>walkdown</x:v>
      </x:c>
      <x:c r="D1061" s="7" t="str">
        <x:v>RFP-B1-WD-05</x:v>
      </x:c>
      <x:c r="E1061" s="7" t="str">
        <x:v>Walkdown Ledger!J75</x:v>
      </x:c>
      <x:c r="F1061" s="7" t="str">
        <x:f>'Walkdown Ledger'!J75</x:f>
        <x:v>OPEN</x:v>
      </x:c>
    </x:row>
    <x:row r="1062">
      <x:c r="B1062" s="7" t="str">
        <x:v>PHY-1056</x:v>
      </x:c>
      <x:c r="C1062" s="7" t="str">
        <x:v>walkdown</x:v>
      </x:c>
      <x:c r="D1062" s="7" t="str">
        <x:v>RFP-B1-WD-06</x:v>
      </x:c>
      <x:c r="E1062" s="7" t="str">
        <x:v>Walkdown Ledger!J76</x:v>
      </x:c>
      <x:c r="F1062" s="7" t="str">
        <x:f>'Walkdown Ledger'!J76</x:f>
        <x:v>OPEN</x:v>
      </x:c>
    </x:row>
    <x:row r="1063">
      <x:c r="B1063" s="7" t="str">
        <x:v>PHY-1057</x:v>
      </x:c>
      <x:c r="C1063" s="7" t="str">
        <x:v>walkdown</x:v>
      </x:c>
      <x:c r="D1063" s="7" t="str">
        <x:v>RFP-B1-WD-07</x:v>
      </x:c>
      <x:c r="E1063" s="7" t="str">
        <x:v>Walkdown Ledger!J77</x:v>
      </x:c>
      <x:c r="F1063" s="7" t="str">
        <x:f>'Walkdown Ledger'!J77</x:f>
        <x:v>OPEN</x:v>
      </x:c>
    </x:row>
    <x:row r="1064">
      <x:c r="B1064" s="7" t="str">
        <x:v>PHY-1058</x:v>
      </x:c>
      <x:c r="C1064" s="7" t="str">
        <x:v>walkdown</x:v>
      </x:c>
      <x:c r="D1064" s="7" t="str">
        <x:v>RFP-B1-WD-08</x:v>
      </x:c>
      <x:c r="E1064" s="7" t="str">
        <x:v>Walkdown Ledger!J78</x:v>
      </x:c>
      <x:c r="F1064" s="7" t="str">
        <x:f>'Walkdown Ledger'!J78</x:f>
        <x:v>OPEN</x:v>
      </x:c>
    </x:row>
    <x:row r="1065">
      <x:c r="B1065" s="7" t="str">
        <x:v>PHY-1059</x:v>
      </x:c>
      <x:c r="C1065" s="7" t="str">
        <x:v>walkdown</x:v>
      </x:c>
      <x:c r="D1065" s="7" t="str">
        <x:v>RFP-B1-WD-09</x:v>
      </x:c>
      <x:c r="E1065" s="7" t="str">
        <x:v>Walkdown Ledger!J79</x:v>
      </x:c>
      <x:c r="F1065" s="7" t="str">
        <x:f>'Walkdown Ledger'!J79</x:f>
        <x:v>OPEN</x:v>
      </x:c>
    </x:row>
    <x:row r="1066">
      <x:c r="B1066" s="7" t="str">
        <x:v>PHY-1060</x:v>
      </x:c>
      <x:c r="C1066" s="7" t="str">
        <x:v>walkdown</x:v>
      </x:c>
      <x:c r="D1066" s="7" t="str">
        <x:v>RFP-B1-WD-10</x:v>
      </x:c>
      <x:c r="E1066" s="7" t="str">
        <x:v>Walkdown Ledger!J80</x:v>
      </x:c>
      <x:c r="F1066" s="7" t="str">
        <x:f>'Walkdown Ledger'!J80</x:f>
        <x:v>OPEN</x:v>
      </x:c>
    </x:row>
    <x:row r="1067">
      <x:c r="B1067" s="7" t="str">
        <x:v>PHY-1061</x:v>
      </x:c>
      <x:c r="C1067" s="7" t="str">
        <x:v>walkdown</x:v>
      </x:c>
      <x:c r="D1067" s="7" t="str">
        <x:v>RFP-B1-WD-11</x:v>
      </x:c>
      <x:c r="E1067" s="7" t="str">
        <x:v>Walkdown Ledger!J81</x:v>
      </x:c>
      <x:c r="F1067" s="7" t="str">
        <x:f>'Walkdown Ledger'!J81</x:f>
        <x:v>OPEN</x:v>
      </x:c>
    </x:row>
    <x:row r="1068">
      <x:c r="B1068" s="7" t="str">
        <x:v>PHY-1062</x:v>
      </x:c>
      <x:c r="C1068" s="7" t="str">
        <x:v>walkdown</x:v>
      </x:c>
      <x:c r="D1068" s="7" t="str">
        <x:v>RFP-B1-WD-12</x:v>
      </x:c>
      <x:c r="E1068" s="7" t="str">
        <x:v>Walkdown Ledger!J82</x:v>
      </x:c>
      <x:c r="F1068" s="7" t="str">
        <x:f>'Walkdown Ledger'!J82</x:f>
        <x:v>OPEN</x:v>
      </x:c>
    </x:row>
    <x:row r="1069">
      <x:c r="B1069" s="7" t="str">
        <x:v>PHY-1063</x:v>
      </x:c>
      <x:c r="C1069" s="7" t="str">
        <x:v>walkdown</x:v>
      </x:c>
      <x:c r="D1069" s="7" t="str">
        <x:v>RFP-B1-WD-13</x:v>
      </x:c>
      <x:c r="E1069" s="7" t="str">
        <x:v>Walkdown Ledger!J83</x:v>
      </x:c>
      <x:c r="F1069" s="7" t="str">
        <x:f>'Walkdown Ledger'!J83</x:f>
        <x:v>OPEN</x:v>
      </x:c>
    </x:row>
    <x:row r="1070">
      <x:c r="B1070" s="7" t="str">
        <x:v>PHY-1064</x:v>
      </x:c>
      <x:c r="C1070" s="7" t="str">
        <x:v>walkdown</x:v>
      </x:c>
      <x:c r="D1070" s="7" t="str">
        <x:v>RFP-B1-WD-14</x:v>
      </x:c>
      <x:c r="E1070" s="7" t="str">
        <x:v>Walkdown Ledger!J84</x:v>
      </x:c>
      <x:c r="F1070" s="7" t="str">
        <x:f>'Walkdown Ledger'!J84</x:f>
        <x:v>OPEN</x:v>
      </x:c>
    </x:row>
    <x:row r="1071">
      <x:c r="B1071" s="7" t="str">
        <x:v>PHY-1065</x:v>
      </x:c>
      <x:c r="C1071" s="7" t="str">
        <x:v>walkdown</x:v>
      </x:c>
      <x:c r="D1071" s="7" t="str">
        <x:v>RFP-B1-WD-15</x:v>
      </x:c>
      <x:c r="E1071" s="7" t="str">
        <x:v>Walkdown Ledger!J85</x:v>
      </x:c>
      <x:c r="F1071" s="7" t="str">
        <x:f>'Walkdown Ledger'!J85</x:f>
        <x:v>OPEN</x:v>
      </x:c>
    </x:row>
    <x:row r="1072">
      <x:c r="B1072" s="7" t="str">
        <x:v>PHY-1066</x:v>
      </x:c>
      <x:c r="C1072" s="7" t="str">
        <x:v>walkdown</x:v>
      </x:c>
      <x:c r="D1072" s="7" t="str">
        <x:v>RFP-B1-WD-16</x:v>
      </x:c>
      <x:c r="E1072" s="7" t="str">
        <x:v>Walkdown Ledger!J86</x:v>
      </x:c>
      <x:c r="F1072" s="7" t="str">
        <x:f>'Walkdown Ledger'!J86</x:f>
        <x:v>OPEN</x:v>
      </x:c>
    </x:row>
    <x:row r="1073">
      <x:c r="B1073" s="7" t="str">
        <x:v>PHY-1067</x:v>
      </x:c>
      <x:c r="C1073" s="7" t="str">
        <x:v>walkdown</x:v>
      </x:c>
      <x:c r="D1073" s="7" t="str">
        <x:v>RFP-B1-WD-17</x:v>
      </x:c>
      <x:c r="E1073" s="7" t="str">
        <x:v>Walkdown Ledger!J87</x:v>
      </x:c>
      <x:c r="F1073" s="7" t="str">
        <x:f>'Walkdown Ledger'!J87</x:f>
        <x:v>OPEN</x:v>
      </x:c>
    </x:row>
    <x:row r="1074">
      <x:c r="B1074" s="7" t="str">
        <x:v>PHY-1068</x:v>
      </x:c>
      <x:c r="C1074" s="7" t="str">
        <x:v>walkdown</x:v>
      </x:c>
      <x:c r="D1074" s="7" t="str">
        <x:v>RFP-B1-WD-18</x:v>
      </x:c>
      <x:c r="E1074" s="7" t="str">
        <x:v>Walkdown Ledger!J88</x:v>
      </x:c>
      <x:c r="F1074" s="7" t="str">
        <x:f>'Walkdown Ledger'!J88</x:f>
        <x:v>OPEN</x:v>
      </x:c>
    </x:row>
    <x:row r="1075">
      <x:c r="B1075" s="7" t="str">
        <x:v>PHY-1069</x:v>
      </x:c>
      <x:c r="C1075" s="7" t="str">
        <x:v>walkdown</x:v>
      </x:c>
      <x:c r="D1075" s="7" t="str">
        <x:v>RFP-B1-WD-19</x:v>
      </x:c>
      <x:c r="E1075" s="7" t="str">
        <x:v>Walkdown Ledger!J89</x:v>
      </x:c>
      <x:c r="F1075" s="7" t="str">
        <x:f>'Walkdown Ledger'!J89</x:f>
        <x:v>OPEN</x:v>
      </x:c>
    </x:row>
    <x:row r="1076">
      <x:c r="B1076" s="7" t="str">
        <x:v>PHY-1070</x:v>
      </x:c>
      <x:c r="C1076" s="7" t="str">
        <x:v>walkdown</x:v>
      </x:c>
      <x:c r="D1076" s="7" t="str">
        <x:v>RFP-B1-WD-20</x:v>
      </x:c>
      <x:c r="E1076" s="7" t="str">
        <x:v>Walkdown Ledger!J90</x:v>
      </x:c>
      <x:c r="F1076" s="7" t="str">
        <x:f>'Walkdown Ledger'!J90</x:f>
        <x:v>OPEN</x:v>
      </x:c>
    </x:row>
    <x:row r="1077">
      <x:c r="B1077" s="7" t="str">
        <x:v>PHY-1071</x:v>
      </x:c>
      <x:c r="C1077" s="7" t="str">
        <x:v>walkdown</x:v>
      </x:c>
      <x:c r="D1077" s="7" t="str">
        <x:v>RFP-B1-WD-21</x:v>
      </x:c>
      <x:c r="E1077" s="7" t="str">
        <x:v>Walkdown Ledger!J91</x:v>
      </x:c>
      <x:c r="F1077" s="7" t="str">
        <x:f>'Walkdown Ledger'!J91</x:f>
        <x:v>OPEN</x:v>
      </x:c>
    </x:row>
    <x:row r="1078">
      <x:c r="B1078" s="7" t="str">
        <x:v>PHY-1072</x:v>
      </x:c>
      <x:c r="C1078" s="7" t="str">
        <x:v>walkdown</x:v>
      </x:c>
      <x:c r="D1078" s="7" t="str">
        <x:v>RFP-B1-WD-22</x:v>
      </x:c>
      <x:c r="E1078" s="7" t="str">
        <x:v>Walkdown Ledger!J92</x:v>
      </x:c>
      <x:c r="F1078" s="7" t="str">
        <x:f>'Walkdown Ledger'!J92</x:f>
        <x:v>OPEN</x:v>
      </x:c>
    </x:row>
    <x:row r="1079">
      <x:c r="B1079" s="7" t="str">
        <x:v>PHY-1073</x:v>
      </x:c>
      <x:c r="C1079" s="7" t="str">
        <x:v>walkdown</x:v>
      </x:c>
      <x:c r="D1079" s="7" t="str">
        <x:v>RFP-B1-WD-23</x:v>
      </x:c>
      <x:c r="E1079" s="7" t="str">
        <x:v>Walkdown Ledger!J93</x:v>
      </x:c>
      <x:c r="F1079" s="7" t="str">
        <x:f>'Walkdown Ledger'!J93</x:f>
        <x:v>OPEN</x:v>
      </x:c>
    </x:row>
    <x:row r="1080">
      <x:c r="B1080" s="7" t="str">
        <x:v>PHY-1074</x:v>
      </x:c>
      <x:c r="C1080" s="7" t="str">
        <x:v>walkdown</x:v>
      </x:c>
      <x:c r="D1080" s="7" t="str">
        <x:v>RFP-B1-WD-24</x:v>
      </x:c>
      <x:c r="E1080" s="7" t="str">
        <x:v>Walkdown Ledger!J94</x:v>
      </x:c>
      <x:c r="F1080" s="7" t="str">
        <x:f>'Walkdown Ledger'!J94</x:f>
        <x:v>OPEN</x:v>
      </x:c>
    </x:row>
    <x:row r="1081">
      <x:c r="B1081" s="7" t="str">
        <x:v>PHY-1075</x:v>
      </x:c>
      <x:c r="C1081" s="7" t="str">
        <x:v>walkdown</x:v>
      </x:c>
      <x:c r="D1081" s="7" t="str">
        <x:v>RFP-B1-WD-25</x:v>
      </x:c>
      <x:c r="E1081" s="7" t="str">
        <x:v>Walkdown Ledger!J95</x:v>
      </x:c>
      <x:c r="F1081" s="7" t="str">
        <x:f>'Walkdown Ledger'!J95</x:f>
        <x:v>OPEN</x:v>
      </x:c>
    </x:row>
    <x:row r="1082">
      <x:c r="B1082" s="7" t="str">
        <x:v>PHY-1076</x:v>
      </x:c>
      <x:c r="C1082" s="7" t="str">
        <x:v>walkdown</x:v>
      </x:c>
      <x:c r="D1082" s="7" t="str">
        <x:v>RFP-B1-WD-26</x:v>
      </x:c>
      <x:c r="E1082" s="7" t="str">
        <x:v>Walkdown Ledger!J96</x:v>
      </x:c>
      <x:c r="F1082" s="7" t="str">
        <x:f>'Walkdown Ledger'!J96</x:f>
        <x:v>OPEN</x:v>
      </x:c>
    </x:row>
    <x:row r="1083">
      <x:c r="B1083" s="7" t="str">
        <x:v>PHY-1077</x:v>
      </x:c>
      <x:c r="C1083" s="7" t="str">
        <x:v>walkdown</x:v>
      </x:c>
      <x:c r="D1083" s="7" t="str">
        <x:v>RFP-B1-WD-27</x:v>
      </x:c>
      <x:c r="E1083" s="7" t="str">
        <x:v>Walkdown Ledger!J97</x:v>
      </x:c>
      <x:c r="F1083" s="7" t="str">
        <x:f>'Walkdown Ledger'!J97</x:f>
        <x:v>OPEN</x:v>
      </x:c>
    </x:row>
    <x:row r="1084">
      <x:c r="B1084" s="7" t="str">
        <x:v>PHY-1078</x:v>
      </x:c>
      <x:c r="C1084" s="7" t="str">
        <x:v>walkdown</x:v>
      </x:c>
      <x:c r="D1084" s="7" t="str">
        <x:v>RFP-B1-WD-28</x:v>
      </x:c>
      <x:c r="E1084" s="7" t="str">
        <x:v>Walkdown Ledger!J98</x:v>
      </x:c>
      <x:c r="F1084" s="7" t="str">
        <x:f>'Walkdown Ledger'!J98</x:f>
        <x:v>OPEN</x:v>
      </x:c>
    </x:row>
    <x:row r="1085">
      <x:c r="B1085" s="7" t="str">
        <x:v>PHY-1079</x:v>
      </x:c>
      <x:c r="C1085" s="7" t="str">
        <x:v>walkdown</x:v>
      </x:c>
      <x:c r="D1085" s="7" t="str">
        <x:v>RFP-B1-WD-29</x:v>
      </x:c>
      <x:c r="E1085" s="7" t="str">
        <x:v>Walkdown Ledger!J99</x:v>
      </x:c>
      <x:c r="F1085" s="7" t="str">
        <x:f>'Walkdown Ledger'!J99</x:f>
        <x:v>OPEN</x:v>
      </x:c>
    </x:row>
    <x:row r="1086">
      <x:c r="B1086" s="7" t="str">
        <x:v>PHY-1080</x:v>
      </x:c>
      <x:c r="C1086" s="7" t="str">
        <x:v>walkdown</x:v>
      </x:c>
      <x:c r="D1086" s="7" t="str">
        <x:v>RFP-B1-WD-30</x:v>
      </x:c>
      <x:c r="E1086" s="7" t="str">
        <x:v>Walkdown Ledger!J100</x:v>
      </x:c>
      <x:c r="F1086" s="7" t="str">
        <x:f>'Walkdown Ledger'!J100</x:f>
        <x:v>OPEN</x:v>
      </x:c>
    </x:row>
    <x:row r="1087">
      <x:c r="B1087" s="7" t="str">
        <x:v>PHY-1081</x:v>
      </x:c>
      <x:c r="C1087" s="7" t="str">
        <x:v>walkdown</x:v>
      </x:c>
      <x:c r="D1087" s="7" t="str">
        <x:v>RFP-B1-WD-31</x:v>
      </x:c>
      <x:c r="E1087" s="7" t="str">
        <x:v>Walkdown Ledger!J101</x:v>
      </x:c>
      <x:c r="F1087" s="7" t="str">
        <x:f>'Walkdown Ledger'!J101</x:f>
        <x:v>OPEN</x:v>
      </x:c>
    </x:row>
    <x:row r="1088">
      <x:c r="B1088" s="7" t="str">
        <x:v>PHY-1082</x:v>
      </x:c>
      <x:c r="C1088" s="7" t="str">
        <x:v>walkdown</x:v>
      </x:c>
      <x:c r="D1088" s="7" t="str">
        <x:v>RFP-B1-WD-32</x:v>
      </x:c>
      <x:c r="E1088" s="7" t="str">
        <x:v>Walkdown Ledger!J102</x:v>
      </x:c>
      <x:c r="F1088" s="7" t="str">
        <x:f>'Walkdown Ledger'!J102</x:f>
        <x:v>OPEN</x:v>
      </x:c>
    </x:row>
    <x:row r="1089">
      <x:c r="B1089" s="7" t="str">
        <x:v>PHY-1083</x:v>
      </x:c>
      <x:c r="C1089" s="7" t="str">
        <x:v>walkdown</x:v>
      </x:c>
      <x:c r="D1089" s="7" t="str">
        <x:v>RFP-B2-WD-01</x:v>
      </x:c>
      <x:c r="E1089" s="7" t="str">
        <x:v>Walkdown Ledger!J103</x:v>
      </x:c>
      <x:c r="F1089" s="7" t="str">
        <x:f>'Walkdown Ledger'!J103</x:f>
        <x:v>OPEN</x:v>
      </x:c>
    </x:row>
    <x:row r="1090">
      <x:c r="B1090" s="7" t="str">
        <x:v>PHY-1084</x:v>
      </x:c>
      <x:c r="C1090" s="7" t="str">
        <x:v>walkdown</x:v>
      </x:c>
      <x:c r="D1090" s="7" t="str">
        <x:v>RFP-B2-WD-02</x:v>
      </x:c>
      <x:c r="E1090" s="7" t="str">
        <x:v>Walkdown Ledger!J104</x:v>
      </x:c>
      <x:c r="F1090" s="7" t="str">
        <x:f>'Walkdown Ledger'!J104</x:f>
        <x:v>OPEN</x:v>
      </x:c>
    </x:row>
    <x:row r="1091">
      <x:c r="B1091" s="7" t="str">
        <x:v>PHY-1085</x:v>
      </x:c>
      <x:c r="C1091" s="7" t="str">
        <x:v>walkdown</x:v>
      </x:c>
      <x:c r="D1091" s="7" t="str">
        <x:v>RFP-B2-WD-03</x:v>
      </x:c>
      <x:c r="E1091" s="7" t="str">
        <x:v>Walkdown Ledger!J105</x:v>
      </x:c>
      <x:c r="F1091" s="7" t="str">
        <x:f>'Walkdown Ledger'!J105</x:f>
        <x:v>OPEN</x:v>
      </x:c>
    </x:row>
    <x:row r="1092">
      <x:c r="B1092" s="7" t="str">
        <x:v>PHY-1086</x:v>
      </x:c>
      <x:c r="C1092" s="7" t="str">
        <x:v>walkdown</x:v>
      </x:c>
      <x:c r="D1092" s="7" t="str">
        <x:v>RFP-B2-WD-04</x:v>
      </x:c>
      <x:c r="E1092" s="7" t="str">
        <x:v>Walkdown Ledger!J106</x:v>
      </x:c>
      <x:c r="F1092" s="7" t="str">
        <x:f>'Walkdown Ledger'!J106</x:f>
        <x:v>OPEN</x:v>
      </x:c>
    </x:row>
    <x:row r="1093">
      <x:c r="B1093" s="7" t="str">
        <x:v>PHY-1087</x:v>
      </x:c>
      <x:c r="C1093" s="7" t="str">
        <x:v>walkdown</x:v>
      </x:c>
      <x:c r="D1093" s="7" t="str">
        <x:v>RFP-B2-WD-05</x:v>
      </x:c>
      <x:c r="E1093" s="7" t="str">
        <x:v>Walkdown Ledger!J107</x:v>
      </x:c>
      <x:c r="F1093" s="7" t="str">
        <x:f>'Walkdown Ledger'!J107</x:f>
        <x:v>OPEN</x:v>
      </x:c>
    </x:row>
    <x:row r="1094">
      <x:c r="B1094" s="7" t="str">
        <x:v>PHY-1088</x:v>
      </x:c>
      <x:c r="C1094" s="7" t="str">
        <x:v>walkdown</x:v>
      </x:c>
      <x:c r="D1094" s="7" t="str">
        <x:v>RFP-B2-WD-06</x:v>
      </x:c>
      <x:c r="E1094" s="7" t="str">
        <x:v>Walkdown Ledger!J108</x:v>
      </x:c>
      <x:c r="F1094" s="7" t="str">
        <x:f>'Walkdown Ledger'!J108</x:f>
        <x:v>OPEN</x:v>
      </x:c>
    </x:row>
    <x:row r="1095">
      <x:c r="B1095" s="7" t="str">
        <x:v>PHY-1089</x:v>
      </x:c>
      <x:c r="C1095" s="7" t="str">
        <x:v>walkdown</x:v>
      </x:c>
      <x:c r="D1095" s="7" t="str">
        <x:v>RFP-B2-WD-07</x:v>
      </x:c>
      <x:c r="E1095" s="7" t="str">
        <x:v>Walkdown Ledger!J109</x:v>
      </x:c>
      <x:c r="F1095" s="7" t="str">
        <x:f>'Walkdown Ledger'!J109</x:f>
        <x:v>OPEN</x:v>
      </x:c>
    </x:row>
    <x:row r="1096">
      <x:c r="B1096" s="7" t="str">
        <x:v>PHY-1090</x:v>
      </x:c>
      <x:c r="C1096" s="7" t="str">
        <x:v>walkdown</x:v>
      </x:c>
      <x:c r="D1096" s="7" t="str">
        <x:v>RFP-B2-WD-08</x:v>
      </x:c>
      <x:c r="E1096" s="7" t="str">
        <x:v>Walkdown Ledger!J110</x:v>
      </x:c>
      <x:c r="F1096" s="7" t="str">
        <x:f>'Walkdown Ledger'!J110</x:f>
        <x:v>OPEN</x:v>
      </x:c>
    </x:row>
    <x:row r="1097">
      <x:c r="B1097" s="7" t="str">
        <x:v>PHY-1091</x:v>
      </x:c>
      <x:c r="C1097" s="7" t="str">
        <x:v>walkdown</x:v>
      </x:c>
      <x:c r="D1097" s="7" t="str">
        <x:v>RFP-B2-WD-09</x:v>
      </x:c>
      <x:c r="E1097" s="7" t="str">
        <x:v>Walkdown Ledger!J111</x:v>
      </x:c>
      <x:c r="F1097" s="7" t="str">
        <x:f>'Walkdown Ledger'!J111</x:f>
        <x:v>OPEN</x:v>
      </x:c>
    </x:row>
    <x:row r="1098">
      <x:c r="B1098" s="7" t="str">
        <x:v>PHY-1092</x:v>
      </x:c>
      <x:c r="C1098" s="7" t="str">
        <x:v>walkdown</x:v>
      </x:c>
      <x:c r="D1098" s="7" t="str">
        <x:v>RFP-B2-WD-10</x:v>
      </x:c>
      <x:c r="E1098" s="7" t="str">
        <x:v>Walkdown Ledger!J112</x:v>
      </x:c>
      <x:c r="F1098" s="7" t="str">
        <x:f>'Walkdown Ledger'!J112</x:f>
        <x:v>OPEN</x:v>
      </x:c>
    </x:row>
    <x:row r="1099">
      <x:c r="B1099" s="7" t="str">
        <x:v>PHY-1093</x:v>
      </x:c>
      <x:c r="C1099" s="7" t="str">
        <x:v>walkdown</x:v>
      </x:c>
      <x:c r="D1099" s="7" t="str">
        <x:v>RFP-B2-WD-11</x:v>
      </x:c>
      <x:c r="E1099" s="7" t="str">
        <x:v>Walkdown Ledger!J113</x:v>
      </x:c>
      <x:c r="F1099" s="7" t="str">
        <x:f>'Walkdown Ledger'!J113</x:f>
        <x:v>OPEN</x:v>
      </x:c>
    </x:row>
    <x:row r="1100">
      <x:c r="B1100" s="7" t="str">
        <x:v>PHY-1094</x:v>
      </x:c>
      <x:c r="C1100" s="7" t="str">
        <x:v>walkdown</x:v>
      </x:c>
      <x:c r="D1100" s="7" t="str">
        <x:v>RFP-B2-WD-12</x:v>
      </x:c>
      <x:c r="E1100" s="7" t="str">
        <x:v>Walkdown Ledger!J114</x:v>
      </x:c>
      <x:c r="F1100" s="7" t="str">
        <x:f>'Walkdown Ledger'!J114</x:f>
        <x:v>OPEN</x:v>
      </x:c>
    </x:row>
    <x:row r="1101">
      <x:c r="B1101" s="7" t="str">
        <x:v>PHY-1095</x:v>
      </x:c>
      <x:c r="C1101" s="7" t="str">
        <x:v>walkdown</x:v>
      </x:c>
      <x:c r="D1101" s="7" t="str">
        <x:v>RFP-B2-WD-13</x:v>
      </x:c>
      <x:c r="E1101" s="7" t="str">
        <x:v>Walkdown Ledger!J115</x:v>
      </x:c>
      <x:c r="F1101" s="7" t="str">
        <x:f>'Walkdown Ledger'!J115</x:f>
        <x:v>OPEN</x:v>
      </x:c>
    </x:row>
    <x:row r="1102">
      <x:c r="B1102" s="7" t="str">
        <x:v>PHY-1096</x:v>
      </x:c>
      <x:c r="C1102" s="7" t="str">
        <x:v>walkdown</x:v>
      </x:c>
      <x:c r="D1102" s="7" t="str">
        <x:v>RFP-B2-WD-14</x:v>
      </x:c>
      <x:c r="E1102" s="7" t="str">
        <x:v>Walkdown Ledger!J116</x:v>
      </x:c>
      <x:c r="F1102" s="7" t="str">
        <x:f>'Walkdown Ledger'!J116</x:f>
        <x:v>OPEN</x:v>
      </x:c>
    </x:row>
    <x:row r="1103">
      <x:c r="B1103" s="7" t="str">
        <x:v>PHY-1097</x:v>
      </x:c>
      <x:c r="C1103" s="7" t="str">
        <x:v>walkdown</x:v>
      </x:c>
      <x:c r="D1103" s="7" t="str">
        <x:v>RFP-B2-WD-15</x:v>
      </x:c>
      <x:c r="E1103" s="7" t="str">
        <x:v>Walkdown Ledger!J117</x:v>
      </x:c>
      <x:c r="F1103" s="7" t="str">
        <x:f>'Walkdown Ledger'!J117</x:f>
        <x:v>OPEN</x:v>
      </x:c>
    </x:row>
    <x:row r="1104">
      <x:c r="B1104" s="7" t="str">
        <x:v>PHY-1098</x:v>
      </x:c>
      <x:c r="C1104" s="7" t="str">
        <x:v>walkdown</x:v>
      </x:c>
      <x:c r="D1104" s="7" t="str">
        <x:v>RFP-B2-WD-16</x:v>
      </x:c>
      <x:c r="E1104" s="7" t="str">
        <x:v>Walkdown Ledger!J118</x:v>
      </x:c>
      <x:c r="F1104" s="7" t="str">
        <x:f>'Walkdown Ledger'!J118</x:f>
        <x:v>OPEN</x:v>
      </x:c>
    </x:row>
    <x:row r="1105">
      <x:c r="B1105" s="7" t="str">
        <x:v>PHY-1099</x:v>
      </x:c>
      <x:c r="C1105" s="7" t="str">
        <x:v>walkdown</x:v>
      </x:c>
      <x:c r="D1105" s="7" t="str">
        <x:v>RFP-B2-WD-17</x:v>
      </x:c>
      <x:c r="E1105" s="7" t="str">
        <x:v>Walkdown Ledger!J119</x:v>
      </x:c>
      <x:c r="F1105" s="7" t="str">
        <x:f>'Walkdown Ledger'!J119</x:f>
        <x:v>OPEN</x:v>
      </x:c>
    </x:row>
    <x:row r="1106">
      <x:c r="B1106" s="7" t="str">
        <x:v>PHY-1100</x:v>
      </x:c>
      <x:c r="C1106" s="7" t="str">
        <x:v>walkdown</x:v>
      </x:c>
      <x:c r="D1106" s="7" t="str">
        <x:v>RFP-B2-WD-18</x:v>
      </x:c>
      <x:c r="E1106" s="7" t="str">
        <x:v>Walkdown Ledger!J120</x:v>
      </x:c>
      <x:c r="F1106" s="7" t="str">
        <x:f>'Walkdown Ledger'!J120</x:f>
        <x:v>OPEN</x:v>
      </x:c>
    </x:row>
    <x:row r="1107">
      <x:c r="B1107" s="7" t="str">
        <x:v>PHY-1101</x:v>
      </x:c>
      <x:c r="C1107" s="7" t="str">
        <x:v>walkdown</x:v>
      </x:c>
      <x:c r="D1107" s="7" t="str">
        <x:v>RFP-B2-WD-19</x:v>
      </x:c>
      <x:c r="E1107" s="7" t="str">
        <x:v>Walkdown Ledger!J121</x:v>
      </x:c>
      <x:c r="F1107" s="7" t="str">
        <x:f>'Walkdown Ledger'!J121</x:f>
        <x:v>OPEN</x:v>
      </x:c>
    </x:row>
    <x:row r="1108">
      <x:c r="B1108" s="7" t="str">
        <x:v>PHY-1102</x:v>
      </x:c>
      <x:c r="C1108" s="7" t="str">
        <x:v>walkdown</x:v>
      </x:c>
      <x:c r="D1108" s="7" t="str">
        <x:v>RFP-B2-WD-20</x:v>
      </x:c>
      <x:c r="E1108" s="7" t="str">
        <x:v>Walkdown Ledger!J122</x:v>
      </x:c>
      <x:c r="F1108" s="7" t="str">
        <x:f>'Walkdown Ledger'!J122</x:f>
        <x:v>OPEN</x:v>
      </x:c>
    </x:row>
    <x:row r="1109">
      <x:c r="B1109" s="7" t="str">
        <x:v>PHY-1103</x:v>
      </x:c>
      <x:c r="C1109" s="7" t="str">
        <x:v>walkdown</x:v>
      </x:c>
      <x:c r="D1109" s="7" t="str">
        <x:v>RFP-B2-WD-21</x:v>
      </x:c>
      <x:c r="E1109" s="7" t="str">
        <x:v>Walkdown Ledger!J123</x:v>
      </x:c>
      <x:c r="F1109" s="7" t="str">
        <x:f>'Walkdown Ledger'!J123</x:f>
        <x:v>OPEN</x:v>
      </x:c>
    </x:row>
    <x:row r="1110">
      <x:c r="B1110" s="7" t="str">
        <x:v>PHY-1104</x:v>
      </x:c>
      <x:c r="C1110" s="7" t="str">
        <x:v>walkdown</x:v>
      </x:c>
      <x:c r="D1110" s="7" t="str">
        <x:v>RFP-B2-WD-22</x:v>
      </x:c>
      <x:c r="E1110" s="7" t="str">
        <x:v>Walkdown Ledger!J124</x:v>
      </x:c>
      <x:c r="F1110" s="7" t="str">
        <x:f>'Walkdown Ledger'!J124</x:f>
        <x:v>OPEN</x:v>
      </x:c>
    </x:row>
    <x:row r="1111">
      <x:c r="B1111" s="7" t="str">
        <x:v>PHY-1105</x:v>
      </x:c>
      <x:c r="C1111" s="7" t="str">
        <x:v>walkdown</x:v>
      </x:c>
      <x:c r="D1111" s="7" t="str">
        <x:v>RFP-B2-WD-23</x:v>
      </x:c>
      <x:c r="E1111" s="7" t="str">
        <x:v>Walkdown Ledger!J125</x:v>
      </x:c>
      <x:c r="F1111" s="7" t="str">
        <x:f>'Walkdown Ledger'!J125</x:f>
        <x:v>OPEN</x:v>
      </x:c>
    </x:row>
    <x:row r="1112">
      <x:c r="B1112" s="7" t="str">
        <x:v>PHY-1106</x:v>
      </x:c>
      <x:c r="C1112" s="7" t="str">
        <x:v>walkdown</x:v>
      </x:c>
      <x:c r="D1112" s="7" t="str">
        <x:v>RFP-B2-WD-24</x:v>
      </x:c>
      <x:c r="E1112" s="7" t="str">
        <x:v>Walkdown Ledger!J126</x:v>
      </x:c>
      <x:c r="F1112" s="7" t="str">
        <x:f>'Walkdown Ledger'!J126</x:f>
        <x:v>OPEN</x:v>
      </x:c>
    </x:row>
    <x:row r="1113">
      <x:c r="B1113" s="7" t="str">
        <x:v>PHY-1107</x:v>
      </x:c>
      <x:c r="C1113" s="7" t="str">
        <x:v>walkdown</x:v>
      </x:c>
      <x:c r="D1113" s="7" t="str">
        <x:v>RFP-B2-WD-25</x:v>
      </x:c>
      <x:c r="E1113" s="7" t="str">
        <x:v>Walkdown Ledger!J127</x:v>
      </x:c>
      <x:c r="F1113" s="7" t="str">
        <x:f>'Walkdown Ledger'!J127</x:f>
        <x:v>OPEN</x:v>
      </x:c>
    </x:row>
    <x:row r="1114">
      <x:c r="B1114" s="7" t="str">
        <x:v>PHY-1108</x:v>
      </x:c>
      <x:c r="C1114" s="7" t="str">
        <x:v>walkdown</x:v>
      </x:c>
      <x:c r="D1114" s="7" t="str">
        <x:v>RFP-B2-WD-26</x:v>
      </x:c>
      <x:c r="E1114" s="7" t="str">
        <x:v>Walkdown Ledger!J128</x:v>
      </x:c>
      <x:c r="F1114" s="7" t="str">
        <x:f>'Walkdown Ledger'!J128</x:f>
        <x:v>OPEN</x:v>
      </x:c>
    </x:row>
    <x:row r="1115">
      <x:c r="B1115" s="7" t="str">
        <x:v>PHY-1109</x:v>
      </x:c>
      <x:c r="C1115" s="7" t="str">
        <x:v>walkdown</x:v>
      </x:c>
      <x:c r="D1115" s="7" t="str">
        <x:v>RFP-B2-WD-27</x:v>
      </x:c>
      <x:c r="E1115" s="7" t="str">
        <x:v>Walkdown Ledger!J129</x:v>
      </x:c>
      <x:c r="F1115" s="7" t="str">
        <x:f>'Walkdown Ledger'!J129</x:f>
        <x:v>OPEN</x:v>
      </x:c>
    </x:row>
    <x:row r="1116">
      <x:c r="B1116" s="7" t="str">
        <x:v>PHY-1110</x:v>
      </x:c>
      <x:c r="C1116" s="7" t="str">
        <x:v>walkdown</x:v>
      </x:c>
      <x:c r="D1116" s="7" t="str">
        <x:v>RFP-B2-WD-28</x:v>
      </x:c>
      <x:c r="E1116" s="7" t="str">
        <x:v>Walkdown Ledger!J130</x:v>
      </x:c>
      <x:c r="F1116" s="7" t="str">
        <x:f>'Walkdown Ledger'!J130</x:f>
        <x:v>OPEN</x:v>
      </x:c>
    </x:row>
    <x:row r="1117">
      <x:c r="B1117" s="7" t="str">
        <x:v>PHY-1111</x:v>
      </x:c>
      <x:c r="C1117" s="7" t="str">
        <x:v>walkdown</x:v>
      </x:c>
      <x:c r="D1117" s="7" t="str">
        <x:v>RFP-B2-WD-29</x:v>
      </x:c>
      <x:c r="E1117" s="7" t="str">
        <x:v>Walkdown Ledger!J131</x:v>
      </x:c>
      <x:c r="F1117" s="7" t="str">
        <x:f>'Walkdown Ledger'!J131</x:f>
        <x:v>OPEN</x:v>
      </x:c>
    </x:row>
    <x:row r="1118">
      <x:c r="B1118" s="7" t="str">
        <x:v>PHY-1112</x:v>
      </x:c>
      <x:c r="C1118" s="7" t="str">
        <x:v>walkdown</x:v>
      </x:c>
      <x:c r="D1118" s="7" t="str">
        <x:v>RFP-B2-WD-30</x:v>
      </x:c>
      <x:c r="E1118" s="7" t="str">
        <x:v>Walkdown Ledger!J132</x:v>
      </x:c>
      <x:c r="F1118" s="7" t="str">
        <x:f>'Walkdown Ledger'!J132</x:f>
        <x:v>OPEN</x:v>
      </x:c>
    </x:row>
    <x:row r="1119">
      <x:c r="B1119" s="7" t="str">
        <x:v>PHY-1113</x:v>
      </x:c>
      <x:c r="C1119" s="7" t="str">
        <x:v>walkdown</x:v>
      </x:c>
      <x:c r="D1119" s="7" t="str">
        <x:v>RFP-B2-WD-31</x:v>
      </x:c>
      <x:c r="E1119" s="7" t="str">
        <x:v>Walkdown Ledger!J133</x:v>
      </x:c>
      <x:c r="F1119" s="7" t="str">
        <x:f>'Walkdown Ledger'!J133</x:f>
        <x:v>OPEN</x:v>
      </x:c>
    </x:row>
    <x:row r="1120">
      <x:c r="B1120" s="7" t="str">
        <x:v>PHY-1114</x:v>
      </x:c>
      <x:c r="C1120" s="7" t="str">
        <x:v>walkdown</x:v>
      </x:c>
      <x:c r="D1120" s="7" t="str">
        <x:v>RFP-B2-WD-32</x:v>
      </x:c>
      <x:c r="E1120" s="7" t="str">
        <x:v>Walkdown Ledger!J134</x:v>
      </x:c>
      <x:c r="F1120" s="7" t="str">
        <x:f>'Walkdown Ledger'!J134</x:f>
        <x:v>OPEN</x:v>
      </x:c>
    </x:row>
    <x:row r="1121">
      <x:c r="B1121" s="7" t="str">
        <x:v>PHY-1115</x:v>
      </x:c>
      <x:c r="C1121" s="7" t="str">
        <x:v>walkdown</x:v>
      </x:c>
      <x:c r="D1121" s="7" t="str">
        <x:v>RFP-C1-WD-01</x:v>
      </x:c>
      <x:c r="E1121" s="7" t="str">
        <x:v>Walkdown Ledger!J135</x:v>
      </x:c>
      <x:c r="F1121" s="7" t="str">
        <x:f>'Walkdown Ledger'!J135</x:f>
        <x:v>OPEN</x:v>
      </x:c>
    </x:row>
    <x:row r="1122">
      <x:c r="B1122" s="7" t="str">
        <x:v>PHY-1116</x:v>
      </x:c>
      <x:c r="C1122" s="7" t="str">
        <x:v>walkdown</x:v>
      </x:c>
      <x:c r="D1122" s="7" t="str">
        <x:v>RFP-C1-WD-02</x:v>
      </x:c>
      <x:c r="E1122" s="7" t="str">
        <x:v>Walkdown Ledger!J136</x:v>
      </x:c>
      <x:c r="F1122" s="7" t="str">
        <x:f>'Walkdown Ledger'!J136</x:f>
        <x:v>OPEN</x:v>
      </x:c>
    </x:row>
    <x:row r="1123">
      <x:c r="B1123" s="7" t="str">
        <x:v>PHY-1117</x:v>
      </x:c>
      <x:c r="C1123" s="7" t="str">
        <x:v>walkdown</x:v>
      </x:c>
      <x:c r="D1123" s="7" t="str">
        <x:v>RFP-C1-WD-03</x:v>
      </x:c>
      <x:c r="E1123" s="7" t="str">
        <x:v>Walkdown Ledger!J137</x:v>
      </x:c>
      <x:c r="F1123" s="7" t="str">
        <x:f>'Walkdown Ledger'!J137</x:f>
        <x:v>OPEN</x:v>
      </x:c>
    </x:row>
    <x:row r="1124">
      <x:c r="B1124" s="7" t="str">
        <x:v>PHY-1118</x:v>
      </x:c>
      <x:c r="C1124" s="7" t="str">
        <x:v>walkdown</x:v>
      </x:c>
      <x:c r="D1124" s="7" t="str">
        <x:v>RFP-C1-WD-04</x:v>
      </x:c>
      <x:c r="E1124" s="7" t="str">
        <x:v>Walkdown Ledger!J138</x:v>
      </x:c>
      <x:c r="F1124" s="7" t="str">
        <x:f>'Walkdown Ledger'!J138</x:f>
        <x:v>OPEN</x:v>
      </x:c>
    </x:row>
    <x:row r="1125">
      <x:c r="B1125" s="7" t="str">
        <x:v>PHY-1119</x:v>
      </x:c>
      <x:c r="C1125" s="7" t="str">
        <x:v>walkdown</x:v>
      </x:c>
      <x:c r="D1125" s="7" t="str">
        <x:v>RFP-C1-WD-05</x:v>
      </x:c>
      <x:c r="E1125" s="7" t="str">
        <x:v>Walkdown Ledger!J139</x:v>
      </x:c>
      <x:c r="F1125" s="7" t="str">
        <x:f>'Walkdown Ledger'!J139</x:f>
        <x:v>OPEN</x:v>
      </x:c>
    </x:row>
    <x:row r="1126">
      <x:c r="B1126" s="7" t="str">
        <x:v>PHY-1120</x:v>
      </x:c>
      <x:c r="C1126" s="7" t="str">
        <x:v>walkdown</x:v>
      </x:c>
      <x:c r="D1126" s="7" t="str">
        <x:v>RFP-C1-WD-06</x:v>
      </x:c>
      <x:c r="E1126" s="7" t="str">
        <x:v>Walkdown Ledger!J140</x:v>
      </x:c>
      <x:c r="F1126" s="7" t="str">
        <x:f>'Walkdown Ledger'!J140</x:f>
        <x:v>OPEN</x:v>
      </x:c>
    </x:row>
    <x:row r="1127">
      <x:c r="B1127" s="7" t="str">
        <x:v>PHY-1121</x:v>
      </x:c>
      <x:c r="C1127" s="7" t="str">
        <x:v>walkdown</x:v>
      </x:c>
      <x:c r="D1127" s="7" t="str">
        <x:v>RFP-C1-WD-07</x:v>
      </x:c>
      <x:c r="E1127" s="7" t="str">
        <x:v>Walkdown Ledger!J141</x:v>
      </x:c>
      <x:c r="F1127" s="7" t="str">
        <x:f>'Walkdown Ledger'!J141</x:f>
        <x:v>OPEN</x:v>
      </x:c>
    </x:row>
    <x:row r="1128">
      <x:c r="B1128" s="7" t="str">
        <x:v>PHY-1122</x:v>
      </x:c>
      <x:c r="C1128" s="7" t="str">
        <x:v>walkdown</x:v>
      </x:c>
      <x:c r="D1128" s="7" t="str">
        <x:v>RFP-C1-WD-08</x:v>
      </x:c>
      <x:c r="E1128" s="7" t="str">
        <x:v>Walkdown Ledger!J142</x:v>
      </x:c>
      <x:c r="F1128" s="7" t="str">
        <x:f>'Walkdown Ledger'!J142</x:f>
        <x:v>OPEN</x:v>
      </x:c>
    </x:row>
    <x:row r="1129">
      <x:c r="B1129" s="7" t="str">
        <x:v>PHY-1123</x:v>
      </x:c>
      <x:c r="C1129" s="7" t="str">
        <x:v>walkdown</x:v>
      </x:c>
      <x:c r="D1129" s="7" t="str">
        <x:v>RFP-C1-WD-09</x:v>
      </x:c>
      <x:c r="E1129" s="7" t="str">
        <x:v>Walkdown Ledger!J143</x:v>
      </x:c>
      <x:c r="F1129" s="7" t="str">
        <x:f>'Walkdown Ledger'!J143</x:f>
        <x:v>OPEN</x:v>
      </x:c>
    </x:row>
    <x:row r="1130">
      <x:c r="B1130" s="7" t="str">
        <x:v>PHY-1124</x:v>
      </x:c>
      <x:c r="C1130" s="7" t="str">
        <x:v>walkdown</x:v>
      </x:c>
      <x:c r="D1130" s="7" t="str">
        <x:v>RFP-C1-WD-10</x:v>
      </x:c>
      <x:c r="E1130" s="7" t="str">
        <x:v>Walkdown Ledger!J144</x:v>
      </x:c>
      <x:c r="F1130" s="7" t="str">
        <x:f>'Walkdown Ledger'!J144</x:f>
        <x:v>OPEN</x:v>
      </x:c>
    </x:row>
    <x:row r="1131">
      <x:c r="B1131" s="7" t="str">
        <x:v>PHY-1125</x:v>
      </x:c>
      <x:c r="C1131" s="7" t="str">
        <x:v>walkdown</x:v>
      </x:c>
      <x:c r="D1131" s="7" t="str">
        <x:v>RFP-C1-WD-11</x:v>
      </x:c>
      <x:c r="E1131" s="7" t="str">
        <x:v>Walkdown Ledger!J145</x:v>
      </x:c>
      <x:c r="F1131" s="7" t="str">
        <x:f>'Walkdown Ledger'!J145</x:f>
        <x:v>OPEN</x:v>
      </x:c>
    </x:row>
    <x:row r="1132">
      <x:c r="B1132" s="7" t="str">
        <x:v>PHY-1126</x:v>
      </x:c>
      <x:c r="C1132" s="7" t="str">
        <x:v>walkdown</x:v>
      </x:c>
      <x:c r="D1132" s="7" t="str">
        <x:v>RFP-C1-WD-12</x:v>
      </x:c>
      <x:c r="E1132" s="7" t="str">
        <x:v>Walkdown Ledger!J146</x:v>
      </x:c>
      <x:c r="F1132" s="7" t="str">
        <x:f>'Walkdown Ledger'!J146</x:f>
        <x:v>OPEN</x:v>
      </x:c>
    </x:row>
    <x:row r="1133">
      <x:c r="B1133" s="7" t="str">
        <x:v>PHY-1127</x:v>
      </x:c>
      <x:c r="C1133" s="7" t="str">
        <x:v>walkdown</x:v>
      </x:c>
      <x:c r="D1133" s="7" t="str">
        <x:v>RFP-C1-WD-13</x:v>
      </x:c>
      <x:c r="E1133" s="7" t="str">
        <x:v>Walkdown Ledger!J147</x:v>
      </x:c>
      <x:c r="F1133" s="7" t="str">
        <x:f>'Walkdown Ledger'!J147</x:f>
        <x:v>OPEN</x:v>
      </x:c>
    </x:row>
    <x:row r="1134">
      <x:c r="B1134" s="7" t="str">
        <x:v>PHY-1128</x:v>
      </x:c>
      <x:c r="C1134" s="7" t="str">
        <x:v>walkdown</x:v>
      </x:c>
      <x:c r="D1134" s="7" t="str">
        <x:v>RFP-C1-WD-14</x:v>
      </x:c>
      <x:c r="E1134" s="7" t="str">
        <x:v>Walkdown Ledger!J148</x:v>
      </x:c>
      <x:c r="F1134" s="7" t="str">
        <x:f>'Walkdown Ledger'!J148</x:f>
        <x:v>OPEN</x:v>
      </x:c>
    </x:row>
    <x:row r="1135">
      <x:c r="B1135" s="7" t="str">
        <x:v>PHY-1129</x:v>
      </x:c>
      <x:c r="C1135" s="7" t="str">
        <x:v>walkdown</x:v>
      </x:c>
      <x:c r="D1135" s="7" t="str">
        <x:v>RFP-C1-WD-15</x:v>
      </x:c>
      <x:c r="E1135" s="7" t="str">
        <x:v>Walkdown Ledger!J149</x:v>
      </x:c>
      <x:c r="F1135" s="7" t="str">
        <x:f>'Walkdown Ledger'!J149</x:f>
        <x:v>OPEN</x:v>
      </x:c>
    </x:row>
    <x:row r="1136">
      <x:c r="B1136" s="7" t="str">
        <x:v>PHY-1130</x:v>
      </x:c>
      <x:c r="C1136" s="7" t="str">
        <x:v>walkdown</x:v>
      </x:c>
      <x:c r="D1136" s="7" t="str">
        <x:v>RFP-C1-WD-16</x:v>
      </x:c>
      <x:c r="E1136" s="7" t="str">
        <x:v>Walkdown Ledger!J150</x:v>
      </x:c>
      <x:c r="F1136" s="7" t="str">
        <x:f>'Walkdown Ledger'!J150</x:f>
        <x:v>OPEN</x:v>
      </x:c>
    </x:row>
    <x:row r="1137">
      <x:c r="B1137" s="7" t="str">
        <x:v>PHY-1131</x:v>
      </x:c>
      <x:c r="C1137" s="7" t="str">
        <x:v>walkdown</x:v>
      </x:c>
      <x:c r="D1137" s="7" t="str">
        <x:v>RFP-C1-WD-17</x:v>
      </x:c>
      <x:c r="E1137" s="7" t="str">
        <x:v>Walkdown Ledger!J151</x:v>
      </x:c>
      <x:c r="F1137" s="7" t="str">
        <x:f>'Walkdown Ledger'!J151</x:f>
        <x:v>OPEN</x:v>
      </x:c>
    </x:row>
    <x:row r="1138">
      <x:c r="B1138" s="7" t="str">
        <x:v>PHY-1132</x:v>
      </x:c>
      <x:c r="C1138" s="7" t="str">
        <x:v>walkdown</x:v>
      </x:c>
      <x:c r="D1138" s="7" t="str">
        <x:v>RFP-C1-WD-18</x:v>
      </x:c>
      <x:c r="E1138" s="7" t="str">
        <x:v>Walkdown Ledger!J152</x:v>
      </x:c>
      <x:c r="F1138" s="7" t="str">
        <x:f>'Walkdown Ledger'!J152</x:f>
        <x:v>OPEN</x:v>
      </x:c>
    </x:row>
    <x:row r="1139">
      <x:c r="B1139" s="7" t="str">
        <x:v>PHY-1133</x:v>
      </x:c>
      <x:c r="C1139" s="7" t="str">
        <x:v>walkdown</x:v>
      </x:c>
      <x:c r="D1139" s="7" t="str">
        <x:v>RFP-C1-WD-19</x:v>
      </x:c>
      <x:c r="E1139" s="7" t="str">
        <x:v>Walkdown Ledger!J153</x:v>
      </x:c>
      <x:c r="F1139" s="7" t="str">
        <x:f>'Walkdown Ledger'!J153</x:f>
        <x:v>OPEN</x:v>
      </x:c>
    </x:row>
    <x:row r="1140">
      <x:c r="B1140" s="7" t="str">
        <x:v>PHY-1134</x:v>
      </x:c>
      <x:c r="C1140" s="7" t="str">
        <x:v>walkdown</x:v>
      </x:c>
      <x:c r="D1140" s="7" t="str">
        <x:v>RFP-C1-WD-20</x:v>
      </x:c>
      <x:c r="E1140" s="7" t="str">
        <x:v>Walkdown Ledger!J154</x:v>
      </x:c>
      <x:c r="F1140" s="7" t="str">
        <x:f>'Walkdown Ledger'!J154</x:f>
        <x:v>OPEN</x:v>
      </x:c>
    </x:row>
    <x:row r="1141">
      <x:c r="B1141" s="7" t="str">
        <x:v>PHY-1135</x:v>
      </x:c>
      <x:c r="C1141" s="7" t="str">
        <x:v>walkdown</x:v>
      </x:c>
      <x:c r="D1141" s="7" t="str">
        <x:v>RFP-C1-WD-21</x:v>
      </x:c>
      <x:c r="E1141" s="7" t="str">
        <x:v>Walkdown Ledger!J155</x:v>
      </x:c>
      <x:c r="F1141" s="7" t="str">
        <x:f>'Walkdown Ledger'!J155</x:f>
        <x:v>OPEN</x:v>
      </x:c>
    </x:row>
    <x:row r="1142">
      <x:c r="B1142" s="7" t="str">
        <x:v>PHY-1136</x:v>
      </x:c>
      <x:c r="C1142" s="7" t="str">
        <x:v>walkdown</x:v>
      </x:c>
      <x:c r="D1142" s="7" t="str">
        <x:v>RFP-C1-WD-22</x:v>
      </x:c>
      <x:c r="E1142" s="7" t="str">
        <x:v>Walkdown Ledger!J156</x:v>
      </x:c>
      <x:c r="F1142" s="7" t="str">
        <x:f>'Walkdown Ledger'!J156</x:f>
        <x:v>OPEN</x:v>
      </x:c>
    </x:row>
    <x:row r="1143">
      <x:c r="B1143" s="7" t="str">
        <x:v>PHY-1137</x:v>
      </x:c>
      <x:c r="C1143" s="7" t="str">
        <x:v>walkdown</x:v>
      </x:c>
      <x:c r="D1143" s="7" t="str">
        <x:v>RFP-C1-WD-23</x:v>
      </x:c>
      <x:c r="E1143" s="7" t="str">
        <x:v>Walkdown Ledger!J157</x:v>
      </x:c>
      <x:c r="F1143" s="7" t="str">
        <x:f>'Walkdown Ledger'!J157</x:f>
        <x:v>OPEN</x:v>
      </x:c>
    </x:row>
    <x:row r="1144">
      <x:c r="B1144" s="7" t="str">
        <x:v>PHY-1138</x:v>
      </x:c>
      <x:c r="C1144" s="7" t="str">
        <x:v>walkdown</x:v>
      </x:c>
      <x:c r="D1144" s="7" t="str">
        <x:v>RFP-C1-WD-24</x:v>
      </x:c>
      <x:c r="E1144" s="7" t="str">
        <x:v>Walkdown Ledger!J158</x:v>
      </x:c>
      <x:c r="F1144" s="7" t="str">
        <x:f>'Walkdown Ledger'!J158</x:f>
        <x:v>OPEN</x:v>
      </x:c>
    </x:row>
    <x:row r="1145">
      <x:c r="B1145" s="7" t="str">
        <x:v>PHY-1139</x:v>
      </x:c>
      <x:c r="C1145" s="7" t="str">
        <x:v>walkdown</x:v>
      </x:c>
      <x:c r="D1145" s="7" t="str">
        <x:v>RFP-C1-WD-25</x:v>
      </x:c>
      <x:c r="E1145" s="7" t="str">
        <x:v>Walkdown Ledger!J159</x:v>
      </x:c>
      <x:c r="F1145" s="7" t="str">
        <x:f>'Walkdown Ledger'!J159</x:f>
        <x:v>OPEN</x:v>
      </x:c>
    </x:row>
    <x:row r="1146">
      <x:c r="B1146" s="7" t="str">
        <x:v>PHY-1140</x:v>
      </x:c>
      <x:c r="C1146" s="7" t="str">
        <x:v>walkdown</x:v>
      </x:c>
      <x:c r="D1146" s="7" t="str">
        <x:v>RFP-C1-WD-26</x:v>
      </x:c>
      <x:c r="E1146" s="7" t="str">
        <x:v>Walkdown Ledger!J160</x:v>
      </x:c>
      <x:c r="F1146" s="7" t="str">
        <x:f>'Walkdown Ledger'!J160</x:f>
        <x:v>OPEN</x:v>
      </x:c>
    </x:row>
    <x:row r="1147">
      <x:c r="B1147" s="7" t="str">
        <x:v>PHY-1141</x:v>
      </x:c>
      <x:c r="C1147" s="7" t="str">
        <x:v>walkdown</x:v>
      </x:c>
      <x:c r="D1147" s="7" t="str">
        <x:v>RFP-C1-WD-27</x:v>
      </x:c>
      <x:c r="E1147" s="7" t="str">
        <x:v>Walkdown Ledger!J161</x:v>
      </x:c>
      <x:c r="F1147" s="7" t="str">
        <x:f>'Walkdown Ledger'!J161</x:f>
        <x:v>OPEN</x:v>
      </x:c>
    </x:row>
    <x:row r="1148">
      <x:c r="B1148" s="7" t="str">
        <x:v>PHY-1142</x:v>
      </x:c>
      <x:c r="C1148" s="7" t="str">
        <x:v>walkdown</x:v>
      </x:c>
      <x:c r="D1148" s="7" t="str">
        <x:v>RFP-C1-WD-28</x:v>
      </x:c>
      <x:c r="E1148" s="7" t="str">
        <x:v>Walkdown Ledger!J162</x:v>
      </x:c>
      <x:c r="F1148" s="7" t="str">
        <x:f>'Walkdown Ledger'!J162</x:f>
        <x:v>OPEN</x:v>
      </x:c>
    </x:row>
    <x:row r="1149">
      <x:c r="B1149" s="7" t="str">
        <x:v>PHY-1143</x:v>
      </x:c>
      <x:c r="C1149" s="7" t="str">
        <x:v>walkdown</x:v>
      </x:c>
      <x:c r="D1149" s="7" t="str">
        <x:v>RFP-C1-WD-29</x:v>
      </x:c>
      <x:c r="E1149" s="7" t="str">
        <x:v>Walkdown Ledger!J163</x:v>
      </x:c>
      <x:c r="F1149" s="7" t="str">
        <x:f>'Walkdown Ledger'!J163</x:f>
        <x:v>OPEN</x:v>
      </x:c>
    </x:row>
    <x:row r="1150">
      <x:c r="B1150" s="7" t="str">
        <x:v>PHY-1144</x:v>
      </x:c>
      <x:c r="C1150" s="7" t="str">
        <x:v>walkdown</x:v>
      </x:c>
      <x:c r="D1150" s="7" t="str">
        <x:v>RFP-C1-WD-30</x:v>
      </x:c>
      <x:c r="E1150" s="7" t="str">
        <x:v>Walkdown Ledger!J164</x:v>
      </x:c>
      <x:c r="F1150" s="7" t="str">
        <x:f>'Walkdown Ledger'!J164</x:f>
        <x:v>OPEN</x:v>
      </x:c>
    </x:row>
    <x:row r="1151">
      <x:c r="B1151" s="7" t="str">
        <x:v>PHY-1145</x:v>
      </x:c>
      <x:c r="C1151" s="7" t="str">
        <x:v>walkdown</x:v>
      </x:c>
      <x:c r="D1151" s="7" t="str">
        <x:v>RFP-C1-WD-31</x:v>
      </x:c>
      <x:c r="E1151" s="7" t="str">
        <x:v>Walkdown Ledger!J165</x:v>
      </x:c>
      <x:c r="F1151" s="7" t="str">
        <x:f>'Walkdown Ledger'!J165</x:f>
        <x:v>OPEN</x:v>
      </x:c>
    </x:row>
    <x:row r="1152">
      <x:c r="B1152" s="7" t="str">
        <x:v>PHY-1146</x:v>
      </x:c>
      <x:c r="C1152" s="7" t="str">
        <x:v>walkdown</x:v>
      </x:c>
      <x:c r="D1152" s="7" t="str">
        <x:v>RFP-C1-WD-32</x:v>
      </x:c>
      <x:c r="E1152" s="7" t="str">
        <x:v>Walkdown Ledger!J166</x:v>
      </x:c>
      <x:c r="F1152" s="7" t="str">
        <x:f>'Walkdown Ledger'!J166</x:f>
        <x:v>OPEN</x:v>
      </x:c>
    </x:row>
    <x:row r="1153">
      <x:c r="B1153" s="7" t="str">
        <x:v>PHY-1147</x:v>
      </x:c>
      <x:c r="C1153" s="7" t="str">
        <x:v>walkdown</x:v>
      </x:c>
      <x:c r="D1153" s="7" t="str">
        <x:v>RFP-C2-WD-01</x:v>
      </x:c>
      <x:c r="E1153" s="7" t="str">
        <x:v>Walkdown Ledger!J167</x:v>
      </x:c>
      <x:c r="F1153" s="7" t="str">
        <x:f>'Walkdown Ledger'!J167</x:f>
        <x:v>OPEN</x:v>
      </x:c>
    </x:row>
    <x:row r="1154">
      <x:c r="B1154" s="7" t="str">
        <x:v>PHY-1148</x:v>
      </x:c>
      <x:c r="C1154" s="7" t="str">
        <x:v>walkdown</x:v>
      </x:c>
      <x:c r="D1154" s="7" t="str">
        <x:v>RFP-C2-WD-02</x:v>
      </x:c>
      <x:c r="E1154" s="7" t="str">
        <x:v>Walkdown Ledger!J168</x:v>
      </x:c>
      <x:c r="F1154" s="7" t="str">
        <x:f>'Walkdown Ledger'!J168</x:f>
        <x:v>OPEN</x:v>
      </x:c>
    </x:row>
    <x:row r="1155">
      <x:c r="B1155" s="7" t="str">
        <x:v>PHY-1149</x:v>
      </x:c>
      <x:c r="C1155" s="7" t="str">
        <x:v>walkdown</x:v>
      </x:c>
      <x:c r="D1155" s="7" t="str">
        <x:v>RFP-C2-WD-03</x:v>
      </x:c>
      <x:c r="E1155" s="7" t="str">
        <x:v>Walkdown Ledger!J169</x:v>
      </x:c>
      <x:c r="F1155" s="7" t="str">
        <x:f>'Walkdown Ledger'!J169</x:f>
        <x:v>OPEN</x:v>
      </x:c>
    </x:row>
    <x:row r="1156">
      <x:c r="B1156" s="7" t="str">
        <x:v>PHY-1150</x:v>
      </x:c>
      <x:c r="C1156" s="7" t="str">
        <x:v>walkdown</x:v>
      </x:c>
      <x:c r="D1156" s="7" t="str">
        <x:v>RFP-C2-WD-04</x:v>
      </x:c>
      <x:c r="E1156" s="7" t="str">
        <x:v>Walkdown Ledger!J170</x:v>
      </x:c>
      <x:c r="F1156" s="7" t="str">
        <x:f>'Walkdown Ledger'!J170</x:f>
        <x:v>OPEN</x:v>
      </x:c>
    </x:row>
    <x:row r="1157">
      <x:c r="B1157" s="7" t="str">
        <x:v>PHY-1151</x:v>
      </x:c>
      <x:c r="C1157" s="7" t="str">
        <x:v>walkdown</x:v>
      </x:c>
      <x:c r="D1157" s="7" t="str">
        <x:v>RFP-C2-WD-05</x:v>
      </x:c>
      <x:c r="E1157" s="7" t="str">
        <x:v>Walkdown Ledger!J171</x:v>
      </x:c>
      <x:c r="F1157" s="7" t="str">
        <x:f>'Walkdown Ledger'!J171</x:f>
        <x:v>OPEN</x:v>
      </x:c>
    </x:row>
    <x:row r="1158">
      <x:c r="B1158" s="7" t="str">
        <x:v>PHY-1152</x:v>
      </x:c>
      <x:c r="C1158" s="7" t="str">
        <x:v>walkdown</x:v>
      </x:c>
      <x:c r="D1158" s="7" t="str">
        <x:v>RFP-C2-WD-06</x:v>
      </x:c>
      <x:c r="E1158" s="7" t="str">
        <x:v>Walkdown Ledger!J172</x:v>
      </x:c>
      <x:c r="F1158" s="7" t="str">
        <x:f>'Walkdown Ledger'!J172</x:f>
        <x:v>OPEN</x:v>
      </x:c>
    </x:row>
    <x:row r="1159">
      <x:c r="B1159" s="7" t="str">
        <x:v>PHY-1153</x:v>
      </x:c>
      <x:c r="C1159" s="7" t="str">
        <x:v>walkdown</x:v>
      </x:c>
      <x:c r="D1159" s="7" t="str">
        <x:v>RFP-C2-WD-07</x:v>
      </x:c>
      <x:c r="E1159" s="7" t="str">
        <x:v>Walkdown Ledger!J173</x:v>
      </x:c>
      <x:c r="F1159" s="7" t="str">
        <x:f>'Walkdown Ledger'!J173</x:f>
        <x:v>OPEN</x:v>
      </x:c>
    </x:row>
    <x:row r="1160">
      <x:c r="B1160" s="7" t="str">
        <x:v>PHY-1154</x:v>
      </x:c>
      <x:c r="C1160" s="7" t="str">
        <x:v>walkdown</x:v>
      </x:c>
      <x:c r="D1160" s="7" t="str">
        <x:v>RFP-C2-WD-08</x:v>
      </x:c>
      <x:c r="E1160" s="7" t="str">
        <x:v>Walkdown Ledger!J174</x:v>
      </x:c>
      <x:c r="F1160" s="7" t="str">
        <x:f>'Walkdown Ledger'!J174</x:f>
        <x:v>OPEN</x:v>
      </x:c>
    </x:row>
    <x:row r="1161">
      <x:c r="B1161" s="7" t="str">
        <x:v>PHY-1155</x:v>
      </x:c>
      <x:c r="C1161" s="7" t="str">
        <x:v>walkdown</x:v>
      </x:c>
      <x:c r="D1161" s="7" t="str">
        <x:v>RFP-C2-WD-09</x:v>
      </x:c>
      <x:c r="E1161" s="7" t="str">
        <x:v>Walkdown Ledger!J175</x:v>
      </x:c>
      <x:c r="F1161" s="7" t="str">
        <x:f>'Walkdown Ledger'!J175</x:f>
        <x:v>OPEN</x:v>
      </x:c>
    </x:row>
    <x:row r="1162">
      <x:c r="B1162" s="7" t="str">
        <x:v>PHY-1156</x:v>
      </x:c>
      <x:c r="C1162" s="7" t="str">
        <x:v>walkdown</x:v>
      </x:c>
      <x:c r="D1162" s="7" t="str">
        <x:v>RFP-C2-WD-10</x:v>
      </x:c>
      <x:c r="E1162" s="7" t="str">
        <x:v>Walkdown Ledger!J176</x:v>
      </x:c>
      <x:c r="F1162" s="7" t="str">
        <x:f>'Walkdown Ledger'!J176</x:f>
        <x:v>OPEN</x:v>
      </x:c>
    </x:row>
    <x:row r="1163">
      <x:c r="B1163" s="7" t="str">
        <x:v>PHY-1157</x:v>
      </x:c>
      <x:c r="C1163" s="7" t="str">
        <x:v>walkdown</x:v>
      </x:c>
      <x:c r="D1163" s="7" t="str">
        <x:v>RFP-C2-WD-11</x:v>
      </x:c>
      <x:c r="E1163" s="7" t="str">
        <x:v>Walkdown Ledger!J177</x:v>
      </x:c>
      <x:c r="F1163" s="7" t="str">
        <x:f>'Walkdown Ledger'!J177</x:f>
        <x:v>OPEN</x:v>
      </x:c>
    </x:row>
    <x:row r="1164">
      <x:c r="B1164" s="7" t="str">
        <x:v>PHY-1158</x:v>
      </x:c>
      <x:c r="C1164" s="7" t="str">
        <x:v>walkdown</x:v>
      </x:c>
      <x:c r="D1164" s="7" t="str">
        <x:v>RFP-C2-WD-12</x:v>
      </x:c>
      <x:c r="E1164" s="7" t="str">
        <x:v>Walkdown Ledger!J178</x:v>
      </x:c>
      <x:c r="F1164" s="7" t="str">
        <x:f>'Walkdown Ledger'!J178</x:f>
        <x:v>OPEN</x:v>
      </x:c>
    </x:row>
    <x:row r="1165">
      <x:c r="B1165" s="7" t="str">
        <x:v>PHY-1159</x:v>
      </x:c>
      <x:c r="C1165" s="7" t="str">
        <x:v>walkdown</x:v>
      </x:c>
      <x:c r="D1165" s="7" t="str">
        <x:v>RFP-C2-WD-13</x:v>
      </x:c>
      <x:c r="E1165" s="7" t="str">
        <x:v>Walkdown Ledger!J179</x:v>
      </x:c>
      <x:c r="F1165" s="7" t="str">
        <x:f>'Walkdown Ledger'!J179</x:f>
        <x:v>OPEN</x:v>
      </x:c>
    </x:row>
    <x:row r="1166">
      <x:c r="B1166" s="7" t="str">
        <x:v>PHY-1160</x:v>
      </x:c>
      <x:c r="C1166" s="7" t="str">
        <x:v>walkdown</x:v>
      </x:c>
      <x:c r="D1166" s="7" t="str">
        <x:v>RFP-C2-WD-14</x:v>
      </x:c>
      <x:c r="E1166" s="7" t="str">
        <x:v>Walkdown Ledger!J180</x:v>
      </x:c>
      <x:c r="F1166" s="7" t="str">
        <x:f>'Walkdown Ledger'!J180</x:f>
        <x:v>OPEN</x:v>
      </x:c>
    </x:row>
    <x:row r="1167">
      <x:c r="B1167" s="7" t="str">
        <x:v>PHY-1161</x:v>
      </x:c>
      <x:c r="C1167" s="7" t="str">
        <x:v>walkdown</x:v>
      </x:c>
      <x:c r="D1167" s="7" t="str">
        <x:v>RFP-C2-WD-15</x:v>
      </x:c>
      <x:c r="E1167" s="7" t="str">
        <x:v>Walkdown Ledger!J181</x:v>
      </x:c>
      <x:c r="F1167" s="7" t="str">
        <x:f>'Walkdown Ledger'!J181</x:f>
        <x:v>OPEN</x:v>
      </x:c>
    </x:row>
    <x:row r="1168">
      <x:c r="B1168" s="7" t="str">
        <x:v>PHY-1162</x:v>
      </x:c>
      <x:c r="C1168" s="7" t="str">
        <x:v>walkdown</x:v>
      </x:c>
      <x:c r="D1168" s="7" t="str">
        <x:v>RFP-C2-WD-16</x:v>
      </x:c>
      <x:c r="E1168" s="7" t="str">
        <x:v>Walkdown Ledger!J182</x:v>
      </x:c>
      <x:c r="F1168" s="7" t="str">
        <x:f>'Walkdown Ledger'!J182</x:f>
        <x:v>OPEN</x:v>
      </x:c>
    </x:row>
    <x:row r="1169">
      <x:c r="B1169" s="7" t="str">
        <x:v>PHY-1163</x:v>
      </x:c>
      <x:c r="C1169" s="7" t="str">
        <x:v>walkdown</x:v>
      </x:c>
      <x:c r="D1169" s="7" t="str">
        <x:v>RFP-C2-WD-17</x:v>
      </x:c>
      <x:c r="E1169" s="7" t="str">
        <x:v>Walkdown Ledger!J183</x:v>
      </x:c>
      <x:c r="F1169" s="7" t="str">
        <x:f>'Walkdown Ledger'!J183</x:f>
        <x:v>OPEN</x:v>
      </x:c>
    </x:row>
    <x:row r="1170">
      <x:c r="B1170" s="7" t="str">
        <x:v>PHY-1164</x:v>
      </x:c>
      <x:c r="C1170" s="7" t="str">
        <x:v>walkdown</x:v>
      </x:c>
      <x:c r="D1170" s="7" t="str">
        <x:v>RFP-C2-WD-18</x:v>
      </x:c>
      <x:c r="E1170" s="7" t="str">
        <x:v>Walkdown Ledger!J184</x:v>
      </x:c>
      <x:c r="F1170" s="7" t="str">
        <x:f>'Walkdown Ledger'!J184</x:f>
        <x:v>OPEN</x:v>
      </x:c>
    </x:row>
    <x:row r="1171">
      <x:c r="B1171" s="7" t="str">
        <x:v>PHY-1165</x:v>
      </x:c>
      <x:c r="C1171" s="7" t="str">
        <x:v>walkdown</x:v>
      </x:c>
      <x:c r="D1171" s="7" t="str">
        <x:v>RFP-C2-WD-19</x:v>
      </x:c>
      <x:c r="E1171" s="7" t="str">
        <x:v>Walkdown Ledger!J185</x:v>
      </x:c>
      <x:c r="F1171" s="7" t="str">
        <x:f>'Walkdown Ledger'!J185</x:f>
        <x:v>OPEN</x:v>
      </x:c>
    </x:row>
    <x:row r="1172">
      <x:c r="B1172" s="7" t="str">
        <x:v>PHY-1166</x:v>
      </x:c>
      <x:c r="C1172" s="7" t="str">
        <x:v>walkdown</x:v>
      </x:c>
      <x:c r="D1172" s="7" t="str">
        <x:v>RFP-C2-WD-20</x:v>
      </x:c>
      <x:c r="E1172" s="7" t="str">
        <x:v>Walkdown Ledger!J186</x:v>
      </x:c>
      <x:c r="F1172" s="7" t="str">
        <x:f>'Walkdown Ledger'!J186</x:f>
        <x:v>OPEN</x:v>
      </x:c>
    </x:row>
    <x:row r="1173">
      <x:c r="B1173" s="7" t="str">
        <x:v>PHY-1167</x:v>
      </x:c>
      <x:c r="C1173" s="7" t="str">
        <x:v>walkdown</x:v>
      </x:c>
      <x:c r="D1173" s="7" t="str">
        <x:v>RFP-C2-WD-21</x:v>
      </x:c>
      <x:c r="E1173" s="7" t="str">
        <x:v>Walkdown Ledger!J187</x:v>
      </x:c>
      <x:c r="F1173" s="7" t="str">
        <x:f>'Walkdown Ledger'!J187</x:f>
        <x:v>OPEN</x:v>
      </x:c>
    </x:row>
    <x:row r="1174">
      <x:c r="B1174" s="7" t="str">
        <x:v>PHY-1168</x:v>
      </x:c>
      <x:c r="C1174" s="7" t="str">
        <x:v>walkdown</x:v>
      </x:c>
      <x:c r="D1174" s="7" t="str">
        <x:v>RFP-C2-WD-22</x:v>
      </x:c>
      <x:c r="E1174" s="7" t="str">
        <x:v>Walkdown Ledger!J188</x:v>
      </x:c>
      <x:c r="F1174" s="7" t="str">
        <x:f>'Walkdown Ledger'!J188</x:f>
        <x:v>OPEN</x:v>
      </x:c>
    </x:row>
    <x:row r="1175">
      <x:c r="B1175" s="7" t="str">
        <x:v>PHY-1169</x:v>
      </x:c>
      <x:c r="C1175" s="7" t="str">
        <x:v>walkdown</x:v>
      </x:c>
      <x:c r="D1175" s="7" t="str">
        <x:v>RFP-C2-WD-23</x:v>
      </x:c>
      <x:c r="E1175" s="7" t="str">
        <x:v>Walkdown Ledger!J189</x:v>
      </x:c>
      <x:c r="F1175" s="7" t="str">
        <x:f>'Walkdown Ledger'!J189</x:f>
        <x:v>OPEN</x:v>
      </x:c>
    </x:row>
    <x:row r="1176">
      <x:c r="B1176" s="7" t="str">
        <x:v>PHY-1170</x:v>
      </x:c>
      <x:c r="C1176" s="7" t="str">
        <x:v>walkdown</x:v>
      </x:c>
      <x:c r="D1176" s="7" t="str">
        <x:v>RFP-C2-WD-24</x:v>
      </x:c>
      <x:c r="E1176" s="7" t="str">
        <x:v>Walkdown Ledger!J190</x:v>
      </x:c>
      <x:c r="F1176" s="7" t="str">
        <x:f>'Walkdown Ledger'!J190</x:f>
        <x:v>OPEN</x:v>
      </x:c>
    </x:row>
    <x:row r="1177">
      <x:c r="B1177" s="7" t="str">
        <x:v>PHY-1171</x:v>
      </x:c>
      <x:c r="C1177" s="7" t="str">
        <x:v>walkdown</x:v>
      </x:c>
      <x:c r="D1177" s="7" t="str">
        <x:v>RFP-C2-WD-25</x:v>
      </x:c>
      <x:c r="E1177" s="7" t="str">
        <x:v>Walkdown Ledger!J191</x:v>
      </x:c>
      <x:c r="F1177" s="7" t="str">
        <x:f>'Walkdown Ledger'!J191</x:f>
        <x:v>OPEN</x:v>
      </x:c>
    </x:row>
    <x:row r="1178">
      <x:c r="B1178" s="7" t="str">
        <x:v>PHY-1172</x:v>
      </x:c>
      <x:c r="C1178" s="7" t="str">
        <x:v>walkdown</x:v>
      </x:c>
      <x:c r="D1178" s="7" t="str">
        <x:v>RFP-C2-WD-26</x:v>
      </x:c>
      <x:c r="E1178" s="7" t="str">
        <x:v>Walkdown Ledger!J192</x:v>
      </x:c>
      <x:c r="F1178" s="7" t="str">
        <x:f>'Walkdown Ledger'!J192</x:f>
        <x:v>OPEN</x:v>
      </x:c>
    </x:row>
    <x:row r="1179">
      <x:c r="B1179" s="7" t="str">
        <x:v>PHY-1173</x:v>
      </x:c>
      <x:c r="C1179" s="7" t="str">
        <x:v>walkdown</x:v>
      </x:c>
      <x:c r="D1179" s="7" t="str">
        <x:v>RFP-C2-WD-27</x:v>
      </x:c>
      <x:c r="E1179" s="7" t="str">
        <x:v>Walkdown Ledger!J193</x:v>
      </x:c>
      <x:c r="F1179" s="7" t="str">
        <x:f>'Walkdown Ledger'!J193</x:f>
        <x:v>OPEN</x:v>
      </x:c>
    </x:row>
    <x:row r="1180">
      <x:c r="B1180" s="7" t="str">
        <x:v>PHY-1174</x:v>
      </x:c>
      <x:c r="C1180" s="7" t="str">
        <x:v>walkdown</x:v>
      </x:c>
      <x:c r="D1180" s="7" t="str">
        <x:v>RFP-C2-WD-28</x:v>
      </x:c>
      <x:c r="E1180" s="7" t="str">
        <x:v>Walkdown Ledger!J194</x:v>
      </x:c>
      <x:c r="F1180" s="7" t="str">
        <x:f>'Walkdown Ledger'!J194</x:f>
        <x:v>OPEN</x:v>
      </x:c>
    </x:row>
    <x:row r="1181">
      <x:c r="B1181" s="7" t="str">
        <x:v>PHY-1175</x:v>
      </x:c>
      <x:c r="C1181" s="7" t="str">
        <x:v>walkdown</x:v>
      </x:c>
      <x:c r="D1181" s="7" t="str">
        <x:v>RFP-C2-WD-29</x:v>
      </x:c>
      <x:c r="E1181" s="7" t="str">
        <x:v>Walkdown Ledger!J195</x:v>
      </x:c>
      <x:c r="F1181" s="7" t="str">
        <x:f>'Walkdown Ledger'!J195</x:f>
        <x:v>OPEN</x:v>
      </x:c>
    </x:row>
    <x:row r="1182">
      <x:c r="B1182" s="7" t="str">
        <x:v>PHY-1176</x:v>
      </x:c>
      <x:c r="C1182" s="7" t="str">
        <x:v>walkdown</x:v>
      </x:c>
      <x:c r="D1182" s="7" t="str">
        <x:v>RFP-C2-WD-30</x:v>
      </x:c>
      <x:c r="E1182" s="7" t="str">
        <x:v>Walkdown Ledger!J196</x:v>
      </x:c>
      <x:c r="F1182" s="7" t="str">
        <x:f>'Walkdown Ledger'!J196</x:f>
        <x:v>OPEN</x:v>
      </x:c>
    </x:row>
    <x:row r="1183">
      <x:c r="B1183" s="7" t="str">
        <x:v>PHY-1177</x:v>
      </x:c>
      <x:c r="C1183" s="7" t="str">
        <x:v>walkdown</x:v>
      </x:c>
      <x:c r="D1183" s="7" t="str">
        <x:v>RFP-C2-WD-31</x:v>
      </x:c>
      <x:c r="E1183" s="7" t="str">
        <x:v>Walkdown Ledger!J197</x:v>
      </x:c>
      <x:c r="F1183" s="7" t="str">
        <x:f>'Walkdown Ledger'!J197</x:f>
        <x:v>OPEN</x:v>
      </x:c>
    </x:row>
    <x:row r="1184">
      <x:c r="B1184" s="7" t="str">
        <x:v>PHY-1178</x:v>
      </x:c>
      <x:c r="C1184" s="7" t="str">
        <x:v>walkdown</x:v>
      </x:c>
      <x:c r="D1184" s="7" t="str">
        <x:v>RFP-C2-WD-32</x:v>
      </x:c>
      <x:c r="E1184" s="7" t="str">
        <x:v>Walkdown Ledger!J198</x:v>
      </x:c>
      <x:c r="F1184" s="7" t="str">
        <x:f>'Walkdown Ledger'!J198</x:f>
        <x:v>OPEN</x:v>
      </x:c>
    </x:row>
    <x:row r="1185">
      <x:c r="B1185" s="7" t="str">
        <x:v>PHY-1179</x:v>
      </x:c>
      <x:c r="C1185" s="7" t="str">
        <x:v>neighbor proof</x:v>
      </x:c>
      <x:c r="D1185" s="7" t="str">
        <x:v>RAE-E-01-LN</x:v>
      </x:c>
      <x:c r="E1185" s="7" t="str">
        <x:v>Neighbor Proofs!K7</x:v>
      </x:c>
      <x:c r="F1185" s="7" t="str">
        <x:f>'Neighbor Proofs'!K7</x:f>
        <x:v>OPEN</x:v>
      </x:c>
    </x:row>
    <x:row r="1186">
      <x:c r="B1186" s="7" t="str">
        <x:v>PHY-1180</x:v>
      </x:c>
      <x:c r="C1186" s="7" t="str">
        <x:v>neighbor proof</x:v>
      </x:c>
      <x:c r="D1186" s="7" t="str">
        <x:v>RAE-E-01-RN</x:v>
      </x:c>
      <x:c r="E1186" s="7" t="str">
        <x:v>Neighbor Proofs!K8</x:v>
      </x:c>
      <x:c r="F1186" s="7" t="str">
        <x:f>'Neighbor Proofs'!K8</x:f>
        <x:v>OPEN</x:v>
      </x:c>
    </x:row>
    <x:row r="1187">
      <x:c r="B1187" s="7" t="str">
        <x:v>PHY-1181</x:v>
      </x:c>
      <x:c r="C1187" s="7" t="str">
        <x:v>neighbor proof</x:v>
      </x:c>
      <x:c r="D1187" s="7" t="str">
        <x:v>RAE-E-01-CUN</x:v>
      </x:c>
      <x:c r="E1187" s="7" t="str">
        <x:v>Neighbor Proofs!K9</x:v>
      </x:c>
      <x:c r="F1187" s="7" t="str">
        <x:f>'Neighbor Proofs'!K9</x:f>
        <x:v>OPEN</x:v>
      </x:c>
    </x:row>
    <x:row r="1188">
      <x:c r="B1188" s="7" t="str">
        <x:v>PHY-1182</x:v>
      </x:c>
      <x:c r="C1188" s="7" t="str">
        <x:v>neighbor proof</x:v>
      </x:c>
      <x:c r="D1188" s="7" t="str">
        <x:v>RAE-E-02-LN</x:v>
      </x:c>
      <x:c r="E1188" s="7" t="str">
        <x:v>Neighbor Proofs!K10</x:v>
      </x:c>
      <x:c r="F1188" s="7" t="str">
        <x:f>'Neighbor Proofs'!K10</x:f>
        <x:v>OPEN</x:v>
      </x:c>
    </x:row>
    <x:row r="1189">
      <x:c r="B1189" s="7" t="str">
        <x:v>PHY-1183</x:v>
      </x:c>
      <x:c r="C1189" s="7" t="str">
        <x:v>neighbor proof</x:v>
      </x:c>
      <x:c r="D1189" s="7" t="str">
        <x:v>RAE-E-02-RN</x:v>
      </x:c>
      <x:c r="E1189" s="7" t="str">
        <x:v>Neighbor Proofs!K11</x:v>
      </x:c>
      <x:c r="F1189" s="7" t="str">
        <x:f>'Neighbor Proofs'!K11</x:f>
        <x:v>OPEN</x:v>
      </x:c>
    </x:row>
    <x:row r="1190">
      <x:c r="B1190" s="7" t="str">
        <x:v>PHY-1184</x:v>
      </x:c>
      <x:c r="C1190" s="7" t="str">
        <x:v>neighbor proof</x:v>
      </x:c>
      <x:c r="D1190" s="7" t="str">
        <x:v>RAE-E-02-CUN</x:v>
      </x:c>
      <x:c r="E1190" s="7" t="str">
        <x:v>Neighbor Proofs!K12</x:v>
      </x:c>
      <x:c r="F1190" s="7" t="str">
        <x:f>'Neighbor Proofs'!K12</x:f>
        <x:v>OPEN</x:v>
      </x:c>
    </x:row>
    <x:row r="1191">
      <x:c r="B1191" s="7" t="str">
        <x:v>PHY-1185</x:v>
      </x:c>
      <x:c r="C1191" s="7" t="str">
        <x:v>neighbor proof</x:v>
      </x:c>
      <x:c r="D1191" s="7" t="str">
        <x:v>RAE-E-03-LN</x:v>
      </x:c>
      <x:c r="E1191" s="7" t="str">
        <x:v>Neighbor Proofs!K13</x:v>
      </x:c>
      <x:c r="F1191" s="7" t="str">
        <x:f>'Neighbor Proofs'!K13</x:f>
        <x:v>OPEN</x:v>
      </x:c>
    </x:row>
    <x:row r="1192">
      <x:c r="B1192" s="7" t="str">
        <x:v>PHY-1186</x:v>
      </x:c>
      <x:c r="C1192" s="7" t="str">
        <x:v>neighbor proof</x:v>
      </x:c>
      <x:c r="D1192" s="7" t="str">
        <x:v>RAE-E-03-RN</x:v>
      </x:c>
      <x:c r="E1192" s="7" t="str">
        <x:v>Neighbor Proofs!K14</x:v>
      </x:c>
      <x:c r="F1192" s="7" t="str">
        <x:f>'Neighbor Proofs'!K14</x:f>
        <x:v>OPEN</x:v>
      </x:c>
    </x:row>
    <x:row r="1193">
      <x:c r="B1193" s="7" t="str">
        <x:v>PHY-1187</x:v>
      </x:c>
      <x:c r="C1193" s="7" t="str">
        <x:v>neighbor proof</x:v>
      </x:c>
      <x:c r="D1193" s="7" t="str">
        <x:v>RAE-E-03-CUN</x:v>
      </x:c>
      <x:c r="E1193" s="7" t="str">
        <x:v>Neighbor Proofs!K15</x:v>
      </x:c>
      <x:c r="F1193" s="7" t="str">
        <x:f>'Neighbor Proofs'!K15</x:f>
        <x:v>OPEN</x:v>
      </x:c>
    </x:row>
    <x:row r="1194">
      <x:c r="B1194" s="7" t="str">
        <x:v>PHY-1188</x:v>
      </x:c>
      <x:c r="C1194" s="7" t="str">
        <x:v>neighbor proof</x:v>
      </x:c>
      <x:c r="D1194" s="7" t="str">
        <x:v>RAE-E-04-LN</x:v>
      </x:c>
      <x:c r="E1194" s="7" t="str">
        <x:v>Neighbor Proofs!K16</x:v>
      </x:c>
      <x:c r="F1194" s="7" t="str">
        <x:f>'Neighbor Proofs'!K16</x:f>
        <x:v>OPEN</x:v>
      </x:c>
    </x:row>
    <x:row r="1195">
      <x:c r="B1195" s="7" t="str">
        <x:v>PHY-1189</x:v>
      </x:c>
      <x:c r="C1195" s="7" t="str">
        <x:v>neighbor proof</x:v>
      </x:c>
      <x:c r="D1195" s="7" t="str">
        <x:v>RAE-E-04-RN</x:v>
      </x:c>
      <x:c r="E1195" s="7" t="str">
        <x:v>Neighbor Proofs!K17</x:v>
      </x:c>
      <x:c r="F1195" s="7" t="str">
        <x:f>'Neighbor Proofs'!K17</x:f>
        <x:v>OPEN</x:v>
      </x:c>
    </x:row>
    <x:row r="1196">
      <x:c r="B1196" s="7" t="str">
        <x:v>PHY-1190</x:v>
      </x:c>
      <x:c r="C1196" s="7" t="str">
        <x:v>neighbor proof</x:v>
      </x:c>
      <x:c r="D1196" s="7" t="str">
        <x:v>RAE-E-04-CUN</x:v>
      </x:c>
      <x:c r="E1196" s="7" t="str">
        <x:v>Neighbor Proofs!K18</x:v>
      </x:c>
      <x:c r="F1196" s="7" t="str">
        <x:f>'Neighbor Proofs'!K18</x:f>
        <x:v>OPEN</x:v>
      </x:c>
    </x:row>
    <x:row r="1197">
      <x:c r="B1197" s="7" t="str">
        <x:v>PHY-1191</x:v>
      </x:c>
      <x:c r="C1197" s="7" t="str">
        <x:v>neighbor proof</x:v>
      </x:c>
      <x:c r="D1197" s="7" t="str">
        <x:v>RAE-E-05-LN</x:v>
      </x:c>
      <x:c r="E1197" s="7" t="str">
        <x:v>Neighbor Proofs!K19</x:v>
      </x:c>
      <x:c r="F1197" s="7" t="str">
        <x:f>'Neighbor Proofs'!K19</x:f>
        <x:v>OPEN</x:v>
      </x:c>
    </x:row>
    <x:row r="1198">
      <x:c r="B1198" s="7" t="str">
        <x:v>PHY-1192</x:v>
      </x:c>
      <x:c r="C1198" s="7" t="str">
        <x:v>neighbor proof</x:v>
      </x:c>
      <x:c r="D1198" s="7" t="str">
        <x:v>RAE-E-05-RN</x:v>
      </x:c>
      <x:c r="E1198" s="7" t="str">
        <x:v>Neighbor Proofs!K20</x:v>
      </x:c>
      <x:c r="F1198" s="7" t="str">
        <x:f>'Neighbor Proofs'!K20</x:f>
        <x:v>OPEN</x:v>
      </x:c>
    </x:row>
    <x:row r="1199">
      <x:c r="B1199" s="7" t="str">
        <x:v>PHY-1193</x:v>
      </x:c>
      <x:c r="C1199" s="7" t="str">
        <x:v>neighbor proof</x:v>
      </x:c>
      <x:c r="D1199" s="7" t="str">
        <x:v>RAE-E-05-CUN</x:v>
      </x:c>
      <x:c r="E1199" s="7" t="str">
        <x:v>Neighbor Proofs!K21</x:v>
      </x:c>
      <x:c r="F1199" s="7" t="str">
        <x:f>'Neighbor Proofs'!K21</x:f>
        <x:v>OPEN</x:v>
      </x:c>
    </x:row>
    <x:row r="1200">
      <x:c r="B1200" s="7" t="str">
        <x:v>PHY-1194</x:v>
      </x:c>
      <x:c r="C1200" s="7" t="str">
        <x:v>neighbor proof</x:v>
      </x:c>
      <x:c r="D1200" s="7" t="str">
        <x:v>RAE-E-06-LN</x:v>
      </x:c>
      <x:c r="E1200" s="7" t="str">
        <x:v>Neighbor Proofs!K22</x:v>
      </x:c>
      <x:c r="F1200" s="7" t="str">
        <x:f>'Neighbor Proofs'!K22</x:f>
        <x:v>OPEN</x:v>
      </x:c>
    </x:row>
    <x:row r="1201">
      <x:c r="B1201" s="7" t="str">
        <x:v>PHY-1195</x:v>
      </x:c>
      <x:c r="C1201" s="7" t="str">
        <x:v>neighbor proof</x:v>
      </x:c>
      <x:c r="D1201" s="7" t="str">
        <x:v>RAE-E-06-RN</x:v>
      </x:c>
      <x:c r="E1201" s="7" t="str">
        <x:v>Neighbor Proofs!K23</x:v>
      </x:c>
      <x:c r="F1201" s="7" t="str">
        <x:f>'Neighbor Proofs'!K23</x:f>
        <x:v>OPEN</x:v>
      </x:c>
    </x:row>
    <x:row r="1202">
      <x:c r="B1202" s="7" t="str">
        <x:v>PHY-1196</x:v>
      </x:c>
      <x:c r="C1202" s="7" t="str">
        <x:v>neighbor proof</x:v>
      </x:c>
      <x:c r="D1202" s="7" t="str">
        <x:v>RAE-E-06-CUN</x:v>
      </x:c>
      <x:c r="E1202" s="7" t="str">
        <x:v>Neighbor Proofs!K24</x:v>
      </x:c>
      <x:c r="F1202" s="7" t="str">
        <x:f>'Neighbor Proofs'!K24</x:f>
        <x:v>OPEN</x:v>
      </x:c>
    </x:row>
    <x:row r="1203">
      <x:c r="B1203" s="7" t="str">
        <x:v>PHY-1197</x:v>
      </x:c>
      <x:c r="C1203" s="7" t="str">
        <x:v>neighbor proof</x:v>
      </x:c>
      <x:c r="D1203" s="7" t="str">
        <x:v>RAE-E-07-LN</x:v>
      </x:c>
      <x:c r="E1203" s="7" t="str">
        <x:v>Neighbor Proofs!K25</x:v>
      </x:c>
      <x:c r="F1203" s="7" t="str">
        <x:f>'Neighbor Proofs'!K25</x:f>
        <x:v>OPEN</x:v>
      </x:c>
    </x:row>
    <x:row r="1204">
      <x:c r="B1204" s="7" t="str">
        <x:v>PHY-1198</x:v>
      </x:c>
      <x:c r="C1204" s="7" t="str">
        <x:v>neighbor proof</x:v>
      </x:c>
      <x:c r="D1204" s="7" t="str">
        <x:v>RAE-E-07-RN</x:v>
      </x:c>
      <x:c r="E1204" s="7" t="str">
        <x:v>Neighbor Proofs!K26</x:v>
      </x:c>
      <x:c r="F1204" s="7" t="str">
        <x:f>'Neighbor Proofs'!K26</x:f>
        <x:v>OPEN</x:v>
      </x:c>
    </x:row>
    <x:row r="1205">
      <x:c r="B1205" s="7" t="str">
        <x:v>PHY-1199</x:v>
      </x:c>
      <x:c r="C1205" s="7" t="str">
        <x:v>neighbor proof</x:v>
      </x:c>
      <x:c r="D1205" s="7" t="str">
        <x:v>RAE-E-07-CUN</x:v>
      </x:c>
      <x:c r="E1205" s="7" t="str">
        <x:v>Neighbor Proofs!K27</x:v>
      </x:c>
      <x:c r="F1205" s="7" t="str">
        <x:f>'Neighbor Proofs'!K27</x:f>
        <x:v>OPEN</x:v>
      </x:c>
    </x:row>
    <x:row r="1206">
      <x:c r="B1206" s="7" t="str">
        <x:v>PHY-1200</x:v>
      </x:c>
      <x:c r="C1206" s="7" t="str">
        <x:v>neighbor proof</x:v>
      </x:c>
      <x:c r="D1206" s="7" t="str">
        <x:v>RAE-E-08-LN</x:v>
      </x:c>
      <x:c r="E1206" s="7" t="str">
        <x:v>Neighbor Proofs!K28</x:v>
      </x:c>
      <x:c r="F1206" s="7" t="str">
        <x:f>'Neighbor Proofs'!K28</x:f>
        <x:v>OPEN</x:v>
      </x:c>
    </x:row>
    <x:row r="1207">
      <x:c r="B1207" s="7" t="str">
        <x:v>PHY-1201</x:v>
      </x:c>
      <x:c r="C1207" s="7" t="str">
        <x:v>neighbor proof</x:v>
      </x:c>
      <x:c r="D1207" s="7" t="str">
        <x:v>RAE-E-08-RN</x:v>
      </x:c>
      <x:c r="E1207" s="7" t="str">
        <x:v>Neighbor Proofs!K29</x:v>
      </x:c>
      <x:c r="F1207" s="7" t="str">
        <x:f>'Neighbor Proofs'!K29</x:f>
        <x:v>OPEN</x:v>
      </x:c>
    </x:row>
    <x:row r="1208">
      <x:c r="B1208" s="7" t="str">
        <x:v>PHY-1202</x:v>
      </x:c>
      <x:c r="C1208" s="7" t="str">
        <x:v>neighbor proof</x:v>
      </x:c>
      <x:c r="D1208" s="7" t="str">
        <x:v>RAE-E-08-CUN</x:v>
      </x:c>
      <x:c r="E1208" s="7" t="str">
        <x:v>Neighbor Proofs!K30</x:v>
      </x:c>
      <x:c r="F1208" s="7" t="str">
        <x:f>'Neighbor Proofs'!K30</x:f>
        <x:v>OPEN</x:v>
      </x:c>
    </x:row>
    <x:row r="1209">
      <x:c r="B1209" s="7" t="str">
        <x:v>PHY-1203</x:v>
      </x:c>
      <x:c r="C1209" s="7" t="str">
        <x:v>neighbor proof</x:v>
      </x:c>
      <x:c r="D1209" s="7" t="str">
        <x:v>RAE-E-09-LN</x:v>
      </x:c>
      <x:c r="E1209" s="7" t="str">
        <x:v>Neighbor Proofs!K31</x:v>
      </x:c>
      <x:c r="F1209" s="7" t="str">
        <x:f>'Neighbor Proofs'!K31</x:f>
        <x:v>OPEN</x:v>
      </x:c>
    </x:row>
    <x:row r="1210">
      <x:c r="B1210" s="7" t="str">
        <x:v>PHY-1204</x:v>
      </x:c>
      <x:c r="C1210" s="7" t="str">
        <x:v>neighbor proof</x:v>
      </x:c>
      <x:c r="D1210" s="7" t="str">
        <x:v>RAE-E-09-RN</x:v>
      </x:c>
      <x:c r="E1210" s="7" t="str">
        <x:v>Neighbor Proofs!K32</x:v>
      </x:c>
      <x:c r="F1210" s="7" t="str">
        <x:f>'Neighbor Proofs'!K32</x:f>
        <x:v>OPEN</x:v>
      </x:c>
    </x:row>
    <x:row r="1211">
      <x:c r="B1211" s="7" t="str">
        <x:v>PHY-1205</x:v>
      </x:c>
      <x:c r="C1211" s="7" t="str">
        <x:v>neighbor proof</x:v>
      </x:c>
      <x:c r="D1211" s="7" t="str">
        <x:v>RAE-E-09-CUN</x:v>
      </x:c>
      <x:c r="E1211" s="7" t="str">
        <x:v>Neighbor Proofs!K33</x:v>
      </x:c>
      <x:c r="F1211" s="7" t="str">
        <x:f>'Neighbor Proofs'!K33</x:f>
        <x:v>OPEN</x:v>
      </x:c>
    </x:row>
    <x:row r="1212">
      <x:c r="B1212" s="7" t="str">
        <x:v>PHY-1206</x:v>
      </x:c>
      <x:c r="C1212" s="7" t="str">
        <x:v>neighbor proof</x:v>
      </x:c>
      <x:c r="D1212" s="7" t="str">
        <x:v>RAE-E-10-LN</x:v>
      </x:c>
      <x:c r="E1212" s="7" t="str">
        <x:v>Neighbor Proofs!K34</x:v>
      </x:c>
      <x:c r="F1212" s="7" t="str">
        <x:f>'Neighbor Proofs'!K34</x:f>
        <x:v>OPEN</x:v>
      </x:c>
    </x:row>
    <x:row r="1213">
      <x:c r="B1213" s="7" t="str">
        <x:v>PHY-1207</x:v>
      </x:c>
      <x:c r="C1213" s="7" t="str">
        <x:v>neighbor proof</x:v>
      </x:c>
      <x:c r="D1213" s="7" t="str">
        <x:v>RAE-E-10-RN</x:v>
      </x:c>
      <x:c r="E1213" s="7" t="str">
        <x:v>Neighbor Proofs!K35</x:v>
      </x:c>
      <x:c r="F1213" s="7" t="str">
        <x:f>'Neighbor Proofs'!K35</x:f>
        <x:v>OPEN</x:v>
      </x:c>
    </x:row>
    <x:row r="1214">
      <x:c r="B1214" s="7" t="str">
        <x:v>PHY-1208</x:v>
      </x:c>
      <x:c r="C1214" s="7" t="str">
        <x:v>neighbor proof</x:v>
      </x:c>
      <x:c r="D1214" s="7" t="str">
        <x:v>RAE-E-10-CUN</x:v>
      </x:c>
      <x:c r="E1214" s="7" t="str">
        <x:v>Neighbor Proofs!K36</x:v>
      </x:c>
      <x:c r="F1214" s="7" t="str">
        <x:f>'Neighbor Proofs'!K36</x:f>
        <x:v>OPEN</x:v>
      </x:c>
    </x:row>
    <x:row r="1215">
      <x:c r="B1215" s="7" t="str">
        <x:v>PHY-1209</x:v>
      </x:c>
      <x:c r="C1215" s="7" t="str">
        <x:v>neighbor proof</x:v>
      </x:c>
      <x:c r="D1215" s="7" t="str">
        <x:v>RAE-E-11-LN</x:v>
      </x:c>
      <x:c r="E1215" s="7" t="str">
        <x:v>Neighbor Proofs!K37</x:v>
      </x:c>
      <x:c r="F1215" s="7" t="str">
        <x:f>'Neighbor Proofs'!K37</x:f>
        <x:v>OPEN</x:v>
      </x:c>
    </x:row>
    <x:row r="1216">
      <x:c r="B1216" s="7" t="str">
        <x:v>PHY-1210</x:v>
      </x:c>
      <x:c r="C1216" s="7" t="str">
        <x:v>neighbor proof</x:v>
      </x:c>
      <x:c r="D1216" s="7" t="str">
        <x:v>RAE-E-11-RN</x:v>
      </x:c>
      <x:c r="E1216" s="7" t="str">
        <x:v>Neighbor Proofs!K38</x:v>
      </x:c>
      <x:c r="F1216" s="7" t="str">
        <x:f>'Neighbor Proofs'!K38</x:f>
        <x:v>OPEN</x:v>
      </x:c>
    </x:row>
    <x:row r="1217">
      <x:c r="B1217" s="7" t="str">
        <x:v>PHY-1211</x:v>
      </x:c>
      <x:c r="C1217" s="7" t="str">
        <x:v>neighbor proof</x:v>
      </x:c>
      <x:c r="D1217" s="7" t="str">
        <x:v>RAE-E-11-CUN</x:v>
      </x:c>
      <x:c r="E1217" s="7" t="str">
        <x:v>Neighbor Proofs!K39</x:v>
      </x:c>
      <x:c r="F1217" s="7" t="str">
        <x:f>'Neighbor Proofs'!K39</x:f>
        <x:v>OPEN</x:v>
      </x:c>
    </x:row>
    <x:row r="1218">
      <x:c r="B1218" s="7" t="str">
        <x:v>PHY-1212</x:v>
      </x:c>
      <x:c r="C1218" s="7" t="str">
        <x:v>neighbor proof</x:v>
      </x:c>
      <x:c r="D1218" s="7" t="str">
        <x:v>RAE-E-12-LN</x:v>
      </x:c>
      <x:c r="E1218" s="7" t="str">
        <x:v>Neighbor Proofs!K40</x:v>
      </x:c>
      <x:c r="F1218" s="7" t="str">
        <x:f>'Neighbor Proofs'!K40</x:f>
        <x:v>OPEN</x:v>
      </x:c>
    </x:row>
    <x:row r="1219">
      <x:c r="B1219" s="7" t="str">
        <x:v>PHY-1213</x:v>
      </x:c>
      <x:c r="C1219" s="7" t="str">
        <x:v>neighbor proof</x:v>
      </x:c>
      <x:c r="D1219" s="7" t="str">
        <x:v>RAE-E-12-RN</x:v>
      </x:c>
      <x:c r="E1219" s="7" t="str">
        <x:v>Neighbor Proofs!K41</x:v>
      </x:c>
      <x:c r="F1219" s="7" t="str">
        <x:f>'Neighbor Proofs'!K41</x:f>
        <x:v>OPEN</x:v>
      </x:c>
    </x:row>
    <x:row r="1220">
      <x:c r="B1220" s="7" t="str">
        <x:v>PHY-1214</x:v>
      </x:c>
      <x:c r="C1220" s="7" t="str">
        <x:v>neighbor proof</x:v>
      </x:c>
      <x:c r="D1220" s="7" t="str">
        <x:v>RAE-E-12-CUN</x:v>
      </x:c>
      <x:c r="E1220" s="7" t="str">
        <x:v>Neighbor Proofs!K42</x:v>
      </x:c>
      <x:c r="F1220" s="7" t="str">
        <x:f>'Neighbor Proofs'!K42</x:f>
        <x:v>OPEN</x:v>
      </x:c>
    </x:row>
    <x:row r="1221">
      <x:c r="B1221" s="7" t="str">
        <x:v>PHY-1215</x:v>
      </x:c>
      <x:c r="C1221" s="7" t="str">
        <x:v>neighbor proof</x:v>
      </x:c>
      <x:c r="D1221" s="7" t="str">
        <x:v>RAE-E-13-LN</x:v>
      </x:c>
      <x:c r="E1221" s="7" t="str">
        <x:v>Neighbor Proofs!K43</x:v>
      </x:c>
      <x:c r="F1221" s="7" t="str">
        <x:f>'Neighbor Proofs'!K43</x:f>
        <x:v>OPEN</x:v>
      </x:c>
    </x:row>
    <x:row r="1222">
      <x:c r="B1222" s="7" t="str">
        <x:v>PHY-1216</x:v>
      </x:c>
      <x:c r="C1222" s="7" t="str">
        <x:v>neighbor proof</x:v>
      </x:c>
      <x:c r="D1222" s="7" t="str">
        <x:v>RAE-E-13-RN</x:v>
      </x:c>
      <x:c r="E1222" s="7" t="str">
        <x:v>Neighbor Proofs!K44</x:v>
      </x:c>
      <x:c r="F1222" s="7" t="str">
        <x:f>'Neighbor Proofs'!K44</x:f>
        <x:v>OPEN</x:v>
      </x:c>
    </x:row>
    <x:row r="1223">
      <x:c r="B1223" s="7" t="str">
        <x:v>PHY-1217</x:v>
      </x:c>
      <x:c r="C1223" s="7" t="str">
        <x:v>neighbor proof</x:v>
      </x:c>
      <x:c r="D1223" s="7" t="str">
        <x:v>RAE-E-13-CUN</x:v>
      </x:c>
      <x:c r="E1223" s="7" t="str">
        <x:v>Neighbor Proofs!K45</x:v>
      </x:c>
      <x:c r="F1223" s="7" t="str">
        <x:f>'Neighbor Proofs'!K45</x:f>
        <x:v>OPEN</x:v>
      </x:c>
    </x:row>
    <x:row r="1224">
      <x:c r="B1224" s="7" t="str">
        <x:v>PHY-1218</x:v>
      </x:c>
      <x:c r="C1224" s="7" t="str">
        <x:v>neighbor proof</x:v>
      </x:c>
      <x:c r="D1224" s="7" t="str">
        <x:v>RAE-E-14-LN</x:v>
      </x:c>
      <x:c r="E1224" s="7" t="str">
        <x:v>Neighbor Proofs!K46</x:v>
      </x:c>
      <x:c r="F1224" s="7" t="str">
        <x:f>'Neighbor Proofs'!K46</x:f>
        <x:v>OPEN</x:v>
      </x:c>
    </x:row>
    <x:row r="1225">
      <x:c r="B1225" s="7" t="str">
        <x:v>PHY-1219</x:v>
      </x:c>
      <x:c r="C1225" s="7" t="str">
        <x:v>neighbor proof</x:v>
      </x:c>
      <x:c r="D1225" s="7" t="str">
        <x:v>RAE-E-14-RN</x:v>
      </x:c>
      <x:c r="E1225" s="7" t="str">
        <x:v>Neighbor Proofs!K47</x:v>
      </x:c>
      <x:c r="F1225" s="7" t="str">
        <x:f>'Neighbor Proofs'!K47</x:f>
        <x:v>OPEN</x:v>
      </x:c>
    </x:row>
    <x:row r="1226">
      <x:c r="B1226" s="7" t="str">
        <x:v>PHY-1220</x:v>
      </x:c>
      <x:c r="C1226" s="7" t="str">
        <x:v>neighbor proof</x:v>
      </x:c>
      <x:c r="D1226" s="7" t="str">
        <x:v>RAE-E-14-CUN</x:v>
      </x:c>
      <x:c r="E1226" s="7" t="str">
        <x:v>Neighbor Proofs!K48</x:v>
      </x:c>
      <x:c r="F1226" s="7" t="str">
        <x:f>'Neighbor Proofs'!K48</x:f>
        <x:v>OPEN</x:v>
      </x:c>
    </x:row>
    <x:row r="1227">
      <x:c r="B1227" s="7" t="str">
        <x:v>PHY-1221</x:v>
      </x:c>
      <x:c r="C1227" s="7" t="str">
        <x:v>neighbor proof</x:v>
      </x:c>
      <x:c r="D1227" s="7" t="str">
        <x:v>RAE-E-15-LN</x:v>
      </x:c>
      <x:c r="E1227" s="7" t="str">
        <x:v>Neighbor Proofs!K49</x:v>
      </x:c>
      <x:c r="F1227" s="7" t="str">
        <x:f>'Neighbor Proofs'!K49</x:f>
        <x:v>OPEN</x:v>
      </x:c>
    </x:row>
    <x:row r="1228">
      <x:c r="B1228" s="7" t="str">
        <x:v>PHY-1222</x:v>
      </x:c>
      <x:c r="C1228" s="7" t="str">
        <x:v>neighbor proof</x:v>
      </x:c>
      <x:c r="D1228" s="7" t="str">
        <x:v>RAE-E-15-RN</x:v>
      </x:c>
      <x:c r="E1228" s="7" t="str">
        <x:v>Neighbor Proofs!K50</x:v>
      </x:c>
      <x:c r="F1228" s="7" t="str">
        <x:f>'Neighbor Proofs'!K50</x:f>
        <x:v>OPEN</x:v>
      </x:c>
    </x:row>
    <x:row r="1229">
      <x:c r="B1229" s="7" t="str">
        <x:v>PHY-1223</x:v>
      </x:c>
      <x:c r="C1229" s="7" t="str">
        <x:v>neighbor proof</x:v>
      </x:c>
      <x:c r="D1229" s="7" t="str">
        <x:v>RAE-E-15-CUN</x:v>
      </x:c>
      <x:c r="E1229" s="7" t="str">
        <x:v>Neighbor Proofs!K51</x:v>
      </x:c>
      <x:c r="F1229" s="7" t="str">
        <x:f>'Neighbor Proofs'!K51</x:f>
        <x:v>OPEN</x:v>
      </x:c>
    </x:row>
    <x:row r="1230">
      <x:c r="B1230" s="7" t="str">
        <x:v>PHY-1224</x:v>
      </x:c>
      <x:c r="C1230" s="7" t="str">
        <x:v>neighbor proof</x:v>
      </x:c>
      <x:c r="D1230" s="7" t="str">
        <x:v>RAE-E-16-LN</x:v>
      </x:c>
      <x:c r="E1230" s="7" t="str">
        <x:v>Neighbor Proofs!K52</x:v>
      </x:c>
      <x:c r="F1230" s="7" t="str">
        <x:f>'Neighbor Proofs'!K52</x:f>
        <x:v>OPEN</x:v>
      </x:c>
    </x:row>
    <x:row r="1231">
      <x:c r="B1231" s="7" t="str">
        <x:v>PHY-1225</x:v>
      </x:c>
      <x:c r="C1231" s="7" t="str">
        <x:v>neighbor proof</x:v>
      </x:c>
      <x:c r="D1231" s="7" t="str">
        <x:v>RAE-E-16-RN</x:v>
      </x:c>
      <x:c r="E1231" s="7" t="str">
        <x:v>Neighbor Proofs!K53</x:v>
      </x:c>
      <x:c r="F1231" s="7" t="str">
        <x:f>'Neighbor Proofs'!K53</x:f>
        <x:v>OPEN</x:v>
      </x:c>
    </x:row>
    <x:row r="1232">
      <x:c r="B1232" s="7" t="str">
        <x:v>PHY-1226</x:v>
      </x:c>
      <x:c r="C1232" s="7" t="str">
        <x:v>neighbor proof</x:v>
      </x:c>
      <x:c r="D1232" s="7" t="str">
        <x:v>RAE-E-16-CUN</x:v>
      </x:c>
      <x:c r="E1232" s="7" t="str">
        <x:v>Neighbor Proofs!K54</x:v>
      </x:c>
      <x:c r="F1232" s="7" t="str">
        <x:f>'Neighbor Proofs'!K54</x:f>
        <x:v>OPEN</x:v>
      </x:c>
    </x:row>
    <x:row r="1233">
      <x:c r="B1233" s="7" t="str">
        <x:v>PHY-1227</x:v>
      </x:c>
      <x:c r="C1233" s="7" t="str">
        <x:v>neighbor proof</x:v>
      </x:c>
      <x:c r="D1233" s="7" t="str">
        <x:v>RAE-E-17-LN</x:v>
      </x:c>
      <x:c r="E1233" s="7" t="str">
        <x:v>Neighbor Proofs!K55</x:v>
      </x:c>
      <x:c r="F1233" s="7" t="str">
        <x:f>'Neighbor Proofs'!K55</x:f>
        <x:v>OPEN</x:v>
      </x:c>
    </x:row>
    <x:row r="1234">
      <x:c r="B1234" s="7" t="str">
        <x:v>PHY-1228</x:v>
      </x:c>
      <x:c r="C1234" s="7" t="str">
        <x:v>neighbor proof</x:v>
      </x:c>
      <x:c r="D1234" s="7" t="str">
        <x:v>RAE-E-17-RN</x:v>
      </x:c>
      <x:c r="E1234" s="7" t="str">
        <x:v>Neighbor Proofs!K56</x:v>
      </x:c>
      <x:c r="F1234" s="7" t="str">
        <x:f>'Neighbor Proofs'!K56</x:f>
        <x:v>OPEN</x:v>
      </x:c>
    </x:row>
    <x:row r="1235">
      <x:c r="B1235" s="7" t="str">
        <x:v>PHY-1229</x:v>
      </x:c>
      <x:c r="C1235" s="7" t="str">
        <x:v>neighbor proof</x:v>
      </x:c>
      <x:c r="D1235" s="7" t="str">
        <x:v>RAE-E-17-CUN</x:v>
      </x:c>
      <x:c r="E1235" s="7" t="str">
        <x:v>Neighbor Proofs!K57</x:v>
      </x:c>
      <x:c r="F1235" s="7" t="str">
        <x:f>'Neighbor Proofs'!K57</x:f>
        <x:v>OPEN</x:v>
      </x:c>
    </x:row>
    <x:row r="1236">
      <x:c r="B1236" s="7" t="str">
        <x:v>PHY-1230</x:v>
      </x:c>
      <x:c r="C1236" s="7" t="str">
        <x:v>neighbor proof</x:v>
      </x:c>
      <x:c r="D1236" s="7" t="str">
        <x:v>RAE-E-18-LN</x:v>
      </x:c>
      <x:c r="E1236" s="7" t="str">
        <x:v>Neighbor Proofs!K58</x:v>
      </x:c>
      <x:c r="F1236" s="7" t="str">
        <x:f>'Neighbor Proofs'!K58</x:f>
        <x:v>OPEN</x:v>
      </x:c>
    </x:row>
    <x:row r="1237">
      <x:c r="B1237" s="7" t="str">
        <x:v>PHY-1231</x:v>
      </x:c>
      <x:c r="C1237" s="7" t="str">
        <x:v>neighbor proof</x:v>
      </x:c>
      <x:c r="D1237" s="7" t="str">
        <x:v>RAE-E-18-RN</x:v>
      </x:c>
      <x:c r="E1237" s="7" t="str">
        <x:v>Neighbor Proofs!K59</x:v>
      </x:c>
      <x:c r="F1237" s="7" t="str">
        <x:f>'Neighbor Proofs'!K59</x:f>
        <x:v>OPEN</x:v>
      </x:c>
    </x:row>
    <x:row r="1238">
      <x:c r="B1238" s="7" t="str">
        <x:v>PHY-1232</x:v>
      </x:c>
      <x:c r="C1238" s="7" t="str">
        <x:v>neighbor proof</x:v>
      </x:c>
      <x:c r="D1238" s="7" t="str">
        <x:v>RAE-E-18-CUN</x:v>
      </x:c>
      <x:c r="E1238" s="7" t="str">
        <x:v>Neighbor Proofs!K60</x:v>
      </x:c>
      <x:c r="F1238" s="7" t="str">
        <x:f>'Neighbor Proofs'!K60</x:f>
        <x:v>OPEN</x:v>
      </x:c>
    </x:row>
    <x:row r="1239">
      <x:c r="B1239" s="7" t="str">
        <x:v>PHY-1233</x:v>
      </x:c>
      <x:c r="C1239" s="7" t="str">
        <x:v>neighbor proof</x:v>
      </x:c>
      <x:c r="D1239" s="7" t="str">
        <x:v>RAE-E-19-LN</x:v>
      </x:c>
      <x:c r="E1239" s="7" t="str">
        <x:v>Neighbor Proofs!K61</x:v>
      </x:c>
      <x:c r="F1239" s="7" t="str">
        <x:f>'Neighbor Proofs'!K61</x:f>
        <x:v>OPEN</x:v>
      </x:c>
    </x:row>
    <x:row r="1240">
      <x:c r="B1240" s="7" t="str">
        <x:v>PHY-1234</x:v>
      </x:c>
      <x:c r="C1240" s="7" t="str">
        <x:v>neighbor proof</x:v>
      </x:c>
      <x:c r="D1240" s="7" t="str">
        <x:v>RAE-E-19-RN</x:v>
      </x:c>
      <x:c r="E1240" s="7" t="str">
        <x:v>Neighbor Proofs!K62</x:v>
      </x:c>
      <x:c r="F1240" s="7" t="str">
        <x:f>'Neighbor Proofs'!K62</x:f>
        <x:v>OPEN</x:v>
      </x:c>
    </x:row>
    <x:row r="1241">
      <x:c r="B1241" s="7" t="str">
        <x:v>PHY-1235</x:v>
      </x:c>
      <x:c r="C1241" s="7" t="str">
        <x:v>neighbor proof</x:v>
      </x:c>
      <x:c r="D1241" s="7" t="str">
        <x:v>RAE-E-19-CUN</x:v>
      </x:c>
      <x:c r="E1241" s="7" t="str">
        <x:v>Neighbor Proofs!K63</x:v>
      </x:c>
      <x:c r="F1241" s="7" t="str">
        <x:f>'Neighbor Proofs'!K63</x:f>
        <x:v>OPEN</x:v>
      </x:c>
    </x:row>
    <x:row r="1242">
      <x:c r="B1242" s="7" t="str">
        <x:v>PHY-1236</x:v>
      </x:c>
      <x:c r="C1242" s="7" t="str">
        <x:v>neighbor proof</x:v>
      </x:c>
      <x:c r="D1242" s="7" t="str">
        <x:v>RAE-E-20-LN</x:v>
      </x:c>
      <x:c r="E1242" s="7" t="str">
        <x:v>Neighbor Proofs!K64</x:v>
      </x:c>
      <x:c r="F1242" s="7" t="str">
        <x:f>'Neighbor Proofs'!K64</x:f>
        <x:v>OPEN</x:v>
      </x:c>
    </x:row>
    <x:row r="1243">
      <x:c r="B1243" s="7" t="str">
        <x:v>PHY-1237</x:v>
      </x:c>
      <x:c r="C1243" s="7" t="str">
        <x:v>neighbor proof</x:v>
      </x:c>
      <x:c r="D1243" s="7" t="str">
        <x:v>RAE-E-20-RN</x:v>
      </x:c>
      <x:c r="E1243" s="7" t="str">
        <x:v>Neighbor Proofs!K65</x:v>
      </x:c>
      <x:c r="F1243" s="7" t="str">
        <x:f>'Neighbor Proofs'!K65</x:f>
        <x:v>OPEN</x:v>
      </x:c>
    </x:row>
    <x:row r="1244">
      <x:c r="B1244" s="7" t="str">
        <x:v>PHY-1238</x:v>
      </x:c>
      <x:c r="C1244" s="7" t="str">
        <x:v>neighbor proof</x:v>
      </x:c>
      <x:c r="D1244" s="7" t="str">
        <x:v>RAE-E-20-CUN</x:v>
      </x:c>
      <x:c r="E1244" s="7" t="str">
        <x:v>Neighbor Proofs!K66</x:v>
      </x:c>
      <x:c r="F1244" s="7" t="str">
        <x:f>'Neighbor Proofs'!K66</x:f>
        <x:v>OPEN</x:v>
      </x:c>
    </x:row>
    <x:row r="1245">
      <x:c r="B1245" s="7" t="str">
        <x:v>PHY-1239</x:v>
      </x:c>
      <x:c r="C1245" s="7" t="str">
        <x:v>neighbor proof</x:v>
      </x:c>
      <x:c r="D1245" s="7" t="str">
        <x:v>RAE-E-21-LN</x:v>
      </x:c>
      <x:c r="E1245" s="7" t="str">
        <x:v>Neighbor Proofs!K67</x:v>
      </x:c>
      <x:c r="F1245" s="7" t="str">
        <x:f>'Neighbor Proofs'!K67</x:f>
        <x:v>OPEN</x:v>
      </x:c>
    </x:row>
    <x:row r="1246">
      <x:c r="B1246" s="7" t="str">
        <x:v>PHY-1240</x:v>
      </x:c>
      <x:c r="C1246" s="7" t="str">
        <x:v>neighbor proof</x:v>
      </x:c>
      <x:c r="D1246" s="7" t="str">
        <x:v>RAE-E-21-RN</x:v>
      </x:c>
      <x:c r="E1246" s="7" t="str">
        <x:v>Neighbor Proofs!K68</x:v>
      </x:c>
      <x:c r="F1246" s="7" t="str">
        <x:f>'Neighbor Proofs'!K68</x:f>
        <x:v>OPEN</x:v>
      </x:c>
    </x:row>
    <x:row r="1247">
      <x:c r="B1247" s="7" t="str">
        <x:v>PHY-1241</x:v>
      </x:c>
      <x:c r="C1247" s="7" t="str">
        <x:v>neighbor proof</x:v>
      </x:c>
      <x:c r="D1247" s="7" t="str">
        <x:v>RAE-E-21-CUN</x:v>
      </x:c>
      <x:c r="E1247" s="7" t="str">
        <x:v>Neighbor Proofs!K69</x:v>
      </x:c>
      <x:c r="F1247" s="7" t="str">
        <x:f>'Neighbor Proofs'!K69</x:f>
        <x:v>OPEN</x:v>
      </x:c>
    </x:row>
    <x:row r="1248">
      <x:c r="B1248" s="7" t="str">
        <x:v>PHY-1242</x:v>
      </x:c>
      <x:c r="C1248" s="7" t="str">
        <x:v>neighbor proof</x:v>
      </x:c>
      <x:c r="D1248" s="7" t="str">
        <x:v>RAE-E-22-LN</x:v>
      </x:c>
      <x:c r="E1248" s="7" t="str">
        <x:v>Neighbor Proofs!K70</x:v>
      </x:c>
      <x:c r="F1248" s="7" t="str">
        <x:f>'Neighbor Proofs'!K70</x:f>
        <x:v>OPEN</x:v>
      </x:c>
    </x:row>
    <x:row r="1249">
      <x:c r="B1249" s="7" t="str">
        <x:v>PHY-1243</x:v>
      </x:c>
      <x:c r="C1249" s="7" t="str">
        <x:v>neighbor proof</x:v>
      </x:c>
      <x:c r="D1249" s="7" t="str">
        <x:v>RAE-E-22-RN</x:v>
      </x:c>
      <x:c r="E1249" s="7" t="str">
        <x:v>Neighbor Proofs!K71</x:v>
      </x:c>
      <x:c r="F1249" s="7" t="str">
        <x:f>'Neighbor Proofs'!K71</x:f>
        <x:v>OPEN</x:v>
      </x:c>
    </x:row>
    <x:row r="1250">
      <x:c r="B1250" s="7" t="str">
        <x:v>PHY-1244</x:v>
      </x:c>
      <x:c r="C1250" s="7" t="str">
        <x:v>neighbor proof</x:v>
      </x:c>
      <x:c r="D1250" s="7" t="str">
        <x:v>RAE-E-22-CUN</x:v>
      </x:c>
      <x:c r="E1250" s="7" t="str">
        <x:v>Neighbor Proofs!K72</x:v>
      </x:c>
      <x:c r="F1250" s="7" t="str">
        <x:f>'Neighbor Proofs'!K72</x:f>
        <x:v>OPEN</x:v>
      </x:c>
    </x:row>
    <x:row r="1251">
      <x:c r="B1251" s="7" t="str">
        <x:v>PHY-1245</x:v>
      </x:c>
      <x:c r="C1251" s="7" t="str">
        <x:v>neighbor proof</x:v>
      </x:c>
      <x:c r="D1251" s="7" t="str">
        <x:v>RAE-E-23-LN</x:v>
      </x:c>
      <x:c r="E1251" s="7" t="str">
        <x:v>Neighbor Proofs!K73</x:v>
      </x:c>
      <x:c r="F1251" s="7" t="str">
        <x:f>'Neighbor Proofs'!K73</x:f>
        <x:v>OPEN</x:v>
      </x:c>
    </x:row>
    <x:row r="1252">
      <x:c r="B1252" s="7" t="str">
        <x:v>PHY-1246</x:v>
      </x:c>
      <x:c r="C1252" s="7" t="str">
        <x:v>neighbor proof</x:v>
      </x:c>
      <x:c r="D1252" s="7" t="str">
        <x:v>RAE-E-23-RN</x:v>
      </x:c>
      <x:c r="E1252" s="7" t="str">
        <x:v>Neighbor Proofs!K74</x:v>
      </x:c>
      <x:c r="F1252" s="7" t="str">
        <x:f>'Neighbor Proofs'!K74</x:f>
        <x:v>OPEN</x:v>
      </x:c>
    </x:row>
    <x:row r="1253">
      <x:c r="B1253" s="7" t="str">
        <x:v>PHY-1247</x:v>
      </x:c>
      <x:c r="C1253" s="7" t="str">
        <x:v>neighbor proof</x:v>
      </x:c>
      <x:c r="D1253" s="7" t="str">
        <x:v>RAE-E-23-CUN</x:v>
      </x:c>
      <x:c r="E1253" s="7" t="str">
        <x:v>Neighbor Proofs!K75</x:v>
      </x:c>
      <x:c r="F1253" s="7" t="str">
        <x:f>'Neighbor Proofs'!K75</x:f>
        <x:v>OPEN</x:v>
      </x:c>
    </x:row>
    <x:row r="1254">
      <x:c r="B1254" s="7" t="str">
        <x:v>PHY-1248</x:v>
      </x:c>
      <x:c r="C1254" s="7" t="str">
        <x:v>neighbor proof</x:v>
      </x:c>
      <x:c r="D1254" s="7" t="str">
        <x:v>RAE-E-24-LN</x:v>
      </x:c>
      <x:c r="E1254" s="7" t="str">
        <x:v>Neighbor Proofs!K76</x:v>
      </x:c>
      <x:c r="F1254" s="7" t="str">
        <x:f>'Neighbor Proofs'!K76</x:f>
        <x:v>OPEN</x:v>
      </x:c>
    </x:row>
    <x:row r="1255">
      <x:c r="B1255" s="7" t="str">
        <x:v>PHY-1249</x:v>
      </x:c>
      <x:c r="C1255" s="7" t="str">
        <x:v>neighbor proof</x:v>
      </x:c>
      <x:c r="D1255" s="7" t="str">
        <x:v>RAE-E-24-RN</x:v>
      </x:c>
      <x:c r="E1255" s="7" t="str">
        <x:v>Neighbor Proofs!K77</x:v>
      </x:c>
      <x:c r="F1255" s="7" t="str">
        <x:f>'Neighbor Proofs'!K77</x:f>
        <x:v>OPEN</x:v>
      </x:c>
    </x:row>
    <x:row r="1256">
      <x:c r="B1256" s="7" t="str">
        <x:v>PHY-1250</x:v>
      </x:c>
      <x:c r="C1256" s="7" t="str">
        <x:v>neighbor proof</x:v>
      </x:c>
      <x:c r="D1256" s="7" t="str">
        <x:v>RAE-E-24-CUN</x:v>
      </x:c>
      <x:c r="E1256" s="7" t="str">
        <x:v>Neighbor Proofs!K78</x:v>
      </x:c>
      <x:c r="F1256" s="7" t="str">
        <x:f>'Neighbor Proofs'!K78</x:f>
        <x:v>OPEN</x:v>
      </x:c>
    </x:row>
    <x:row r="1257">
      <x:c r="B1257" s="7" t="str">
        <x:v>PHY-1251</x:v>
      </x:c>
      <x:c r="C1257" s="7" t="str">
        <x:v>neighbor proof</x:v>
      </x:c>
      <x:c r="D1257" s="7" t="str">
        <x:v>RAE-E-25-LN</x:v>
      </x:c>
      <x:c r="E1257" s="7" t="str">
        <x:v>Neighbor Proofs!K79</x:v>
      </x:c>
      <x:c r="F1257" s="7" t="str">
        <x:f>'Neighbor Proofs'!K79</x:f>
        <x:v>OPEN</x:v>
      </x:c>
    </x:row>
    <x:row r="1258">
      <x:c r="B1258" s="7" t="str">
        <x:v>PHY-1252</x:v>
      </x:c>
      <x:c r="C1258" s="7" t="str">
        <x:v>neighbor proof</x:v>
      </x:c>
      <x:c r="D1258" s="7" t="str">
        <x:v>RAE-E-25-RN</x:v>
      </x:c>
      <x:c r="E1258" s="7" t="str">
        <x:v>Neighbor Proofs!K80</x:v>
      </x:c>
      <x:c r="F1258" s="7" t="str">
        <x:f>'Neighbor Proofs'!K80</x:f>
        <x:v>OPEN</x:v>
      </x:c>
    </x:row>
    <x:row r="1259">
      <x:c r="B1259" s="7" t="str">
        <x:v>PHY-1253</x:v>
      </x:c>
      <x:c r="C1259" s="7" t="str">
        <x:v>neighbor proof</x:v>
      </x:c>
      <x:c r="D1259" s="7" t="str">
        <x:v>RAE-E-25-CUN</x:v>
      </x:c>
      <x:c r="E1259" s="7" t="str">
        <x:v>Neighbor Proofs!K81</x:v>
      </x:c>
      <x:c r="F1259" s="7" t="str">
        <x:f>'Neighbor Proofs'!K81</x:f>
        <x:v>OPEN</x:v>
      </x:c>
    </x:row>
    <x:row r="1260">
      <x:c r="B1260" s="7" t="str">
        <x:v>PHY-1254</x:v>
      </x:c>
      <x:c r="C1260" s="7" t="str">
        <x:v>neighbor proof</x:v>
      </x:c>
      <x:c r="D1260" s="7" t="str">
        <x:v>RAE-E-26-LN</x:v>
      </x:c>
      <x:c r="E1260" s="7" t="str">
        <x:v>Neighbor Proofs!K82</x:v>
      </x:c>
      <x:c r="F1260" s="7" t="str">
        <x:f>'Neighbor Proofs'!K82</x:f>
        <x:v>OPEN</x:v>
      </x:c>
    </x:row>
    <x:row r="1261">
      <x:c r="B1261" s="7" t="str">
        <x:v>PHY-1255</x:v>
      </x:c>
      <x:c r="C1261" s="7" t="str">
        <x:v>neighbor proof</x:v>
      </x:c>
      <x:c r="D1261" s="7" t="str">
        <x:v>RAE-E-26-RN</x:v>
      </x:c>
      <x:c r="E1261" s="7" t="str">
        <x:v>Neighbor Proofs!K83</x:v>
      </x:c>
      <x:c r="F1261" s="7" t="str">
        <x:f>'Neighbor Proofs'!K83</x:f>
        <x:v>OPEN</x:v>
      </x:c>
    </x:row>
    <x:row r="1262">
      <x:c r="B1262" s="7" t="str">
        <x:v>PHY-1256</x:v>
      </x:c>
      <x:c r="C1262" s="7" t="str">
        <x:v>neighbor proof</x:v>
      </x:c>
      <x:c r="D1262" s="7" t="str">
        <x:v>RAE-E-26-CUN</x:v>
      </x:c>
      <x:c r="E1262" s="7" t="str">
        <x:v>Neighbor Proofs!K84</x:v>
      </x:c>
      <x:c r="F1262" s="7" t="str">
        <x:f>'Neighbor Proofs'!K84</x:f>
        <x:v>OPEN</x:v>
      </x:c>
    </x:row>
    <x:row r="1263">
      <x:c r="B1263" s="7" t="str">
        <x:v>PHY-1257</x:v>
      </x:c>
      <x:c r="C1263" s="7" t="str">
        <x:v>neighbor proof</x:v>
      </x:c>
      <x:c r="D1263" s="7" t="str">
        <x:v>RAE-E-27-LN</x:v>
      </x:c>
      <x:c r="E1263" s="7" t="str">
        <x:v>Neighbor Proofs!K85</x:v>
      </x:c>
      <x:c r="F1263" s="7" t="str">
        <x:f>'Neighbor Proofs'!K85</x:f>
        <x:v>OPEN</x:v>
      </x:c>
    </x:row>
    <x:row r="1264">
      <x:c r="B1264" s="7" t="str">
        <x:v>PHY-1258</x:v>
      </x:c>
      <x:c r="C1264" s="7" t="str">
        <x:v>neighbor proof</x:v>
      </x:c>
      <x:c r="D1264" s="7" t="str">
        <x:v>RAE-E-27-RN</x:v>
      </x:c>
      <x:c r="E1264" s="7" t="str">
        <x:v>Neighbor Proofs!K86</x:v>
      </x:c>
      <x:c r="F1264" s="7" t="str">
        <x:f>'Neighbor Proofs'!K86</x:f>
        <x:v>OPEN</x:v>
      </x:c>
    </x:row>
    <x:row r="1265">
      <x:c r="B1265" s="7" t="str">
        <x:v>PHY-1259</x:v>
      </x:c>
      <x:c r="C1265" s="7" t="str">
        <x:v>neighbor proof</x:v>
      </x:c>
      <x:c r="D1265" s="7" t="str">
        <x:v>RAE-E-27-CUN</x:v>
      </x:c>
      <x:c r="E1265" s="7" t="str">
        <x:v>Neighbor Proofs!K87</x:v>
      </x:c>
      <x:c r="F1265" s="7" t="str">
        <x:f>'Neighbor Proofs'!K87</x:f>
        <x:v>OPEN</x:v>
      </x:c>
    </x:row>
    <x:row r="1266">
      <x:c r="B1266" s="7" t="str">
        <x:v>PHY-1260</x:v>
      </x:c>
      <x:c r="C1266" s="7" t="str">
        <x:v>neighbor proof</x:v>
      </x:c>
      <x:c r="D1266" s="7" t="str">
        <x:v>RAE-E-28-LN</x:v>
      </x:c>
      <x:c r="E1266" s="7" t="str">
        <x:v>Neighbor Proofs!K88</x:v>
      </x:c>
      <x:c r="F1266" s="7" t="str">
        <x:f>'Neighbor Proofs'!K88</x:f>
        <x:v>OPEN</x:v>
      </x:c>
    </x:row>
    <x:row r="1267">
      <x:c r="B1267" s="7" t="str">
        <x:v>PHY-1261</x:v>
      </x:c>
      <x:c r="C1267" s="7" t="str">
        <x:v>neighbor proof</x:v>
      </x:c>
      <x:c r="D1267" s="7" t="str">
        <x:v>RAE-E-28-RN</x:v>
      </x:c>
      <x:c r="E1267" s="7" t="str">
        <x:v>Neighbor Proofs!K89</x:v>
      </x:c>
      <x:c r="F1267" s="7" t="str">
        <x:f>'Neighbor Proofs'!K89</x:f>
        <x:v>OPEN</x:v>
      </x:c>
    </x:row>
    <x:row r="1268">
      <x:c r="B1268" s="7" t="str">
        <x:v>PHY-1262</x:v>
      </x:c>
      <x:c r="C1268" s="7" t="str">
        <x:v>neighbor proof</x:v>
      </x:c>
      <x:c r="D1268" s="7" t="str">
        <x:v>RAE-E-28-CUN</x:v>
      </x:c>
      <x:c r="E1268" s="7" t="str">
        <x:v>Neighbor Proofs!K90</x:v>
      </x:c>
      <x:c r="F1268" s="7" t="str">
        <x:f>'Neighbor Proofs'!K90</x:f>
        <x:v>OPEN</x:v>
      </x:c>
    </x:row>
    <x:row r="1269">
      <x:c r="B1269" s="7" t="str">
        <x:v>PHY-1263</x:v>
      </x:c>
      <x:c r="C1269" s="7" t="str">
        <x:v>neighbor proof</x:v>
      </x:c>
      <x:c r="D1269" s="7" t="str">
        <x:v>RAE-E-29-LN</x:v>
      </x:c>
      <x:c r="E1269" s="7" t="str">
        <x:v>Neighbor Proofs!K91</x:v>
      </x:c>
      <x:c r="F1269" s="7" t="str">
        <x:f>'Neighbor Proofs'!K91</x:f>
        <x:v>OPEN</x:v>
      </x:c>
    </x:row>
    <x:row r="1270">
      <x:c r="B1270" s="7" t="str">
        <x:v>PHY-1264</x:v>
      </x:c>
      <x:c r="C1270" s="7" t="str">
        <x:v>neighbor proof</x:v>
      </x:c>
      <x:c r="D1270" s="7" t="str">
        <x:v>RAE-E-29-RN</x:v>
      </x:c>
      <x:c r="E1270" s="7" t="str">
        <x:v>Neighbor Proofs!K92</x:v>
      </x:c>
      <x:c r="F1270" s="7" t="str">
        <x:f>'Neighbor Proofs'!K92</x:f>
        <x:v>OPEN</x:v>
      </x:c>
    </x:row>
    <x:row r="1271">
      <x:c r="B1271" s="7" t="str">
        <x:v>PHY-1265</x:v>
      </x:c>
      <x:c r="C1271" s="7" t="str">
        <x:v>neighbor proof</x:v>
      </x:c>
      <x:c r="D1271" s="7" t="str">
        <x:v>RAE-E-29-CUN</x:v>
      </x:c>
      <x:c r="E1271" s="7" t="str">
        <x:v>Neighbor Proofs!K93</x:v>
      </x:c>
      <x:c r="F1271" s="7" t="str">
        <x:f>'Neighbor Proofs'!K93</x:f>
        <x:v>OPEN</x:v>
      </x:c>
    </x:row>
    <x:row r="1272">
      <x:c r="B1272" s="7" t="str">
        <x:v>PHY-1266</x:v>
      </x:c>
      <x:c r="C1272" s="7" t="str">
        <x:v>neighbor proof</x:v>
      </x:c>
      <x:c r="D1272" s="7" t="str">
        <x:v>RAE-E-30-LN</x:v>
      </x:c>
      <x:c r="E1272" s="7" t="str">
        <x:v>Neighbor Proofs!K94</x:v>
      </x:c>
      <x:c r="F1272" s="7" t="str">
        <x:f>'Neighbor Proofs'!K94</x:f>
        <x:v>OPEN</x:v>
      </x:c>
    </x:row>
    <x:row r="1273">
      <x:c r="B1273" s="7" t="str">
        <x:v>PHY-1267</x:v>
      </x:c>
      <x:c r="C1273" s="7" t="str">
        <x:v>neighbor proof</x:v>
      </x:c>
      <x:c r="D1273" s="7" t="str">
        <x:v>RAE-E-30-RN</x:v>
      </x:c>
      <x:c r="E1273" s="7" t="str">
        <x:v>Neighbor Proofs!K95</x:v>
      </x:c>
      <x:c r="F1273" s="7" t="str">
        <x:f>'Neighbor Proofs'!K95</x:f>
        <x:v>OPEN</x:v>
      </x:c>
    </x:row>
    <x:row r="1274">
      <x:c r="B1274" s="7" t="str">
        <x:v>PHY-1268</x:v>
      </x:c>
      <x:c r="C1274" s="7" t="str">
        <x:v>neighbor proof</x:v>
      </x:c>
      <x:c r="D1274" s="7" t="str">
        <x:v>RAE-E-30-CUN</x:v>
      </x:c>
      <x:c r="E1274" s="7" t="str">
        <x:v>Neighbor Proofs!K96</x:v>
      </x:c>
      <x:c r="F1274" s="7" t="str">
        <x:f>'Neighbor Proofs'!K96</x:f>
        <x:v>OPEN</x:v>
      </x:c>
    </x:row>
    <x:row r="1275">
      <x:c r="B1275" s="7" t="str">
        <x:v>PHY-1269</x:v>
      </x:c>
      <x:c r="C1275" s="7" t="str">
        <x:v>neighbor proof</x:v>
      </x:c>
      <x:c r="D1275" s="7" t="str">
        <x:v>RAE-E-31-LN</x:v>
      </x:c>
      <x:c r="E1275" s="7" t="str">
        <x:v>Neighbor Proofs!K97</x:v>
      </x:c>
      <x:c r="F1275" s="7" t="str">
        <x:f>'Neighbor Proofs'!K97</x:f>
        <x:v>OPEN</x:v>
      </x:c>
    </x:row>
    <x:row r="1276">
      <x:c r="B1276" s="7" t="str">
        <x:v>PHY-1270</x:v>
      </x:c>
      <x:c r="C1276" s="7" t="str">
        <x:v>neighbor proof</x:v>
      </x:c>
      <x:c r="D1276" s="7" t="str">
        <x:v>RAE-E-31-RN</x:v>
      </x:c>
      <x:c r="E1276" s="7" t="str">
        <x:v>Neighbor Proofs!K98</x:v>
      </x:c>
      <x:c r="F1276" s="7" t="str">
        <x:f>'Neighbor Proofs'!K98</x:f>
        <x:v>OPEN</x:v>
      </x:c>
    </x:row>
    <x:row r="1277">
      <x:c r="B1277" s="7" t="str">
        <x:v>PHY-1271</x:v>
      </x:c>
      <x:c r="C1277" s="7" t="str">
        <x:v>neighbor proof</x:v>
      </x:c>
      <x:c r="D1277" s="7" t="str">
        <x:v>RAE-E-31-CUN</x:v>
      </x:c>
      <x:c r="E1277" s="7" t="str">
        <x:v>Neighbor Proofs!K99</x:v>
      </x:c>
      <x:c r="F1277" s="7" t="str">
        <x:f>'Neighbor Proofs'!K99</x:f>
        <x:v>OPEN</x:v>
      </x:c>
    </x:row>
    <x:row r="1278">
      <x:c r="B1278" s="7" t="str">
        <x:v>PHY-1272</x:v>
      </x:c>
      <x:c r="C1278" s="7" t="str">
        <x:v>neighbor proof</x:v>
      </x:c>
      <x:c r="D1278" s="7" t="str">
        <x:v>RAE-E-32-LN</x:v>
      </x:c>
      <x:c r="E1278" s="7" t="str">
        <x:v>Neighbor Proofs!K100</x:v>
      </x:c>
      <x:c r="F1278" s="7" t="str">
        <x:f>'Neighbor Proofs'!K100</x:f>
        <x:v>OPEN</x:v>
      </x:c>
    </x:row>
    <x:row r="1279">
      <x:c r="B1279" s="7" t="str">
        <x:v>PHY-1273</x:v>
      </x:c>
      <x:c r="C1279" s="7" t="str">
        <x:v>neighbor proof</x:v>
      </x:c>
      <x:c r="D1279" s="7" t="str">
        <x:v>RAE-E-32-RN</x:v>
      </x:c>
      <x:c r="E1279" s="7" t="str">
        <x:v>Neighbor Proofs!K101</x:v>
      </x:c>
      <x:c r="F1279" s="7" t="str">
        <x:f>'Neighbor Proofs'!K101</x:f>
        <x:v>OPEN</x:v>
      </x:c>
    </x:row>
    <x:row r="1280">
      <x:c r="B1280" s="7" t="str">
        <x:v>PHY-1274</x:v>
      </x:c>
      <x:c r="C1280" s="7" t="str">
        <x:v>neighbor proof</x:v>
      </x:c>
      <x:c r="D1280" s="7" t="str">
        <x:v>RAE-E-32-CUN</x:v>
      </x:c>
      <x:c r="E1280" s="7" t="str">
        <x:v>Neighbor Proofs!K102</x:v>
      </x:c>
      <x:c r="F1280" s="7" t="str">
        <x:f>'Neighbor Proofs'!K102</x:f>
        <x:v>OPEN</x:v>
      </x:c>
    </x:row>
    <x:row r="1281">
      <x:c r="B1281" s="7" t="str">
        <x:v>PHY-1275</x:v>
      </x:c>
      <x:c r="C1281" s="7" t="str">
        <x:v>neighbor proof</x:v>
      </x:c>
      <x:c r="D1281" s="7" t="str">
        <x:v>RAE-E-33-LN</x:v>
      </x:c>
      <x:c r="E1281" s="7" t="str">
        <x:v>Neighbor Proofs!K103</x:v>
      </x:c>
      <x:c r="F1281" s="7" t="str">
        <x:f>'Neighbor Proofs'!K103</x:f>
        <x:v>OPEN</x:v>
      </x:c>
    </x:row>
    <x:row r="1282">
      <x:c r="B1282" s="7" t="str">
        <x:v>PHY-1276</x:v>
      </x:c>
      <x:c r="C1282" s="7" t="str">
        <x:v>neighbor proof</x:v>
      </x:c>
      <x:c r="D1282" s="7" t="str">
        <x:v>RAE-E-33-RN</x:v>
      </x:c>
      <x:c r="E1282" s="7" t="str">
        <x:v>Neighbor Proofs!K104</x:v>
      </x:c>
      <x:c r="F1282" s="7" t="str">
        <x:f>'Neighbor Proofs'!K104</x:f>
        <x:v>OPEN</x:v>
      </x:c>
    </x:row>
    <x:row r="1283">
      <x:c r="B1283" s="7" t="str">
        <x:v>PHY-1277</x:v>
      </x:c>
      <x:c r="C1283" s="7" t="str">
        <x:v>neighbor proof</x:v>
      </x:c>
      <x:c r="D1283" s="7" t="str">
        <x:v>RAE-E-33-CUN</x:v>
      </x:c>
      <x:c r="E1283" s="7" t="str">
        <x:v>Neighbor Proofs!K105</x:v>
      </x:c>
      <x:c r="F1283" s="7" t="str">
        <x:f>'Neighbor Proofs'!K105</x:f>
        <x:v>OPEN</x:v>
      </x:c>
    </x:row>
    <x:row r="1284">
      <x:c r="B1284" s="7" t="str">
        <x:v>PHY-1278</x:v>
      </x:c>
      <x:c r="C1284" s="7" t="str">
        <x:v>neighbor proof</x:v>
      </x:c>
      <x:c r="D1284" s="7" t="str">
        <x:v>RAE-E-34-LN</x:v>
      </x:c>
      <x:c r="E1284" s="7" t="str">
        <x:v>Neighbor Proofs!K106</x:v>
      </x:c>
      <x:c r="F1284" s="7" t="str">
        <x:f>'Neighbor Proofs'!K106</x:f>
        <x:v>OPEN</x:v>
      </x:c>
    </x:row>
    <x:row r="1285">
      <x:c r="B1285" s="7" t="str">
        <x:v>PHY-1279</x:v>
      </x:c>
      <x:c r="C1285" s="7" t="str">
        <x:v>neighbor proof</x:v>
      </x:c>
      <x:c r="D1285" s="7" t="str">
        <x:v>RAE-E-34-RN</x:v>
      </x:c>
      <x:c r="E1285" s="7" t="str">
        <x:v>Neighbor Proofs!K107</x:v>
      </x:c>
      <x:c r="F1285" s="7" t="str">
        <x:f>'Neighbor Proofs'!K107</x:f>
        <x:v>OPEN</x:v>
      </x:c>
    </x:row>
    <x:row r="1286">
      <x:c r="B1286" s="7" t="str">
        <x:v>PHY-1280</x:v>
      </x:c>
      <x:c r="C1286" s="7" t="str">
        <x:v>neighbor proof</x:v>
      </x:c>
      <x:c r="D1286" s="7" t="str">
        <x:v>RAE-E-34-CUN</x:v>
      </x:c>
      <x:c r="E1286" s="7" t="str">
        <x:v>Neighbor Proofs!K108</x:v>
      </x:c>
      <x:c r="F1286" s="7" t="str">
        <x:f>'Neighbor Proofs'!K108</x:f>
        <x:v>OPEN</x:v>
      </x:c>
    </x:row>
    <x:row r="1287">
      <x:c r="B1287" s="7" t="str">
        <x:v>PHY-1281</x:v>
      </x:c>
      <x:c r="C1287" s="7" t="str">
        <x:v>neighbor proof</x:v>
      </x:c>
      <x:c r="D1287" s="7" t="str">
        <x:v>RAE-E-35-LN</x:v>
      </x:c>
      <x:c r="E1287" s="7" t="str">
        <x:v>Neighbor Proofs!K109</x:v>
      </x:c>
      <x:c r="F1287" s="7" t="str">
        <x:f>'Neighbor Proofs'!K109</x:f>
        <x:v>OPEN</x:v>
      </x:c>
    </x:row>
    <x:row r="1288">
      <x:c r="B1288" s="7" t="str">
        <x:v>PHY-1282</x:v>
      </x:c>
      <x:c r="C1288" s="7" t="str">
        <x:v>neighbor proof</x:v>
      </x:c>
      <x:c r="D1288" s="7" t="str">
        <x:v>RAE-E-35-RN</x:v>
      </x:c>
      <x:c r="E1288" s="7" t="str">
        <x:v>Neighbor Proofs!K110</x:v>
      </x:c>
      <x:c r="F1288" s="7" t="str">
        <x:f>'Neighbor Proofs'!K110</x:f>
        <x:v>OPEN</x:v>
      </x:c>
    </x:row>
    <x:row r="1289">
      <x:c r="B1289" s="7" t="str">
        <x:v>PHY-1283</x:v>
      </x:c>
      <x:c r="C1289" s="7" t="str">
        <x:v>neighbor proof</x:v>
      </x:c>
      <x:c r="D1289" s="7" t="str">
        <x:v>RAE-E-35-CUN</x:v>
      </x:c>
      <x:c r="E1289" s="7" t="str">
        <x:v>Neighbor Proofs!K111</x:v>
      </x:c>
      <x:c r="F1289" s="7" t="str">
        <x:f>'Neighbor Proofs'!K111</x:f>
        <x:v>OPEN</x:v>
      </x:c>
    </x:row>
    <x:row r="1290">
      <x:c r="B1290" s="7" t="str">
        <x:v>PHY-1284</x:v>
      </x:c>
      <x:c r="C1290" s="7" t="str">
        <x:v>neighbor proof</x:v>
      </x:c>
      <x:c r="D1290" s="7" t="str">
        <x:v>RAE-E-36-LN</x:v>
      </x:c>
      <x:c r="E1290" s="7" t="str">
        <x:v>Neighbor Proofs!K112</x:v>
      </x:c>
      <x:c r="F1290" s="7" t="str">
        <x:f>'Neighbor Proofs'!K112</x:f>
        <x:v>OPEN</x:v>
      </x:c>
    </x:row>
    <x:row r="1291">
      <x:c r="B1291" s="7" t="str">
        <x:v>PHY-1285</x:v>
      </x:c>
      <x:c r="C1291" s="7" t="str">
        <x:v>neighbor proof</x:v>
      </x:c>
      <x:c r="D1291" s="7" t="str">
        <x:v>RAE-E-36-RN</x:v>
      </x:c>
      <x:c r="E1291" s="7" t="str">
        <x:v>Neighbor Proofs!K113</x:v>
      </x:c>
      <x:c r="F1291" s="7" t="str">
        <x:f>'Neighbor Proofs'!K113</x:f>
        <x:v>OPEN</x:v>
      </x:c>
    </x:row>
    <x:row r="1292">
      <x:c r="B1292" s="7" t="str">
        <x:v>PHY-1286</x:v>
      </x:c>
      <x:c r="C1292" s="7" t="str">
        <x:v>neighbor proof</x:v>
      </x:c>
      <x:c r="D1292" s="7" t="str">
        <x:v>RAE-E-36-CUN</x:v>
      </x:c>
      <x:c r="E1292" s="7" t="str">
        <x:v>Neighbor Proofs!K114</x:v>
      </x:c>
      <x:c r="F1292" s="7" t="str">
        <x:f>'Neighbor Proofs'!K114</x:f>
        <x:v>OPEN</x:v>
      </x:c>
    </x:row>
    <x:row r="1293">
      <x:c r="B1293" s="7" t="str">
        <x:v>PHY-1287</x:v>
      </x:c>
      <x:c r="C1293" s="7" t="str">
        <x:v>neighbor proof</x:v>
      </x:c>
      <x:c r="D1293" s="7" t="str">
        <x:v>RAE-E-37-LN</x:v>
      </x:c>
      <x:c r="E1293" s="7" t="str">
        <x:v>Neighbor Proofs!K115</x:v>
      </x:c>
      <x:c r="F1293" s="7" t="str">
        <x:f>'Neighbor Proofs'!K115</x:f>
        <x:v>OPEN</x:v>
      </x:c>
    </x:row>
    <x:row r="1294">
      <x:c r="B1294" s="7" t="str">
        <x:v>PHY-1288</x:v>
      </x:c>
      <x:c r="C1294" s="7" t="str">
        <x:v>neighbor proof</x:v>
      </x:c>
      <x:c r="D1294" s="7" t="str">
        <x:v>RAE-E-37-RN</x:v>
      </x:c>
      <x:c r="E1294" s="7" t="str">
        <x:v>Neighbor Proofs!K116</x:v>
      </x:c>
      <x:c r="F1294" s="7" t="str">
        <x:f>'Neighbor Proofs'!K116</x:f>
        <x:v>OPEN</x:v>
      </x:c>
    </x:row>
    <x:row r="1295">
      <x:c r="B1295" s="7" t="str">
        <x:v>PHY-1289</x:v>
      </x:c>
      <x:c r="C1295" s="7" t="str">
        <x:v>neighbor proof</x:v>
      </x:c>
      <x:c r="D1295" s="7" t="str">
        <x:v>RAE-E-37-CUN</x:v>
      </x:c>
      <x:c r="E1295" s="7" t="str">
        <x:v>Neighbor Proofs!K117</x:v>
      </x:c>
      <x:c r="F1295" s="7" t="str">
        <x:f>'Neighbor Proofs'!K117</x:f>
        <x:v>OPEN</x:v>
      </x:c>
    </x:row>
    <x:row r="1296">
      <x:c r="B1296" s="7" t="str">
        <x:v>PHY-1290</x:v>
      </x:c>
      <x:c r="C1296" s="7" t="str">
        <x:v>neighbor proof</x:v>
      </x:c>
      <x:c r="D1296" s="7" t="str">
        <x:v>RAE-E-38-LN</x:v>
      </x:c>
      <x:c r="E1296" s="7" t="str">
        <x:v>Neighbor Proofs!K118</x:v>
      </x:c>
      <x:c r="F1296" s="7" t="str">
        <x:f>'Neighbor Proofs'!K118</x:f>
        <x:v>OPEN</x:v>
      </x:c>
    </x:row>
    <x:row r="1297">
      <x:c r="B1297" s="7" t="str">
        <x:v>PHY-1291</x:v>
      </x:c>
      <x:c r="C1297" s="7" t="str">
        <x:v>neighbor proof</x:v>
      </x:c>
      <x:c r="D1297" s="7" t="str">
        <x:v>RAE-E-38-RN</x:v>
      </x:c>
      <x:c r="E1297" s="7" t="str">
        <x:v>Neighbor Proofs!K119</x:v>
      </x:c>
      <x:c r="F1297" s="7" t="str">
        <x:f>'Neighbor Proofs'!K119</x:f>
        <x:v>OPEN</x:v>
      </x:c>
    </x:row>
    <x:row r="1298">
      <x:c r="B1298" s="7" t="str">
        <x:v>PHY-1292</x:v>
      </x:c>
      <x:c r="C1298" s="7" t="str">
        <x:v>neighbor proof</x:v>
      </x:c>
      <x:c r="D1298" s="7" t="str">
        <x:v>RAE-E-38-CUN</x:v>
      </x:c>
      <x:c r="E1298" s="7" t="str">
        <x:v>Neighbor Proofs!K120</x:v>
      </x:c>
      <x:c r="F1298" s="7" t="str">
        <x:f>'Neighbor Proofs'!K120</x:f>
        <x:v>OPEN</x:v>
      </x:c>
    </x:row>
    <x:row r="1299">
      <x:c r="B1299" s="7" t="str">
        <x:v>PHY-1293</x:v>
      </x:c>
      <x:c r="C1299" s="7" t="str">
        <x:v>neighbor proof</x:v>
      </x:c>
      <x:c r="D1299" s="7" t="str">
        <x:v>RAE-E-39-LN</x:v>
      </x:c>
      <x:c r="E1299" s="7" t="str">
        <x:v>Neighbor Proofs!K121</x:v>
      </x:c>
      <x:c r="F1299" s="7" t="str">
        <x:f>'Neighbor Proofs'!K121</x:f>
        <x:v>OPEN</x:v>
      </x:c>
    </x:row>
    <x:row r="1300">
      <x:c r="B1300" s="7" t="str">
        <x:v>PHY-1294</x:v>
      </x:c>
      <x:c r="C1300" s="7" t="str">
        <x:v>neighbor proof</x:v>
      </x:c>
      <x:c r="D1300" s="7" t="str">
        <x:v>RAE-E-39-RN</x:v>
      </x:c>
      <x:c r="E1300" s="7" t="str">
        <x:v>Neighbor Proofs!K122</x:v>
      </x:c>
      <x:c r="F1300" s="7" t="str">
        <x:f>'Neighbor Proofs'!K122</x:f>
        <x:v>OPEN</x:v>
      </x:c>
    </x:row>
    <x:row r="1301">
      <x:c r="B1301" s="7" t="str">
        <x:v>PHY-1295</x:v>
      </x:c>
      <x:c r="C1301" s="7" t="str">
        <x:v>neighbor proof</x:v>
      </x:c>
      <x:c r="D1301" s="7" t="str">
        <x:v>RAE-E-39-CUN</x:v>
      </x:c>
      <x:c r="E1301" s="7" t="str">
        <x:v>Neighbor Proofs!K123</x:v>
      </x:c>
      <x:c r="F1301" s="7" t="str">
        <x:f>'Neighbor Proofs'!K123</x:f>
        <x:v>OPEN</x:v>
      </x:c>
    </x:row>
    <x:row r="1302">
      <x:c r="B1302" s="7" t="str">
        <x:v>PHY-1296</x:v>
      </x:c>
      <x:c r="C1302" s="7" t="str">
        <x:v>neighbor proof</x:v>
      </x:c>
      <x:c r="D1302" s="7" t="str">
        <x:v>RAE-E-40-LN</x:v>
      </x:c>
      <x:c r="E1302" s="7" t="str">
        <x:v>Neighbor Proofs!K124</x:v>
      </x:c>
      <x:c r="F1302" s="7" t="str">
        <x:f>'Neighbor Proofs'!K124</x:f>
        <x:v>OPEN</x:v>
      </x:c>
    </x:row>
    <x:row r="1303">
      <x:c r="B1303" s="7" t="str">
        <x:v>PHY-1297</x:v>
      </x:c>
      <x:c r="C1303" s="7" t="str">
        <x:v>neighbor proof</x:v>
      </x:c>
      <x:c r="D1303" s="7" t="str">
        <x:v>RAE-E-40-RN</x:v>
      </x:c>
      <x:c r="E1303" s="7" t="str">
        <x:v>Neighbor Proofs!K125</x:v>
      </x:c>
      <x:c r="F1303" s="7" t="str">
        <x:f>'Neighbor Proofs'!K125</x:f>
        <x:v>OPEN</x:v>
      </x:c>
    </x:row>
    <x:row r="1304">
      <x:c r="B1304" s="7" t="str">
        <x:v>PHY-1298</x:v>
      </x:c>
      <x:c r="C1304" s="7" t="str">
        <x:v>neighbor proof</x:v>
      </x:c>
      <x:c r="D1304" s="7" t="str">
        <x:v>RAE-E-40-CUN</x:v>
      </x:c>
      <x:c r="E1304" s="7" t="str">
        <x:v>Neighbor Proofs!K126</x:v>
      </x:c>
      <x:c r="F1304" s="7" t="str">
        <x:f>'Neighbor Proofs'!K126</x:f>
        <x:v>OPEN</x:v>
      </x:c>
    </x:row>
    <x:row r="1305">
      <x:c r="B1305" s="7" t="str">
        <x:v>PHY-1299</x:v>
      </x:c>
      <x:c r="C1305" s="7" t="str">
        <x:v>neighbor proof</x:v>
      </x:c>
      <x:c r="D1305" s="7" t="str">
        <x:v>RAE-E-41-LN</x:v>
      </x:c>
      <x:c r="E1305" s="7" t="str">
        <x:v>Neighbor Proofs!K127</x:v>
      </x:c>
      <x:c r="F1305" s="7" t="str">
        <x:f>'Neighbor Proofs'!K127</x:f>
        <x:v>OPEN</x:v>
      </x:c>
    </x:row>
    <x:row r="1306">
      <x:c r="B1306" s="7" t="str">
        <x:v>PHY-1300</x:v>
      </x:c>
      <x:c r="C1306" s="7" t="str">
        <x:v>neighbor proof</x:v>
      </x:c>
      <x:c r="D1306" s="7" t="str">
        <x:v>RAE-E-41-RN</x:v>
      </x:c>
      <x:c r="E1306" s="7" t="str">
        <x:v>Neighbor Proofs!K128</x:v>
      </x:c>
      <x:c r="F1306" s="7" t="str">
        <x:f>'Neighbor Proofs'!K128</x:f>
        <x:v>OPEN</x:v>
      </x:c>
    </x:row>
    <x:row r="1307">
      <x:c r="B1307" s="7" t="str">
        <x:v>PHY-1301</x:v>
      </x:c>
      <x:c r="C1307" s="7" t="str">
        <x:v>neighbor proof</x:v>
      </x:c>
      <x:c r="D1307" s="7" t="str">
        <x:v>RAE-E-41-CUN</x:v>
      </x:c>
      <x:c r="E1307" s="7" t="str">
        <x:v>Neighbor Proofs!K129</x:v>
      </x:c>
      <x:c r="F1307" s="7" t="str">
        <x:f>'Neighbor Proofs'!K129</x:f>
        <x:v>OPEN</x:v>
      </x:c>
    </x:row>
    <x:row r="1308">
      <x:c r="B1308" s="7" t="str">
        <x:v>PHY-1302</x:v>
      </x:c>
      <x:c r="C1308" s="7" t="str">
        <x:v>neighbor proof</x:v>
      </x:c>
      <x:c r="D1308" s="7" t="str">
        <x:v>RAE-E-42-LN</x:v>
      </x:c>
      <x:c r="E1308" s="7" t="str">
        <x:v>Neighbor Proofs!K130</x:v>
      </x:c>
      <x:c r="F1308" s="7" t="str">
        <x:f>'Neighbor Proofs'!K130</x:f>
        <x:v>OPEN</x:v>
      </x:c>
    </x:row>
    <x:row r="1309">
      <x:c r="B1309" s="7" t="str">
        <x:v>PHY-1303</x:v>
      </x:c>
      <x:c r="C1309" s="7" t="str">
        <x:v>neighbor proof</x:v>
      </x:c>
      <x:c r="D1309" s="7" t="str">
        <x:v>RAE-E-42-RN</x:v>
      </x:c>
      <x:c r="E1309" s="7" t="str">
        <x:v>Neighbor Proofs!K131</x:v>
      </x:c>
      <x:c r="F1309" s="7" t="str">
        <x:f>'Neighbor Proofs'!K131</x:f>
        <x:v>OPEN</x:v>
      </x:c>
    </x:row>
    <x:row r="1310">
      <x:c r="B1310" s="7" t="str">
        <x:v>PHY-1304</x:v>
      </x:c>
      <x:c r="C1310" s="7" t="str">
        <x:v>neighbor proof</x:v>
      </x:c>
      <x:c r="D1310" s="7" t="str">
        <x:v>RAE-E-42-CUN</x:v>
      </x:c>
      <x:c r="E1310" s="7" t="str">
        <x:v>Neighbor Proofs!K132</x:v>
      </x:c>
      <x:c r="F1310" s="7" t="str">
        <x:f>'Neighbor Proofs'!K132</x:f>
        <x:v>OPEN</x:v>
      </x:c>
    </x:row>
    <x:row r="1311">
      <x:c r="B1311" s="7" t="str">
        <x:v>PHY-1305</x:v>
      </x:c>
      <x:c r="C1311" s="7" t="str">
        <x:v>neighbor proof</x:v>
      </x:c>
      <x:c r="D1311" s="7" t="str">
        <x:v>RAE-E-43-LN</x:v>
      </x:c>
      <x:c r="E1311" s="7" t="str">
        <x:v>Neighbor Proofs!K133</x:v>
      </x:c>
      <x:c r="F1311" s="7" t="str">
        <x:f>'Neighbor Proofs'!K133</x:f>
        <x:v>OPEN</x:v>
      </x:c>
    </x:row>
    <x:row r="1312">
      <x:c r="B1312" s="7" t="str">
        <x:v>PHY-1306</x:v>
      </x:c>
      <x:c r="C1312" s="7" t="str">
        <x:v>neighbor proof</x:v>
      </x:c>
      <x:c r="D1312" s="7" t="str">
        <x:v>RAE-E-43-RN</x:v>
      </x:c>
      <x:c r="E1312" s="7" t="str">
        <x:v>Neighbor Proofs!K134</x:v>
      </x:c>
      <x:c r="F1312" s="7" t="str">
        <x:f>'Neighbor Proofs'!K134</x:f>
        <x:v>OPEN</x:v>
      </x:c>
    </x:row>
    <x:row r="1313">
      <x:c r="B1313" s="7" t="str">
        <x:v>PHY-1307</x:v>
      </x:c>
      <x:c r="C1313" s="7" t="str">
        <x:v>neighbor proof</x:v>
      </x:c>
      <x:c r="D1313" s="7" t="str">
        <x:v>RAE-E-43-CUN</x:v>
      </x:c>
      <x:c r="E1313" s="7" t="str">
        <x:v>Neighbor Proofs!K135</x:v>
      </x:c>
      <x:c r="F1313" s="7" t="str">
        <x:f>'Neighbor Proofs'!K135</x:f>
        <x:v>OPEN</x:v>
      </x:c>
    </x:row>
    <x:row r="1314">
      <x:c r="B1314" s="7" t="str">
        <x:v>PHY-1308</x:v>
      </x:c>
      <x:c r="C1314" s="7" t="str">
        <x:v>neighbor proof</x:v>
      </x:c>
      <x:c r="D1314" s="7" t="str">
        <x:v>RAE-E-44-LN</x:v>
      </x:c>
      <x:c r="E1314" s="7" t="str">
        <x:v>Neighbor Proofs!K136</x:v>
      </x:c>
      <x:c r="F1314" s="7" t="str">
        <x:f>'Neighbor Proofs'!K136</x:f>
        <x:v>OPEN</x:v>
      </x:c>
    </x:row>
    <x:row r="1315">
      <x:c r="B1315" s="7" t="str">
        <x:v>PHY-1309</x:v>
      </x:c>
      <x:c r="C1315" s="7" t="str">
        <x:v>neighbor proof</x:v>
      </x:c>
      <x:c r="D1315" s="7" t="str">
        <x:v>RAE-E-44-RN</x:v>
      </x:c>
      <x:c r="E1315" s="7" t="str">
        <x:v>Neighbor Proofs!K137</x:v>
      </x:c>
      <x:c r="F1315" s="7" t="str">
        <x:f>'Neighbor Proofs'!K137</x:f>
        <x:v>OPEN</x:v>
      </x:c>
    </x:row>
    <x:row r="1316">
      <x:c r="B1316" s="7" t="str">
        <x:v>PHY-1310</x:v>
      </x:c>
      <x:c r="C1316" s="7" t="str">
        <x:v>neighbor proof</x:v>
      </x:c>
      <x:c r="D1316" s="7" t="str">
        <x:v>RAE-E-44-CUN</x:v>
      </x:c>
      <x:c r="E1316" s="7" t="str">
        <x:v>Neighbor Proofs!K138</x:v>
      </x:c>
      <x:c r="F1316" s="7" t="str">
        <x:f>'Neighbor Proofs'!K138</x:f>
        <x:v>OPEN</x:v>
      </x:c>
    </x:row>
    <x:row r="1317">
      <x:c r="B1317" s="7" t="str">
        <x:v>PHY-1311</x:v>
      </x:c>
      <x:c r="C1317" s="7" t="str">
        <x:v>neighbor proof</x:v>
      </x:c>
      <x:c r="D1317" s="7" t="str">
        <x:v>RAE-E-45-LN</x:v>
      </x:c>
      <x:c r="E1317" s="7" t="str">
        <x:v>Neighbor Proofs!K139</x:v>
      </x:c>
      <x:c r="F1317" s="7" t="str">
        <x:f>'Neighbor Proofs'!K139</x:f>
        <x:v>OPEN</x:v>
      </x:c>
    </x:row>
    <x:row r="1318">
      <x:c r="B1318" s="7" t="str">
        <x:v>PHY-1312</x:v>
      </x:c>
      <x:c r="C1318" s="7" t="str">
        <x:v>neighbor proof</x:v>
      </x:c>
      <x:c r="D1318" s="7" t="str">
        <x:v>RAE-E-45-RN</x:v>
      </x:c>
      <x:c r="E1318" s="7" t="str">
        <x:v>Neighbor Proofs!K140</x:v>
      </x:c>
      <x:c r="F1318" s="7" t="str">
        <x:f>'Neighbor Proofs'!K140</x:f>
        <x:v>OPEN</x:v>
      </x:c>
    </x:row>
    <x:row r="1319">
      <x:c r="B1319" s="7" t="str">
        <x:v>PHY-1313</x:v>
      </x:c>
      <x:c r="C1319" s="7" t="str">
        <x:v>neighbor proof</x:v>
      </x:c>
      <x:c r="D1319" s="7" t="str">
        <x:v>RAE-E-45-CUN</x:v>
      </x:c>
      <x:c r="E1319" s="7" t="str">
        <x:v>Neighbor Proofs!K141</x:v>
      </x:c>
      <x:c r="F1319" s="7" t="str">
        <x:f>'Neighbor Proofs'!K141</x:f>
        <x:v>OPEN</x:v>
      </x:c>
    </x:row>
    <x:row r="1320">
      <x:c r="B1320" s="7" t="str">
        <x:v>PHY-1314</x:v>
      </x:c>
      <x:c r="C1320" s="7" t="str">
        <x:v>neighbor proof</x:v>
      </x:c>
      <x:c r="D1320" s="7" t="str">
        <x:v>RAE-E-46-LN</x:v>
      </x:c>
      <x:c r="E1320" s="7" t="str">
        <x:v>Neighbor Proofs!K142</x:v>
      </x:c>
      <x:c r="F1320" s="7" t="str">
        <x:f>'Neighbor Proofs'!K142</x:f>
        <x:v>OPEN</x:v>
      </x:c>
    </x:row>
    <x:row r="1321">
      <x:c r="B1321" s="7" t="str">
        <x:v>PHY-1315</x:v>
      </x:c>
      <x:c r="C1321" s="7" t="str">
        <x:v>neighbor proof</x:v>
      </x:c>
      <x:c r="D1321" s="7" t="str">
        <x:v>RAE-E-46-RN</x:v>
      </x:c>
      <x:c r="E1321" s="7" t="str">
        <x:v>Neighbor Proofs!K143</x:v>
      </x:c>
      <x:c r="F1321" s="7" t="str">
        <x:f>'Neighbor Proofs'!K143</x:f>
        <x:v>OPEN</x:v>
      </x:c>
    </x:row>
    <x:row r="1322">
      <x:c r="B1322" s="7" t="str">
        <x:v>PHY-1316</x:v>
      </x:c>
      <x:c r="C1322" s="7" t="str">
        <x:v>neighbor proof</x:v>
      </x:c>
      <x:c r="D1322" s="7" t="str">
        <x:v>RAE-E-46-CUN</x:v>
      </x:c>
      <x:c r="E1322" s="7" t="str">
        <x:v>Neighbor Proofs!K144</x:v>
      </x:c>
      <x:c r="F1322" s="7" t="str">
        <x:f>'Neighbor Proofs'!K144</x:f>
        <x:v>OPEN</x:v>
      </x:c>
    </x:row>
    <x:row r="1323">
      <x:c r="B1323" s="7" t="str">
        <x:v>PHY-1317</x:v>
      </x:c>
      <x:c r="C1323" s="7" t="str">
        <x:v>neighbor proof</x:v>
      </x:c>
      <x:c r="D1323" s="7" t="str">
        <x:v>RAE-E-47-LN</x:v>
      </x:c>
      <x:c r="E1323" s="7" t="str">
        <x:v>Neighbor Proofs!K145</x:v>
      </x:c>
      <x:c r="F1323" s="7" t="str">
        <x:f>'Neighbor Proofs'!K145</x:f>
        <x:v>OPEN</x:v>
      </x:c>
    </x:row>
    <x:row r="1324">
      <x:c r="B1324" s="7" t="str">
        <x:v>PHY-1318</x:v>
      </x:c>
      <x:c r="C1324" s="7" t="str">
        <x:v>neighbor proof</x:v>
      </x:c>
      <x:c r="D1324" s="7" t="str">
        <x:v>RAE-E-47-RN</x:v>
      </x:c>
      <x:c r="E1324" s="7" t="str">
        <x:v>Neighbor Proofs!K146</x:v>
      </x:c>
      <x:c r="F1324" s="7" t="str">
        <x:f>'Neighbor Proofs'!K146</x:f>
        <x:v>OPEN</x:v>
      </x:c>
    </x:row>
    <x:row r="1325">
      <x:c r="B1325" s="7" t="str">
        <x:v>PHY-1319</x:v>
      </x:c>
      <x:c r="C1325" s="7" t="str">
        <x:v>neighbor proof</x:v>
      </x:c>
      <x:c r="D1325" s="7" t="str">
        <x:v>RAE-E-47-CUN</x:v>
      </x:c>
      <x:c r="E1325" s="7" t="str">
        <x:v>Neighbor Proofs!K147</x:v>
      </x:c>
      <x:c r="F1325" s="7" t="str">
        <x:f>'Neighbor Proofs'!K147</x:f>
        <x:v>OPEN</x:v>
      </x:c>
    </x:row>
    <x:row r="1326">
      <x:c r="B1326" s="7" t="str">
        <x:v>PHY-1320</x:v>
      </x:c>
      <x:c r="C1326" s="7" t="str">
        <x:v>neighbor proof</x:v>
      </x:c>
      <x:c r="D1326" s="7" t="str">
        <x:v>RAE-E-48-LN</x:v>
      </x:c>
      <x:c r="E1326" s="7" t="str">
        <x:v>Neighbor Proofs!K148</x:v>
      </x:c>
      <x:c r="F1326" s="7" t="str">
        <x:f>'Neighbor Proofs'!K148</x:f>
        <x:v>OPEN</x:v>
      </x:c>
    </x:row>
    <x:row r="1327">
      <x:c r="B1327" s="7" t="str">
        <x:v>PHY-1321</x:v>
      </x:c>
      <x:c r="C1327" s="7" t="str">
        <x:v>neighbor proof</x:v>
      </x:c>
      <x:c r="D1327" s="7" t="str">
        <x:v>RAE-E-48-RN</x:v>
      </x:c>
      <x:c r="E1327" s="7" t="str">
        <x:v>Neighbor Proofs!K149</x:v>
      </x:c>
      <x:c r="F1327" s="7" t="str">
        <x:f>'Neighbor Proofs'!K149</x:f>
        <x:v>OPEN</x:v>
      </x:c>
    </x:row>
    <x:row r="1328">
      <x:c r="B1328" s="7" t="str">
        <x:v>PHY-1322</x:v>
      </x:c>
      <x:c r="C1328" s="7" t="str">
        <x:v>neighbor proof</x:v>
      </x:c>
      <x:c r="D1328" s="7" t="str">
        <x:v>RAE-E-48-CUN</x:v>
      </x:c>
      <x:c r="E1328" s="7" t="str">
        <x:v>Neighbor Proofs!K150</x:v>
      </x:c>
      <x:c r="F1328" s="7" t="str">
        <x:f>'Neighbor Proofs'!K150</x:f>
        <x:v>OPEN</x:v>
      </x:c>
    </x:row>
    <x:row r="1329">
      <x:c r="B1329" s="7" t="str">
        <x:v>PHY-1323</x:v>
      </x:c>
      <x:c r="C1329" s="7" t="str">
        <x:v>event phase</x:v>
      </x:c>
      <x:c r="D1329" s="7" t="str">
        <x:v>RAE-E-01-P01</x:v>
      </x:c>
      <x:c r="E1329" s="7" t="str">
        <x:v>Event Phases!M7</x:v>
      </x:c>
      <x:c r="F1329" s="7" t="str">
        <x:f>'Event Phases'!M7</x:f>
        <x:v>OPEN</x:v>
      </x:c>
    </x:row>
    <x:row r="1330">
      <x:c r="B1330" s="7" t="str">
        <x:v>PHY-1324</x:v>
      </x:c>
      <x:c r="C1330" s="7" t="str">
        <x:v>event phase</x:v>
      </x:c>
      <x:c r="D1330" s="7" t="str">
        <x:v>RAE-E-01-P02</x:v>
      </x:c>
      <x:c r="E1330" s="7" t="str">
        <x:v>Event Phases!M8</x:v>
      </x:c>
      <x:c r="F1330" s="7" t="str">
        <x:f>'Event Phases'!M8</x:f>
        <x:v>OPEN</x:v>
      </x:c>
    </x:row>
    <x:row r="1331">
      <x:c r="B1331" s="7" t="str">
        <x:v>PHY-1325</x:v>
      </x:c>
      <x:c r="C1331" s="7" t="str">
        <x:v>event phase</x:v>
      </x:c>
      <x:c r="D1331" s="7" t="str">
        <x:v>RAE-E-01-P03</x:v>
      </x:c>
      <x:c r="E1331" s="7" t="str">
        <x:v>Event Phases!M9</x:v>
      </x:c>
      <x:c r="F1331" s="7" t="str">
        <x:f>'Event Phases'!M9</x:f>
        <x:v>OPEN</x:v>
      </x:c>
    </x:row>
    <x:row r="1332">
      <x:c r="B1332" s="7" t="str">
        <x:v>PHY-1326</x:v>
      </x:c>
      <x:c r="C1332" s="7" t="str">
        <x:v>event phase</x:v>
      </x:c>
      <x:c r="D1332" s="7" t="str">
        <x:v>RAE-E-01-P04</x:v>
      </x:c>
      <x:c r="E1332" s="7" t="str">
        <x:v>Event Phases!M10</x:v>
      </x:c>
      <x:c r="F1332" s="7" t="str">
        <x:f>'Event Phases'!M10</x:f>
        <x:v>OPEN</x:v>
      </x:c>
    </x:row>
    <x:row r="1333">
      <x:c r="B1333" s="7" t="str">
        <x:v>PHY-1327</x:v>
      </x:c>
      <x:c r="C1333" s="7" t="str">
        <x:v>event phase</x:v>
      </x:c>
      <x:c r="D1333" s="7" t="str">
        <x:v>RAE-E-01-P05</x:v>
      </x:c>
      <x:c r="E1333" s="7" t="str">
        <x:v>Event Phases!M11</x:v>
      </x:c>
      <x:c r="F1333" s="7" t="str">
        <x:f>'Event Phases'!M11</x:f>
        <x:v>OPEN</x:v>
      </x:c>
    </x:row>
    <x:row r="1334">
      <x:c r="B1334" s="7" t="str">
        <x:v>PHY-1328</x:v>
      </x:c>
      <x:c r="C1334" s="7" t="str">
        <x:v>event phase</x:v>
      </x:c>
      <x:c r="D1334" s="7" t="str">
        <x:v>RAE-E-01-P06</x:v>
      </x:c>
      <x:c r="E1334" s="7" t="str">
        <x:v>Event Phases!M12</x:v>
      </x:c>
      <x:c r="F1334" s="7" t="str">
        <x:f>'Event Phases'!M12</x:f>
        <x:v>OPEN</x:v>
      </x:c>
    </x:row>
    <x:row r="1335">
      <x:c r="B1335" s="7" t="str">
        <x:v>PHY-1329</x:v>
      </x:c>
      <x:c r="C1335" s="7" t="str">
        <x:v>event phase</x:v>
      </x:c>
      <x:c r="D1335" s="7" t="str">
        <x:v>RAE-E-01-P07</x:v>
      </x:c>
      <x:c r="E1335" s="7" t="str">
        <x:v>Event Phases!M13</x:v>
      </x:c>
      <x:c r="F1335" s="7" t="str">
        <x:f>'Event Phases'!M13</x:f>
        <x:v>OPEN</x:v>
      </x:c>
    </x:row>
    <x:row r="1336">
      <x:c r="B1336" s="7" t="str">
        <x:v>PHY-1330</x:v>
      </x:c>
      <x:c r="C1336" s="7" t="str">
        <x:v>event phase</x:v>
      </x:c>
      <x:c r="D1336" s="7" t="str">
        <x:v>RAE-E-01-P08</x:v>
      </x:c>
      <x:c r="E1336" s="7" t="str">
        <x:v>Event Phases!M14</x:v>
      </x:c>
      <x:c r="F1336" s="7" t="str">
        <x:f>'Event Phases'!M14</x:f>
        <x:v>OPEN</x:v>
      </x:c>
    </x:row>
    <x:row r="1337">
      <x:c r="B1337" s="7" t="str">
        <x:v>PHY-1331</x:v>
      </x:c>
      <x:c r="C1337" s="7" t="str">
        <x:v>event phase</x:v>
      </x:c>
      <x:c r="D1337" s="7" t="str">
        <x:v>RAE-E-01-P09</x:v>
      </x:c>
      <x:c r="E1337" s="7" t="str">
        <x:v>Event Phases!M15</x:v>
      </x:c>
      <x:c r="F1337" s="7" t="str">
        <x:f>'Event Phases'!M15</x:f>
        <x:v>OPEN</x:v>
      </x:c>
    </x:row>
    <x:row r="1338">
      <x:c r="B1338" s="7" t="str">
        <x:v>PHY-1332</x:v>
      </x:c>
      <x:c r="C1338" s="7" t="str">
        <x:v>event phase</x:v>
      </x:c>
      <x:c r="D1338" s="7" t="str">
        <x:v>RAE-E-01-P10</x:v>
      </x:c>
      <x:c r="E1338" s="7" t="str">
        <x:v>Event Phases!M16</x:v>
      </x:c>
      <x:c r="F1338" s="7" t="str">
        <x:f>'Event Phases'!M16</x:f>
        <x:v>OPEN</x:v>
      </x:c>
    </x:row>
    <x:row r="1339">
      <x:c r="B1339" s="7" t="str">
        <x:v>PHY-1333</x:v>
      </x:c>
      <x:c r="C1339" s="7" t="str">
        <x:v>event phase</x:v>
      </x:c>
      <x:c r="D1339" s="7" t="str">
        <x:v>RAE-E-01-P11</x:v>
      </x:c>
      <x:c r="E1339" s="7" t="str">
        <x:v>Event Phases!M17</x:v>
      </x:c>
      <x:c r="F1339" s="7" t="str">
        <x:f>'Event Phases'!M17</x:f>
        <x:v>OPEN</x:v>
      </x:c>
    </x:row>
    <x:row r="1340">
      <x:c r="B1340" s="7" t="str">
        <x:v>PHY-1334</x:v>
      </x:c>
      <x:c r="C1340" s="7" t="str">
        <x:v>event phase</x:v>
      </x:c>
      <x:c r="D1340" s="7" t="str">
        <x:v>RAE-E-01-P12</x:v>
      </x:c>
      <x:c r="E1340" s="7" t="str">
        <x:v>Event Phases!M18</x:v>
      </x:c>
      <x:c r="F1340" s="7" t="str">
        <x:f>'Event Phases'!M18</x:f>
        <x:v>OPEN</x:v>
      </x:c>
    </x:row>
    <x:row r="1341">
      <x:c r="B1341" s="7" t="str">
        <x:v>PHY-1335</x:v>
      </x:c>
      <x:c r="C1341" s="7" t="str">
        <x:v>event phase</x:v>
      </x:c>
      <x:c r="D1341" s="7" t="str">
        <x:v>RAE-E-01-P13</x:v>
      </x:c>
      <x:c r="E1341" s="7" t="str">
        <x:v>Event Phases!M19</x:v>
      </x:c>
      <x:c r="F1341" s="7" t="str">
        <x:f>'Event Phases'!M19</x:f>
        <x:v>OPEN</x:v>
      </x:c>
    </x:row>
    <x:row r="1342">
      <x:c r="B1342" s="7" t="str">
        <x:v>PHY-1336</x:v>
      </x:c>
      <x:c r="C1342" s="7" t="str">
        <x:v>event phase</x:v>
      </x:c>
      <x:c r="D1342" s="7" t="str">
        <x:v>RAE-E-01-P14</x:v>
      </x:c>
      <x:c r="E1342" s="7" t="str">
        <x:v>Event Phases!M20</x:v>
      </x:c>
      <x:c r="F1342" s="7" t="str">
        <x:f>'Event Phases'!M20</x:f>
        <x:v>OPEN</x:v>
      </x:c>
    </x:row>
    <x:row r="1343">
      <x:c r="B1343" s="7" t="str">
        <x:v>PHY-1337</x:v>
      </x:c>
      <x:c r="C1343" s="7" t="str">
        <x:v>event phase</x:v>
      </x:c>
      <x:c r="D1343" s="7" t="str">
        <x:v>RAE-E-01-P15</x:v>
      </x:c>
      <x:c r="E1343" s="7" t="str">
        <x:v>Event Phases!M21</x:v>
      </x:c>
      <x:c r="F1343" s="7" t="str">
        <x:f>'Event Phases'!M21</x:f>
        <x:v>OPEN</x:v>
      </x:c>
    </x:row>
    <x:row r="1344">
      <x:c r="B1344" s="7" t="str">
        <x:v>PHY-1338</x:v>
      </x:c>
      <x:c r="C1344" s="7" t="str">
        <x:v>event phase</x:v>
      </x:c>
      <x:c r="D1344" s="7" t="str">
        <x:v>RAE-E-01-P16</x:v>
      </x:c>
      <x:c r="E1344" s="7" t="str">
        <x:v>Event Phases!M22</x:v>
      </x:c>
      <x:c r="F1344" s="7" t="str">
        <x:f>'Event Phases'!M22</x:f>
        <x:v>OPEN</x:v>
      </x:c>
    </x:row>
    <x:row r="1345">
      <x:c r="B1345" s="7" t="str">
        <x:v>PHY-1339</x:v>
      </x:c>
      <x:c r="C1345" s="7" t="str">
        <x:v>event phase</x:v>
      </x:c>
      <x:c r="D1345" s="7" t="str">
        <x:v>RAE-E-01-P17</x:v>
      </x:c>
      <x:c r="E1345" s="7" t="str">
        <x:v>Event Phases!M23</x:v>
      </x:c>
      <x:c r="F1345" s="7" t="str">
        <x:f>'Event Phases'!M23</x:f>
        <x:v>OPEN</x:v>
      </x:c>
    </x:row>
    <x:row r="1346">
      <x:c r="B1346" s="7" t="str">
        <x:v>PHY-1340</x:v>
      </x:c>
      <x:c r="C1346" s="7" t="str">
        <x:v>event phase</x:v>
      </x:c>
      <x:c r="D1346" s="7" t="str">
        <x:v>RAE-E-01-P18</x:v>
      </x:c>
      <x:c r="E1346" s="7" t="str">
        <x:v>Event Phases!M24</x:v>
      </x:c>
      <x:c r="F1346" s="7" t="str">
        <x:f>'Event Phases'!M24</x:f>
        <x:v>OPEN</x:v>
      </x:c>
    </x:row>
    <x:row r="1347">
      <x:c r="B1347" s="7" t="str">
        <x:v>PHY-1341</x:v>
      </x:c>
      <x:c r="C1347" s="7" t="str">
        <x:v>event phase</x:v>
      </x:c>
      <x:c r="D1347" s="7" t="str">
        <x:v>RAE-E-01-P19</x:v>
      </x:c>
      <x:c r="E1347" s="7" t="str">
        <x:v>Event Phases!M25</x:v>
      </x:c>
      <x:c r="F1347" s="7" t="str">
        <x:f>'Event Phases'!M25</x:f>
        <x:v>OPEN</x:v>
      </x:c>
    </x:row>
    <x:row r="1348">
      <x:c r="B1348" s="7" t="str">
        <x:v>PHY-1342</x:v>
      </x:c>
      <x:c r="C1348" s="7" t="str">
        <x:v>event phase</x:v>
      </x:c>
      <x:c r="D1348" s="7" t="str">
        <x:v>RAE-E-01-P20</x:v>
      </x:c>
      <x:c r="E1348" s="7" t="str">
        <x:v>Event Phases!M26</x:v>
      </x:c>
      <x:c r="F1348" s="7" t="str">
        <x:f>'Event Phases'!M26</x:f>
        <x:v>OPEN</x:v>
      </x:c>
    </x:row>
    <x:row r="1349">
      <x:c r="B1349" s="7" t="str">
        <x:v>PHY-1343</x:v>
      </x:c>
      <x:c r="C1349" s="7" t="str">
        <x:v>event phase</x:v>
      </x:c>
      <x:c r="D1349" s="7" t="str">
        <x:v>RAE-E-01-P21</x:v>
      </x:c>
      <x:c r="E1349" s="7" t="str">
        <x:v>Event Phases!M27</x:v>
      </x:c>
      <x:c r="F1349" s="7" t="str">
        <x:f>'Event Phases'!M27</x:f>
        <x:v>OPEN</x:v>
      </x:c>
    </x:row>
    <x:row r="1350">
      <x:c r="B1350" s="7" t="str">
        <x:v>PHY-1344</x:v>
      </x:c>
      <x:c r="C1350" s="7" t="str">
        <x:v>event phase</x:v>
      </x:c>
      <x:c r="D1350" s="7" t="str">
        <x:v>RAE-E-01-P22</x:v>
      </x:c>
      <x:c r="E1350" s="7" t="str">
        <x:v>Event Phases!M28</x:v>
      </x:c>
      <x:c r="F1350" s="7" t="str">
        <x:f>'Event Phases'!M28</x:f>
        <x:v>OPEN</x:v>
      </x:c>
    </x:row>
    <x:row r="1351">
      <x:c r="B1351" s="7" t="str">
        <x:v>PHY-1345</x:v>
      </x:c>
      <x:c r="C1351" s="7" t="str">
        <x:v>event phase</x:v>
      </x:c>
      <x:c r="D1351" s="7" t="str">
        <x:v>RAE-E-01-P23</x:v>
      </x:c>
      <x:c r="E1351" s="7" t="str">
        <x:v>Event Phases!M29</x:v>
      </x:c>
      <x:c r="F1351" s="7" t="str">
        <x:f>'Event Phases'!M29</x:f>
        <x:v>OPEN</x:v>
      </x:c>
    </x:row>
    <x:row r="1352">
      <x:c r="B1352" s="7" t="str">
        <x:v>PHY-1346</x:v>
      </x:c>
      <x:c r="C1352" s="7" t="str">
        <x:v>event phase</x:v>
      </x:c>
      <x:c r="D1352" s="7" t="str">
        <x:v>RAE-E-01-P24</x:v>
      </x:c>
      <x:c r="E1352" s="7" t="str">
        <x:v>Event Phases!M30</x:v>
      </x:c>
      <x:c r="F1352" s="7" t="str">
        <x:f>'Event Phases'!M30</x:f>
        <x:v>OPEN</x:v>
      </x:c>
    </x:row>
    <x:row r="1353">
      <x:c r="B1353" s="7" t="str">
        <x:v>PHY-1347</x:v>
      </x:c>
      <x:c r="C1353" s="7" t="str">
        <x:v>event phase</x:v>
      </x:c>
      <x:c r="D1353" s="7" t="str">
        <x:v>RAE-E-02-P01</x:v>
      </x:c>
      <x:c r="E1353" s="7" t="str">
        <x:v>Event Phases!M31</x:v>
      </x:c>
      <x:c r="F1353" s="7" t="str">
        <x:f>'Event Phases'!M31</x:f>
        <x:v>OPEN</x:v>
      </x:c>
    </x:row>
    <x:row r="1354">
      <x:c r="B1354" s="7" t="str">
        <x:v>PHY-1348</x:v>
      </x:c>
      <x:c r="C1354" s="7" t="str">
        <x:v>event phase</x:v>
      </x:c>
      <x:c r="D1354" s="7" t="str">
        <x:v>RAE-E-02-P02</x:v>
      </x:c>
      <x:c r="E1354" s="7" t="str">
        <x:v>Event Phases!M32</x:v>
      </x:c>
      <x:c r="F1354" s="7" t="str">
        <x:f>'Event Phases'!M32</x:f>
        <x:v>OPEN</x:v>
      </x:c>
    </x:row>
    <x:row r="1355">
      <x:c r="B1355" s="7" t="str">
        <x:v>PHY-1349</x:v>
      </x:c>
      <x:c r="C1355" s="7" t="str">
        <x:v>event phase</x:v>
      </x:c>
      <x:c r="D1355" s="7" t="str">
        <x:v>RAE-E-02-P03</x:v>
      </x:c>
      <x:c r="E1355" s="7" t="str">
        <x:v>Event Phases!M33</x:v>
      </x:c>
      <x:c r="F1355" s="7" t="str">
        <x:f>'Event Phases'!M33</x:f>
        <x:v>OPEN</x:v>
      </x:c>
    </x:row>
    <x:row r="1356">
      <x:c r="B1356" s="7" t="str">
        <x:v>PHY-1350</x:v>
      </x:c>
      <x:c r="C1356" s="7" t="str">
        <x:v>event phase</x:v>
      </x:c>
      <x:c r="D1356" s="7" t="str">
        <x:v>RAE-E-02-P04</x:v>
      </x:c>
      <x:c r="E1356" s="7" t="str">
        <x:v>Event Phases!M34</x:v>
      </x:c>
      <x:c r="F1356" s="7" t="str">
        <x:f>'Event Phases'!M34</x:f>
        <x:v>OPEN</x:v>
      </x:c>
    </x:row>
    <x:row r="1357">
      <x:c r="B1357" s="7" t="str">
        <x:v>PHY-1351</x:v>
      </x:c>
      <x:c r="C1357" s="7" t="str">
        <x:v>event phase</x:v>
      </x:c>
      <x:c r="D1357" s="7" t="str">
        <x:v>RAE-E-02-P05</x:v>
      </x:c>
      <x:c r="E1357" s="7" t="str">
        <x:v>Event Phases!M35</x:v>
      </x:c>
      <x:c r="F1357" s="7" t="str">
        <x:f>'Event Phases'!M35</x:f>
        <x:v>OPEN</x:v>
      </x:c>
    </x:row>
    <x:row r="1358">
      <x:c r="B1358" s="7" t="str">
        <x:v>PHY-1352</x:v>
      </x:c>
      <x:c r="C1358" s="7" t="str">
        <x:v>event phase</x:v>
      </x:c>
      <x:c r="D1358" s="7" t="str">
        <x:v>RAE-E-02-P06</x:v>
      </x:c>
      <x:c r="E1358" s="7" t="str">
        <x:v>Event Phases!M36</x:v>
      </x:c>
      <x:c r="F1358" s="7" t="str">
        <x:f>'Event Phases'!M36</x:f>
        <x:v>OPEN</x:v>
      </x:c>
    </x:row>
    <x:row r="1359">
      <x:c r="B1359" s="7" t="str">
        <x:v>PHY-1353</x:v>
      </x:c>
      <x:c r="C1359" s="7" t="str">
        <x:v>event phase</x:v>
      </x:c>
      <x:c r="D1359" s="7" t="str">
        <x:v>RAE-E-02-P07</x:v>
      </x:c>
      <x:c r="E1359" s="7" t="str">
        <x:v>Event Phases!M37</x:v>
      </x:c>
      <x:c r="F1359" s="7" t="str">
        <x:f>'Event Phases'!M37</x:f>
        <x:v>OPEN</x:v>
      </x:c>
    </x:row>
    <x:row r="1360">
      <x:c r="B1360" s="7" t="str">
        <x:v>PHY-1354</x:v>
      </x:c>
      <x:c r="C1360" s="7" t="str">
        <x:v>event phase</x:v>
      </x:c>
      <x:c r="D1360" s="7" t="str">
        <x:v>RAE-E-02-P08</x:v>
      </x:c>
      <x:c r="E1360" s="7" t="str">
        <x:v>Event Phases!M38</x:v>
      </x:c>
      <x:c r="F1360" s="7" t="str">
        <x:f>'Event Phases'!M38</x:f>
        <x:v>OPEN</x:v>
      </x:c>
    </x:row>
    <x:row r="1361">
      <x:c r="B1361" s="7" t="str">
        <x:v>PHY-1355</x:v>
      </x:c>
      <x:c r="C1361" s="7" t="str">
        <x:v>event phase</x:v>
      </x:c>
      <x:c r="D1361" s="7" t="str">
        <x:v>RAE-E-02-P09</x:v>
      </x:c>
      <x:c r="E1361" s="7" t="str">
        <x:v>Event Phases!M39</x:v>
      </x:c>
      <x:c r="F1361" s="7" t="str">
        <x:f>'Event Phases'!M39</x:f>
        <x:v>OPEN</x:v>
      </x:c>
    </x:row>
    <x:row r="1362">
      <x:c r="B1362" s="7" t="str">
        <x:v>PHY-1356</x:v>
      </x:c>
      <x:c r="C1362" s="7" t="str">
        <x:v>event phase</x:v>
      </x:c>
      <x:c r="D1362" s="7" t="str">
        <x:v>RAE-E-02-P10</x:v>
      </x:c>
      <x:c r="E1362" s="7" t="str">
        <x:v>Event Phases!M40</x:v>
      </x:c>
      <x:c r="F1362" s="7" t="str">
        <x:f>'Event Phases'!M40</x:f>
        <x:v>OPEN</x:v>
      </x:c>
    </x:row>
    <x:row r="1363">
      <x:c r="B1363" s="7" t="str">
        <x:v>PHY-1357</x:v>
      </x:c>
      <x:c r="C1363" s="7" t="str">
        <x:v>event phase</x:v>
      </x:c>
      <x:c r="D1363" s="7" t="str">
        <x:v>RAE-E-02-P11</x:v>
      </x:c>
      <x:c r="E1363" s="7" t="str">
        <x:v>Event Phases!M41</x:v>
      </x:c>
      <x:c r="F1363" s="7" t="str">
        <x:f>'Event Phases'!M41</x:f>
        <x:v>OPEN</x:v>
      </x:c>
    </x:row>
    <x:row r="1364">
      <x:c r="B1364" s="7" t="str">
        <x:v>PHY-1358</x:v>
      </x:c>
      <x:c r="C1364" s="7" t="str">
        <x:v>event phase</x:v>
      </x:c>
      <x:c r="D1364" s="7" t="str">
        <x:v>RAE-E-02-P12</x:v>
      </x:c>
      <x:c r="E1364" s="7" t="str">
        <x:v>Event Phases!M42</x:v>
      </x:c>
      <x:c r="F1364" s="7" t="str">
        <x:f>'Event Phases'!M42</x:f>
        <x:v>OPEN</x:v>
      </x:c>
    </x:row>
    <x:row r="1365">
      <x:c r="B1365" s="7" t="str">
        <x:v>PHY-1359</x:v>
      </x:c>
      <x:c r="C1365" s="7" t="str">
        <x:v>event phase</x:v>
      </x:c>
      <x:c r="D1365" s="7" t="str">
        <x:v>RAE-E-02-P13</x:v>
      </x:c>
      <x:c r="E1365" s="7" t="str">
        <x:v>Event Phases!M43</x:v>
      </x:c>
      <x:c r="F1365" s="7" t="str">
        <x:f>'Event Phases'!M43</x:f>
        <x:v>OPEN</x:v>
      </x:c>
    </x:row>
    <x:row r="1366">
      <x:c r="B1366" s="7" t="str">
        <x:v>PHY-1360</x:v>
      </x:c>
      <x:c r="C1366" s="7" t="str">
        <x:v>event phase</x:v>
      </x:c>
      <x:c r="D1366" s="7" t="str">
        <x:v>RAE-E-02-P14</x:v>
      </x:c>
      <x:c r="E1366" s="7" t="str">
        <x:v>Event Phases!M44</x:v>
      </x:c>
      <x:c r="F1366" s="7" t="str">
        <x:f>'Event Phases'!M44</x:f>
        <x:v>OPEN</x:v>
      </x:c>
    </x:row>
    <x:row r="1367">
      <x:c r="B1367" s="7" t="str">
        <x:v>PHY-1361</x:v>
      </x:c>
      <x:c r="C1367" s="7" t="str">
        <x:v>event phase</x:v>
      </x:c>
      <x:c r="D1367" s="7" t="str">
        <x:v>RAE-E-02-P15</x:v>
      </x:c>
      <x:c r="E1367" s="7" t="str">
        <x:v>Event Phases!M45</x:v>
      </x:c>
      <x:c r="F1367" s="7" t="str">
        <x:f>'Event Phases'!M45</x:f>
        <x:v>OPEN</x:v>
      </x:c>
    </x:row>
    <x:row r="1368">
      <x:c r="B1368" s="7" t="str">
        <x:v>PHY-1362</x:v>
      </x:c>
      <x:c r="C1368" s="7" t="str">
        <x:v>event phase</x:v>
      </x:c>
      <x:c r="D1368" s="7" t="str">
        <x:v>RAE-E-02-P16</x:v>
      </x:c>
      <x:c r="E1368" s="7" t="str">
        <x:v>Event Phases!M46</x:v>
      </x:c>
      <x:c r="F1368" s="7" t="str">
        <x:f>'Event Phases'!M46</x:f>
        <x:v>OPEN</x:v>
      </x:c>
    </x:row>
    <x:row r="1369">
      <x:c r="B1369" s="7" t="str">
        <x:v>PHY-1363</x:v>
      </x:c>
      <x:c r="C1369" s="7" t="str">
        <x:v>event phase</x:v>
      </x:c>
      <x:c r="D1369" s="7" t="str">
        <x:v>RAE-E-02-P17</x:v>
      </x:c>
      <x:c r="E1369" s="7" t="str">
        <x:v>Event Phases!M47</x:v>
      </x:c>
      <x:c r="F1369" s="7" t="str">
        <x:f>'Event Phases'!M47</x:f>
        <x:v>OPEN</x:v>
      </x:c>
    </x:row>
    <x:row r="1370">
      <x:c r="B1370" s="7" t="str">
        <x:v>PHY-1364</x:v>
      </x:c>
      <x:c r="C1370" s="7" t="str">
        <x:v>event phase</x:v>
      </x:c>
      <x:c r="D1370" s="7" t="str">
        <x:v>RAE-E-02-P18</x:v>
      </x:c>
      <x:c r="E1370" s="7" t="str">
        <x:v>Event Phases!M48</x:v>
      </x:c>
      <x:c r="F1370" s="7" t="str">
        <x:f>'Event Phases'!M48</x:f>
        <x:v>OPEN</x:v>
      </x:c>
    </x:row>
    <x:row r="1371">
      <x:c r="B1371" s="7" t="str">
        <x:v>PHY-1365</x:v>
      </x:c>
      <x:c r="C1371" s="7" t="str">
        <x:v>event phase</x:v>
      </x:c>
      <x:c r="D1371" s="7" t="str">
        <x:v>RAE-E-02-P19</x:v>
      </x:c>
      <x:c r="E1371" s="7" t="str">
        <x:v>Event Phases!M49</x:v>
      </x:c>
      <x:c r="F1371" s="7" t="str">
        <x:f>'Event Phases'!M49</x:f>
        <x:v>OPEN</x:v>
      </x:c>
    </x:row>
    <x:row r="1372">
      <x:c r="B1372" s="7" t="str">
        <x:v>PHY-1366</x:v>
      </x:c>
      <x:c r="C1372" s="7" t="str">
        <x:v>event phase</x:v>
      </x:c>
      <x:c r="D1372" s="7" t="str">
        <x:v>RAE-E-02-P20</x:v>
      </x:c>
      <x:c r="E1372" s="7" t="str">
        <x:v>Event Phases!M50</x:v>
      </x:c>
      <x:c r="F1372" s="7" t="str">
        <x:f>'Event Phases'!M50</x:f>
        <x:v>OPEN</x:v>
      </x:c>
    </x:row>
    <x:row r="1373">
      <x:c r="B1373" s="7" t="str">
        <x:v>PHY-1367</x:v>
      </x:c>
      <x:c r="C1373" s="7" t="str">
        <x:v>event phase</x:v>
      </x:c>
      <x:c r="D1373" s="7" t="str">
        <x:v>RAE-E-02-P21</x:v>
      </x:c>
      <x:c r="E1373" s="7" t="str">
        <x:v>Event Phases!M51</x:v>
      </x:c>
      <x:c r="F1373" s="7" t="str">
        <x:f>'Event Phases'!M51</x:f>
        <x:v>OPEN</x:v>
      </x:c>
    </x:row>
    <x:row r="1374">
      <x:c r="B1374" s="7" t="str">
        <x:v>PHY-1368</x:v>
      </x:c>
      <x:c r="C1374" s="7" t="str">
        <x:v>event phase</x:v>
      </x:c>
      <x:c r="D1374" s="7" t="str">
        <x:v>RAE-E-02-P22</x:v>
      </x:c>
      <x:c r="E1374" s="7" t="str">
        <x:v>Event Phases!M52</x:v>
      </x:c>
      <x:c r="F1374" s="7" t="str">
        <x:f>'Event Phases'!M52</x:f>
        <x:v>OPEN</x:v>
      </x:c>
    </x:row>
    <x:row r="1375">
      <x:c r="B1375" s="7" t="str">
        <x:v>PHY-1369</x:v>
      </x:c>
      <x:c r="C1375" s="7" t="str">
        <x:v>event phase</x:v>
      </x:c>
      <x:c r="D1375" s="7" t="str">
        <x:v>RAE-E-02-P23</x:v>
      </x:c>
      <x:c r="E1375" s="7" t="str">
        <x:v>Event Phases!M53</x:v>
      </x:c>
      <x:c r="F1375" s="7" t="str">
        <x:f>'Event Phases'!M53</x:f>
        <x:v>OPEN</x:v>
      </x:c>
    </x:row>
    <x:row r="1376">
      <x:c r="B1376" s="7" t="str">
        <x:v>PHY-1370</x:v>
      </x:c>
      <x:c r="C1376" s="7" t="str">
        <x:v>event phase</x:v>
      </x:c>
      <x:c r="D1376" s="7" t="str">
        <x:v>RAE-E-02-P24</x:v>
      </x:c>
      <x:c r="E1376" s="7" t="str">
        <x:v>Event Phases!M54</x:v>
      </x:c>
      <x:c r="F1376" s="7" t="str">
        <x:f>'Event Phases'!M54</x:f>
        <x:v>OPEN</x:v>
      </x:c>
    </x:row>
    <x:row r="1377">
      <x:c r="B1377" s="7" t="str">
        <x:v>PHY-1371</x:v>
      </x:c>
      <x:c r="C1377" s="7" t="str">
        <x:v>event phase</x:v>
      </x:c>
      <x:c r="D1377" s="7" t="str">
        <x:v>RAE-E-03-P01</x:v>
      </x:c>
      <x:c r="E1377" s="7" t="str">
        <x:v>Event Phases!M55</x:v>
      </x:c>
      <x:c r="F1377" s="7" t="str">
        <x:f>'Event Phases'!M55</x:f>
        <x:v>OPEN</x:v>
      </x:c>
    </x:row>
    <x:row r="1378">
      <x:c r="B1378" s="7" t="str">
        <x:v>PHY-1372</x:v>
      </x:c>
      <x:c r="C1378" s="7" t="str">
        <x:v>event phase</x:v>
      </x:c>
      <x:c r="D1378" s="7" t="str">
        <x:v>RAE-E-03-P02</x:v>
      </x:c>
      <x:c r="E1378" s="7" t="str">
        <x:v>Event Phases!M56</x:v>
      </x:c>
      <x:c r="F1378" s="7" t="str">
        <x:f>'Event Phases'!M56</x:f>
        <x:v>OPEN</x:v>
      </x:c>
    </x:row>
    <x:row r="1379">
      <x:c r="B1379" s="7" t="str">
        <x:v>PHY-1373</x:v>
      </x:c>
      <x:c r="C1379" s="7" t="str">
        <x:v>event phase</x:v>
      </x:c>
      <x:c r="D1379" s="7" t="str">
        <x:v>RAE-E-03-P03</x:v>
      </x:c>
      <x:c r="E1379" s="7" t="str">
        <x:v>Event Phases!M57</x:v>
      </x:c>
      <x:c r="F1379" s="7" t="str">
        <x:f>'Event Phases'!M57</x:f>
        <x:v>OPEN</x:v>
      </x:c>
    </x:row>
    <x:row r="1380">
      <x:c r="B1380" s="7" t="str">
        <x:v>PHY-1374</x:v>
      </x:c>
      <x:c r="C1380" s="7" t="str">
        <x:v>event phase</x:v>
      </x:c>
      <x:c r="D1380" s="7" t="str">
        <x:v>RAE-E-03-P04</x:v>
      </x:c>
      <x:c r="E1380" s="7" t="str">
        <x:v>Event Phases!M58</x:v>
      </x:c>
      <x:c r="F1380" s="7" t="str">
        <x:f>'Event Phases'!M58</x:f>
        <x:v>OPEN</x:v>
      </x:c>
    </x:row>
    <x:row r="1381">
      <x:c r="B1381" s="7" t="str">
        <x:v>PHY-1375</x:v>
      </x:c>
      <x:c r="C1381" s="7" t="str">
        <x:v>event phase</x:v>
      </x:c>
      <x:c r="D1381" s="7" t="str">
        <x:v>RAE-E-03-P05</x:v>
      </x:c>
      <x:c r="E1381" s="7" t="str">
        <x:v>Event Phases!M59</x:v>
      </x:c>
      <x:c r="F1381" s="7" t="str">
        <x:f>'Event Phases'!M59</x:f>
        <x:v>OPEN</x:v>
      </x:c>
    </x:row>
    <x:row r="1382">
      <x:c r="B1382" s="7" t="str">
        <x:v>PHY-1376</x:v>
      </x:c>
      <x:c r="C1382" s="7" t="str">
        <x:v>event phase</x:v>
      </x:c>
      <x:c r="D1382" s="7" t="str">
        <x:v>RAE-E-03-P06</x:v>
      </x:c>
      <x:c r="E1382" s="7" t="str">
        <x:v>Event Phases!M60</x:v>
      </x:c>
      <x:c r="F1382" s="7" t="str">
        <x:f>'Event Phases'!M60</x:f>
        <x:v>OPEN</x:v>
      </x:c>
    </x:row>
    <x:row r="1383">
      <x:c r="B1383" s="7" t="str">
        <x:v>PHY-1377</x:v>
      </x:c>
      <x:c r="C1383" s="7" t="str">
        <x:v>event phase</x:v>
      </x:c>
      <x:c r="D1383" s="7" t="str">
        <x:v>RAE-E-03-P07</x:v>
      </x:c>
      <x:c r="E1383" s="7" t="str">
        <x:v>Event Phases!M61</x:v>
      </x:c>
      <x:c r="F1383" s="7" t="str">
        <x:f>'Event Phases'!M61</x:f>
        <x:v>OPEN</x:v>
      </x:c>
    </x:row>
    <x:row r="1384">
      <x:c r="B1384" s="7" t="str">
        <x:v>PHY-1378</x:v>
      </x:c>
      <x:c r="C1384" s="7" t="str">
        <x:v>event phase</x:v>
      </x:c>
      <x:c r="D1384" s="7" t="str">
        <x:v>RAE-E-03-P08</x:v>
      </x:c>
      <x:c r="E1384" s="7" t="str">
        <x:v>Event Phases!M62</x:v>
      </x:c>
      <x:c r="F1384" s="7" t="str">
        <x:f>'Event Phases'!M62</x:f>
        <x:v>OPEN</x:v>
      </x:c>
    </x:row>
    <x:row r="1385">
      <x:c r="B1385" s="7" t="str">
        <x:v>PHY-1379</x:v>
      </x:c>
      <x:c r="C1385" s="7" t="str">
        <x:v>event phase</x:v>
      </x:c>
      <x:c r="D1385" s="7" t="str">
        <x:v>RAE-E-03-P09</x:v>
      </x:c>
      <x:c r="E1385" s="7" t="str">
        <x:v>Event Phases!M63</x:v>
      </x:c>
      <x:c r="F1385" s="7" t="str">
        <x:f>'Event Phases'!M63</x:f>
        <x:v>OPEN</x:v>
      </x:c>
    </x:row>
    <x:row r="1386">
      <x:c r="B1386" s="7" t="str">
        <x:v>PHY-1380</x:v>
      </x:c>
      <x:c r="C1386" s="7" t="str">
        <x:v>event phase</x:v>
      </x:c>
      <x:c r="D1386" s="7" t="str">
        <x:v>RAE-E-03-P10</x:v>
      </x:c>
      <x:c r="E1386" s="7" t="str">
        <x:v>Event Phases!M64</x:v>
      </x:c>
      <x:c r="F1386" s="7" t="str">
        <x:f>'Event Phases'!M64</x:f>
        <x:v>OPEN</x:v>
      </x:c>
    </x:row>
    <x:row r="1387">
      <x:c r="B1387" s="7" t="str">
        <x:v>PHY-1381</x:v>
      </x:c>
      <x:c r="C1387" s="7" t="str">
        <x:v>event phase</x:v>
      </x:c>
      <x:c r="D1387" s="7" t="str">
        <x:v>RAE-E-03-P11</x:v>
      </x:c>
      <x:c r="E1387" s="7" t="str">
        <x:v>Event Phases!M65</x:v>
      </x:c>
      <x:c r="F1387" s="7" t="str">
        <x:f>'Event Phases'!M65</x:f>
        <x:v>OPEN</x:v>
      </x:c>
    </x:row>
    <x:row r="1388">
      <x:c r="B1388" s="7" t="str">
        <x:v>PHY-1382</x:v>
      </x:c>
      <x:c r="C1388" s="7" t="str">
        <x:v>event phase</x:v>
      </x:c>
      <x:c r="D1388" s="7" t="str">
        <x:v>RAE-E-03-P12</x:v>
      </x:c>
      <x:c r="E1388" s="7" t="str">
        <x:v>Event Phases!M66</x:v>
      </x:c>
      <x:c r="F1388" s="7" t="str">
        <x:f>'Event Phases'!M66</x:f>
        <x:v>OPEN</x:v>
      </x:c>
    </x:row>
    <x:row r="1389">
      <x:c r="B1389" s="7" t="str">
        <x:v>PHY-1383</x:v>
      </x:c>
      <x:c r="C1389" s="7" t="str">
        <x:v>event phase</x:v>
      </x:c>
      <x:c r="D1389" s="7" t="str">
        <x:v>RAE-E-03-P13</x:v>
      </x:c>
      <x:c r="E1389" s="7" t="str">
        <x:v>Event Phases!M67</x:v>
      </x:c>
      <x:c r="F1389" s="7" t="str">
        <x:f>'Event Phases'!M67</x:f>
        <x:v>OPEN</x:v>
      </x:c>
    </x:row>
    <x:row r="1390">
      <x:c r="B1390" s="7" t="str">
        <x:v>PHY-1384</x:v>
      </x:c>
      <x:c r="C1390" s="7" t="str">
        <x:v>event phase</x:v>
      </x:c>
      <x:c r="D1390" s="7" t="str">
        <x:v>RAE-E-03-P14</x:v>
      </x:c>
      <x:c r="E1390" s="7" t="str">
        <x:v>Event Phases!M68</x:v>
      </x:c>
      <x:c r="F1390" s="7" t="str">
        <x:f>'Event Phases'!M68</x:f>
        <x:v>OPEN</x:v>
      </x:c>
    </x:row>
    <x:row r="1391">
      <x:c r="B1391" s="7" t="str">
        <x:v>PHY-1385</x:v>
      </x:c>
      <x:c r="C1391" s="7" t="str">
        <x:v>event phase</x:v>
      </x:c>
      <x:c r="D1391" s="7" t="str">
        <x:v>RAE-E-03-P15</x:v>
      </x:c>
      <x:c r="E1391" s="7" t="str">
        <x:v>Event Phases!M69</x:v>
      </x:c>
      <x:c r="F1391" s="7" t="str">
        <x:f>'Event Phases'!M69</x:f>
        <x:v>OPEN</x:v>
      </x:c>
    </x:row>
    <x:row r="1392">
      <x:c r="B1392" s="7" t="str">
        <x:v>PHY-1386</x:v>
      </x:c>
      <x:c r="C1392" s="7" t="str">
        <x:v>event phase</x:v>
      </x:c>
      <x:c r="D1392" s="7" t="str">
        <x:v>RAE-E-03-P16</x:v>
      </x:c>
      <x:c r="E1392" s="7" t="str">
        <x:v>Event Phases!M70</x:v>
      </x:c>
      <x:c r="F1392" s="7" t="str">
        <x:f>'Event Phases'!M70</x:f>
        <x:v>OPEN</x:v>
      </x:c>
    </x:row>
    <x:row r="1393">
      <x:c r="B1393" s="7" t="str">
        <x:v>PHY-1387</x:v>
      </x:c>
      <x:c r="C1393" s="7" t="str">
        <x:v>event phase</x:v>
      </x:c>
      <x:c r="D1393" s="7" t="str">
        <x:v>RAE-E-03-P17</x:v>
      </x:c>
      <x:c r="E1393" s="7" t="str">
        <x:v>Event Phases!M71</x:v>
      </x:c>
      <x:c r="F1393" s="7" t="str">
        <x:f>'Event Phases'!M71</x:f>
        <x:v>OPEN</x:v>
      </x:c>
    </x:row>
    <x:row r="1394">
      <x:c r="B1394" s="7" t="str">
        <x:v>PHY-1388</x:v>
      </x:c>
      <x:c r="C1394" s="7" t="str">
        <x:v>event phase</x:v>
      </x:c>
      <x:c r="D1394" s="7" t="str">
        <x:v>RAE-E-03-P18</x:v>
      </x:c>
      <x:c r="E1394" s="7" t="str">
        <x:v>Event Phases!M72</x:v>
      </x:c>
      <x:c r="F1394" s="7" t="str">
        <x:f>'Event Phases'!M72</x:f>
        <x:v>OPEN</x:v>
      </x:c>
    </x:row>
    <x:row r="1395">
      <x:c r="B1395" s="7" t="str">
        <x:v>PHY-1389</x:v>
      </x:c>
      <x:c r="C1395" s="7" t="str">
        <x:v>event phase</x:v>
      </x:c>
      <x:c r="D1395" s="7" t="str">
        <x:v>RAE-E-03-P19</x:v>
      </x:c>
      <x:c r="E1395" s="7" t="str">
        <x:v>Event Phases!M73</x:v>
      </x:c>
      <x:c r="F1395" s="7" t="str">
        <x:f>'Event Phases'!M73</x:f>
        <x:v>OPEN</x:v>
      </x:c>
    </x:row>
    <x:row r="1396">
      <x:c r="B1396" s="7" t="str">
        <x:v>PHY-1390</x:v>
      </x:c>
      <x:c r="C1396" s="7" t="str">
        <x:v>event phase</x:v>
      </x:c>
      <x:c r="D1396" s="7" t="str">
        <x:v>RAE-E-03-P20</x:v>
      </x:c>
      <x:c r="E1396" s="7" t="str">
        <x:v>Event Phases!M74</x:v>
      </x:c>
      <x:c r="F1396" s="7" t="str">
        <x:f>'Event Phases'!M74</x:f>
        <x:v>OPEN</x:v>
      </x:c>
    </x:row>
    <x:row r="1397">
      <x:c r="B1397" s="7" t="str">
        <x:v>PHY-1391</x:v>
      </x:c>
      <x:c r="C1397" s="7" t="str">
        <x:v>event phase</x:v>
      </x:c>
      <x:c r="D1397" s="7" t="str">
        <x:v>RAE-E-03-P21</x:v>
      </x:c>
      <x:c r="E1397" s="7" t="str">
        <x:v>Event Phases!M75</x:v>
      </x:c>
      <x:c r="F1397" s="7" t="str">
        <x:f>'Event Phases'!M75</x:f>
        <x:v>OPEN</x:v>
      </x:c>
    </x:row>
    <x:row r="1398">
      <x:c r="B1398" s="7" t="str">
        <x:v>PHY-1392</x:v>
      </x:c>
      <x:c r="C1398" s="7" t="str">
        <x:v>event phase</x:v>
      </x:c>
      <x:c r="D1398" s="7" t="str">
        <x:v>RAE-E-03-P22</x:v>
      </x:c>
      <x:c r="E1398" s="7" t="str">
        <x:v>Event Phases!M76</x:v>
      </x:c>
      <x:c r="F1398" s="7" t="str">
        <x:f>'Event Phases'!M76</x:f>
        <x:v>OPEN</x:v>
      </x:c>
    </x:row>
    <x:row r="1399">
      <x:c r="B1399" s="7" t="str">
        <x:v>PHY-1393</x:v>
      </x:c>
      <x:c r="C1399" s="7" t="str">
        <x:v>event phase</x:v>
      </x:c>
      <x:c r="D1399" s="7" t="str">
        <x:v>RAE-E-03-P23</x:v>
      </x:c>
      <x:c r="E1399" s="7" t="str">
        <x:v>Event Phases!M77</x:v>
      </x:c>
      <x:c r="F1399" s="7" t="str">
        <x:f>'Event Phases'!M77</x:f>
        <x:v>OPEN</x:v>
      </x:c>
    </x:row>
    <x:row r="1400">
      <x:c r="B1400" s="7" t="str">
        <x:v>PHY-1394</x:v>
      </x:c>
      <x:c r="C1400" s="7" t="str">
        <x:v>event phase</x:v>
      </x:c>
      <x:c r="D1400" s="7" t="str">
        <x:v>RAE-E-03-P24</x:v>
      </x:c>
      <x:c r="E1400" s="7" t="str">
        <x:v>Event Phases!M78</x:v>
      </x:c>
      <x:c r="F1400" s="7" t="str">
        <x:f>'Event Phases'!M78</x:f>
        <x:v>OPEN</x:v>
      </x:c>
    </x:row>
    <x:row r="1401">
      <x:c r="B1401" s="7" t="str">
        <x:v>PHY-1395</x:v>
      </x:c>
      <x:c r="C1401" s="7" t="str">
        <x:v>event phase</x:v>
      </x:c>
      <x:c r="D1401" s="7" t="str">
        <x:v>RAE-E-04-P01</x:v>
      </x:c>
      <x:c r="E1401" s="7" t="str">
        <x:v>Event Phases!M79</x:v>
      </x:c>
      <x:c r="F1401" s="7" t="str">
        <x:f>'Event Phases'!M79</x:f>
        <x:v>OPEN</x:v>
      </x:c>
    </x:row>
    <x:row r="1402">
      <x:c r="B1402" s="7" t="str">
        <x:v>PHY-1396</x:v>
      </x:c>
      <x:c r="C1402" s="7" t="str">
        <x:v>event phase</x:v>
      </x:c>
      <x:c r="D1402" s="7" t="str">
        <x:v>RAE-E-04-P02</x:v>
      </x:c>
      <x:c r="E1402" s="7" t="str">
        <x:v>Event Phases!M80</x:v>
      </x:c>
      <x:c r="F1402" s="7" t="str">
        <x:f>'Event Phases'!M80</x:f>
        <x:v>OPEN</x:v>
      </x:c>
    </x:row>
    <x:row r="1403">
      <x:c r="B1403" s="7" t="str">
        <x:v>PHY-1397</x:v>
      </x:c>
      <x:c r="C1403" s="7" t="str">
        <x:v>event phase</x:v>
      </x:c>
      <x:c r="D1403" s="7" t="str">
        <x:v>RAE-E-04-P03</x:v>
      </x:c>
      <x:c r="E1403" s="7" t="str">
        <x:v>Event Phases!M81</x:v>
      </x:c>
      <x:c r="F1403" s="7" t="str">
        <x:f>'Event Phases'!M81</x:f>
        <x:v>OPEN</x:v>
      </x:c>
    </x:row>
    <x:row r="1404">
      <x:c r="B1404" s="7" t="str">
        <x:v>PHY-1398</x:v>
      </x:c>
      <x:c r="C1404" s="7" t="str">
        <x:v>event phase</x:v>
      </x:c>
      <x:c r="D1404" s="7" t="str">
        <x:v>RAE-E-04-P04</x:v>
      </x:c>
      <x:c r="E1404" s="7" t="str">
        <x:v>Event Phases!M82</x:v>
      </x:c>
      <x:c r="F1404" s="7" t="str">
        <x:f>'Event Phases'!M82</x:f>
        <x:v>OPEN</x:v>
      </x:c>
    </x:row>
    <x:row r="1405">
      <x:c r="B1405" s="7" t="str">
        <x:v>PHY-1399</x:v>
      </x:c>
      <x:c r="C1405" s="7" t="str">
        <x:v>event phase</x:v>
      </x:c>
      <x:c r="D1405" s="7" t="str">
        <x:v>RAE-E-04-P05</x:v>
      </x:c>
      <x:c r="E1405" s="7" t="str">
        <x:v>Event Phases!M83</x:v>
      </x:c>
      <x:c r="F1405" s="7" t="str">
        <x:f>'Event Phases'!M83</x:f>
        <x:v>OPEN</x:v>
      </x:c>
    </x:row>
    <x:row r="1406">
      <x:c r="B1406" s="7" t="str">
        <x:v>PHY-1400</x:v>
      </x:c>
      <x:c r="C1406" s="7" t="str">
        <x:v>event phase</x:v>
      </x:c>
      <x:c r="D1406" s="7" t="str">
        <x:v>RAE-E-04-P06</x:v>
      </x:c>
      <x:c r="E1406" s="7" t="str">
        <x:v>Event Phases!M84</x:v>
      </x:c>
      <x:c r="F1406" s="7" t="str">
        <x:f>'Event Phases'!M84</x:f>
        <x:v>OPEN</x:v>
      </x:c>
    </x:row>
    <x:row r="1407">
      <x:c r="B1407" s="7" t="str">
        <x:v>PHY-1401</x:v>
      </x:c>
      <x:c r="C1407" s="7" t="str">
        <x:v>event phase</x:v>
      </x:c>
      <x:c r="D1407" s="7" t="str">
        <x:v>RAE-E-04-P07</x:v>
      </x:c>
      <x:c r="E1407" s="7" t="str">
        <x:v>Event Phases!M85</x:v>
      </x:c>
      <x:c r="F1407" s="7" t="str">
        <x:f>'Event Phases'!M85</x:f>
        <x:v>OPEN</x:v>
      </x:c>
    </x:row>
    <x:row r="1408">
      <x:c r="B1408" s="7" t="str">
        <x:v>PHY-1402</x:v>
      </x:c>
      <x:c r="C1408" s="7" t="str">
        <x:v>event phase</x:v>
      </x:c>
      <x:c r="D1408" s="7" t="str">
        <x:v>RAE-E-04-P08</x:v>
      </x:c>
      <x:c r="E1408" s="7" t="str">
        <x:v>Event Phases!M86</x:v>
      </x:c>
      <x:c r="F1408" s="7" t="str">
        <x:f>'Event Phases'!M86</x:f>
        <x:v>OPEN</x:v>
      </x:c>
    </x:row>
    <x:row r="1409">
      <x:c r="B1409" s="7" t="str">
        <x:v>PHY-1403</x:v>
      </x:c>
      <x:c r="C1409" s="7" t="str">
        <x:v>event phase</x:v>
      </x:c>
      <x:c r="D1409" s="7" t="str">
        <x:v>RAE-E-04-P09</x:v>
      </x:c>
      <x:c r="E1409" s="7" t="str">
        <x:v>Event Phases!M87</x:v>
      </x:c>
      <x:c r="F1409" s="7" t="str">
        <x:f>'Event Phases'!M87</x:f>
        <x:v>OPEN</x:v>
      </x:c>
    </x:row>
    <x:row r="1410">
      <x:c r="B1410" s="7" t="str">
        <x:v>PHY-1404</x:v>
      </x:c>
      <x:c r="C1410" s="7" t="str">
        <x:v>event phase</x:v>
      </x:c>
      <x:c r="D1410" s="7" t="str">
        <x:v>RAE-E-04-P10</x:v>
      </x:c>
      <x:c r="E1410" s="7" t="str">
        <x:v>Event Phases!M88</x:v>
      </x:c>
      <x:c r="F1410" s="7" t="str">
        <x:f>'Event Phases'!M88</x:f>
        <x:v>OPEN</x:v>
      </x:c>
    </x:row>
    <x:row r="1411">
      <x:c r="B1411" s="7" t="str">
        <x:v>PHY-1405</x:v>
      </x:c>
      <x:c r="C1411" s="7" t="str">
        <x:v>event phase</x:v>
      </x:c>
      <x:c r="D1411" s="7" t="str">
        <x:v>RAE-E-04-P11</x:v>
      </x:c>
      <x:c r="E1411" s="7" t="str">
        <x:v>Event Phases!M89</x:v>
      </x:c>
      <x:c r="F1411" s="7" t="str">
        <x:f>'Event Phases'!M89</x:f>
        <x:v>OPEN</x:v>
      </x:c>
    </x:row>
    <x:row r="1412">
      <x:c r="B1412" s="7" t="str">
        <x:v>PHY-1406</x:v>
      </x:c>
      <x:c r="C1412" s="7" t="str">
        <x:v>event phase</x:v>
      </x:c>
      <x:c r="D1412" s="7" t="str">
        <x:v>RAE-E-04-P12</x:v>
      </x:c>
      <x:c r="E1412" s="7" t="str">
        <x:v>Event Phases!M90</x:v>
      </x:c>
      <x:c r="F1412" s="7" t="str">
        <x:f>'Event Phases'!M90</x:f>
        <x:v>OPEN</x:v>
      </x:c>
    </x:row>
    <x:row r="1413">
      <x:c r="B1413" s="7" t="str">
        <x:v>PHY-1407</x:v>
      </x:c>
      <x:c r="C1413" s="7" t="str">
        <x:v>event phase</x:v>
      </x:c>
      <x:c r="D1413" s="7" t="str">
        <x:v>RAE-E-04-P13</x:v>
      </x:c>
      <x:c r="E1413" s="7" t="str">
        <x:v>Event Phases!M91</x:v>
      </x:c>
      <x:c r="F1413" s="7" t="str">
        <x:f>'Event Phases'!M91</x:f>
        <x:v>OPEN</x:v>
      </x:c>
    </x:row>
    <x:row r="1414">
      <x:c r="B1414" s="7" t="str">
        <x:v>PHY-1408</x:v>
      </x:c>
      <x:c r="C1414" s="7" t="str">
        <x:v>event phase</x:v>
      </x:c>
      <x:c r="D1414" s="7" t="str">
        <x:v>RAE-E-04-P14</x:v>
      </x:c>
      <x:c r="E1414" s="7" t="str">
        <x:v>Event Phases!M92</x:v>
      </x:c>
      <x:c r="F1414" s="7" t="str">
        <x:f>'Event Phases'!M92</x:f>
        <x:v>OPEN</x:v>
      </x:c>
    </x:row>
    <x:row r="1415">
      <x:c r="B1415" s="7" t="str">
        <x:v>PHY-1409</x:v>
      </x:c>
      <x:c r="C1415" s="7" t="str">
        <x:v>event phase</x:v>
      </x:c>
      <x:c r="D1415" s="7" t="str">
        <x:v>RAE-E-04-P15</x:v>
      </x:c>
      <x:c r="E1415" s="7" t="str">
        <x:v>Event Phases!M93</x:v>
      </x:c>
      <x:c r="F1415" s="7" t="str">
        <x:f>'Event Phases'!M93</x:f>
        <x:v>OPEN</x:v>
      </x:c>
    </x:row>
    <x:row r="1416">
      <x:c r="B1416" s="7" t="str">
        <x:v>PHY-1410</x:v>
      </x:c>
      <x:c r="C1416" s="7" t="str">
        <x:v>event phase</x:v>
      </x:c>
      <x:c r="D1416" s="7" t="str">
        <x:v>RAE-E-04-P16</x:v>
      </x:c>
      <x:c r="E1416" s="7" t="str">
        <x:v>Event Phases!M94</x:v>
      </x:c>
      <x:c r="F1416" s="7" t="str">
        <x:f>'Event Phases'!M94</x:f>
        <x:v>OPEN</x:v>
      </x:c>
    </x:row>
    <x:row r="1417">
      <x:c r="B1417" s="7" t="str">
        <x:v>PHY-1411</x:v>
      </x:c>
      <x:c r="C1417" s="7" t="str">
        <x:v>event phase</x:v>
      </x:c>
      <x:c r="D1417" s="7" t="str">
        <x:v>RAE-E-04-P17</x:v>
      </x:c>
      <x:c r="E1417" s="7" t="str">
        <x:v>Event Phases!M95</x:v>
      </x:c>
      <x:c r="F1417" s="7" t="str">
        <x:f>'Event Phases'!M95</x:f>
        <x:v>OPEN</x:v>
      </x:c>
    </x:row>
    <x:row r="1418">
      <x:c r="B1418" s="7" t="str">
        <x:v>PHY-1412</x:v>
      </x:c>
      <x:c r="C1418" s="7" t="str">
        <x:v>event phase</x:v>
      </x:c>
      <x:c r="D1418" s="7" t="str">
        <x:v>RAE-E-04-P18</x:v>
      </x:c>
      <x:c r="E1418" s="7" t="str">
        <x:v>Event Phases!M96</x:v>
      </x:c>
      <x:c r="F1418" s="7" t="str">
        <x:f>'Event Phases'!M96</x:f>
        <x:v>OPEN</x:v>
      </x:c>
    </x:row>
    <x:row r="1419">
      <x:c r="B1419" s="7" t="str">
        <x:v>PHY-1413</x:v>
      </x:c>
      <x:c r="C1419" s="7" t="str">
        <x:v>event phase</x:v>
      </x:c>
      <x:c r="D1419" s="7" t="str">
        <x:v>RAE-E-04-P19</x:v>
      </x:c>
      <x:c r="E1419" s="7" t="str">
        <x:v>Event Phases!M97</x:v>
      </x:c>
      <x:c r="F1419" s="7" t="str">
        <x:f>'Event Phases'!M97</x:f>
        <x:v>OPEN</x:v>
      </x:c>
    </x:row>
    <x:row r="1420">
      <x:c r="B1420" s="7" t="str">
        <x:v>PHY-1414</x:v>
      </x:c>
      <x:c r="C1420" s="7" t="str">
        <x:v>event phase</x:v>
      </x:c>
      <x:c r="D1420" s="7" t="str">
        <x:v>RAE-E-04-P20</x:v>
      </x:c>
      <x:c r="E1420" s="7" t="str">
        <x:v>Event Phases!M98</x:v>
      </x:c>
      <x:c r="F1420" s="7" t="str">
        <x:f>'Event Phases'!M98</x:f>
        <x:v>OPEN</x:v>
      </x:c>
    </x:row>
    <x:row r="1421">
      <x:c r="B1421" s="7" t="str">
        <x:v>PHY-1415</x:v>
      </x:c>
      <x:c r="C1421" s="7" t="str">
        <x:v>event phase</x:v>
      </x:c>
      <x:c r="D1421" s="7" t="str">
        <x:v>RAE-E-04-P21</x:v>
      </x:c>
      <x:c r="E1421" s="7" t="str">
        <x:v>Event Phases!M99</x:v>
      </x:c>
      <x:c r="F1421" s="7" t="str">
        <x:f>'Event Phases'!M99</x:f>
        <x:v>OPEN</x:v>
      </x:c>
    </x:row>
    <x:row r="1422">
      <x:c r="B1422" s="7" t="str">
        <x:v>PHY-1416</x:v>
      </x:c>
      <x:c r="C1422" s="7" t="str">
        <x:v>event phase</x:v>
      </x:c>
      <x:c r="D1422" s="7" t="str">
        <x:v>RAE-E-04-P22</x:v>
      </x:c>
      <x:c r="E1422" s="7" t="str">
        <x:v>Event Phases!M100</x:v>
      </x:c>
      <x:c r="F1422" s="7" t="str">
        <x:f>'Event Phases'!M100</x:f>
        <x:v>OPEN</x:v>
      </x:c>
    </x:row>
    <x:row r="1423">
      <x:c r="B1423" s="7" t="str">
        <x:v>PHY-1417</x:v>
      </x:c>
      <x:c r="C1423" s="7" t="str">
        <x:v>event phase</x:v>
      </x:c>
      <x:c r="D1423" s="7" t="str">
        <x:v>RAE-E-04-P23</x:v>
      </x:c>
      <x:c r="E1423" s="7" t="str">
        <x:v>Event Phases!M101</x:v>
      </x:c>
      <x:c r="F1423" s="7" t="str">
        <x:f>'Event Phases'!M101</x:f>
        <x:v>OPEN</x:v>
      </x:c>
    </x:row>
    <x:row r="1424">
      <x:c r="B1424" s="7" t="str">
        <x:v>PHY-1418</x:v>
      </x:c>
      <x:c r="C1424" s="7" t="str">
        <x:v>event phase</x:v>
      </x:c>
      <x:c r="D1424" s="7" t="str">
        <x:v>RAE-E-04-P24</x:v>
      </x:c>
      <x:c r="E1424" s="7" t="str">
        <x:v>Event Phases!M102</x:v>
      </x:c>
      <x:c r="F1424" s="7" t="str">
        <x:f>'Event Phases'!M102</x:f>
        <x:v>OPEN</x:v>
      </x:c>
    </x:row>
    <x:row r="1425">
      <x:c r="B1425" s="7" t="str">
        <x:v>PHY-1419</x:v>
      </x:c>
      <x:c r="C1425" s="7" t="str">
        <x:v>event phase</x:v>
      </x:c>
      <x:c r="D1425" s="7" t="str">
        <x:v>RAE-E-05-P01</x:v>
      </x:c>
      <x:c r="E1425" s="7" t="str">
        <x:v>Event Phases!M103</x:v>
      </x:c>
      <x:c r="F1425" s="7" t="str">
        <x:f>'Event Phases'!M103</x:f>
        <x:v>OPEN</x:v>
      </x:c>
    </x:row>
    <x:row r="1426">
      <x:c r="B1426" s="7" t="str">
        <x:v>PHY-1420</x:v>
      </x:c>
      <x:c r="C1426" s="7" t="str">
        <x:v>event phase</x:v>
      </x:c>
      <x:c r="D1426" s="7" t="str">
        <x:v>RAE-E-05-P02</x:v>
      </x:c>
      <x:c r="E1426" s="7" t="str">
        <x:v>Event Phases!M104</x:v>
      </x:c>
      <x:c r="F1426" s="7" t="str">
        <x:f>'Event Phases'!M104</x:f>
        <x:v>OPEN</x:v>
      </x:c>
    </x:row>
    <x:row r="1427">
      <x:c r="B1427" s="7" t="str">
        <x:v>PHY-1421</x:v>
      </x:c>
      <x:c r="C1427" s="7" t="str">
        <x:v>event phase</x:v>
      </x:c>
      <x:c r="D1427" s="7" t="str">
        <x:v>RAE-E-05-P03</x:v>
      </x:c>
      <x:c r="E1427" s="7" t="str">
        <x:v>Event Phases!M105</x:v>
      </x:c>
      <x:c r="F1427" s="7" t="str">
        <x:f>'Event Phases'!M105</x:f>
        <x:v>OPEN</x:v>
      </x:c>
    </x:row>
    <x:row r="1428">
      <x:c r="B1428" s="7" t="str">
        <x:v>PHY-1422</x:v>
      </x:c>
      <x:c r="C1428" s="7" t="str">
        <x:v>event phase</x:v>
      </x:c>
      <x:c r="D1428" s="7" t="str">
        <x:v>RAE-E-05-P04</x:v>
      </x:c>
      <x:c r="E1428" s="7" t="str">
        <x:v>Event Phases!M106</x:v>
      </x:c>
      <x:c r="F1428" s="7" t="str">
        <x:f>'Event Phases'!M106</x:f>
        <x:v>OPEN</x:v>
      </x:c>
    </x:row>
    <x:row r="1429">
      <x:c r="B1429" s="7" t="str">
        <x:v>PHY-1423</x:v>
      </x:c>
      <x:c r="C1429" s="7" t="str">
        <x:v>event phase</x:v>
      </x:c>
      <x:c r="D1429" s="7" t="str">
        <x:v>RAE-E-05-P05</x:v>
      </x:c>
      <x:c r="E1429" s="7" t="str">
        <x:v>Event Phases!M107</x:v>
      </x:c>
      <x:c r="F1429" s="7" t="str">
        <x:f>'Event Phases'!M107</x:f>
        <x:v>OPEN</x:v>
      </x:c>
    </x:row>
    <x:row r="1430">
      <x:c r="B1430" s="7" t="str">
        <x:v>PHY-1424</x:v>
      </x:c>
      <x:c r="C1430" s="7" t="str">
        <x:v>event phase</x:v>
      </x:c>
      <x:c r="D1430" s="7" t="str">
        <x:v>RAE-E-05-P06</x:v>
      </x:c>
      <x:c r="E1430" s="7" t="str">
        <x:v>Event Phases!M108</x:v>
      </x:c>
      <x:c r="F1430" s="7" t="str">
        <x:f>'Event Phases'!M108</x:f>
        <x:v>OPEN</x:v>
      </x:c>
    </x:row>
    <x:row r="1431">
      <x:c r="B1431" s="7" t="str">
        <x:v>PHY-1425</x:v>
      </x:c>
      <x:c r="C1431" s="7" t="str">
        <x:v>event phase</x:v>
      </x:c>
      <x:c r="D1431" s="7" t="str">
        <x:v>RAE-E-05-P07</x:v>
      </x:c>
      <x:c r="E1431" s="7" t="str">
        <x:v>Event Phases!M109</x:v>
      </x:c>
      <x:c r="F1431" s="7" t="str">
        <x:f>'Event Phases'!M109</x:f>
        <x:v>OPEN</x:v>
      </x:c>
    </x:row>
    <x:row r="1432">
      <x:c r="B1432" s="7" t="str">
        <x:v>PHY-1426</x:v>
      </x:c>
      <x:c r="C1432" s="7" t="str">
        <x:v>event phase</x:v>
      </x:c>
      <x:c r="D1432" s="7" t="str">
        <x:v>RAE-E-05-P08</x:v>
      </x:c>
      <x:c r="E1432" s="7" t="str">
        <x:v>Event Phases!M110</x:v>
      </x:c>
      <x:c r="F1432" s="7" t="str">
        <x:f>'Event Phases'!M110</x:f>
        <x:v>OPEN</x:v>
      </x:c>
    </x:row>
    <x:row r="1433">
      <x:c r="B1433" s="7" t="str">
        <x:v>PHY-1427</x:v>
      </x:c>
      <x:c r="C1433" s="7" t="str">
        <x:v>event phase</x:v>
      </x:c>
      <x:c r="D1433" s="7" t="str">
        <x:v>RAE-E-05-P09</x:v>
      </x:c>
      <x:c r="E1433" s="7" t="str">
        <x:v>Event Phases!M111</x:v>
      </x:c>
      <x:c r="F1433" s="7" t="str">
        <x:f>'Event Phases'!M111</x:f>
        <x:v>OPEN</x:v>
      </x:c>
    </x:row>
    <x:row r="1434">
      <x:c r="B1434" s="7" t="str">
        <x:v>PHY-1428</x:v>
      </x:c>
      <x:c r="C1434" s="7" t="str">
        <x:v>event phase</x:v>
      </x:c>
      <x:c r="D1434" s="7" t="str">
        <x:v>RAE-E-05-P10</x:v>
      </x:c>
      <x:c r="E1434" s="7" t="str">
        <x:v>Event Phases!M112</x:v>
      </x:c>
      <x:c r="F1434" s="7" t="str">
        <x:f>'Event Phases'!M112</x:f>
        <x:v>OPEN</x:v>
      </x:c>
    </x:row>
    <x:row r="1435">
      <x:c r="B1435" s="7" t="str">
        <x:v>PHY-1429</x:v>
      </x:c>
      <x:c r="C1435" s="7" t="str">
        <x:v>event phase</x:v>
      </x:c>
      <x:c r="D1435" s="7" t="str">
        <x:v>RAE-E-05-P11</x:v>
      </x:c>
      <x:c r="E1435" s="7" t="str">
        <x:v>Event Phases!M113</x:v>
      </x:c>
      <x:c r="F1435" s="7" t="str">
        <x:f>'Event Phases'!M113</x:f>
        <x:v>OPEN</x:v>
      </x:c>
    </x:row>
    <x:row r="1436">
      <x:c r="B1436" s="7" t="str">
        <x:v>PHY-1430</x:v>
      </x:c>
      <x:c r="C1436" s="7" t="str">
        <x:v>event phase</x:v>
      </x:c>
      <x:c r="D1436" s="7" t="str">
        <x:v>RAE-E-05-P12</x:v>
      </x:c>
      <x:c r="E1436" s="7" t="str">
        <x:v>Event Phases!M114</x:v>
      </x:c>
      <x:c r="F1436" s="7" t="str">
        <x:f>'Event Phases'!M114</x:f>
        <x:v>OPEN</x:v>
      </x:c>
    </x:row>
    <x:row r="1437">
      <x:c r="B1437" s="7" t="str">
        <x:v>PHY-1431</x:v>
      </x:c>
      <x:c r="C1437" s="7" t="str">
        <x:v>event phase</x:v>
      </x:c>
      <x:c r="D1437" s="7" t="str">
        <x:v>RAE-E-05-P13</x:v>
      </x:c>
      <x:c r="E1437" s="7" t="str">
        <x:v>Event Phases!M115</x:v>
      </x:c>
      <x:c r="F1437" s="7" t="str">
        <x:f>'Event Phases'!M115</x:f>
        <x:v>OPEN</x:v>
      </x:c>
    </x:row>
    <x:row r="1438">
      <x:c r="B1438" s="7" t="str">
        <x:v>PHY-1432</x:v>
      </x:c>
      <x:c r="C1438" s="7" t="str">
        <x:v>event phase</x:v>
      </x:c>
      <x:c r="D1438" s="7" t="str">
        <x:v>RAE-E-05-P14</x:v>
      </x:c>
      <x:c r="E1438" s="7" t="str">
        <x:v>Event Phases!M116</x:v>
      </x:c>
      <x:c r="F1438" s="7" t="str">
        <x:f>'Event Phases'!M116</x:f>
        <x:v>OPEN</x:v>
      </x:c>
    </x:row>
    <x:row r="1439">
      <x:c r="B1439" s="7" t="str">
        <x:v>PHY-1433</x:v>
      </x:c>
      <x:c r="C1439" s="7" t="str">
        <x:v>event phase</x:v>
      </x:c>
      <x:c r="D1439" s="7" t="str">
        <x:v>RAE-E-05-P15</x:v>
      </x:c>
      <x:c r="E1439" s="7" t="str">
        <x:v>Event Phases!M117</x:v>
      </x:c>
      <x:c r="F1439" s="7" t="str">
        <x:f>'Event Phases'!M117</x:f>
        <x:v>OPEN</x:v>
      </x:c>
    </x:row>
    <x:row r="1440">
      <x:c r="B1440" s="7" t="str">
        <x:v>PHY-1434</x:v>
      </x:c>
      <x:c r="C1440" s="7" t="str">
        <x:v>event phase</x:v>
      </x:c>
      <x:c r="D1440" s="7" t="str">
        <x:v>RAE-E-05-P16</x:v>
      </x:c>
      <x:c r="E1440" s="7" t="str">
        <x:v>Event Phases!M118</x:v>
      </x:c>
      <x:c r="F1440" s="7" t="str">
        <x:f>'Event Phases'!M118</x:f>
        <x:v>OPEN</x:v>
      </x:c>
    </x:row>
    <x:row r="1441">
      <x:c r="B1441" s="7" t="str">
        <x:v>PHY-1435</x:v>
      </x:c>
      <x:c r="C1441" s="7" t="str">
        <x:v>event phase</x:v>
      </x:c>
      <x:c r="D1441" s="7" t="str">
        <x:v>RAE-E-05-P17</x:v>
      </x:c>
      <x:c r="E1441" s="7" t="str">
        <x:v>Event Phases!M119</x:v>
      </x:c>
      <x:c r="F1441" s="7" t="str">
        <x:f>'Event Phases'!M119</x:f>
        <x:v>OPEN</x:v>
      </x:c>
    </x:row>
    <x:row r="1442">
      <x:c r="B1442" s="7" t="str">
        <x:v>PHY-1436</x:v>
      </x:c>
      <x:c r="C1442" s="7" t="str">
        <x:v>event phase</x:v>
      </x:c>
      <x:c r="D1442" s="7" t="str">
        <x:v>RAE-E-05-P18</x:v>
      </x:c>
      <x:c r="E1442" s="7" t="str">
        <x:v>Event Phases!M120</x:v>
      </x:c>
      <x:c r="F1442" s="7" t="str">
        <x:f>'Event Phases'!M120</x:f>
        <x:v>OPEN</x:v>
      </x:c>
    </x:row>
    <x:row r="1443">
      <x:c r="B1443" s="7" t="str">
        <x:v>PHY-1437</x:v>
      </x:c>
      <x:c r="C1443" s="7" t="str">
        <x:v>event phase</x:v>
      </x:c>
      <x:c r="D1443" s="7" t="str">
        <x:v>RAE-E-05-P19</x:v>
      </x:c>
      <x:c r="E1443" s="7" t="str">
        <x:v>Event Phases!M121</x:v>
      </x:c>
      <x:c r="F1443" s="7" t="str">
        <x:f>'Event Phases'!M121</x:f>
        <x:v>OPEN</x:v>
      </x:c>
    </x:row>
    <x:row r="1444">
      <x:c r="B1444" s="7" t="str">
        <x:v>PHY-1438</x:v>
      </x:c>
      <x:c r="C1444" s="7" t="str">
        <x:v>event phase</x:v>
      </x:c>
      <x:c r="D1444" s="7" t="str">
        <x:v>RAE-E-05-P20</x:v>
      </x:c>
      <x:c r="E1444" s="7" t="str">
        <x:v>Event Phases!M122</x:v>
      </x:c>
      <x:c r="F1444" s="7" t="str">
        <x:f>'Event Phases'!M122</x:f>
        <x:v>OPEN</x:v>
      </x:c>
    </x:row>
    <x:row r="1445">
      <x:c r="B1445" s="7" t="str">
        <x:v>PHY-1439</x:v>
      </x:c>
      <x:c r="C1445" s="7" t="str">
        <x:v>event phase</x:v>
      </x:c>
      <x:c r="D1445" s="7" t="str">
        <x:v>RAE-E-05-P21</x:v>
      </x:c>
      <x:c r="E1445" s="7" t="str">
        <x:v>Event Phases!M123</x:v>
      </x:c>
      <x:c r="F1445" s="7" t="str">
        <x:f>'Event Phases'!M123</x:f>
        <x:v>OPEN</x:v>
      </x:c>
    </x:row>
    <x:row r="1446">
      <x:c r="B1446" s="7" t="str">
        <x:v>PHY-1440</x:v>
      </x:c>
      <x:c r="C1446" s="7" t="str">
        <x:v>event phase</x:v>
      </x:c>
      <x:c r="D1446" s="7" t="str">
        <x:v>RAE-E-05-P22</x:v>
      </x:c>
      <x:c r="E1446" s="7" t="str">
        <x:v>Event Phases!M124</x:v>
      </x:c>
      <x:c r="F1446" s="7" t="str">
        <x:f>'Event Phases'!M124</x:f>
        <x:v>OPEN</x:v>
      </x:c>
    </x:row>
    <x:row r="1447">
      <x:c r="B1447" s="7" t="str">
        <x:v>PHY-1441</x:v>
      </x:c>
      <x:c r="C1447" s="7" t="str">
        <x:v>event phase</x:v>
      </x:c>
      <x:c r="D1447" s="7" t="str">
        <x:v>RAE-E-05-P23</x:v>
      </x:c>
      <x:c r="E1447" s="7" t="str">
        <x:v>Event Phases!M125</x:v>
      </x:c>
      <x:c r="F1447" s="7" t="str">
        <x:f>'Event Phases'!M125</x:f>
        <x:v>OPEN</x:v>
      </x:c>
    </x:row>
    <x:row r="1448">
      <x:c r="B1448" s="7" t="str">
        <x:v>PHY-1442</x:v>
      </x:c>
      <x:c r="C1448" s="7" t="str">
        <x:v>event phase</x:v>
      </x:c>
      <x:c r="D1448" s="7" t="str">
        <x:v>RAE-E-05-P24</x:v>
      </x:c>
      <x:c r="E1448" s="7" t="str">
        <x:v>Event Phases!M126</x:v>
      </x:c>
      <x:c r="F1448" s="7" t="str">
        <x:f>'Event Phases'!M126</x:f>
        <x:v>OPEN</x:v>
      </x:c>
    </x:row>
    <x:row r="1449">
      <x:c r="B1449" s="7" t="str">
        <x:v>PHY-1443</x:v>
      </x:c>
      <x:c r="C1449" s="7" t="str">
        <x:v>event phase</x:v>
      </x:c>
      <x:c r="D1449" s="7" t="str">
        <x:v>RAE-E-06-P01</x:v>
      </x:c>
      <x:c r="E1449" s="7" t="str">
        <x:v>Event Phases!M127</x:v>
      </x:c>
      <x:c r="F1449" s="7" t="str">
        <x:f>'Event Phases'!M127</x:f>
        <x:v>OPEN</x:v>
      </x:c>
    </x:row>
    <x:row r="1450">
      <x:c r="B1450" s="7" t="str">
        <x:v>PHY-1444</x:v>
      </x:c>
      <x:c r="C1450" s="7" t="str">
        <x:v>event phase</x:v>
      </x:c>
      <x:c r="D1450" s="7" t="str">
        <x:v>RAE-E-06-P02</x:v>
      </x:c>
      <x:c r="E1450" s="7" t="str">
        <x:v>Event Phases!M128</x:v>
      </x:c>
      <x:c r="F1450" s="7" t="str">
        <x:f>'Event Phases'!M128</x:f>
        <x:v>OPEN</x:v>
      </x:c>
    </x:row>
    <x:row r="1451">
      <x:c r="B1451" s="7" t="str">
        <x:v>PHY-1445</x:v>
      </x:c>
      <x:c r="C1451" s="7" t="str">
        <x:v>event phase</x:v>
      </x:c>
      <x:c r="D1451" s="7" t="str">
        <x:v>RAE-E-06-P03</x:v>
      </x:c>
      <x:c r="E1451" s="7" t="str">
        <x:v>Event Phases!M129</x:v>
      </x:c>
      <x:c r="F1451" s="7" t="str">
        <x:f>'Event Phases'!M129</x:f>
        <x:v>OPEN</x:v>
      </x:c>
    </x:row>
    <x:row r="1452">
      <x:c r="B1452" s="7" t="str">
        <x:v>PHY-1446</x:v>
      </x:c>
      <x:c r="C1452" s="7" t="str">
        <x:v>event phase</x:v>
      </x:c>
      <x:c r="D1452" s="7" t="str">
        <x:v>RAE-E-06-P04</x:v>
      </x:c>
      <x:c r="E1452" s="7" t="str">
        <x:v>Event Phases!M130</x:v>
      </x:c>
      <x:c r="F1452" s="7" t="str">
        <x:f>'Event Phases'!M130</x:f>
        <x:v>OPEN</x:v>
      </x:c>
    </x:row>
    <x:row r="1453">
      <x:c r="B1453" s="7" t="str">
        <x:v>PHY-1447</x:v>
      </x:c>
      <x:c r="C1453" s="7" t="str">
        <x:v>event phase</x:v>
      </x:c>
      <x:c r="D1453" s="7" t="str">
        <x:v>RAE-E-06-P05</x:v>
      </x:c>
      <x:c r="E1453" s="7" t="str">
        <x:v>Event Phases!M131</x:v>
      </x:c>
      <x:c r="F1453" s="7" t="str">
        <x:f>'Event Phases'!M131</x:f>
        <x:v>OPEN</x:v>
      </x:c>
    </x:row>
    <x:row r="1454">
      <x:c r="B1454" s="7" t="str">
        <x:v>PHY-1448</x:v>
      </x:c>
      <x:c r="C1454" s="7" t="str">
        <x:v>event phase</x:v>
      </x:c>
      <x:c r="D1454" s="7" t="str">
        <x:v>RAE-E-06-P06</x:v>
      </x:c>
      <x:c r="E1454" s="7" t="str">
        <x:v>Event Phases!M132</x:v>
      </x:c>
      <x:c r="F1454" s="7" t="str">
        <x:f>'Event Phases'!M132</x:f>
        <x:v>OPEN</x:v>
      </x:c>
    </x:row>
    <x:row r="1455">
      <x:c r="B1455" s="7" t="str">
        <x:v>PHY-1449</x:v>
      </x:c>
      <x:c r="C1455" s="7" t="str">
        <x:v>event phase</x:v>
      </x:c>
      <x:c r="D1455" s="7" t="str">
        <x:v>RAE-E-06-P07</x:v>
      </x:c>
      <x:c r="E1455" s="7" t="str">
        <x:v>Event Phases!M133</x:v>
      </x:c>
      <x:c r="F1455" s="7" t="str">
        <x:f>'Event Phases'!M133</x:f>
        <x:v>OPEN</x:v>
      </x:c>
    </x:row>
    <x:row r="1456">
      <x:c r="B1456" s="7" t="str">
        <x:v>PHY-1450</x:v>
      </x:c>
      <x:c r="C1456" s="7" t="str">
        <x:v>event phase</x:v>
      </x:c>
      <x:c r="D1456" s="7" t="str">
        <x:v>RAE-E-06-P08</x:v>
      </x:c>
      <x:c r="E1456" s="7" t="str">
        <x:v>Event Phases!M134</x:v>
      </x:c>
      <x:c r="F1456" s="7" t="str">
        <x:f>'Event Phases'!M134</x:f>
        <x:v>OPEN</x:v>
      </x:c>
    </x:row>
    <x:row r="1457">
      <x:c r="B1457" s="7" t="str">
        <x:v>PHY-1451</x:v>
      </x:c>
      <x:c r="C1457" s="7" t="str">
        <x:v>event phase</x:v>
      </x:c>
      <x:c r="D1457" s="7" t="str">
        <x:v>RAE-E-06-P09</x:v>
      </x:c>
      <x:c r="E1457" s="7" t="str">
        <x:v>Event Phases!M135</x:v>
      </x:c>
      <x:c r="F1457" s="7" t="str">
        <x:f>'Event Phases'!M135</x:f>
        <x:v>OPEN</x:v>
      </x:c>
    </x:row>
    <x:row r="1458">
      <x:c r="B1458" s="7" t="str">
        <x:v>PHY-1452</x:v>
      </x:c>
      <x:c r="C1458" s="7" t="str">
        <x:v>event phase</x:v>
      </x:c>
      <x:c r="D1458" s="7" t="str">
        <x:v>RAE-E-06-P10</x:v>
      </x:c>
      <x:c r="E1458" s="7" t="str">
        <x:v>Event Phases!M136</x:v>
      </x:c>
      <x:c r="F1458" s="7" t="str">
        <x:f>'Event Phases'!M136</x:f>
        <x:v>OPEN</x:v>
      </x:c>
    </x:row>
    <x:row r="1459">
      <x:c r="B1459" s="7" t="str">
        <x:v>PHY-1453</x:v>
      </x:c>
      <x:c r="C1459" s="7" t="str">
        <x:v>event phase</x:v>
      </x:c>
      <x:c r="D1459" s="7" t="str">
        <x:v>RAE-E-06-P11</x:v>
      </x:c>
      <x:c r="E1459" s="7" t="str">
        <x:v>Event Phases!M137</x:v>
      </x:c>
      <x:c r="F1459" s="7" t="str">
        <x:f>'Event Phases'!M137</x:f>
        <x:v>OPEN</x:v>
      </x:c>
    </x:row>
    <x:row r="1460">
      <x:c r="B1460" s="7" t="str">
        <x:v>PHY-1454</x:v>
      </x:c>
      <x:c r="C1460" s="7" t="str">
        <x:v>event phase</x:v>
      </x:c>
      <x:c r="D1460" s="7" t="str">
        <x:v>RAE-E-06-P12</x:v>
      </x:c>
      <x:c r="E1460" s="7" t="str">
        <x:v>Event Phases!M138</x:v>
      </x:c>
      <x:c r="F1460" s="7" t="str">
        <x:f>'Event Phases'!M138</x:f>
        <x:v>OPEN</x:v>
      </x:c>
    </x:row>
    <x:row r="1461">
      <x:c r="B1461" s="7" t="str">
        <x:v>PHY-1455</x:v>
      </x:c>
      <x:c r="C1461" s="7" t="str">
        <x:v>event phase</x:v>
      </x:c>
      <x:c r="D1461" s="7" t="str">
        <x:v>RAE-E-06-P13</x:v>
      </x:c>
      <x:c r="E1461" s="7" t="str">
        <x:v>Event Phases!M139</x:v>
      </x:c>
      <x:c r="F1461" s="7" t="str">
        <x:f>'Event Phases'!M139</x:f>
        <x:v>OPEN</x:v>
      </x:c>
    </x:row>
    <x:row r="1462">
      <x:c r="B1462" s="7" t="str">
        <x:v>PHY-1456</x:v>
      </x:c>
      <x:c r="C1462" s="7" t="str">
        <x:v>event phase</x:v>
      </x:c>
      <x:c r="D1462" s="7" t="str">
        <x:v>RAE-E-06-P14</x:v>
      </x:c>
      <x:c r="E1462" s="7" t="str">
        <x:v>Event Phases!M140</x:v>
      </x:c>
      <x:c r="F1462" s="7" t="str">
        <x:f>'Event Phases'!M140</x:f>
        <x:v>OPEN</x:v>
      </x:c>
    </x:row>
    <x:row r="1463">
      <x:c r="B1463" s="7" t="str">
        <x:v>PHY-1457</x:v>
      </x:c>
      <x:c r="C1463" s="7" t="str">
        <x:v>event phase</x:v>
      </x:c>
      <x:c r="D1463" s="7" t="str">
        <x:v>RAE-E-06-P15</x:v>
      </x:c>
      <x:c r="E1463" s="7" t="str">
        <x:v>Event Phases!M141</x:v>
      </x:c>
      <x:c r="F1463" s="7" t="str">
        <x:f>'Event Phases'!M141</x:f>
        <x:v>OPEN</x:v>
      </x:c>
    </x:row>
    <x:row r="1464">
      <x:c r="B1464" s="7" t="str">
        <x:v>PHY-1458</x:v>
      </x:c>
      <x:c r="C1464" s="7" t="str">
        <x:v>event phase</x:v>
      </x:c>
      <x:c r="D1464" s="7" t="str">
        <x:v>RAE-E-06-P16</x:v>
      </x:c>
      <x:c r="E1464" s="7" t="str">
        <x:v>Event Phases!M142</x:v>
      </x:c>
      <x:c r="F1464" s="7" t="str">
        <x:f>'Event Phases'!M142</x:f>
        <x:v>OPEN</x:v>
      </x:c>
    </x:row>
    <x:row r="1465">
      <x:c r="B1465" s="7" t="str">
        <x:v>PHY-1459</x:v>
      </x:c>
      <x:c r="C1465" s="7" t="str">
        <x:v>event phase</x:v>
      </x:c>
      <x:c r="D1465" s="7" t="str">
        <x:v>RAE-E-06-P17</x:v>
      </x:c>
      <x:c r="E1465" s="7" t="str">
        <x:v>Event Phases!M143</x:v>
      </x:c>
      <x:c r="F1465" s="7" t="str">
        <x:f>'Event Phases'!M143</x:f>
        <x:v>OPEN</x:v>
      </x:c>
    </x:row>
    <x:row r="1466">
      <x:c r="B1466" s="7" t="str">
        <x:v>PHY-1460</x:v>
      </x:c>
      <x:c r="C1466" s="7" t="str">
        <x:v>event phase</x:v>
      </x:c>
      <x:c r="D1466" s="7" t="str">
        <x:v>RAE-E-06-P18</x:v>
      </x:c>
      <x:c r="E1466" s="7" t="str">
        <x:v>Event Phases!M144</x:v>
      </x:c>
      <x:c r="F1466" s="7" t="str">
        <x:f>'Event Phases'!M144</x:f>
        <x:v>OPEN</x:v>
      </x:c>
    </x:row>
    <x:row r="1467">
      <x:c r="B1467" s="7" t="str">
        <x:v>PHY-1461</x:v>
      </x:c>
      <x:c r="C1467" s="7" t="str">
        <x:v>event phase</x:v>
      </x:c>
      <x:c r="D1467" s="7" t="str">
        <x:v>RAE-E-06-P19</x:v>
      </x:c>
      <x:c r="E1467" s="7" t="str">
        <x:v>Event Phases!M145</x:v>
      </x:c>
      <x:c r="F1467" s="7" t="str">
        <x:f>'Event Phases'!M145</x:f>
        <x:v>OPEN</x:v>
      </x:c>
    </x:row>
    <x:row r="1468">
      <x:c r="B1468" s="7" t="str">
        <x:v>PHY-1462</x:v>
      </x:c>
      <x:c r="C1468" s="7" t="str">
        <x:v>event phase</x:v>
      </x:c>
      <x:c r="D1468" s="7" t="str">
        <x:v>RAE-E-06-P20</x:v>
      </x:c>
      <x:c r="E1468" s="7" t="str">
        <x:v>Event Phases!M146</x:v>
      </x:c>
      <x:c r="F1468" s="7" t="str">
        <x:f>'Event Phases'!M146</x:f>
        <x:v>OPEN</x:v>
      </x:c>
    </x:row>
    <x:row r="1469">
      <x:c r="B1469" s="7" t="str">
        <x:v>PHY-1463</x:v>
      </x:c>
      <x:c r="C1469" s="7" t="str">
        <x:v>event phase</x:v>
      </x:c>
      <x:c r="D1469" s="7" t="str">
        <x:v>RAE-E-06-P21</x:v>
      </x:c>
      <x:c r="E1469" s="7" t="str">
        <x:v>Event Phases!M147</x:v>
      </x:c>
      <x:c r="F1469" s="7" t="str">
        <x:f>'Event Phases'!M147</x:f>
        <x:v>OPEN</x:v>
      </x:c>
    </x:row>
    <x:row r="1470">
      <x:c r="B1470" s="7" t="str">
        <x:v>PHY-1464</x:v>
      </x:c>
      <x:c r="C1470" s="7" t="str">
        <x:v>event phase</x:v>
      </x:c>
      <x:c r="D1470" s="7" t="str">
        <x:v>RAE-E-06-P22</x:v>
      </x:c>
      <x:c r="E1470" s="7" t="str">
        <x:v>Event Phases!M148</x:v>
      </x:c>
      <x:c r="F1470" s="7" t="str">
        <x:f>'Event Phases'!M148</x:f>
        <x:v>OPEN</x:v>
      </x:c>
    </x:row>
    <x:row r="1471">
      <x:c r="B1471" s="7" t="str">
        <x:v>PHY-1465</x:v>
      </x:c>
      <x:c r="C1471" s="7" t="str">
        <x:v>event phase</x:v>
      </x:c>
      <x:c r="D1471" s="7" t="str">
        <x:v>RAE-E-06-P23</x:v>
      </x:c>
      <x:c r="E1471" s="7" t="str">
        <x:v>Event Phases!M149</x:v>
      </x:c>
      <x:c r="F1471" s="7" t="str">
        <x:f>'Event Phases'!M149</x:f>
        <x:v>OPEN</x:v>
      </x:c>
    </x:row>
    <x:row r="1472">
      <x:c r="B1472" s="7" t="str">
        <x:v>PHY-1466</x:v>
      </x:c>
      <x:c r="C1472" s="7" t="str">
        <x:v>event phase</x:v>
      </x:c>
      <x:c r="D1472" s="7" t="str">
        <x:v>RAE-E-06-P24</x:v>
      </x:c>
      <x:c r="E1472" s="7" t="str">
        <x:v>Event Phases!M150</x:v>
      </x:c>
      <x:c r="F1472" s="7" t="str">
        <x:f>'Event Phases'!M150</x:f>
        <x:v>OPEN</x:v>
      </x:c>
    </x:row>
    <x:row r="1473">
      <x:c r="B1473" s="7" t="str">
        <x:v>PHY-1467</x:v>
      </x:c>
      <x:c r="C1473" s="7" t="str">
        <x:v>event phase</x:v>
      </x:c>
      <x:c r="D1473" s="7" t="str">
        <x:v>RAE-E-07-P01</x:v>
      </x:c>
      <x:c r="E1473" s="7" t="str">
        <x:v>Event Phases!M151</x:v>
      </x:c>
      <x:c r="F1473" s="7" t="str">
        <x:f>'Event Phases'!M151</x:f>
        <x:v>OPEN</x:v>
      </x:c>
    </x:row>
    <x:row r="1474">
      <x:c r="B1474" s="7" t="str">
        <x:v>PHY-1468</x:v>
      </x:c>
      <x:c r="C1474" s="7" t="str">
        <x:v>event phase</x:v>
      </x:c>
      <x:c r="D1474" s="7" t="str">
        <x:v>RAE-E-07-P02</x:v>
      </x:c>
      <x:c r="E1474" s="7" t="str">
        <x:v>Event Phases!M152</x:v>
      </x:c>
      <x:c r="F1474" s="7" t="str">
        <x:f>'Event Phases'!M152</x:f>
        <x:v>OPEN</x:v>
      </x:c>
    </x:row>
    <x:row r="1475">
      <x:c r="B1475" s="7" t="str">
        <x:v>PHY-1469</x:v>
      </x:c>
      <x:c r="C1475" s="7" t="str">
        <x:v>event phase</x:v>
      </x:c>
      <x:c r="D1475" s="7" t="str">
        <x:v>RAE-E-07-P03</x:v>
      </x:c>
      <x:c r="E1475" s="7" t="str">
        <x:v>Event Phases!M153</x:v>
      </x:c>
      <x:c r="F1475" s="7" t="str">
        <x:f>'Event Phases'!M153</x:f>
        <x:v>OPEN</x:v>
      </x:c>
    </x:row>
    <x:row r="1476">
      <x:c r="B1476" s="7" t="str">
        <x:v>PHY-1470</x:v>
      </x:c>
      <x:c r="C1476" s="7" t="str">
        <x:v>event phase</x:v>
      </x:c>
      <x:c r="D1476" s="7" t="str">
        <x:v>RAE-E-07-P04</x:v>
      </x:c>
      <x:c r="E1476" s="7" t="str">
        <x:v>Event Phases!M154</x:v>
      </x:c>
      <x:c r="F1476" s="7" t="str">
        <x:f>'Event Phases'!M154</x:f>
        <x:v>OPEN</x:v>
      </x:c>
    </x:row>
    <x:row r="1477">
      <x:c r="B1477" s="7" t="str">
        <x:v>PHY-1471</x:v>
      </x:c>
      <x:c r="C1477" s="7" t="str">
        <x:v>event phase</x:v>
      </x:c>
      <x:c r="D1477" s="7" t="str">
        <x:v>RAE-E-07-P05</x:v>
      </x:c>
      <x:c r="E1477" s="7" t="str">
        <x:v>Event Phases!M155</x:v>
      </x:c>
      <x:c r="F1477" s="7" t="str">
        <x:f>'Event Phases'!M155</x:f>
        <x:v>OPEN</x:v>
      </x:c>
    </x:row>
    <x:row r="1478">
      <x:c r="B1478" s="7" t="str">
        <x:v>PHY-1472</x:v>
      </x:c>
      <x:c r="C1478" s="7" t="str">
        <x:v>event phase</x:v>
      </x:c>
      <x:c r="D1478" s="7" t="str">
        <x:v>RAE-E-07-P06</x:v>
      </x:c>
      <x:c r="E1478" s="7" t="str">
        <x:v>Event Phases!M156</x:v>
      </x:c>
      <x:c r="F1478" s="7" t="str">
        <x:f>'Event Phases'!M156</x:f>
        <x:v>OPEN</x:v>
      </x:c>
    </x:row>
    <x:row r="1479">
      <x:c r="B1479" s="7" t="str">
        <x:v>PHY-1473</x:v>
      </x:c>
      <x:c r="C1479" s="7" t="str">
        <x:v>event phase</x:v>
      </x:c>
      <x:c r="D1479" s="7" t="str">
        <x:v>RAE-E-07-P07</x:v>
      </x:c>
      <x:c r="E1479" s="7" t="str">
        <x:v>Event Phases!M157</x:v>
      </x:c>
      <x:c r="F1479" s="7" t="str">
        <x:f>'Event Phases'!M157</x:f>
        <x:v>OPEN</x:v>
      </x:c>
    </x:row>
    <x:row r="1480">
      <x:c r="B1480" s="7" t="str">
        <x:v>PHY-1474</x:v>
      </x:c>
      <x:c r="C1480" s="7" t="str">
        <x:v>event phase</x:v>
      </x:c>
      <x:c r="D1480" s="7" t="str">
        <x:v>RAE-E-07-P08</x:v>
      </x:c>
      <x:c r="E1480" s="7" t="str">
        <x:v>Event Phases!M158</x:v>
      </x:c>
      <x:c r="F1480" s="7" t="str">
        <x:f>'Event Phases'!M158</x:f>
        <x:v>OPEN</x:v>
      </x:c>
    </x:row>
    <x:row r="1481">
      <x:c r="B1481" s="7" t="str">
        <x:v>PHY-1475</x:v>
      </x:c>
      <x:c r="C1481" s="7" t="str">
        <x:v>event phase</x:v>
      </x:c>
      <x:c r="D1481" s="7" t="str">
        <x:v>RAE-E-07-P09</x:v>
      </x:c>
      <x:c r="E1481" s="7" t="str">
        <x:v>Event Phases!M159</x:v>
      </x:c>
      <x:c r="F1481" s="7" t="str">
        <x:f>'Event Phases'!M159</x:f>
        <x:v>OPEN</x:v>
      </x:c>
    </x:row>
    <x:row r="1482">
      <x:c r="B1482" s="7" t="str">
        <x:v>PHY-1476</x:v>
      </x:c>
      <x:c r="C1482" s="7" t="str">
        <x:v>event phase</x:v>
      </x:c>
      <x:c r="D1482" s="7" t="str">
        <x:v>RAE-E-07-P10</x:v>
      </x:c>
      <x:c r="E1482" s="7" t="str">
        <x:v>Event Phases!M160</x:v>
      </x:c>
      <x:c r="F1482" s="7" t="str">
        <x:f>'Event Phases'!M160</x:f>
        <x:v>OPEN</x:v>
      </x:c>
    </x:row>
    <x:row r="1483">
      <x:c r="B1483" s="7" t="str">
        <x:v>PHY-1477</x:v>
      </x:c>
      <x:c r="C1483" s="7" t="str">
        <x:v>event phase</x:v>
      </x:c>
      <x:c r="D1483" s="7" t="str">
        <x:v>RAE-E-07-P11</x:v>
      </x:c>
      <x:c r="E1483" s="7" t="str">
        <x:v>Event Phases!M161</x:v>
      </x:c>
      <x:c r="F1483" s="7" t="str">
        <x:f>'Event Phases'!M161</x:f>
        <x:v>OPEN</x:v>
      </x:c>
    </x:row>
    <x:row r="1484">
      <x:c r="B1484" s="7" t="str">
        <x:v>PHY-1478</x:v>
      </x:c>
      <x:c r="C1484" s="7" t="str">
        <x:v>event phase</x:v>
      </x:c>
      <x:c r="D1484" s="7" t="str">
        <x:v>RAE-E-07-P12</x:v>
      </x:c>
      <x:c r="E1484" s="7" t="str">
        <x:v>Event Phases!M162</x:v>
      </x:c>
      <x:c r="F1484" s="7" t="str">
        <x:f>'Event Phases'!M162</x:f>
        <x:v>OPEN</x:v>
      </x:c>
    </x:row>
    <x:row r="1485">
      <x:c r="B1485" s="7" t="str">
        <x:v>PHY-1479</x:v>
      </x:c>
      <x:c r="C1485" s="7" t="str">
        <x:v>event phase</x:v>
      </x:c>
      <x:c r="D1485" s="7" t="str">
        <x:v>RAE-E-07-P13</x:v>
      </x:c>
      <x:c r="E1485" s="7" t="str">
        <x:v>Event Phases!M163</x:v>
      </x:c>
      <x:c r="F1485" s="7" t="str">
        <x:f>'Event Phases'!M163</x:f>
        <x:v>OPEN</x:v>
      </x:c>
    </x:row>
    <x:row r="1486">
      <x:c r="B1486" s="7" t="str">
        <x:v>PHY-1480</x:v>
      </x:c>
      <x:c r="C1486" s="7" t="str">
        <x:v>event phase</x:v>
      </x:c>
      <x:c r="D1486" s="7" t="str">
        <x:v>RAE-E-07-P14</x:v>
      </x:c>
      <x:c r="E1486" s="7" t="str">
        <x:v>Event Phases!M164</x:v>
      </x:c>
      <x:c r="F1486" s="7" t="str">
        <x:f>'Event Phases'!M164</x:f>
        <x:v>OPEN</x:v>
      </x:c>
    </x:row>
    <x:row r="1487">
      <x:c r="B1487" s="7" t="str">
        <x:v>PHY-1481</x:v>
      </x:c>
      <x:c r="C1487" s="7" t="str">
        <x:v>event phase</x:v>
      </x:c>
      <x:c r="D1487" s="7" t="str">
        <x:v>RAE-E-07-P15</x:v>
      </x:c>
      <x:c r="E1487" s="7" t="str">
        <x:v>Event Phases!M165</x:v>
      </x:c>
      <x:c r="F1487" s="7" t="str">
        <x:f>'Event Phases'!M165</x:f>
        <x:v>OPEN</x:v>
      </x:c>
    </x:row>
    <x:row r="1488">
      <x:c r="B1488" s="7" t="str">
        <x:v>PHY-1482</x:v>
      </x:c>
      <x:c r="C1488" s="7" t="str">
        <x:v>event phase</x:v>
      </x:c>
      <x:c r="D1488" s="7" t="str">
        <x:v>RAE-E-07-P16</x:v>
      </x:c>
      <x:c r="E1488" s="7" t="str">
        <x:v>Event Phases!M166</x:v>
      </x:c>
      <x:c r="F1488" s="7" t="str">
        <x:f>'Event Phases'!M166</x:f>
        <x:v>OPEN</x:v>
      </x:c>
    </x:row>
    <x:row r="1489">
      <x:c r="B1489" s="7" t="str">
        <x:v>PHY-1483</x:v>
      </x:c>
      <x:c r="C1489" s="7" t="str">
        <x:v>event phase</x:v>
      </x:c>
      <x:c r="D1489" s="7" t="str">
        <x:v>RAE-E-07-P17</x:v>
      </x:c>
      <x:c r="E1489" s="7" t="str">
        <x:v>Event Phases!M167</x:v>
      </x:c>
      <x:c r="F1489" s="7" t="str">
        <x:f>'Event Phases'!M167</x:f>
        <x:v>OPEN</x:v>
      </x:c>
    </x:row>
    <x:row r="1490">
      <x:c r="B1490" s="7" t="str">
        <x:v>PHY-1484</x:v>
      </x:c>
      <x:c r="C1490" s="7" t="str">
        <x:v>event phase</x:v>
      </x:c>
      <x:c r="D1490" s="7" t="str">
        <x:v>RAE-E-07-P18</x:v>
      </x:c>
      <x:c r="E1490" s="7" t="str">
        <x:v>Event Phases!M168</x:v>
      </x:c>
      <x:c r="F1490" s="7" t="str">
        <x:f>'Event Phases'!M168</x:f>
        <x:v>OPEN</x:v>
      </x:c>
    </x:row>
    <x:row r="1491">
      <x:c r="B1491" s="7" t="str">
        <x:v>PHY-1485</x:v>
      </x:c>
      <x:c r="C1491" s="7" t="str">
        <x:v>event phase</x:v>
      </x:c>
      <x:c r="D1491" s="7" t="str">
        <x:v>RAE-E-07-P19</x:v>
      </x:c>
      <x:c r="E1491" s="7" t="str">
        <x:v>Event Phases!M169</x:v>
      </x:c>
      <x:c r="F1491" s="7" t="str">
        <x:f>'Event Phases'!M169</x:f>
        <x:v>OPEN</x:v>
      </x:c>
    </x:row>
    <x:row r="1492">
      <x:c r="B1492" s="7" t="str">
        <x:v>PHY-1486</x:v>
      </x:c>
      <x:c r="C1492" s="7" t="str">
        <x:v>event phase</x:v>
      </x:c>
      <x:c r="D1492" s="7" t="str">
        <x:v>RAE-E-07-P20</x:v>
      </x:c>
      <x:c r="E1492" s="7" t="str">
        <x:v>Event Phases!M170</x:v>
      </x:c>
      <x:c r="F1492" s="7" t="str">
        <x:f>'Event Phases'!M170</x:f>
        <x:v>OPEN</x:v>
      </x:c>
    </x:row>
    <x:row r="1493">
      <x:c r="B1493" s="7" t="str">
        <x:v>PHY-1487</x:v>
      </x:c>
      <x:c r="C1493" s="7" t="str">
        <x:v>event phase</x:v>
      </x:c>
      <x:c r="D1493" s="7" t="str">
        <x:v>RAE-E-07-P21</x:v>
      </x:c>
      <x:c r="E1493" s="7" t="str">
        <x:v>Event Phases!M171</x:v>
      </x:c>
      <x:c r="F1493" s="7" t="str">
        <x:f>'Event Phases'!M171</x:f>
        <x:v>OPEN</x:v>
      </x:c>
    </x:row>
    <x:row r="1494">
      <x:c r="B1494" s="7" t="str">
        <x:v>PHY-1488</x:v>
      </x:c>
      <x:c r="C1494" s="7" t="str">
        <x:v>event phase</x:v>
      </x:c>
      <x:c r="D1494" s="7" t="str">
        <x:v>RAE-E-07-P22</x:v>
      </x:c>
      <x:c r="E1494" s="7" t="str">
        <x:v>Event Phases!M172</x:v>
      </x:c>
      <x:c r="F1494" s="7" t="str">
        <x:f>'Event Phases'!M172</x:f>
        <x:v>OPEN</x:v>
      </x:c>
    </x:row>
    <x:row r="1495">
      <x:c r="B1495" s="7" t="str">
        <x:v>PHY-1489</x:v>
      </x:c>
      <x:c r="C1495" s="7" t="str">
        <x:v>event phase</x:v>
      </x:c>
      <x:c r="D1495" s="7" t="str">
        <x:v>RAE-E-07-P23</x:v>
      </x:c>
      <x:c r="E1495" s="7" t="str">
        <x:v>Event Phases!M173</x:v>
      </x:c>
      <x:c r="F1495" s="7" t="str">
        <x:f>'Event Phases'!M173</x:f>
        <x:v>OPEN</x:v>
      </x:c>
    </x:row>
    <x:row r="1496">
      <x:c r="B1496" s="7" t="str">
        <x:v>PHY-1490</x:v>
      </x:c>
      <x:c r="C1496" s="7" t="str">
        <x:v>event phase</x:v>
      </x:c>
      <x:c r="D1496" s="7" t="str">
        <x:v>RAE-E-07-P24</x:v>
      </x:c>
      <x:c r="E1496" s="7" t="str">
        <x:v>Event Phases!M174</x:v>
      </x:c>
      <x:c r="F1496" s="7" t="str">
        <x:f>'Event Phases'!M174</x:f>
        <x:v>OPEN</x:v>
      </x:c>
    </x:row>
    <x:row r="1497">
      <x:c r="B1497" s="7" t="str">
        <x:v>PHY-1491</x:v>
      </x:c>
      <x:c r="C1497" s="7" t="str">
        <x:v>event phase</x:v>
      </x:c>
      <x:c r="D1497" s="7" t="str">
        <x:v>RAE-E-08-P01</x:v>
      </x:c>
      <x:c r="E1497" s="7" t="str">
        <x:v>Event Phases!M175</x:v>
      </x:c>
      <x:c r="F1497" s="7" t="str">
        <x:f>'Event Phases'!M175</x:f>
        <x:v>OPEN</x:v>
      </x:c>
    </x:row>
    <x:row r="1498">
      <x:c r="B1498" s="7" t="str">
        <x:v>PHY-1492</x:v>
      </x:c>
      <x:c r="C1498" s="7" t="str">
        <x:v>event phase</x:v>
      </x:c>
      <x:c r="D1498" s="7" t="str">
        <x:v>RAE-E-08-P02</x:v>
      </x:c>
      <x:c r="E1498" s="7" t="str">
        <x:v>Event Phases!M176</x:v>
      </x:c>
      <x:c r="F1498" s="7" t="str">
        <x:f>'Event Phases'!M176</x:f>
        <x:v>OPEN</x:v>
      </x:c>
    </x:row>
    <x:row r="1499">
      <x:c r="B1499" s="7" t="str">
        <x:v>PHY-1493</x:v>
      </x:c>
      <x:c r="C1499" s="7" t="str">
        <x:v>event phase</x:v>
      </x:c>
      <x:c r="D1499" s="7" t="str">
        <x:v>RAE-E-08-P03</x:v>
      </x:c>
      <x:c r="E1499" s="7" t="str">
        <x:v>Event Phases!M177</x:v>
      </x:c>
      <x:c r="F1499" s="7" t="str">
        <x:f>'Event Phases'!M177</x:f>
        <x:v>OPEN</x:v>
      </x:c>
    </x:row>
    <x:row r="1500">
      <x:c r="B1500" s="7" t="str">
        <x:v>PHY-1494</x:v>
      </x:c>
      <x:c r="C1500" s="7" t="str">
        <x:v>event phase</x:v>
      </x:c>
      <x:c r="D1500" s="7" t="str">
        <x:v>RAE-E-08-P04</x:v>
      </x:c>
      <x:c r="E1500" s="7" t="str">
        <x:v>Event Phases!M178</x:v>
      </x:c>
      <x:c r="F1500" s="7" t="str">
        <x:f>'Event Phases'!M178</x:f>
        <x:v>OPEN</x:v>
      </x:c>
    </x:row>
    <x:row r="1501">
      <x:c r="B1501" s="7" t="str">
        <x:v>PHY-1495</x:v>
      </x:c>
      <x:c r="C1501" s="7" t="str">
        <x:v>event phase</x:v>
      </x:c>
      <x:c r="D1501" s="7" t="str">
        <x:v>RAE-E-08-P05</x:v>
      </x:c>
      <x:c r="E1501" s="7" t="str">
        <x:v>Event Phases!M179</x:v>
      </x:c>
      <x:c r="F1501" s="7" t="str">
        <x:f>'Event Phases'!M179</x:f>
        <x:v>OPEN</x:v>
      </x:c>
    </x:row>
    <x:row r="1502">
      <x:c r="B1502" s="7" t="str">
        <x:v>PHY-1496</x:v>
      </x:c>
      <x:c r="C1502" s="7" t="str">
        <x:v>event phase</x:v>
      </x:c>
      <x:c r="D1502" s="7" t="str">
        <x:v>RAE-E-08-P06</x:v>
      </x:c>
      <x:c r="E1502" s="7" t="str">
        <x:v>Event Phases!M180</x:v>
      </x:c>
      <x:c r="F1502" s="7" t="str">
        <x:f>'Event Phases'!M180</x:f>
        <x:v>OPEN</x:v>
      </x:c>
    </x:row>
    <x:row r="1503">
      <x:c r="B1503" s="7" t="str">
        <x:v>PHY-1497</x:v>
      </x:c>
      <x:c r="C1503" s="7" t="str">
        <x:v>event phase</x:v>
      </x:c>
      <x:c r="D1503" s="7" t="str">
        <x:v>RAE-E-08-P07</x:v>
      </x:c>
      <x:c r="E1503" s="7" t="str">
        <x:v>Event Phases!M181</x:v>
      </x:c>
      <x:c r="F1503" s="7" t="str">
        <x:f>'Event Phases'!M181</x:f>
        <x:v>OPEN</x:v>
      </x:c>
    </x:row>
    <x:row r="1504">
      <x:c r="B1504" s="7" t="str">
        <x:v>PHY-1498</x:v>
      </x:c>
      <x:c r="C1504" s="7" t="str">
        <x:v>event phase</x:v>
      </x:c>
      <x:c r="D1504" s="7" t="str">
        <x:v>RAE-E-08-P08</x:v>
      </x:c>
      <x:c r="E1504" s="7" t="str">
        <x:v>Event Phases!M182</x:v>
      </x:c>
      <x:c r="F1504" s="7" t="str">
        <x:f>'Event Phases'!M182</x:f>
        <x:v>OPEN</x:v>
      </x:c>
    </x:row>
    <x:row r="1505">
      <x:c r="B1505" s="7" t="str">
        <x:v>PHY-1499</x:v>
      </x:c>
      <x:c r="C1505" s="7" t="str">
        <x:v>event phase</x:v>
      </x:c>
      <x:c r="D1505" s="7" t="str">
        <x:v>RAE-E-08-P09</x:v>
      </x:c>
      <x:c r="E1505" s="7" t="str">
        <x:v>Event Phases!M183</x:v>
      </x:c>
      <x:c r="F1505" s="7" t="str">
        <x:f>'Event Phases'!M183</x:f>
        <x:v>OPEN</x:v>
      </x:c>
    </x:row>
    <x:row r="1506">
      <x:c r="B1506" s="7" t="str">
        <x:v>PHY-1500</x:v>
      </x:c>
      <x:c r="C1506" s="7" t="str">
        <x:v>event phase</x:v>
      </x:c>
      <x:c r="D1506" s="7" t="str">
        <x:v>RAE-E-08-P10</x:v>
      </x:c>
      <x:c r="E1506" s="7" t="str">
        <x:v>Event Phases!M184</x:v>
      </x:c>
      <x:c r="F1506" s="7" t="str">
        <x:f>'Event Phases'!M184</x:f>
        <x:v>OPEN</x:v>
      </x:c>
    </x:row>
    <x:row r="1507">
      <x:c r="B1507" s="7" t="str">
        <x:v>PHY-1501</x:v>
      </x:c>
      <x:c r="C1507" s="7" t="str">
        <x:v>event phase</x:v>
      </x:c>
      <x:c r="D1507" s="7" t="str">
        <x:v>RAE-E-08-P11</x:v>
      </x:c>
      <x:c r="E1507" s="7" t="str">
        <x:v>Event Phases!M185</x:v>
      </x:c>
      <x:c r="F1507" s="7" t="str">
        <x:f>'Event Phases'!M185</x:f>
        <x:v>OPEN</x:v>
      </x:c>
    </x:row>
    <x:row r="1508">
      <x:c r="B1508" s="7" t="str">
        <x:v>PHY-1502</x:v>
      </x:c>
      <x:c r="C1508" s="7" t="str">
        <x:v>event phase</x:v>
      </x:c>
      <x:c r="D1508" s="7" t="str">
        <x:v>RAE-E-08-P12</x:v>
      </x:c>
      <x:c r="E1508" s="7" t="str">
        <x:v>Event Phases!M186</x:v>
      </x:c>
      <x:c r="F1508" s="7" t="str">
        <x:f>'Event Phases'!M186</x:f>
        <x:v>OPEN</x:v>
      </x:c>
    </x:row>
    <x:row r="1509">
      <x:c r="B1509" s="7" t="str">
        <x:v>PHY-1503</x:v>
      </x:c>
      <x:c r="C1509" s="7" t="str">
        <x:v>event phase</x:v>
      </x:c>
      <x:c r="D1509" s="7" t="str">
        <x:v>RAE-E-08-P13</x:v>
      </x:c>
      <x:c r="E1509" s="7" t="str">
        <x:v>Event Phases!M187</x:v>
      </x:c>
      <x:c r="F1509" s="7" t="str">
        <x:f>'Event Phases'!M187</x:f>
        <x:v>OPEN</x:v>
      </x:c>
    </x:row>
    <x:row r="1510">
      <x:c r="B1510" s="7" t="str">
        <x:v>PHY-1504</x:v>
      </x:c>
      <x:c r="C1510" s="7" t="str">
        <x:v>event phase</x:v>
      </x:c>
      <x:c r="D1510" s="7" t="str">
        <x:v>RAE-E-08-P14</x:v>
      </x:c>
      <x:c r="E1510" s="7" t="str">
        <x:v>Event Phases!M188</x:v>
      </x:c>
      <x:c r="F1510" s="7" t="str">
        <x:f>'Event Phases'!M188</x:f>
        <x:v>OPEN</x:v>
      </x:c>
    </x:row>
    <x:row r="1511">
      <x:c r="B1511" s="7" t="str">
        <x:v>PHY-1505</x:v>
      </x:c>
      <x:c r="C1511" s="7" t="str">
        <x:v>event phase</x:v>
      </x:c>
      <x:c r="D1511" s="7" t="str">
        <x:v>RAE-E-08-P15</x:v>
      </x:c>
      <x:c r="E1511" s="7" t="str">
        <x:v>Event Phases!M189</x:v>
      </x:c>
      <x:c r="F1511" s="7" t="str">
        <x:f>'Event Phases'!M189</x:f>
        <x:v>OPEN</x:v>
      </x:c>
    </x:row>
    <x:row r="1512">
      <x:c r="B1512" s="7" t="str">
        <x:v>PHY-1506</x:v>
      </x:c>
      <x:c r="C1512" s="7" t="str">
        <x:v>event phase</x:v>
      </x:c>
      <x:c r="D1512" s="7" t="str">
        <x:v>RAE-E-08-P16</x:v>
      </x:c>
      <x:c r="E1512" s="7" t="str">
        <x:v>Event Phases!M190</x:v>
      </x:c>
      <x:c r="F1512" s="7" t="str">
        <x:f>'Event Phases'!M190</x:f>
        <x:v>OPEN</x:v>
      </x:c>
    </x:row>
    <x:row r="1513">
      <x:c r="B1513" s="7" t="str">
        <x:v>PHY-1507</x:v>
      </x:c>
      <x:c r="C1513" s="7" t="str">
        <x:v>event phase</x:v>
      </x:c>
      <x:c r="D1513" s="7" t="str">
        <x:v>RAE-E-08-P17</x:v>
      </x:c>
      <x:c r="E1513" s="7" t="str">
        <x:v>Event Phases!M191</x:v>
      </x:c>
      <x:c r="F1513" s="7" t="str">
        <x:f>'Event Phases'!M191</x:f>
        <x:v>OPEN</x:v>
      </x:c>
    </x:row>
    <x:row r="1514">
      <x:c r="B1514" s="7" t="str">
        <x:v>PHY-1508</x:v>
      </x:c>
      <x:c r="C1514" s="7" t="str">
        <x:v>event phase</x:v>
      </x:c>
      <x:c r="D1514" s="7" t="str">
        <x:v>RAE-E-08-P18</x:v>
      </x:c>
      <x:c r="E1514" s="7" t="str">
        <x:v>Event Phases!M192</x:v>
      </x:c>
      <x:c r="F1514" s="7" t="str">
        <x:f>'Event Phases'!M192</x:f>
        <x:v>OPEN</x:v>
      </x:c>
    </x:row>
    <x:row r="1515">
      <x:c r="B1515" s="7" t="str">
        <x:v>PHY-1509</x:v>
      </x:c>
      <x:c r="C1515" s="7" t="str">
        <x:v>event phase</x:v>
      </x:c>
      <x:c r="D1515" s="7" t="str">
        <x:v>RAE-E-08-P19</x:v>
      </x:c>
      <x:c r="E1515" s="7" t="str">
        <x:v>Event Phases!M193</x:v>
      </x:c>
      <x:c r="F1515" s="7" t="str">
        <x:f>'Event Phases'!M193</x:f>
        <x:v>OPEN</x:v>
      </x:c>
    </x:row>
    <x:row r="1516">
      <x:c r="B1516" s="7" t="str">
        <x:v>PHY-1510</x:v>
      </x:c>
      <x:c r="C1516" s="7" t="str">
        <x:v>event phase</x:v>
      </x:c>
      <x:c r="D1516" s="7" t="str">
        <x:v>RAE-E-08-P20</x:v>
      </x:c>
      <x:c r="E1516" s="7" t="str">
        <x:v>Event Phases!M194</x:v>
      </x:c>
      <x:c r="F1516" s="7" t="str">
        <x:f>'Event Phases'!M194</x:f>
        <x:v>OPEN</x:v>
      </x:c>
    </x:row>
    <x:row r="1517">
      <x:c r="B1517" s="7" t="str">
        <x:v>PHY-1511</x:v>
      </x:c>
      <x:c r="C1517" s="7" t="str">
        <x:v>event phase</x:v>
      </x:c>
      <x:c r="D1517" s="7" t="str">
        <x:v>RAE-E-08-P21</x:v>
      </x:c>
      <x:c r="E1517" s="7" t="str">
        <x:v>Event Phases!M195</x:v>
      </x:c>
      <x:c r="F1517" s="7" t="str">
        <x:f>'Event Phases'!M195</x:f>
        <x:v>OPEN</x:v>
      </x:c>
    </x:row>
    <x:row r="1518">
      <x:c r="B1518" s="7" t="str">
        <x:v>PHY-1512</x:v>
      </x:c>
      <x:c r="C1518" s="7" t="str">
        <x:v>event phase</x:v>
      </x:c>
      <x:c r="D1518" s="7" t="str">
        <x:v>RAE-E-08-P22</x:v>
      </x:c>
      <x:c r="E1518" s="7" t="str">
        <x:v>Event Phases!M196</x:v>
      </x:c>
      <x:c r="F1518" s="7" t="str">
        <x:f>'Event Phases'!M196</x:f>
        <x:v>OPEN</x:v>
      </x:c>
    </x:row>
    <x:row r="1519">
      <x:c r="B1519" s="7" t="str">
        <x:v>PHY-1513</x:v>
      </x:c>
      <x:c r="C1519" s="7" t="str">
        <x:v>event phase</x:v>
      </x:c>
      <x:c r="D1519" s="7" t="str">
        <x:v>RAE-E-08-P23</x:v>
      </x:c>
      <x:c r="E1519" s="7" t="str">
        <x:v>Event Phases!M197</x:v>
      </x:c>
      <x:c r="F1519" s="7" t="str">
        <x:f>'Event Phases'!M197</x:f>
        <x:v>OPEN</x:v>
      </x:c>
    </x:row>
    <x:row r="1520">
      <x:c r="B1520" s="7" t="str">
        <x:v>PHY-1514</x:v>
      </x:c>
      <x:c r="C1520" s="7" t="str">
        <x:v>event phase</x:v>
      </x:c>
      <x:c r="D1520" s="7" t="str">
        <x:v>RAE-E-08-P24</x:v>
      </x:c>
      <x:c r="E1520" s="7" t="str">
        <x:v>Event Phases!M198</x:v>
      </x:c>
      <x:c r="F1520" s="7" t="str">
        <x:f>'Event Phases'!M198</x:f>
        <x:v>OPEN</x:v>
      </x:c>
    </x:row>
    <x:row r="1521">
      <x:c r="B1521" s="7" t="str">
        <x:v>PHY-1515</x:v>
      </x:c>
      <x:c r="C1521" s="7" t="str">
        <x:v>event phase</x:v>
      </x:c>
      <x:c r="D1521" s="7" t="str">
        <x:v>RAE-E-09-P01</x:v>
      </x:c>
      <x:c r="E1521" s="7" t="str">
        <x:v>Event Phases!M199</x:v>
      </x:c>
      <x:c r="F1521" s="7" t="str">
        <x:f>'Event Phases'!M199</x:f>
        <x:v>OPEN</x:v>
      </x:c>
    </x:row>
    <x:row r="1522">
      <x:c r="B1522" s="7" t="str">
        <x:v>PHY-1516</x:v>
      </x:c>
      <x:c r="C1522" s="7" t="str">
        <x:v>event phase</x:v>
      </x:c>
      <x:c r="D1522" s="7" t="str">
        <x:v>RAE-E-09-P02</x:v>
      </x:c>
      <x:c r="E1522" s="7" t="str">
        <x:v>Event Phases!M200</x:v>
      </x:c>
      <x:c r="F1522" s="7" t="str">
        <x:f>'Event Phases'!M200</x:f>
        <x:v>OPEN</x:v>
      </x:c>
    </x:row>
    <x:row r="1523">
      <x:c r="B1523" s="7" t="str">
        <x:v>PHY-1517</x:v>
      </x:c>
      <x:c r="C1523" s="7" t="str">
        <x:v>event phase</x:v>
      </x:c>
      <x:c r="D1523" s="7" t="str">
        <x:v>RAE-E-09-P03</x:v>
      </x:c>
      <x:c r="E1523" s="7" t="str">
        <x:v>Event Phases!M201</x:v>
      </x:c>
      <x:c r="F1523" s="7" t="str">
        <x:f>'Event Phases'!M201</x:f>
        <x:v>OPEN</x:v>
      </x:c>
    </x:row>
    <x:row r="1524">
      <x:c r="B1524" s="7" t="str">
        <x:v>PHY-1518</x:v>
      </x:c>
      <x:c r="C1524" s="7" t="str">
        <x:v>event phase</x:v>
      </x:c>
      <x:c r="D1524" s="7" t="str">
        <x:v>RAE-E-09-P04</x:v>
      </x:c>
      <x:c r="E1524" s="7" t="str">
        <x:v>Event Phases!M202</x:v>
      </x:c>
      <x:c r="F1524" s="7" t="str">
        <x:f>'Event Phases'!M202</x:f>
        <x:v>OPEN</x:v>
      </x:c>
    </x:row>
    <x:row r="1525">
      <x:c r="B1525" s="7" t="str">
        <x:v>PHY-1519</x:v>
      </x:c>
      <x:c r="C1525" s="7" t="str">
        <x:v>event phase</x:v>
      </x:c>
      <x:c r="D1525" s="7" t="str">
        <x:v>RAE-E-09-P05</x:v>
      </x:c>
      <x:c r="E1525" s="7" t="str">
        <x:v>Event Phases!M203</x:v>
      </x:c>
      <x:c r="F1525" s="7" t="str">
        <x:f>'Event Phases'!M203</x:f>
        <x:v>OPEN</x:v>
      </x:c>
    </x:row>
    <x:row r="1526">
      <x:c r="B1526" s="7" t="str">
        <x:v>PHY-1520</x:v>
      </x:c>
      <x:c r="C1526" s="7" t="str">
        <x:v>event phase</x:v>
      </x:c>
      <x:c r="D1526" s="7" t="str">
        <x:v>RAE-E-09-P06</x:v>
      </x:c>
      <x:c r="E1526" s="7" t="str">
        <x:v>Event Phases!M204</x:v>
      </x:c>
      <x:c r="F1526" s="7" t="str">
        <x:f>'Event Phases'!M204</x:f>
        <x:v>OPEN</x:v>
      </x:c>
    </x:row>
    <x:row r="1527">
      <x:c r="B1527" s="7" t="str">
        <x:v>PHY-1521</x:v>
      </x:c>
      <x:c r="C1527" s="7" t="str">
        <x:v>event phase</x:v>
      </x:c>
      <x:c r="D1527" s="7" t="str">
        <x:v>RAE-E-09-P07</x:v>
      </x:c>
      <x:c r="E1527" s="7" t="str">
        <x:v>Event Phases!M205</x:v>
      </x:c>
      <x:c r="F1527" s="7" t="str">
        <x:f>'Event Phases'!M205</x:f>
        <x:v>OPEN</x:v>
      </x:c>
    </x:row>
    <x:row r="1528">
      <x:c r="B1528" s="7" t="str">
        <x:v>PHY-1522</x:v>
      </x:c>
      <x:c r="C1528" s="7" t="str">
        <x:v>event phase</x:v>
      </x:c>
      <x:c r="D1528" s="7" t="str">
        <x:v>RAE-E-09-P08</x:v>
      </x:c>
      <x:c r="E1528" s="7" t="str">
        <x:v>Event Phases!M206</x:v>
      </x:c>
      <x:c r="F1528" s="7" t="str">
        <x:f>'Event Phases'!M206</x:f>
        <x:v>OPEN</x:v>
      </x:c>
    </x:row>
    <x:row r="1529">
      <x:c r="B1529" s="7" t="str">
        <x:v>PHY-1523</x:v>
      </x:c>
      <x:c r="C1529" s="7" t="str">
        <x:v>event phase</x:v>
      </x:c>
      <x:c r="D1529" s="7" t="str">
        <x:v>RAE-E-09-P09</x:v>
      </x:c>
      <x:c r="E1529" s="7" t="str">
        <x:v>Event Phases!M207</x:v>
      </x:c>
      <x:c r="F1529" s="7" t="str">
        <x:f>'Event Phases'!M207</x:f>
        <x:v>OPEN</x:v>
      </x:c>
    </x:row>
    <x:row r="1530">
      <x:c r="B1530" s="7" t="str">
        <x:v>PHY-1524</x:v>
      </x:c>
      <x:c r="C1530" s="7" t="str">
        <x:v>event phase</x:v>
      </x:c>
      <x:c r="D1530" s="7" t="str">
        <x:v>RAE-E-09-P10</x:v>
      </x:c>
      <x:c r="E1530" s="7" t="str">
        <x:v>Event Phases!M208</x:v>
      </x:c>
      <x:c r="F1530" s="7" t="str">
        <x:f>'Event Phases'!M208</x:f>
        <x:v>OPEN</x:v>
      </x:c>
    </x:row>
    <x:row r="1531">
      <x:c r="B1531" s="7" t="str">
        <x:v>PHY-1525</x:v>
      </x:c>
      <x:c r="C1531" s="7" t="str">
        <x:v>event phase</x:v>
      </x:c>
      <x:c r="D1531" s="7" t="str">
        <x:v>RAE-E-09-P11</x:v>
      </x:c>
      <x:c r="E1531" s="7" t="str">
        <x:v>Event Phases!M209</x:v>
      </x:c>
      <x:c r="F1531" s="7" t="str">
        <x:f>'Event Phases'!M209</x:f>
        <x:v>OPEN</x:v>
      </x:c>
    </x:row>
    <x:row r="1532">
      <x:c r="B1532" s="7" t="str">
        <x:v>PHY-1526</x:v>
      </x:c>
      <x:c r="C1532" s="7" t="str">
        <x:v>event phase</x:v>
      </x:c>
      <x:c r="D1532" s="7" t="str">
        <x:v>RAE-E-09-P12</x:v>
      </x:c>
      <x:c r="E1532" s="7" t="str">
        <x:v>Event Phases!M210</x:v>
      </x:c>
      <x:c r="F1532" s="7" t="str">
        <x:f>'Event Phases'!M210</x:f>
        <x:v>OPEN</x:v>
      </x:c>
    </x:row>
    <x:row r="1533">
      <x:c r="B1533" s="7" t="str">
        <x:v>PHY-1527</x:v>
      </x:c>
      <x:c r="C1533" s="7" t="str">
        <x:v>event phase</x:v>
      </x:c>
      <x:c r="D1533" s="7" t="str">
        <x:v>RAE-E-09-P13</x:v>
      </x:c>
      <x:c r="E1533" s="7" t="str">
        <x:v>Event Phases!M211</x:v>
      </x:c>
      <x:c r="F1533" s="7" t="str">
        <x:f>'Event Phases'!M211</x:f>
        <x:v>OPEN</x:v>
      </x:c>
    </x:row>
    <x:row r="1534">
      <x:c r="B1534" s="7" t="str">
        <x:v>PHY-1528</x:v>
      </x:c>
      <x:c r="C1534" s="7" t="str">
        <x:v>event phase</x:v>
      </x:c>
      <x:c r="D1534" s="7" t="str">
        <x:v>RAE-E-09-P14</x:v>
      </x:c>
      <x:c r="E1534" s="7" t="str">
        <x:v>Event Phases!M212</x:v>
      </x:c>
      <x:c r="F1534" s="7" t="str">
        <x:f>'Event Phases'!M212</x:f>
        <x:v>OPEN</x:v>
      </x:c>
    </x:row>
    <x:row r="1535">
      <x:c r="B1535" s="7" t="str">
        <x:v>PHY-1529</x:v>
      </x:c>
      <x:c r="C1535" s="7" t="str">
        <x:v>event phase</x:v>
      </x:c>
      <x:c r="D1535" s="7" t="str">
        <x:v>RAE-E-09-P15</x:v>
      </x:c>
      <x:c r="E1535" s="7" t="str">
        <x:v>Event Phases!M213</x:v>
      </x:c>
      <x:c r="F1535" s="7" t="str">
        <x:f>'Event Phases'!M213</x:f>
        <x:v>OPEN</x:v>
      </x:c>
    </x:row>
    <x:row r="1536">
      <x:c r="B1536" s="7" t="str">
        <x:v>PHY-1530</x:v>
      </x:c>
      <x:c r="C1536" s="7" t="str">
        <x:v>event phase</x:v>
      </x:c>
      <x:c r="D1536" s="7" t="str">
        <x:v>RAE-E-09-P16</x:v>
      </x:c>
      <x:c r="E1536" s="7" t="str">
        <x:v>Event Phases!M214</x:v>
      </x:c>
      <x:c r="F1536" s="7" t="str">
        <x:f>'Event Phases'!M214</x:f>
        <x:v>OPEN</x:v>
      </x:c>
    </x:row>
    <x:row r="1537">
      <x:c r="B1537" s="7" t="str">
        <x:v>PHY-1531</x:v>
      </x:c>
      <x:c r="C1537" s="7" t="str">
        <x:v>event phase</x:v>
      </x:c>
      <x:c r="D1537" s="7" t="str">
        <x:v>RAE-E-09-P17</x:v>
      </x:c>
      <x:c r="E1537" s="7" t="str">
        <x:v>Event Phases!M215</x:v>
      </x:c>
      <x:c r="F1537" s="7" t="str">
        <x:f>'Event Phases'!M215</x:f>
        <x:v>OPEN</x:v>
      </x:c>
    </x:row>
    <x:row r="1538">
      <x:c r="B1538" s="7" t="str">
        <x:v>PHY-1532</x:v>
      </x:c>
      <x:c r="C1538" s="7" t="str">
        <x:v>event phase</x:v>
      </x:c>
      <x:c r="D1538" s="7" t="str">
        <x:v>RAE-E-09-P18</x:v>
      </x:c>
      <x:c r="E1538" s="7" t="str">
        <x:v>Event Phases!M216</x:v>
      </x:c>
      <x:c r="F1538" s="7" t="str">
        <x:f>'Event Phases'!M216</x:f>
        <x:v>OPEN</x:v>
      </x:c>
    </x:row>
    <x:row r="1539">
      <x:c r="B1539" s="7" t="str">
        <x:v>PHY-1533</x:v>
      </x:c>
      <x:c r="C1539" s="7" t="str">
        <x:v>event phase</x:v>
      </x:c>
      <x:c r="D1539" s="7" t="str">
        <x:v>RAE-E-09-P19</x:v>
      </x:c>
      <x:c r="E1539" s="7" t="str">
        <x:v>Event Phases!M217</x:v>
      </x:c>
      <x:c r="F1539" s="7" t="str">
        <x:f>'Event Phases'!M217</x:f>
        <x:v>OPEN</x:v>
      </x:c>
    </x:row>
    <x:row r="1540">
      <x:c r="B1540" s="7" t="str">
        <x:v>PHY-1534</x:v>
      </x:c>
      <x:c r="C1540" s="7" t="str">
        <x:v>event phase</x:v>
      </x:c>
      <x:c r="D1540" s="7" t="str">
        <x:v>RAE-E-09-P20</x:v>
      </x:c>
      <x:c r="E1540" s="7" t="str">
        <x:v>Event Phases!M218</x:v>
      </x:c>
      <x:c r="F1540" s="7" t="str">
        <x:f>'Event Phases'!M218</x:f>
        <x:v>OPEN</x:v>
      </x:c>
    </x:row>
    <x:row r="1541">
      <x:c r="B1541" s="7" t="str">
        <x:v>PHY-1535</x:v>
      </x:c>
      <x:c r="C1541" s="7" t="str">
        <x:v>event phase</x:v>
      </x:c>
      <x:c r="D1541" s="7" t="str">
        <x:v>RAE-E-09-P21</x:v>
      </x:c>
      <x:c r="E1541" s="7" t="str">
        <x:v>Event Phases!M219</x:v>
      </x:c>
      <x:c r="F1541" s="7" t="str">
        <x:f>'Event Phases'!M219</x:f>
        <x:v>OPEN</x:v>
      </x:c>
    </x:row>
    <x:row r="1542">
      <x:c r="B1542" s="7" t="str">
        <x:v>PHY-1536</x:v>
      </x:c>
      <x:c r="C1542" s="7" t="str">
        <x:v>event phase</x:v>
      </x:c>
      <x:c r="D1542" s="7" t="str">
        <x:v>RAE-E-09-P22</x:v>
      </x:c>
      <x:c r="E1542" s="7" t="str">
        <x:v>Event Phases!M220</x:v>
      </x:c>
      <x:c r="F1542" s="7" t="str">
        <x:f>'Event Phases'!M220</x:f>
        <x:v>OPEN</x:v>
      </x:c>
    </x:row>
    <x:row r="1543">
      <x:c r="B1543" s="7" t="str">
        <x:v>PHY-1537</x:v>
      </x:c>
      <x:c r="C1543" s="7" t="str">
        <x:v>event phase</x:v>
      </x:c>
      <x:c r="D1543" s="7" t="str">
        <x:v>RAE-E-09-P23</x:v>
      </x:c>
      <x:c r="E1543" s="7" t="str">
        <x:v>Event Phases!M221</x:v>
      </x:c>
      <x:c r="F1543" s="7" t="str">
        <x:f>'Event Phases'!M221</x:f>
        <x:v>OPEN</x:v>
      </x:c>
    </x:row>
    <x:row r="1544">
      <x:c r="B1544" s="7" t="str">
        <x:v>PHY-1538</x:v>
      </x:c>
      <x:c r="C1544" s="7" t="str">
        <x:v>event phase</x:v>
      </x:c>
      <x:c r="D1544" s="7" t="str">
        <x:v>RAE-E-09-P24</x:v>
      </x:c>
      <x:c r="E1544" s="7" t="str">
        <x:v>Event Phases!M222</x:v>
      </x:c>
      <x:c r="F1544" s="7" t="str">
        <x:f>'Event Phases'!M222</x:f>
        <x:v>OPEN</x:v>
      </x:c>
    </x:row>
    <x:row r="1545">
      <x:c r="B1545" s="7" t="str">
        <x:v>PHY-1539</x:v>
      </x:c>
      <x:c r="C1545" s="7" t="str">
        <x:v>event phase</x:v>
      </x:c>
      <x:c r="D1545" s="7" t="str">
        <x:v>RAE-E-10-P01</x:v>
      </x:c>
      <x:c r="E1545" s="7" t="str">
        <x:v>Event Phases!M223</x:v>
      </x:c>
      <x:c r="F1545" s="7" t="str">
        <x:f>'Event Phases'!M223</x:f>
        <x:v>OPEN</x:v>
      </x:c>
    </x:row>
    <x:row r="1546">
      <x:c r="B1546" s="7" t="str">
        <x:v>PHY-1540</x:v>
      </x:c>
      <x:c r="C1546" s="7" t="str">
        <x:v>event phase</x:v>
      </x:c>
      <x:c r="D1546" s="7" t="str">
        <x:v>RAE-E-10-P02</x:v>
      </x:c>
      <x:c r="E1546" s="7" t="str">
        <x:v>Event Phases!M224</x:v>
      </x:c>
      <x:c r="F1546" s="7" t="str">
        <x:f>'Event Phases'!M224</x:f>
        <x:v>OPEN</x:v>
      </x:c>
    </x:row>
    <x:row r="1547">
      <x:c r="B1547" s="7" t="str">
        <x:v>PHY-1541</x:v>
      </x:c>
      <x:c r="C1547" s="7" t="str">
        <x:v>event phase</x:v>
      </x:c>
      <x:c r="D1547" s="7" t="str">
        <x:v>RAE-E-10-P03</x:v>
      </x:c>
      <x:c r="E1547" s="7" t="str">
        <x:v>Event Phases!M225</x:v>
      </x:c>
      <x:c r="F1547" s="7" t="str">
        <x:f>'Event Phases'!M225</x:f>
        <x:v>OPEN</x:v>
      </x:c>
    </x:row>
    <x:row r="1548">
      <x:c r="B1548" s="7" t="str">
        <x:v>PHY-1542</x:v>
      </x:c>
      <x:c r="C1548" s="7" t="str">
        <x:v>event phase</x:v>
      </x:c>
      <x:c r="D1548" s="7" t="str">
        <x:v>RAE-E-10-P04</x:v>
      </x:c>
      <x:c r="E1548" s="7" t="str">
        <x:v>Event Phases!M226</x:v>
      </x:c>
      <x:c r="F1548" s="7" t="str">
        <x:f>'Event Phases'!M226</x:f>
        <x:v>OPEN</x:v>
      </x:c>
    </x:row>
    <x:row r="1549">
      <x:c r="B1549" s="7" t="str">
        <x:v>PHY-1543</x:v>
      </x:c>
      <x:c r="C1549" s="7" t="str">
        <x:v>event phase</x:v>
      </x:c>
      <x:c r="D1549" s="7" t="str">
        <x:v>RAE-E-10-P05</x:v>
      </x:c>
      <x:c r="E1549" s="7" t="str">
        <x:v>Event Phases!M227</x:v>
      </x:c>
      <x:c r="F1549" s="7" t="str">
        <x:f>'Event Phases'!M227</x:f>
        <x:v>OPEN</x:v>
      </x:c>
    </x:row>
    <x:row r="1550">
      <x:c r="B1550" s="7" t="str">
        <x:v>PHY-1544</x:v>
      </x:c>
      <x:c r="C1550" s="7" t="str">
        <x:v>event phase</x:v>
      </x:c>
      <x:c r="D1550" s="7" t="str">
        <x:v>RAE-E-10-P06</x:v>
      </x:c>
      <x:c r="E1550" s="7" t="str">
        <x:v>Event Phases!M228</x:v>
      </x:c>
      <x:c r="F1550" s="7" t="str">
        <x:f>'Event Phases'!M228</x:f>
        <x:v>OPEN</x:v>
      </x:c>
    </x:row>
    <x:row r="1551">
      <x:c r="B1551" s="7" t="str">
        <x:v>PHY-1545</x:v>
      </x:c>
      <x:c r="C1551" s="7" t="str">
        <x:v>event phase</x:v>
      </x:c>
      <x:c r="D1551" s="7" t="str">
        <x:v>RAE-E-10-P07</x:v>
      </x:c>
      <x:c r="E1551" s="7" t="str">
        <x:v>Event Phases!M229</x:v>
      </x:c>
      <x:c r="F1551" s="7" t="str">
        <x:f>'Event Phases'!M229</x:f>
        <x:v>OPEN</x:v>
      </x:c>
    </x:row>
    <x:row r="1552">
      <x:c r="B1552" s="7" t="str">
        <x:v>PHY-1546</x:v>
      </x:c>
      <x:c r="C1552" s="7" t="str">
        <x:v>event phase</x:v>
      </x:c>
      <x:c r="D1552" s="7" t="str">
        <x:v>RAE-E-10-P08</x:v>
      </x:c>
      <x:c r="E1552" s="7" t="str">
        <x:v>Event Phases!M230</x:v>
      </x:c>
      <x:c r="F1552" s="7" t="str">
        <x:f>'Event Phases'!M230</x:f>
        <x:v>OPEN</x:v>
      </x:c>
    </x:row>
    <x:row r="1553">
      <x:c r="B1553" s="7" t="str">
        <x:v>PHY-1547</x:v>
      </x:c>
      <x:c r="C1553" s="7" t="str">
        <x:v>event phase</x:v>
      </x:c>
      <x:c r="D1553" s="7" t="str">
        <x:v>RAE-E-10-P09</x:v>
      </x:c>
      <x:c r="E1553" s="7" t="str">
        <x:v>Event Phases!M231</x:v>
      </x:c>
      <x:c r="F1553" s="7" t="str">
        <x:f>'Event Phases'!M231</x:f>
        <x:v>OPEN</x:v>
      </x:c>
    </x:row>
    <x:row r="1554">
      <x:c r="B1554" s="7" t="str">
        <x:v>PHY-1548</x:v>
      </x:c>
      <x:c r="C1554" s="7" t="str">
        <x:v>event phase</x:v>
      </x:c>
      <x:c r="D1554" s="7" t="str">
        <x:v>RAE-E-10-P10</x:v>
      </x:c>
      <x:c r="E1554" s="7" t="str">
        <x:v>Event Phases!M232</x:v>
      </x:c>
      <x:c r="F1554" s="7" t="str">
        <x:f>'Event Phases'!M232</x:f>
        <x:v>OPEN</x:v>
      </x:c>
    </x:row>
    <x:row r="1555">
      <x:c r="B1555" s="7" t="str">
        <x:v>PHY-1549</x:v>
      </x:c>
      <x:c r="C1555" s="7" t="str">
        <x:v>event phase</x:v>
      </x:c>
      <x:c r="D1555" s="7" t="str">
        <x:v>RAE-E-10-P11</x:v>
      </x:c>
      <x:c r="E1555" s="7" t="str">
        <x:v>Event Phases!M233</x:v>
      </x:c>
      <x:c r="F1555" s="7" t="str">
        <x:f>'Event Phases'!M233</x:f>
        <x:v>OPEN</x:v>
      </x:c>
    </x:row>
    <x:row r="1556">
      <x:c r="B1556" s="7" t="str">
        <x:v>PHY-1550</x:v>
      </x:c>
      <x:c r="C1556" s="7" t="str">
        <x:v>event phase</x:v>
      </x:c>
      <x:c r="D1556" s="7" t="str">
        <x:v>RAE-E-10-P12</x:v>
      </x:c>
      <x:c r="E1556" s="7" t="str">
        <x:v>Event Phases!M234</x:v>
      </x:c>
      <x:c r="F1556" s="7" t="str">
        <x:f>'Event Phases'!M234</x:f>
        <x:v>OPEN</x:v>
      </x:c>
    </x:row>
    <x:row r="1557">
      <x:c r="B1557" s="7" t="str">
        <x:v>PHY-1551</x:v>
      </x:c>
      <x:c r="C1557" s="7" t="str">
        <x:v>event phase</x:v>
      </x:c>
      <x:c r="D1557" s="7" t="str">
        <x:v>RAE-E-10-P13</x:v>
      </x:c>
      <x:c r="E1557" s="7" t="str">
        <x:v>Event Phases!M235</x:v>
      </x:c>
      <x:c r="F1557" s="7" t="str">
        <x:f>'Event Phases'!M235</x:f>
        <x:v>OPEN</x:v>
      </x:c>
    </x:row>
    <x:row r="1558">
      <x:c r="B1558" s="7" t="str">
        <x:v>PHY-1552</x:v>
      </x:c>
      <x:c r="C1558" s="7" t="str">
        <x:v>event phase</x:v>
      </x:c>
      <x:c r="D1558" s="7" t="str">
        <x:v>RAE-E-10-P14</x:v>
      </x:c>
      <x:c r="E1558" s="7" t="str">
        <x:v>Event Phases!M236</x:v>
      </x:c>
      <x:c r="F1558" s="7" t="str">
        <x:f>'Event Phases'!M236</x:f>
        <x:v>OPEN</x:v>
      </x:c>
    </x:row>
    <x:row r="1559">
      <x:c r="B1559" s="7" t="str">
        <x:v>PHY-1553</x:v>
      </x:c>
      <x:c r="C1559" s="7" t="str">
        <x:v>event phase</x:v>
      </x:c>
      <x:c r="D1559" s="7" t="str">
        <x:v>RAE-E-10-P15</x:v>
      </x:c>
      <x:c r="E1559" s="7" t="str">
        <x:v>Event Phases!M237</x:v>
      </x:c>
      <x:c r="F1559" s="7" t="str">
        <x:f>'Event Phases'!M237</x:f>
        <x:v>OPEN</x:v>
      </x:c>
    </x:row>
    <x:row r="1560">
      <x:c r="B1560" s="7" t="str">
        <x:v>PHY-1554</x:v>
      </x:c>
      <x:c r="C1560" s="7" t="str">
        <x:v>event phase</x:v>
      </x:c>
      <x:c r="D1560" s="7" t="str">
        <x:v>RAE-E-10-P16</x:v>
      </x:c>
      <x:c r="E1560" s="7" t="str">
        <x:v>Event Phases!M238</x:v>
      </x:c>
      <x:c r="F1560" s="7" t="str">
        <x:f>'Event Phases'!M238</x:f>
        <x:v>OPEN</x:v>
      </x:c>
    </x:row>
    <x:row r="1561">
      <x:c r="B1561" s="7" t="str">
        <x:v>PHY-1555</x:v>
      </x:c>
      <x:c r="C1561" s="7" t="str">
        <x:v>event phase</x:v>
      </x:c>
      <x:c r="D1561" s="7" t="str">
        <x:v>RAE-E-10-P17</x:v>
      </x:c>
      <x:c r="E1561" s="7" t="str">
        <x:v>Event Phases!M239</x:v>
      </x:c>
      <x:c r="F1561" s="7" t="str">
        <x:f>'Event Phases'!M239</x:f>
        <x:v>OPEN</x:v>
      </x:c>
    </x:row>
    <x:row r="1562">
      <x:c r="B1562" s="7" t="str">
        <x:v>PHY-1556</x:v>
      </x:c>
      <x:c r="C1562" s="7" t="str">
        <x:v>event phase</x:v>
      </x:c>
      <x:c r="D1562" s="7" t="str">
        <x:v>RAE-E-10-P18</x:v>
      </x:c>
      <x:c r="E1562" s="7" t="str">
        <x:v>Event Phases!M240</x:v>
      </x:c>
      <x:c r="F1562" s="7" t="str">
        <x:f>'Event Phases'!M240</x:f>
        <x:v>OPEN</x:v>
      </x:c>
    </x:row>
    <x:row r="1563">
      <x:c r="B1563" s="7" t="str">
        <x:v>PHY-1557</x:v>
      </x:c>
      <x:c r="C1563" s="7" t="str">
        <x:v>event phase</x:v>
      </x:c>
      <x:c r="D1563" s="7" t="str">
        <x:v>RAE-E-10-P19</x:v>
      </x:c>
      <x:c r="E1563" s="7" t="str">
        <x:v>Event Phases!M241</x:v>
      </x:c>
      <x:c r="F1563" s="7" t="str">
        <x:f>'Event Phases'!M241</x:f>
        <x:v>OPEN</x:v>
      </x:c>
    </x:row>
    <x:row r="1564">
      <x:c r="B1564" s="7" t="str">
        <x:v>PHY-1558</x:v>
      </x:c>
      <x:c r="C1564" s="7" t="str">
        <x:v>event phase</x:v>
      </x:c>
      <x:c r="D1564" s="7" t="str">
        <x:v>RAE-E-10-P20</x:v>
      </x:c>
      <x:c r="E1564" s="7" t="str">
        <x:v>Event Phases!M242</x:v>
      </x:c>
      <x:c r="F1564" s="7" t="str">
        <x:f>'Event Phases'!M242</x:f>
        <x:v>OPEN</x:v>
      </x:c>
    </x:row>
    <x:row r="1565">
      <x:c r="B1565" s="7" t="str">
        <x:v>PHY-1559</x:v>
      </x:c>
      <x:c r="C1565" s="7" t="str">
        <x:v>event phase</x:v>
      </x:c>
      <x:c r="D1565" s="7" t="str">
        <x:v>RAE-E-10-P21</x:v>
      </x:c>
      <x:c r="E1565" s="7" t="str">
        <x:v>Event Phases!M243</x:v>
      </x:c>
      <x:c r="F1565" s="7" t="str">
        <x:f>'Event Phases'!M243</x:f>
        <x:v>OPEN</x:v>
      </x:c>
    </x:row>
    <x:row r="1566">
      <x:c r="B1566" s="7" t="str">
        <x:v>PHY-1560</x:v>
      </x:c>
      <x:c r="C1566" s="7" t="str">
        <x:v>event phase</x:v>
      </x:c>
      <x:c r="D1566" s="7" t="str">
        <x:v>RAE-E-10-P22</x:v>
      </x:c>
      <x:c r="E1566" s="7" t="str">
        <x:v>Event Phases!M244</x:v>
      </x:c>
      <x:c r="F1566" s="7" t="str">
        <x:f>'Event Phases'!M244</x:f>
        <x:v>OPEN</x:v>
      </x:c>
    </x:row>
    <x:row r="1567">
      <x:c r="B1567" s="7" t="str">
        <x:v>PHY-1561</x:v>
      </x:c>
      <x:c r="C1567" s="7" t="str">
        <x:v>event phase</x:v>
      </x:c>
      <x:c r="D1567" s="7" t="str">
        <x:v>RAE-E-10-P23</x:v>
      </x:c>
      <x:c r="E1567" s="7" t="str">
        <x:v>Event Phases!M245</x:v>
      </x:c>
      <x:c r="F1567" s="7" t="str">
        <x:f>'Event Phases'!M245</x:f>
        <x:v>OPEN</x:v>
      </x:c>
    </x:row>
    <x:row r="1568">
      <x:c r="B1568" s="7" t="str">
        <x:v>PHY-1562</x:v>
      </x:c>
      <x:c r="C1568" s="7" t="str">
        <x:v>event phase</x:v>
      </x:c>
      <x:c r="D1568" s="7" t="str">
        <x:v>RAE-E-10-P24</x:v>
      </x:c>
      <x:c r="E1568" s="7" t="str">
        <x:v>Event Phases!M246</x:v>
      </x:c>
      <x:c r="F1568" s="7" t="str">
        <x:f>'Event Phases'!M246</x:f>
        <x:v>OPEN</x:v>
      </x:c>
    </x:row>
    <x:row r="1569">
      <x:c r="B1569" s="7" t="str">
        <x:v>PHY-1563</x:v>
      </x:c>
      <x:c r="C1569" s="7" t="str">
        <x:v>event phase</x:v>
      </x:c>
      <x:c r="D1569" s="7" t="str">
        <x:v>RAE-E-11-P01</x:v>
      </x:c>
      <x:c r="E1569" s="7" t="str">
        <x:v>Event Phases!M247</x:v>
      </x:c>
      <x:c r="F1569" s="7" t="str">
        <x:f>'Event Phases'!M247</x:f>
        <x:v>OPEN</x:v>
      </x:c>
    </x:row>
    <x:row r="1570">
      <x:c r="B1570" s="7" t="str">
        <x:v>PHY-1564</x:v>
      </x:c>
      <x:c r="C1570" s="7" t="str">
        <x:v>event phase</x:v>
      </x:c>
      <x:c r="D1570" s="7" t="str">
        <x:v>RAE-E-11-P02</x:v>
      </x:c>
      <x:c r="E1570" s="7" t="str">
        <x:v>Event Phases!M248</x:v>
      </x:c>
      <x:c r="F1570" s="7" t="str">
        <x:f>'Event Phases'!M248</x:f>
        <x:v>OPEN</x:v>
      </x:c>
    </x:row>
    <x:row r="1571">
      <x:c r="B1571" s="7" t="str">
        <x:v>PHY-1565</x:v>
      </x:c>
      <x:c r="C1571" s="7" t="str">
        <x:v>event phase</x:v>
      </x:c>
      <x:c r="D1571" s="7" t="str">
        <x:v>RAE-E-11-P03</x:v>
      </x:c>
      <x:c r="E1571" s="7" t="str">
        <x:v>Event Phases!M249</x:v>
      </x:c>
      <x:c r="F1571" s="7" t="str">
        <x:f>'Event Phases'!M249</x:f>
        <x:v>OPEN</x:v>
      </x:c>
    </x:row>
    <x:row r="1572">
      <x:c r="B1572" s="7" t="str">
        <x:v>PHY-1566</x:v>
      </x:c>
      <x:c r="C1572" s="7" t="str">
        <x:v>event phase</x:v>
      </x:c>
      <x:c r="D1572" s="7" t="str">
        <x:v>RAE-E-11-P04</x:v>
      </x:c>
      <x:c r="E1572" s="7" t="str">
        <x:v>Event Phases!M250</x:v>
      </x:c>
      <x:c r="F1572" s="7" t="str">
        <x:f>'Event Phases'!M250</x:f>
        <x:v>OPEN</x:v>
      </x:c>
    </x:row>
    <x:row r="1573">
      <x:c r="B1573" s="7" t="str">
        <x:v>PHY-1567</x:v>
      </x:c>
      <x:c r="C1573" s="7" t="str">
        <x:v>event phase</x:v>
      </x:c>
      <x:c r="D1573" s="7" t="str">
        <x:v>RAE-E-11-P05</x:v>
      </x:c>
      <x:c r="E1573" s="7" t="str">
        <x:v>Event Phases!M251</x:v>
      </x:c>
      <x:c r="F1573" s="7" t="str">
        <x:f>'Event Phases'!M251</x:f>
        <x:v>OPEN</x:v>
      </x:c>
    </x:row>
    <x:row r="1574">
      <x:c r="B1574" s="7" t="str">
        <x:v>PHY-1568</x:v>
      </x:c>
      <x:c r="C1574" s="7" t="str">
        <x:v>event phase</x:v>
      </x:c>
      <x:c r="D1574" s="7" t="str">
        <x:v>RAE-E-11-P06</x:v>
      </x:c>
      <x:c r="E1574" s="7" t="str">
        <x:v>Event Phases!M252</x:v>
      </x:c>
      <x:c r="F1574" s="7" t="str">
        <x:f>'Event Phases'!M252</x:f>
        <x:v>OPEN</x:v>
      </x:c>
    </x:row>
    <x:row r="1575">
      <x:c r="B1575" s="7" t="str">
        <x:v>PHY-1569</x:v>
      </x:c>
      <x:c r="C1575" s="7" t="str">
        <x:v>event phase</x:v>
      </x:c>
      <x:c r="D1575" s="7" t="str">
        <x:v>RAE-E-11-P07</x:v>
      </x:c>
      <x:c r="E1575" s="7" t="str">
        <x:v>Event Phases!M253</x:v>
      </x:c>
      <x:c r="F1575" s="7" t="str">
        <x:f>'Event Phases'!M253</x:f>
        <x:v>OPEN</x:v>
      </x:c>
    </x:row>
    <x:row r="1576">
      <x:c r="B1576" s="7" t="str">
        <x:v>PHY-1570</x:v>
      </x:c>
      <x:c r="C1576" s="7" t="str">
        <x:v>event phase</x:v>
      </x:c>
      <x:c r="D1576" s="7" t="str">
        <x:v>RAE-E-11-P08</x:v>
      </x:c>
      <x:c r="E1576" s="7" t="str">
        <x:v>Event Phases!M254</x:v>
      </x:c>
      <x:c r="F1576" s="7" t="str">
        <x:f>'Event Phases'!M254</x:f>
        <x:v>OPEN</x:v>
      </x:c>
    </x:row>
    <x:row r="1577">
      <x:c r="B1577" s="7" t="str">
        <x:v>PHY-1571</x:v>
      </x:c>
      <x:c r="C1577" s="7" t="str">
        <x:v>event phase</x:v>
      </x:c>
      <x:c r="D1577" s="7" t="str">
        <x:v>RAE-E-11-P09</x:v>
      </x:c>
      <x:c r="E1577" s="7" t="str">
        <x:v>Event Phases!M255</x:v>
      </x:c>
      <x:c r="F1577" s="7" t="str">
        <x:f>'Event Phases'!M255</x:f>
        <x:v>OPEN</x:v>
      </x:c>
    </x:row>
    <x:row r="1578">
      <x:c r="B1578" s="7" t="str">
        <x:v>PHY-1572</x:v>
      </x:c>
      <x:c r="C1578" s="7" t="str">
        <x:v>event phase</x:v>
      </x:c>
      <x:c r="D1578" s="7" t="str">
        <x:v>RAE-E-11-P10</x:v>
      </x:c>
      <x:c r="E1578" s="7" t="str">
        <x:v>Event Phases!M256</x:v>
      </x:c>
      <x:c r="F1578" s="7" t="str">
        <x:f>'Event Phases'!M256</x:f>
        <x:v>OPEN</x:v>
      </x:c>
    </x:row>
    <x:row r="1579">
      <x:c r="B1579" s="7" t="str">
        <x:v>PHY-1573</x:v>
      </x:c>
      <x:c r="C1579" s="7" t="str">
        <x:v>event phase</x:v>
      </x:c>
      <x:c r="D1579" s="7" t="str">
        <x:v>RAE-E-11-P11</x:v>
      </x:c>
      <x:c r="E1579" s="7" t="str">
        <x:v>Event Phases!M257</x:v>
      </x:c>
      <x:c r="F1579" s="7" t="str">
        <x:f>'Event Phases'!M257</x:f>
        <x:v>OPEN</x:v>
      </x:c>
    </x:row>
    <x:row r="1580">
      <x:c r="B1580" s="7" t="str">
        <x:v>PHY-1574</x:v>
      </x:c>
      <x:c r="C1580" s="7" t="str">
        <x:v>event phase</x:v>
      </x:c>
      <x:c r="D1580" s="7" t="str">
        <x:v>RAE-E-11-P12</x:v>
      </x:c>
      <x:c r="E1580" s="7" t="str">
        <x:v>Event Phases!M258</x:v>
      </x:c>
      <x:c r="F1580" s="7" t="str">
        <x:f>'Event Phases'!M258</x:f>
        <x:v>OPEN</x:v>
      </x:c>
    </x:row>
    <x:row r="1581">
      <x:c r="B1581" s="7" t="str">
        <x:v>PHY-1575</x:v>
      </x:c>
      <x:c r="C1581" s="7" t="str">
        <x:v>event phase</x:v>
      </x:c>
      <x:c r="D1581" s="7" t="str">
        <x:v>RAE-E-11-P13</x:v>
      </x:c>
      <x:c r="E1581" s="7" t="str">
        <x:v>Event Phases!M259</x:v>
      </x:c>
      <x:c r="F1581" s="7" t="str">
        <x:f>'Event Phases'!M259</x:f>
        <x:v>OPEN</x:v>
      </x:c>
    </x:row>
    <x:row r="1582">
      <x:c r="B1582" s="7" t="str">
        <x:v>PHY-1576</x:v>
      </x:c>
      <x:c r="C1582" s="7" t="str">
        <x:v>event phase</x:v>
      </x:c>
      <x:c r="D1582" s="7" t="str">
        <x:v>RAE-E-11-P14</x:v>
      </x:c>
      <x:c r="E1582" s="7" t="str">
        <x:v>Event Phases!M260</x:v>
      </x:c>
      <x:c r="F1582" s="7" t="str">
        <x:f>'Event Phases'!M260</x:f>
        <x:v>OPEN</x:v>
      </x:c>
    </x:row>
    <x:row r="1583">
      <x:c r="B1583" s="7" t="str">
        <x:v>PHY-1577</x:v>
      </x:c>
      <x:c r="C1583" s="7" t="str">
        <x:v>event phase</x:v>
      </x:c>
      <x:c r="D1583" s="7" t="str">
        <x:v>RAE-E-11-P15</x:v>
      </x:c>
      <x:c r="E1583" s="7" t="str">
        <x:v>Event Phases!M261</x:v>
      </x:c>
      <x:c r="F1583" s="7" t="str">
        <x:f>'Event Phases'!M261</x:f>
        <x:v>OPEN</x:v>
      </x:c>
    </x:row>
    <x:row r="1584">
      <x:c r="B1584" s="7" t="str">
        <x:v>PHY-1578</x:v>
      </x:c>
      <x:c r="C1584" s="7" t="str">
        <x:v>event phase</x:v>
      </x:c>
      <x:c r="D1584" s="7" t="str">
        <x:v>RAE-E-11-P16</x:v>
      </x:c>
      <x:c r="E1584" s="7" t="str">
        <x:v>Event Phases!M262</x:v>
      </x:c>
      <x:c r="F1584" s="7" t="str">
        <x:f>'Event Phases'!M262</x:f>
        <x:v>OPEN</x:v>
      </x:c>
    </x:row>
    <x:row r="1585">
      <x:c r="B1585" s="7" t="str">
        <x:v>PHY-1579</x:v>
      </x:c>
      <x:c r="C1585" s="7" t="str">
        <x:v>event phase</x:v>
      </x:c>
      <x:c r="D1585" s="7" t="str">
        <x:v>RAE-E-11-P17</x:v>
      </x:c>
      <x:c r="E1585" s="7" t="str">
        <x:v>Event Phases!M263</x:v>
      </x:c>
      <x:c r="F1585" s="7" t="str">
        <x:f>'Event Phases'!M263</x:f>
        <x:v>OPEN</x:v>
      </x:c>
    </x:row>
    <x:row r="1586">
      <x:c r="B1586" s="7" t="str">
        <x:v>PHY-1580</x:v>
      </x:c>
      <x:c r="C1586" s="7" t="str">
        <x:v>event phase</x:v>
      </x:c>
      <x:c r="D1586" s="7" t="str">
        <x:v>RAE-E-11-P18</x:v>
      </x:c>
      <x:c r="E1586" s="7" t="str">
        <x:v>Event Phases!M264</x:v>
      </x:c>
      <x:c r="F1586" s="7" t="str">
        <x:f>'Event Phases'!M264</x:f>
        <x:v>OPEN</x:v>
      </x:c>
    </x:row>
    <x:row r="1587">
      <x:c r="B1587" s="7" t="str">
        <x:v>PHY-1581</x:v>
      </x:c>
      <x:c r="C1587" s="7" t="str">
        <x:v>event phase</x:v>
      </x:c>
      <x:c r="D1587" s="7" t="str">
        <x:v>RAE-E-11-P19</x:v>
      </x:c>
      <x:c r="E1587" s="7" t="str">
        <x:v>Event Phases!M265</x:v>
      </x:c>
      <x:c r="F1587" s="7" t="str">
        <x:f>'Event Phases'!M265</x:f>
        <x:v>OPEN</x:v>
      </x:c>
    </x:row>
    <x:row r="1588">
      <x:c r="B1588" s="7" t="str">
        <x:v>PHY-1582</x:v>
      </x:c>
      <x:c r="C1588" s="7" t="str">
        <x:v>event phase</x:v>
      </x:c>
      <x:c r="D1588" s="7" t="str">
        <x:v>RAE-E-11-P20</x:v>
      </x:c>
      <x:c r="E1588" s="7" t="str">
        <x:v>Event Phases!M266</x:v>
      </x:c>
      <x:c r="F1588" s="7" t="str">
        <x:f>'Event Phases'!M266</x:f>
        <x:v>OPEN</x:v>
      </x:c>
    </x:row>
    <x:row r="1589">
      <x:c r="B1589" s="7" t="str">
        <x:v>PHY-1583</x:v>
      </x:c>
      <x:c r="C1589" s="7" t="str">
        <x:v>event phase</x:v>
      </x:c>
      <x:c r="D1589" s="7" t="str">
        <x:v>RAE-E-11-P21</x:v>
      </x:c>
      <x:c r="E1589" s="7" t="str">
        <x:v>Event Phases!M267</x:v>
      </x:c>
      <x:c r="F1589" s="7" t="str">
        <x:f>'Event Phases'!M267</x:f>
        <x:v>OPEN</x:v>
      </x:c>
    </x:row>
    <x:row r="1590">
      <x:c r="B1590" s="7" t="str">
        <x:v>PHY-1584</x:v>
      </x:c>
      <x:c r="C1590" s="7" t="str">
        <x:v>event phase</x:v>
      </x:c>
      <x:c r="D1590" s="7" t="str">
        <x:v>RAE-E-11-P22</x:v>
      </x:c>
      <x:c r="E1590" s="7" t="str">
        <x:v>Event Phases!M268</x:v>
      </x:c>
      <x:c r="F1590" s="7" t="str">
        <x:f>'Event Phases'!M268</x:f>
        <x:v>OPEN</x:v>
      </x:c>
    </x:row>
    <x:row r="1591">
      <x:c r="B1591" s="7" t="str">
        <x:v>PHY-1585</x:v>
      </x:c>
      <x:c r="C1591" s="7" t="str">
        <x:v>event phase</x:v>
      </x:c>
      <x:c r="D1591" s="7" t="str">
        <x:v>RAE-E-11-P23</x:v>
      </x:c>
      <x:c r="E1591" s="7" t="str">
        <x:v>Event Phases!M269</x:v>
      </x:c>
      <x:c r="F1591" s="7" t="str">
        <x:f>'Event Phases'!M269</x:f>
        <x:v>OPEN</x:v>
      </x:c>
    </x:row>
    <x:row r="1592">
      <x:c r="B1592" s="7" t="str">
        <x:v>PHY-1586</x:v>
      </x:c>
      <x:c r="C1592" s="7" t="str">
        <x:v>event phase</x:v>
      </x:c>
      <x:c r="D1592" s="7" t="str">
        <x:v>RAE-E-11-P24</x:v>
      </x:c>
      <x:c r="E1592" s="7" t="str">
        <x:v>Event Phases!M270</x:v>
      </x:c>
      <x:c r="F1592" s="7" t="str">
        <x:f>'Event Phases'!M270</x:f>
        <x:v>OPEN</x:v>
      </x:c>
    </x:row>
    <x:row r="1593">
      <x:c r="B1593" s="7" t="str">
        <x:v>PHY-1587</x:v>
      </x:c>
      <x:c r="C1593" s="7" t="str">
        <x:v>event phase</x:v>
      </x:c>
      <x:c r="D1593" s="7" t="str">
        <x:v>RAE-E-12-P01</x:v>
      </x:c>
      <x:c r="E1593" s="7" t="str">
        <x:v>Event Phases!M271</x:v>
      </x:c>
      <x:c r="F1593" s="7" t="str">
        <x:f>'Event Phases'!M271</x:f>
        <x:v>OPEN</x:v>
      </x:c>
    </x:row>
    <x:row r="1594">
      <x:c r="B1594" s="7" t="str">
        <x:v>PHY-1588</x:v>
      </x:c>
      <x:c r="C1594" s="7" t="str">
        <x:v>event phase</x:v>
      </x:c>
      <x:c r="D1594" s="7" t="str">
        <x:v>RAE-E-12-P02</x:v>
      </x:c>
      <x:c r="E1594" s="7" t="str">
        <x:v>Event Phases!M272</x:v>
      </x:c>
      <x:c r="F1594" s="7" t="str">
        <x:f>'Event Phases'!M272</x:f>
        <x:v>OPEN</x:v>
      </x:c>
    </x:row>
    <x:row r="1595">
      <x:c r="B1595" s="7" t="str">
        <x:v>PHY-1589</x:v>
      </x:c>
      <x:c r="C1595" s="7" t="str">
        <x:v>event phase</x:v>
      </x:c>
      <x:c r="D1595" s="7" t="str">
        <x:v>RAE-E-12-P03</x:v>
      </x:c>
      <x:c r="E1595" s="7" t="str">
        <x:v>Event Phases!M273</x:v>
      </x:c>
      <x:c r="F1595" s="7" t="str">
        <x:f>'Event Phases'!M273</x:f>
        <x:v>OPEN</x:v>
      </x:c>
    </x:row>
    <x:row r="1596">
      <x:c r="B1596" s="7" t="str">
        <x:v>PHY-1590</x:v>
      </x:c>
      <x:c r="C1596" s="7" t="str">
        <x:v>event phase</x:v>
      </x:c>
      <x:c r="D1596" s="7" t="str">
        <x:v>RAE-E-12-P04</x:v>
      </x:c>
      <x:c r="E1596" s="7" t="str">
        <x:v>Event Phases!M274</x:v>
      </x:c>
      <x:c r="F1596" s="7" t="str">
        <x:f>'Event Phases'!M274</x:f>
        <x:v>OPEN</x:v>
      </x:c>
    </x:row>
    <x:row r="1597">
      <x:c r="B1597" s="7" t="str">
        <x:v>PHY-1591</x:v>
      </x:c>
      <x:c r="C1597" s="7" t="str">
        <x:v>event phase</x:v>
      </x:c>
      <x:c r="D1597" s="7" t="str">
        <x:v>RAE-E-12-P05</x:v>
      </x:c>
      <x:c r="E1597" s="7" t="str">
        <x:v>Event Phases!M275</x:v>
      </x:c>
      <x:c r="F1597" s="7" t="str">
        <x:f>'Event Phases'!M275</x:f>
        <x:v>OPEN</x:v>
      </x:c>
    </x:row>
    <x:row r="1598">
      <x:c r="B1598" s="7" t="str">
        <x:v>PHY-1592</x:v>
      </x:c>
      <x:c r="C1598" s="7" t="str">
        <x:v>event phase</x:v>
      </x:c>
      <x:c r="D1598" s="7" t="str">
        <x:v>RAE-E-12-P06</x:v>
      </x:c>
      <x:c r="E1598" s="7" t="str">
        <x:v>Event Phases!M276</x:v>
      </x:c>
      <x:c r="F1598" s="7" t="str">
        <x:f>'Event Phases'!M276</x:f>
        <x:v>OPEN</x:v>
      </x:c>
    </x:row>
    <x:row r="1599">
      <x:c r="B1599" s="7" t="str">
        <x:v>PHY-1593</x:v>
      </x:c>
      <x:c r="C1599" s="7" t="str">
        <x:v>event phase</x:v>
      </x:c>
      <x:c r="D1599" s="7" t="str">
        <x:v>RAE-E-12-P07</x:v>
      </x:c>
      <x:c r="E1599" s="7" t="str">
        <x:v>Event Phases!M277</x:v>
      </x:c>
      <x:c r="F1599" s="7" t="str">
        <x:f>'Event Phases'!M277</x:f>
        <x:v>OPEN</x:v>
      </x:c>
    </x:row>
    <x:row r="1600">
      <x:c r="B1600" s="7" t="str">
        <x:v>PHY-1594</x:v>
      </x:c>
      <x:c r="C1600" s="7" t="str">
        <x:v>event phase</x:v>
      </x:c>
      <x:c r="D1600" s="7" t="str">
        <x:v>RAE-E-12-P08</x:v>
      </x:c>
      <x:c r="E1600" s="7" t="str">
        <x:v>Event Phases!M278</x:v>
      </x:c>
      <x:c r="F1600" s="7" t="str">
        <x:f>'Event Phases'!M278</x:f>
        <x:v>OPEN</x:v>
      </x:c>
    </x:row>
    <x:row r="1601">
      <x:c r="B1601" s="7" t="str">
        <x:v>PHY-1595</x:v>
      </x:c>
      <x:c r="C1601" s="7" t="str">
        <x:v>event phase</x:v>
      </x:c>
      <x:c r="D1601" s="7" t="str">
        <x:v>RAE-E-12-P09</x:v>
      </x:c>
      <x:c r="E1601" s="7" t="str">
        <x:v>Event Phases!M279</x:v>
      </x:c>
      <x:c r="F1601" s="7" t="str">
        <x:f>'Event Phases'!M279</x:f>
        <x:v>OPEN</x:v>
      </x:c>
    </x:row>
    <x:row r="1602">
      <x:c r="B1602" s="7" t="str">
        <x:v>PHY-1596</x:v>
      </x:c>
      <x:c r="C1602" s="7" t="str">
        <x:v>event phase</x:v>
      </x:c>
      <x:c r="D1602" s="7" t="str">
        <x:v>RAE-E-12-P10</x:v>
      </x:c>
      <x:c r="E1602" s="7" t="str">
        <x:v>Event Phases!M280</x:v>
      </x:c>
      <x:c r="F1602" s="7" t="str">
        <x:f>'Event Phases'!M280</x:f>
        <x:v>OPEN</x:v>
      </x:c>
    </x:row>
    <x:row r="1603">
      <x:c r="B1603" s="7" t="str">
        <x:v>PHY-1597</x:v>
      </x:c>
      <x:c r="C1603" s="7" t="str">
        <x:v>event phase</x:v>
      </x:c>
      <x:c r="D1603" s="7" t="str">
        <x:v>RAE-E-12-P11</x:v>
      </x:c>
      <x:c r="E1603" s="7" t="str">
        <x:v>Event Phases!M281</x:v>
      </x:c>
      <x:c r="F1603" s="7" t="str">
        <x:f>'Event Phases'!M281</x:f>
        <x:v>OPEN</x:v>
      </x:c>
    </x:row>
    <x:row r="1604">
      <x:c r="B1604" s="7" t="str">
        <x:v>PHY-1598</x:v>
      </x:c>
      <x:c r="C1604" s="7" t="str">
        <x:v>event phase</x:v>
      </x:c>
      <x:c r="D1604" s="7" t="str">
        <x:v>RAE-E-12-P12</x:v>
      </x:c>
      <x:c r="E1604" s="7" t="str">
        <x:v>Event Phases!M282</x:v>
      </x:c>
      <x:c r="F1604" s="7" t="str">
        <x:f>'Event Phases'!M282</x:f>
        <x:v>OPEN</x:v>
      </x:c>
    </x:row>
    <x:row r="1605">
      <x:c r="B1605" s="7" t="str">
        <x:v>PHY-1599</x:v>
      </x:c>
      <x:c r="C1605" s="7" t="str">
        <x:v>event phase</x:v>
      </x:c>
      <x:c r="D1605" s="7" t="str">
        <x:v>RAE-E-12-P13</x:v>
      </x:c>
      <x:c r="E1605" s="7" t="str">
        <x:v>Event Phases!M283</x:v>
      </x:c>
      <x:c r="F1605" s="7" t="str">
        <x:f>'Event Phases'!M283</x:f>
        <x:v>OPEN</x:v>
      </x:c>
    </x:row>
    <x:row r="1606">
      <x:c r="B1606" s="7" t="str">
        <x:v>PHY-1600</x:v>
      </x:c>
      <x:c r="C1606" s="7" t="str">
        <x:v>event phase</x:v>
      </x:c>
      <x:c r="D1606" s="7" t="str">
        <x:v>RAE-E-12-P14</x:v>
      </x:c>
      <x:c r="E1606" s="7" t="str">
        <x:v>Event Phases!M284</x:v>
      </x:c>
      <x:c r="F1606" s="7" t="str">
        <x:f>'Event Phases'!M284</x:f>
        <x:v>OPEN</x:v>
      </x:c>
    </x:row>
    <x:row r="1607">
      <x:c r="B1607" s="7" t="str">
        <x:v>PHY-1601</x:v>
      </x:c>
      <x:c r="C1607" s="7" t="str">
        <x:v>event phase</x:v>
      </x:c>
      <x:c r="D1607" s="7" t="str">
        <x:v>RAE-E-12-P15</x:v>
      </x:c>
      <x:c r="E1607" s="7" t="str">
        <x:v>Event Phases!M285</x:v>
      </x:c>
      <x:c r="F1607" s="7" t="str">
        <x:f>'Event Phases'!M285</x:f>
        <x:v>OPEN</x:v>
      </x:c>
    </x:row>
    <x:row r="1608">
      <x:c r="B1608" s="7" t="str">
        <x:v>PHY-1602</x:v>
      </x:c>
      <x:c r="C1608" s="7" t="str">
        <x:v>event phase</x:v>
      </x:c>
      <x:c r="D1608" s="7" t="str">
        <x:v>RAE-E-12-P16</x:v>
      </x:c>
      <x:c r="E1608" s="7" t="str">
        <x:v>Event Phases!M286</x:v>
      </x:c>
      <x:c r="F1608" s="7" t="str">
        <x:f>'Event Phases'!M286</x:f>
        <x:v>OPEN</x:v>
      </x:c>
    </x:row>
    <x:row r="1609">
      <x:c r="B1609" s="7" t="str">
        <x:v>PHY-1603</x:v>
      </x:c>
      <x:c r="C1609" s="7" t="str">
        <x:v>event phase</x:v>
      </x:c>
      <x:c r="D1609" s="7" t="str">
        <x:v>RAE-E-12-P17</x:v>
      </x:c>
      <x:c r="E1609" s="7" t="str">
        <x:v>Event Phases!M287</x:v>
      </x:c>
      <x:c r="F1609" s="7" t="str">
        <x:f>'Event Phases'!M287</x:f>
        <x:v>OPEN</x:v>
      </x:c>
    </x:row>
    <x:row r="1610">
      <x:c r="B1610" s="7" t="str">
        <x:v>PHY-1604</x:v>
      </x:c>
      <x:c r="C1610" s="7" t="str">
        <x:v>event phase</x:v>
      </x:c>
      <x:c r="D1610" s="7" t="str">
        <x:v>RAE-E-12-P18</x:v>
      </x:c>
      <x:c r="E1610" s="7" t="str">
        <x:v>Event Phases!M288</x:v>
      </x:c>
      <x:c r="F1610" s="7" t="str">
        <x:f>'Event Phases'!M288</x:f>
        <x:v>OPEN</x:v>
      </x:c>
    </x:row>
    <x:row r="1611">
      <x:c r="B1611" s="7" t="str">
        <x:v>PHY-1605</x:v>
      </x:c>
      <x:c r="C1611" s="7" t="str">
        <x:v>event phase</x:v>
      </x:c>
      <x:c r="D1611" s="7" t="str">
        <x:v>RAE-E-12-P19</x:v>
      </x:c>
      <x:c r="E1611" s="7" t="str">
        <x:v>Event Phases!M289</x:v>
      </x:c>
      <x:c r="F1611" s="7" t="str">
        <x:f>'Event Phases'!M289</x:f>
        <x:v>OPEN</x:v>
      </x:c>
    </x:row>
    <x:row r="1612">
      <x:c r="B1612" s="7" t="str">
        <x:v>PHY-1606</x:v>
      </x:c>
      <x:c r="C1612" s="7" t="str">
        <x:v>event phase</x:v>
      </x:c>
      <x:c r="D1612" s="7" t="str">
        <x:v>RAE-E-12-P20</x:v>
      </x:c>
      <x:c r="E1612" s="7" t="str">
        <x:v>Event Phases!M290</x:v>
      </x:c>
      <x:c r="F1612" s="7" t="str">
        <x:f>'Event Phases'!M290</x:f>
        <x:v>OPEN</x:v>
      </x:c>
    </x:row>
    <x:row r="1613">
      <x:c r="B1613" s="7" t="str">
        <x:v>PHY-1607</x:v>
      </x:c>
      <x:c r="C1613" s="7" t="str">
        <x:v>event phase</x:v>
      </x:c>
      <x:c r="D1613" s="7" t="str">
        <x:v>RAE-E-12-P21</x:v>
      </x:c>
      <x:c r="E1613" s="7" t="str">
        <x:v>Event Phases!M291</x:v>
      </x:c>
      <x:c r="F1613" s="7" t="str">
        <x:f>'Event Phases'!M291</x:f>
        <x:v>OPEN</x:v>
      </x:c>
    </x:row>
    <x:row r="1614">
      <x:c r="B1614" s="7" t="str">
        <x:v>PHY-1608</x:v>
      </x:c>
      <x:c r="C1614" s="7" t="str">
        <x:v>event phase</x:v>
      </x:c>
      <x:c r="D1614" s="7" t="str">
        <x:v>RAE-E-12-P22</x:v>
      </x:c>
      <x:c r="E1614" s="7" t="str">
        <x:v>Event Phases!M292</x:v>
      </x:c>
      <x:c r="F1614" s="7" t="str">
        <x:f>'Event Phases'!M292</x:f>
        <x:v>OPEN</x:v>
      </x:c>
    </x:row>
    <x:row r="1615">
      <x:c r="B1615" s="7" t="str">
        <x:v>PHY-1609</x:v>
      </x:c>
      <x:c r="C1615" s="7" t="str">
        <x:v>event phase</x:v>
      </x:c>
      <x:c r="D1615" s="7" t="str">
        <x:v>RAE-E-12-P23</x:v>
      </x:c>
      <x:c r="E1615" s="7" t="str">
        <x:v>Event Phases!M293</x:v>
      </x:c>
      <x:c r="F1615" s="7" t="str">
        <x:f>'Event Phases'!M293</x:f>
        <x:v>OPEN</x:v>
      </x:c>
    </x:row>
    <x:row r="1616">
      <x:c r="B1616" s="7" t="str">
        <x:v>PHY-1610</x:v>
      </x:c>
      <x:c r="C1616" s="7" t="str">
        <x:v>event phase</x:v>
      </x:c>
      <x:c r="D1616" s="7" t="str">
        <x:v>RAE-E-12-P24</x:v>
      </x:c>
      <x:c r="E1616" s="7" t="str">
        <x:v>Event Phases!M294</x:v>
      </x:c>
      <x:c r="F1616" s="7" t="str">
        <x:f>'Event Phases'!M294</x:f>
        <x:v>OPEN</x:v>
      </x:c>
    </x:row>
    <x:row r="1617">
      <x:c r="B1617" s="7" t="str">
        <x:v>PHY-1611</x:v>
      </x:c>
      <x:c r="C1617" s="7" t="str">
        <x:v>event phase</x:v>
      </x:c>
      <x:c r="D1617" s="7" t="str">
        <x:v>RAE-E-13-P01</x:v>
      </x:c>
      <x:c r="E1617" s="7" t="str">
        <x:v>Event Phases!M295</x:v>
      </x:c>
      <x:c r="F1617" s="7" t="str">
        <x:f>'Event Phases'!M295</x:f>
        <x:v>OPEN</x:v>
      </x:c>
    </x:row>
    <x:row r="1618">
      <x:c r="B1618" s="7" t="str">
        <x:v>PHY-1612</x:v>
      </x:c>
      <x:c r="C1618" s="7" t="str">
        <x:v>event phase</x:v>
      </x:c>
      <x:c r="D1618" s="7" t="str">
        <x:v>RAE-E-13-P02</x:v>
      </x:c>
      <x:c r="E1618" s="7" t="str">
        <x:v>Event Phases!M296</x:v>
      </x:c>
      <x:c r="F1618" s="7" t="str">
        <x:f>'Event Phases'!M296</x:f>
        <x:v>OPEN</x:v>
      </x:c>
    </x:row>
    <x:row r="1619">
      <x:c r="B1619" s="7" t="str">
        <x:v>PHY-1613</x:v>
      </x:c>
      <x:c r="C1619" s="7" t="str">
        <x:v>event phase</x:v>
      </x:c>
      <x:c r="D1619" s="7" t="str">
        <x:v>RAE-E-13-P03</x:v>
      </x:c>
      <x:c r="E1619" s="7" t="str">
        <x:v>Event Phases!M297</x:v>
      </x:c>
      <x:c r="F1619" s="7" t="str">
        <x:f>'Event Phases'!M297</x:f>
        <x:v>OPEN</x:v>
      </x:c>
    </x:row>
    <x:row r="1620">
      <x:c r="B1620" s="7" t="str">
        <x:v>PHY-1614</x:v>
      </x:c>
      <x:c r="C1620" s="7" t="str">
        <x:v>event phase</x:v>
      </x:c>
      <x:c r="D1620" s="7" t="str">
        <x:v>RAE-E-13-P04</x:v>
      </x:c>
      <x:c r="E1620" s="7" t="str">
        <x:v>Event Phases!M298</x:v>
      </x:c>
      <x:c r="F1620" s="7" t="str">
        <x:f>'Event Phases'!M298</x:f>
        <x:v>OPEN</x:v>
      </x:c>
    </x:row>
    <x:row r="1621">
      <x:c r="B1621" s="7" t="str">
        <x:v>PHY-1615</x:v>
      </x:c>
      <x:c r="C1621" s="7" t="str">
        <x:v>event phase</x:v>
      </x:c>
      <x:c r="D1621" s="7" t="str">
        <x:v>RAE-E-13-P05</x:v>
      </x:c>
      <x:c r="E1621" s="7" t="str">
        <x:v>Event Phases!M299</x:v>
      </x:c>
      <x:c r="F1621" s="7" t="str">
        <x:f>'Event Phases'!M299</x:f>
        <x:v>OPEN</x:v>
      </x:c>
    </x:row>
    <x:row r="1622">
      <x:c r="B1622" s="7" t="str">
        <x:v>PHY-1616</x:v>
      </x:c>
      <x:c r="C1622" s="7" t="str">
        <x:v>event phase</x:v>
      </x:c>
      <x:c r="D1622" s="7" t="str">
        <x:v>RAE-E-13-P06</x:v>
      </x:c>
      <x:c r="E1622" s="7" t="str">
        <x:v>Event Phases!M300</x:v>
      </x:c>
      <x:c r="F1622" s="7" t="str">
        <x:f>'Event Phases'!M300</x:f>
        <x:v>OPEN</x:v>
      </x:c>
    </x:row>
    <x:row r="1623">
      <x:c r="B1623" s="7" t="str">
        <x:v>PHY-1617</x:v>
      </x:c>
      <x:c r="C1623" s="7" t="str">
        <x:v>event phase</x:v>
      </x:c>
      <x:c r="D1623" s="7" t="str">
        <x:v>RAE-E-13-P07</x:v>
      </x:c>
      <x:c r="E1623" s="7" t="str">
        <x:v>Event Phases!M301</x:v>
      </x:c>
      <x:c r="F1623" s="7" t="str">
        <x:f>'Event Phases'!M301</x:f>
        <x:v>OPEN</x:v>
      </x:c>
    </x:row>
    <x:row r="1624">
      <x:c r="B1624" s="7" t="str">
        <x:v>PHY-1618</x:v>
      </x:c>
      <x:c r="C1624" s="7" t="str">
        <x:v>event phase</x:v>
      </x:c>
      <x:c r="D1624" s="7" t="str">
        <x:v>RAE-E-13-P08</x:v>
      </x:c>
      <x:c r="E1624" s="7" t="str">
        <x:v>Event Phases!M302</x:v>
      </x:c>
      <x:c r="F1624" s="7" t="str">
        <x:f>'Event Phases'!M302</x:f>
        <x:v>OPEN</x:v>
      </x:c>
    </x:row>
    <x:row r="1625">
      <x:c r="B1625" s="7" t="str">
        <x:v>PHY-1619</x:v>
      </x:c>
      <x:c r="C1625" s="7" t="str">
        <x:v>event phase</x:v>
      </x:c>
      <x:c r="D1625" s="7" t="str">
        <x:v>RAE-E-13-P09</x:v>
      </x:c>
      <x:c r="E1625" s="7" t="str">
        <x:v>Event Phases!M303</x:v>
      </x:c>
      <x:c r="F1625" s="7" t="str">
        <x:f>'Event Phases'!M303</x:f>
        <x:v>OPEN</x:v>
      </x:c>
    </x:row>
    <x:row r="1626">
      <x:c r="B1626" s="7" t="str">
        <x:v>PHY-1620</x:v>
      </x:c>
      <x:c r="C1626" s="7" t="str">
        <x:v>event phase</x:v>
      </x:c>
      <x:c r="D1626" s="7" t="str">
        <x:v>RAE-E-13-P10</x:v>
      </x:c>
      <x:c r="E1626" s="7" t="str">
        <x:v>Event Phases!M304</x:v>
      </x:c>
      <x:c r="F1626" s="7" t="str">
        <x:f>'Event Phases'!M304</x:f>
        <x:v>OPEN</x:v>
      </x:c>
    </x:row>
    <x:row r="1627">
      <x:c r="B1627" s="7" t="str">
        <x:v>PHY-1621</x:v>
      </x:c>
      <x:c r="C1627" s="7" t="str">
        <x:v>event phase</x:v>
      </x:c>
      <x:c r="D1627" s="7" t="str">
        <x:v>RAE-E-13-P11</x:v>
      </x:c>
      <x:c r="E1627" s="7" t="str">
        <x:v>Event Phases!M305</x:v>
      </x:c>
      <x:c r="F1627" s="7" t="str">
        <x:f>'Event Phases'!M305</x:f>
        <x:v>OPEN</x:v>
      </x:c>
    </x:row>
    <x:row r="1628">
      <x:c r="B1628" s="7" t="str">
        <x:v>PHY-1622</x:v>
      </x:c>
      <x:c r="C1628" s="7" t="str">
        <x:v>event phase</x:v>
      </x:c>
      <x:c r="D1628" s="7" t="str">
        <x:v>RAE-E-13-P12</x:v>
      </x:c>
      <x:c r="E1628" s="7" t="str">
        <x:v>Event Phases!M306</x:v>
      </x:c>
      <x:c r="F1628" s="7" t="str">
        <x:f>'Event Phases'!M306</x:f>
        <x:v>OPEN</x:v>
      </x:c>
    </x:row>
    <x:row r="1629">
      <x:c r="B1629" s="7" t="str">
        <x:v>PHY-1623</x:v>
      </x:c>
      <x:c r="C1629" s="7" t="str">
        <x:v>event phase</x:v>
      </x:c>
      <x:c r="D1629" s="7" t="str">
        <x:v>RAE-E-13-P13</x:v>
      </x:c>
      <x:c r="E1629" s="7" t="str">
        <x:v>Event Phases!M307</x:v>
      </x:c>
      <x:c r="F1629" s="7" t="str">
        <x:f>'Event Phases'!M307</x:f>
        <x:v>OPEN</x:v>
      </x:c>
    </x:row>
    <x:row r="1630">
      <x:c r="B1630" s="7" t="str">
        <x:v>PHY-1624</x:v>
      </x:c>
      <x:c r="C1630" s="7" t="str">
        <x:v>event phase</x:v>
      </x:c>
      <x:c r="D1630" s="7" t="str">
        <x:v>RAE-E-13-P14</x:v>
      </x:c>
      <x:c r="E1630" s="7" t="str">
        <x:v>Event Phases!M308</x:v>
      </x:c>
      <x:c r="F1630" s="7" t="str">
        <x:f>'Event Phases'!M308</x:f>
        <x:v>OPEN</x:v>
      </x:c>
    </x:row>
    <x:row r="1631">
      <x:c r="B1631" s="7" t="str">
        <x:v>PHY-1625</x:v>
      </x:c>
      <x:c r="C1631" s="7" t="str">
        <x:v>event phase</x:v>
      </x:c>
      <x:c r="D1631" s="7" t="str">
        <x:v>RAE-E-13-P15</x:v>
      </x:c>
      <x:c r="E1631" s="7" t="str">
        <x:v>Event Phases!M309</x:v>
      </x:c>
      <x:c r="F1631" s="7" t="str">
        <x:f>'Event Phases'!M309</x:f>
        <x:v>OPEN</x:v>
      </x:c>
    </x:row>
    <x:row r="1632">
      <x:c r="B1632" s="7" t="str">
        <x:v>PHY-1626</x:v>
      </x:c>
      <x:c r="C1632" s="7" t="str">
        <x:v>event phase</x:v>
      </x:c>
      <x:c r="D1632" s="7" t="str">
        <x:v>RAE-E-13-P16</x:v>
      </x:c>
      <x:c r="E1632" s="7" t="str">
        <x:v>Event Phases!M310</x:v>
      </x:c>
      <x:c r="F1632" s="7" t="str">
        <x:f>'Event Phases'!M310</x:f>
        <x:v>OPEN</x:v>
      </x:c>
    </x:row>
    <x:row r="1633">
      <x:c r="B1633" s="7" t="str">
        <x:v>PHY-1627</x:v>
      </x:c>
      <x:c r="C1633" s="7" t="str">
        <x:v>event phase</x:v>
      </x:c>
      <x:c r="D1633" s="7" t="str">
        <x:v>RAE-E-13-P17</x:v>
      </x:c>
      <x:c r="E1633" s="7" t="str">
        <x:v>Event Phases!M311</x:v>
      </x:c>
      <x:c r="F1633" s="7" t="str">
        <x:f>'Event Phases'!M311</x:f>
        <x:v>OPEN</x:v>
      </x:c>
    </x:row>
    <x:row r="1634">
      <x:c r="B1634" s="7" t="str">
        <x:v>PHY-1628</x:v>
      </x:c>
      <x:c r="C1634" s="7" t="str">
        <x:v>event phase</x:v>
      </x:c>
      <x:c r="D1634" s="7" t="str">
        <x:v>RAE-E-13-P18</x:v>
      </x:c>
      <x:c r="E1634" s="7" t="str">
        <x:v>Event Phases!M312</x:v>
      </x:c>
      <x:c r="F1634" s="7" t="str">
        <x:f>'Event Phases'!M312</x:f>
        <x:v>OPEN</x:v>
      </x:c>
    </x:row>
    <x:row r="1635">
      <x:c r="B1635" s="7" t="str">
        <x:v>PHY-1629</x:v>
      </x:c>
      <x:c r="C1635" s="7" t="str">
        <x:v>event phase</x:v>
      </x:c>
      <x:c r="D1635" s="7" t="str">
        <x:v>RAE-E-13-P19</x:v>
      </x:c>
      <x:c r="E1635" s="7" t="str">
        <x:v>Event Phases!M313</x:v>
      </x:c>
      <x:c r="F1635" s="7" t="str">
        <x:f>'Event Phases'!M313</x:f>
        <x:v>OPEN</x:v>
      </x:c>
    </x:row>
    <x:row r="1636">
      <x:c r="B1636" s="7" t="str">
        <x:v>PHY-1630</x:v>
      </x:c>
      <x:c r="C1636" s="7" t="str">
        <x:v>event phase</x:v>
      </x:c>
      <x:c r="D1636" s="7" t="str">
        <x:v>RAE-E-13-P20</x:v>
      </x:c>
      <x:c r="E1636" s="7" t="str">
        <x:v>Event Phases!M314</x:v>
      </x:c>
      <x:c r="F1636" s="7" t="str">
        <x:f>'Event Phases'!M314</x:f>
        <x:v>OPEN</x:v>
      </x:c>
    </x:row>
    <x:row r="1637">
      <x:c r="B1637" s="7" t="str">
        <x:v>PHY-1631</x:v>
      </x:c>
      <x:c r="C1637" s="7" t="str">
        <x:v>event phase</x:v>
      </x:c>
      <x:c r="D1637" s="7" t="str">
        <x:v>RAE-E-13-P21</x:v>
      </x:c>
      <x:c r="E1637" s="7" t="str">
        <x:v>Event Phases!M315</x:v>
      </x:c>
      <x:c r="F1637" s="7" t="str">
        <x:f>'Event Phases'!M315</x:f>
        <x:v>OPEN</x:v>
      </x:c>
    </x:row>
    <x:row r="1638">
      <x:c r="B1638" s="7" t="str">
        <x:v>PHY-1632</x:v>
      </x:c>
      <x:c r="C1638" s="7" t="str">
        <x:v>event phase</x:v>
      </x:c>
      <x:c r="D1638" s="7" t="str">
        <x:v>RAE-E-13-P22</x:v>
      </x:c>
      <x:c r="E1638" s="7" t="str">
        <x:v>Event Phases!M316</x:v>
      </x:c>
      <x:c r="F1638" s="7" t="str">
        <x:f>'Event Phases'!M316</x:f>
        <x:v>OPEN</x:v>
      </x:c>
    </x:row>
    <x:row r="1639">
      <x:c r="B1639" s="7" t="str">
        <x:v>PHY-1633</x:v>
      </x:c>
      <x:c r="C1639" s="7" t="str">
        <x:v>event phase</x:v>
      </x:c>
      <x:c r="D1639" s="7" t="str">
        <x:v>RAE-E-13-P23</x:v>
      </x:c>
      <x:c r="E1639" s="7" t="str">
        <x:v>Event Phases!M317</x:v>
      </x:c>
      <x:c r="F1639" s="7" t="str">
        <x:f>'Event Phases'!M317</x:f>
        <x:v>OPEN</x:v>
      </x:c>
    </x:row>
    <x:row r="1640">
      <x:c r="B1640" s="7" t="str">
        <x:v>PHY-1634</x:v>
      </x:c>
      <x:c r="C1640" s="7" t="str">
        <x:v>event phase</x:v>
      </x:c>
      <x:c r="D1640" s="7" t="str">
        <x:v>RAE-E-13-P24</x:v>
      </x:c>
      <x:c r="E1640" s="7" t="str">
        <x:v>Event Phases!M318</x:v>
      </x:c>
      <x:c r="F1640" s="7" t="str">
        <x:f>'Event Phases'!M318</x:f>
        <x:v>OPEN</x:v>
      </x:c>
    </x:row>
    <x:row r="1641">
      <x:c r="B1641" s="7" t="str">
        <x:v>PHY-1635</x:v>
      </x:c>
      <x:c r="C1641" s="7" t="str">
        <x:v>event phase</x:v>
      </x:c>
      <x:c r="D1641" s="7" t="str">
        <x:v>RAE-E-14-P01</x:v>
      </x:c>
      <x:c r="E1641" s="7" t="str">
        <x:v>Event Phases!M319</x:v>
      </x:c>
      <x:c r="F1641" s="7" t="str">
        <x:f>'Event Phases'!M319</x:f>
        <x:v>OPEN</x:v>
      </x:c>
    </x:row>
    <x:row r="1642">
      <x:c r="B1642" s="7" t="str">
        <x:v>PHY-1636</x:v>
      </x:c>
      <x:c r="C1642" s="7" t="str">
        <x:v>event phase</x:v>
      </x:c>
      <x:c r="D1642" s="7" t="str">
        <x:v>RAE-E-14-P02</x:v>
      </x:c>
      <x:c r="E1642" s="7" t="str">
        <x:v>Event Phases!M320</x:v>
      </x:c>
      <x:c r="F1642" s="7" t="str">
        <x:f>'Event Phases'!M320</x:f>
        <x:v>OPEN</x:v>
      </x:c>
    </x:row>
    <x:row r="1643">
      <x:c r="B1643" s="7" t="str">
        <x:v>PHY-1637</x:v>
      </x:c>
      <x:c r="C1643" s="7" t="str">
        <x:v>event phase</x:v>
      </x:c>
      <x:c r="D1643" s="7" t="str">
        <x:v>RAE-E-14-P03</x:v>
      </x:c>
      <x:c r="E1643" s="7" t="str">
        <x:v>Event Phases!M321</x:v>
      </x:c>
      <x:c r="F1643" s="7" t="str">
        <x:f>'Event Phases'!M321</x:f>
        <x:v>OPEN</x:v>
      </x:c>
    </x:row>
    <x:row r="1644">
      <x:c r="B1644" s="7" t="str">
        <x:v>PHY-1638</x:v>
      </x:c>
      <x:c r="C1644" s="7" t="str">
        <x:v>event phase</x:v>
      </x:c>
      <x:c r="D1644" s="7" t="str">
        <x:v>RAE-E-14-P04</x:v>
      </x:c>
      <x:c r="E1644" s="7" t="str">
        <x:v>Event Phases!M322</x:v>
      </x:c>
      <x:c r="F1644" s="7" t="str">
        <x:f>'Event Phases'!M322</x:f>
        <x:v>OPEN</x:v>
      </x:c>
    </x:row>
    <x:row r="1645">
      <x:c r="B1645" s="7" t="str">
        <x:v>PHY-1639</x:v>
      </x:c>
      <x:c r="C1645" s="7" t="str">
        <x:v>event phase</x:v>
      </x:c>
      <x:c r="D1645" s="7" t="str">
        <x:v>RAE-E-14-P05</x:v>
      </x:c>
      <x:c r="E1645" s="7" t="str">
        <x:v>Event Phases!M323</x:v>
      </x:c>
      <x:c r="F1645" s="7" t="str">
        <x:f>'Event Phases'!M323</x:f>
        <x:v>OPEN</x:v>
      </x:c>
    </x:row>
    <x:row r="1646">
      <x:c r="B1646" s="7" t="str">
        <x:v>PHY-1640</x:v>
      </x:c>
      <x:c r="C1646" s="7" t="str">
        <x:v>event phase</x:v>
      </x:c>
      <x:c r="D1646" s="7" t="str">
        <x:v>RAE-E-14-P06</x:v>
      </x:c>
      <x:c r="E1646" s="7" t="str">
        <x:v>Event Phases!M324</x:v>
      </x:c>
      <x:c r="F1646" s="7" t="str">
        <x:f>'Event Phases'!M324</x:f>
        <x:v>OPEN</x:v>
      </x:c>
    </x:row>
    <x:row r="1647">
      <x:c r="B1647" s="7" t="str">
        <x:v>PHY-1641</x:v>
      </x:c>
      <x:c r="C1647" s="7" t="str">
        <x:v>event phase</x:v>
      </x:c>
      <x:c r="D1647" s="7" t="str">
        <x:v>RAE-E-14-P07</x:v>
      </x:c>
      <x:c r="E1647" s="7" t="str">
        <x:v>Event Phases!M325</x:v>
      </x:c>
      <x:c r="F1647" s="7" t="str">
        <x:f>'Event Phases'!M325</x:f>
        <x:v>OPEN</x:v>
      </x:c>
    </x:row>
    <x:row r="1648">
      <x:c r="B1648" s="7" t="str">
        <x:v>PHY-1642</x:v>
      </x:c>
      <x:c r="C1648" s="7" t="str">
        <x:v>event phase</x:v>
      </x:c>
      <x:c r="D1648" s="7" t="str">
        <x:v>RAE-E-14-P08</x:v>
      </x:c>
      <x:c r="E1648" s="7" t="str">
        <x:v>Event Phases!M326</x:v>
      </x:c>
      <x:c r="F1648" s="7" t="str">
        <x:f>'Event Phases'!M326</x:f>
        <x:v>OPEN</x:v>
      </x:c>
    </x:row>
    <x:row r="1649">
      <x:c r="B1649" s="7" t="str">
        <x:v>PHY-1643</x:v>
      </x:c>
      <x:c r="C1649" s="7" t="str">
        <x:v>event phase</x:v>
      </x:c>
      <x:c r="D1649" s="7" t="str">
        <x:v>RAE-E-14-P09</x:v>
      </x:c>
      <x:c r="E1649" s="7" t="str">
        <x:v>Event Phases!M327</x:v>
      </x:c>
      <x:c r="F1649" s="7" t="str">
        <x:f>'Event Phases'!M327</x:f>
        <x:v>OPEN</x:v>
      </x:c>
    </x:row>
    <x:row r="1650">
      <x:c r="B1650" s="7" t="str">
        <x:v>PHY-1644</x:v>
      </x:c>
      <x:c r="C1650" s="7" t="str">
        <x:v>event phase</x:v>
      </x:c>
      <x:c r="D1650" s="7" t="str">
        <x:v>RAE-E-14-P10</x:v>
      </x:c>
      <x:c r="E1650" s="7" t="str">
        <x:v>Event Phases!M328</x:v>
      </x:c>
      <x:c r="F1650" s="7" t="str">
        <x:f>'Event Phases'!M328</x:f>
        <x:v>OPEN</x:v>
      </x:c>
    </x:row>
    <x:row r="1651">
      <x:c r="B1651" s="7" t="str">
        <x:v>PHY-1645</x:v>
      </x:c>
      <x:c r="C1651" s="7" t="str">
        <x:v>event phase</x:v>
      </x:c>
      <x:c r="D1651" s="7" t="str">
        <x:v>RAE-E-14-P11</x:v>
      </x:c>
      <x:c r="E1651" s="7" t="str">
        <x:v>Event Phases!M329</x:v>
      </x:c>
      <x:c r="F1651" s="7" t="str">
        <x:f>'Event Phases'!M329</x:f>
        <x:v>OPEN</x:v>
      </x:c>
    </x:row>
    <x:row r="1652">
      <x:c r="B1652" s="7" t="str">
        <x:v>PHY-1646</x:v>
      </x:c>
      <x:c r="C1652" s="7" t="str">
        <x:v>event phase</x:v>
      </x:c>
      <x:c r="D1652" s="7" t="str">
        <x:v>RAE-E-14-P12</x:v>
      </x:c>
      <x:c r="E1652" s="7" t="str">
        <x:v>Event Phases!M330</x:v>
      </x:c>
      <x:c r="F1652" s="7" t="str">
        <x:f>'Event Phases'!M330</x:f>
        <x:v>OPEN</x:v>
      </x:c>
    </x:row>
    <x:row r="1653">
      <x:c r="B1653" s="7" t="str">
        <x:v>PHY-1647</x:v>
      </x:c>
      <x:c r="C1653" s="7" t="str">
        <x:v>event phase</x:v>
      </x:c>
      <x:c r="D1653" s="7" t="str">
        <x:v>RAE-E-14-P13</x:v>
      </x:c>
      <x:c r="E1653" s="7" t="str">
        <x:v>Event Phases!M331</x:v>
      </x:c>
      <x:c r="F1653" s="7" t="str">
        <x:f>'Event Phases'!M331</x:f>
        <x:v>OPEN</x:v>
      </x:c>
    </x:row>
    <x:row r="1654">
      <x:c r="B1654" s="7" t="str">
        <x:v>PHY-1648</x:v>
      </x:c>
      <x:c r="C1654" s="7" t="str">
        <x:v>event phase</x:v>
      </x:c>
      <x:c r="D1654" s="7" t="str">
        <x:v>RAE-E-14-P14</x:v>
      </x:c>
      <x:c r="E1654" s="7" t="str">
        <x:v>Event Phases!M332</x:v>
      </x:c>
      <x:c r="F1654" s="7" t="str">
        <x:f>'Event Phases'!M332</x:f>
        <x:v>OPEN</x:v>
      </x:c>
    </x:row>
    <x:row r="1655">
      <x:c r="B1655" s="7" t="str">
        <x:v>PHY-1649</x:v>
      </x:c>
      <x:c r="C1655" s="7" t="str">
        <x:v>event phase</x:v>
      </x:c>
      <x:c r="D1655" s="7" t="str">
        <x:v>RAE-E-14-P15</x:v>
      </x:c>
      <x:c r="E1655" s="7" t="str">
        <x:v>Event Phases!M333</x:v>
      </x:c>
      <x:c r="F1655" s="7" t="str">
        <x:f>'Event Phases'!M333</x:f>
        <x:v>OPEN</x:v>
      </x:c>
    </x:row>
    <x:row r="1656">
      <x:c r="B1656" s="7" t="str">
        <x:v>PHY-1650</x:v>
      </x:c>
      <x:c r="C1656" s="7" t="str">
        <x:v>event phase</x:v>
      </x:c>
      <x:c r="D1656" s="7" t="str">
        <x:v>RAE-E-14-P16</x:v>
      </x:c>
      <x:c r="E1656" s="7" t="str">
        <x:v>Event Phases!M334</x:v>
      </x:c>
      <x:c r="F1656" s="7" t="str">
        <x:f>'Event Phases'!M334</x:f>
        <x:v>OPEN</x:v>
      </x:c>
    </x:row>
    <x:row r="1657">
      <x:c r="B1657" s="7" t="str">
        <x:v>PHY-1651</x:v>
      </x:c>
      <x:c r="C1657" s="7" t="str">
        <x:v>event phase</x:v>
      </x:c>
      <x:c r="D1657" s="7" t="str">
        <x:v>RAE-E-14-P17</x:v>
      </x:c>
      <x:c r="E1657" s="7" t="str">
        <x:v>Event Phases!M335</x:v>
      </x:c>
      <x:c r="F1657" s="7" t="str">
        <x:f>'Event Phases'!M335</x:f>
        <x:v>OPEN</x:v>
      </x:c>
    </x:row>
    <x:row r="1658">
      <x:c r="B1658" s="7" t="str">
        <x:v>PHY-1652</x:v>
      </x:c>
      <x:c r="C1658" s="7" t="str">
        <x:v>event phase</x:v>
      </x:c>
      <x:c r="D1658" s="7" t="str">
        <x:v>RAE-E-14-P18</x:v>
      </x:c>
      <x:c r="E1658" s="7" t="str">
        <x:v>Event Phases!M336</x:v>
      </x:c>
      <x:c r="F1658" s="7" t="str">
        <x:f>'Event Phases'!M336</x:f>
        <x:v>OPEN</x:v>
      </x:c>
    </x:row>
    <x:row r="1659">
      <x:c r="B1659" s="7" t="str">
        <x:v>PHY-1653</x:v>
      </x:c>
      <x:c r="C1659" s="7" t="str">
        <x:v>event phase</x:v>
      </x:c>
      <x:c r="D1659" s="7" t="str">
        <x:v>RAE-E-14-P19</x:v>
      </x:c>
      <x:c r="E1659" s="7" t="str">
        <x:v>Event Phases!M337</x:v>
      </x:c>
      <x:c r="F1659" s="7" t="str">
        <x:f>'Event Phases'!M337</x:f>
        <x:v>OPEN</x:v>
      </x:c>
    </x:row>
    <x:row r="1660">
      <x:c r="B1660" s="7" t="str">
        <x:v>PHY-1654</x:v>
      </x:c>
      <x:c r="C1660" s="7" t="str">
        <x:v>event phase</x:v>
      </x:c>
      <x:c r="D1660" s="7" t="str">
        <x:v>RAE-E-14-P20</x:v>
      </x:c>
      <x:c r="E1660" s="7" t="str">
        <x:v>Event Phases!M338</x:v>
      </x:c>
      <x:c r="F1660" s="7" t="str">
        <x:f>'Event Phases'!M338</x:f>
        <x:v>OPEN</x:v>
      </x:c>
    </x:row>
    <x:row r="1661">
      <x:c r="B1661" s="7" t="str">
        <x:v>PHY-1655</x:v>
      </x:c>
      <x:c r="C1661" s="7" t="str">
        <x:v>event phase</x:v>
      </x:c>
      <x:c r="D1661" s="7" t="str">
        <x:v>RAE-E-14-P21</x:v>
      </x:c>
      <x:c r="E1661" s="7" t="str">
        <x:v>Event Phases!M339</x:v>
      </x:c>
      <x:c r="F1661" s="7" t="str">
        <x:f>'Event Phases'!M339</x:f>
        <x:v>OPEN</x:v>
      </x:c>
    </x:row>
    <x:row r="1662">
      <x:c r="B1662" s="7" t="str">
        <x:v>PHY-1656</x:v>
      </x:c>
      <x:c r="C1662" s="7" t="str">
        <x:v>event phase</x:v>
      </x:c>
      <x:c r="D1662" s="7" t="str">
        <x:v>RAE-E-14-P22</x:v>
      </x:c>
      <x:c r="E1662" s="7" t="str">
        <x:v>Event Phases!M340</x:v>
      </x:c>
      <x:c r="F1662" s="7" t="str">
        <x:f>'Event Phases'!M340</x:f>
        <x:v>OPEN</x:v>
      </x:c>
    </x:row>
    <x:row r="1663">
      <x:c r="B1663" s="7" t="str">
        <x:v>PHY-1657</x:v>
      </x:c>
      <x:c r="C1663" s="7" t="str">
        <x:v>event phase</x:v>
      </x:c>
      <x:c r="D1663" s="7" t="str">
        <x:v>RAE-E-14-P23</x:v>
      </x:c>
      <x:c r="E1663" s="7" t="str">
        <x:v>Event Phases!M341</x:v>
      </x:c>
      <x:c r="F1663" s="7" t="str">
        <x:f>'Event Phases'!M341</x:f>
        <x:v>OPEN</x:v>
      </x:c>
    </x:row>
    <x:row r="1664">
      <x:c r="B1664" s="7" t="str">
        <x:v>PHY-1658</x:v>
      </x:c>
      <x:c r="C1664" s="7" t="str">
        <x:v>event phase</x:v>
      </x:c>
      <x:c r="D1664" s="7" t="str">
        <x:v>RAE-E-14-P24</x:v>
      </x:c>
      <x:c r="E1664" s="7" t="str">
        <x:v>Event Phases!M342</x:v>
      </x:c>
      <x:c r="F1664" s="7" t="str">
        <x:f>'Event Phases'!M342</x:f>
        <x:v>OPEN</x:v>
      </x:c>
    </x:row>
    <x:row r="1665">
      <x:c r="B1665" s="7" t="str">
        <x:v>PHY-1659</x:v>
      </x:c>
      <x:c r="C1665" s="7" t="str">
        <x:v>event phase</x:v>
      </x:c>
      <x:c r="D1665" s="7" t="str">
        <x:v>RAE-E-15-P01</x:v>
      </x:c>
      <x:c r="E1665" s="7" t="str">
        <x:v>Event Phases!M343</x:v>
      </x:c>
      <x:c r="F1665" s="7" t="str">
        <x:f>'Event Phases'!M343</x:f>
        <x:v>OPEN</x:v>
      </x:c>
    </x:row>
    <x:row r="1666">
      <x:c r="B1666" s="7" t="str">
        <x:v>PHY-1660</x:v>
      </x:c>
      <x:c r="C1666" s="7" t="str">
        <x:v>event phase</x:v>
      </x:c>
      <x:c r="D1666" s="7" t="str">
        <x:v>RAE-E-15-P02</x:v>
      </x:c>
      <x:c r="E1666" s="7" t="str">
        <x:v>Event Phases!M344</x:v>
      </x:c>
      <x:c r="F1666" s="7" t="str">
        <x:f>'Event Phases'!M344</x:f>
        <x:v>OPEN</x:v>
      </x:c>
    </x:row>
    <x:row r="1667">
      <x:c r="B1667" s="7" t="str">
        <x:v>PHY-1661</x:v>
      </x:c>
      <x:c r="C1667" s="7" t="str">
        <x:v>event phase</x:v>
      </x:c>
      <x:c r="D1667" s="7" t="str">
        <x:v>RAE-E-15-P03</x:v>
      </x:c>
      <x:c r="E1667" s="7" t="str">
        <x:v>Event Phases!M345</x:v>
      </x:c>
      <x:c r="F1667" s="7" t="str">
        <x:f>'Event Phases'!M345</x:f>
        <x:v>OPEN</x:v>
      </x:c>
    </x:row>
    <x:row r="1668">
      <x:c r="B1668" s="7" t="str">
        <x:v>PHY-1662</x:v>
      </x:c>
      <x:c r="C1668" s="7" t="str">
        <x:v>event phase</x:v>
      </x:c>
      <x:c r="D1668" s="7" t="str">
        <x:v>RAE-E-15-P04</x:v>
      </x:c>
      <x:c r="E1668" s="7" t="str">
        <x:v>Event Phases!M346</x:v>
      </x:c>
      <x:c r="F1668" s="7" t="str">
        <x:f>'Event Phases'!M346</x:f>
        <x:v>OPEN</x:v>
      </x:c>
    </x:row>
    <x:row r="1669">
      <x:c r="B1669" s="7" t="str">
        <x:v>PHY-1663</x:v>
      </x:c>
      <x:c r="C1669" s="7" t="str">
        <x:v>event phase</x:v>
      </x:c>
      <x:c r="D1669" s="7" t="str">
        <x:v>RAE-E-15-P05</x:v>
      </x:c>
      <x:c r="E1669" s="7" t="str">
        <x:v>Event Phases!M347</x:v>
      </x:c>
      <x:c r="F1669" s="7" t="str">
        <x:f>'Event Phases'!M347</x:f>
        <x:v>OPEN</x:v>
      </x:c>
    </x:row>
    <x:row r="1670">
      <x:c r="B1670" s="7" t="str">
        <x:v>PHY-1664</x:v>
      </x:c>
      <x:c r="C1670" s="7" t="str">
        <x:v>event phase</x:v>
      </x:c>
      <x:c r="D1670" s="7" t="str">
        <x:v>RAE-E-15-P06</x:v>
      </x:c>
      <x:c r="E1670" s="7" t="str">
        <x:v>Event Phases!M348</x:v>
      </x:c>
      <x:c r="F1670" s="7" t="str">
        <x:f>'Event Phases'!M348</x:f>
        <x:v>OPEN</x:v>
      </x:c>
    </x:row>
    <x:row r="1671">
      <x:c r="B1671" s="7" t="str">
        <x:v>PHY-1665</x:v>
      </x:c>
      <x:c r="C1671" s="7" t="str">
        <x:v>event phase</x:v>
      </x:c>
      <x:c r="D1671" s="7" t="str">
        <x:v>RAE-E-15-P07</x:v>
      </x:c>
      <x:c r="E1671" s="7" t="str">
        <x:v>Event Phases!M349</x:v>
      </x:c>
      <x:c r="F1671" s="7" t="str">
        <x:f>'Event Phases'!M349</x:f>
        <x:v>OPEN</x:v>
      </x:c>
    </x:row>
    <x:row r="1672">
      <x:c r="B1672" s="7" t="str">
        <x:v>PHY-1666</x:v>
      </x:c>
      <x:c r="C1672" s="7" t="str">
        <x:v>event phase</x:v>
      </x:c>
      <x:c r="D1672" s="7" t="str">
        <x:v>RAE-E-15-P08</x:v>
      </x:c>
      <x:c r="E1672" s="7" t="str">
        <x:v>Event Phases!M350</x:v>
      </x:c>
      <x:c r="F1672" s="7" t="str">
        <x:f>'Event Phases'!M350</x:f>
        <x:v>OPEN</x:v>
      </x:c>
    </x:row>
    <x:row r="1673">
      <x:c r="B1673" s="7" t="str">
        <x:v>PHY-1667</x:v>
      </x:c>
      <x:c r="C1673" s="7" t="str">
        <x:v>event phase</x:v>
      </x:c>
      <x:c r="D1673" s="7" t="str">
        <x:v>RAE-E-15-P09</x:v>
      </x:c>
      <x:c r="E1673" s="7" t="str">
        <x:v>Event Phases!M351</x:v>
      </x:c>
      <x:c r="F1673" s="7" t="str">
        <x:f>'Event Phases'!M351</x:f>
        <x:v>OPEN</x:v>
      </x:c>
    </x:row>
    <x:row r="1674">
      <x:c r="B1674" s="7" t="str">
        <x:v>PHY-1668</x:v>
      </x:c>
      <x:c r="C1674" s="7" t="str">
        <x:v>event phase</x:v>
      </x:c>
      <x:c r="D1674" s="7" t="str">
        <x:v>RAE-E-15-P10</x:v>
      </x:c>
      <x:c r="E1674" s="7" t="str">
        <x:v>Event Phases!M352</x:v>
      </x:c>
      <x:c r="F1674" s="7" t="str">
        <x:f>'Event Phases'!M352</x:f>
        <x:v>OPEN</x:v>
      </x:c>
    </x:row>
    <x:row r="1675">
      <x:c r="B1675" s="7" t="str">
        <x:v>PHY-1669</x:v>
      </x:c>
      <x:c r="C1675" s="7" t="str">
        <x:v>event phase</x:v>
      </x:c>
      <x:c r="D1675" s="7" t="str">
        <x:v>RAE-E-15-P11</x:v>
      </x:c>
      <x:c r="E1675" s="7" t="str">
        <x:v>Event Phases!M353</x:v>
      </x:c>
      <x:c r="F1675" s="7" t="str">
        <x:f>'Event Phases'!M353</x:f>
        <x:v>OPEN</x:v>
      </x:c>
    </x:row>
    <x:row r="1676">
      <x:c r="B1676" s="7" t="str">
        <x:v>PHY-1670</x:v>
      </x:c>
      <x:c r="C1676" s="7" t="str">
        <x:v>event phase</x:v>
      </x:c>
      <x:c r="D1676" s="7" t="str">
        <x:v>RAE-E-15-P12</x:v>
      </x:c>
      <x:c r="E1676" s="7" t="str">
        <x:v>Event Phases!M354</x:v>
      </x:c>
      <x:c r="F1676" s="7" t="str">
        <x:f>'Event Phases'!M354</x:f>
        <x:v>OPEN</x:v>
      </x:c>
    </x:row>
    <x:row r="1677">
      <x:c r="B1677" s="7" t="str">
        <x:v>PHY-1671</x:v>
      </x:c>
      <x:c r="C1677" s="7" t="str">
        <x:v>event phase</x:v>
      </x:c>
      <x:c r="D1677" s="7" t="str">
        <x:v>RAE-E-15-P13</x:v>
      </x:c>
      <x:c r="E1677" s="7" t="str">
        <x:v>Event Phases!M355</x:v>
      </x:c>
      <x:c r="F1677" s="7" t="str">
        <x:f>'Event Phases'!M355</x:f>
        <x:v>OPEN</x:v>
      </x:c>
    </x:row>
    <x:row r="1678">
      <x:c r="B1678" s="7" t="str">
        <x:v>PHY-1672</x:v>
      </x:c>
      <x:c r="C1678" s="7" t="str">
        <x:v>event phase</x:v>
      </x:c>
      <x:c r="D1678" s="7" t="str">
        <x:v>RAE-E-15-P14</x:v>
      </x:c>
      <x:c r="E1678" s="7" t="str">
        <x:v>Event Phases!M356</x:v>
      </x:c>
      <x:c r="F1678" s="7" t="str">
        <x:f>'Event Phases'!M356</x:f>
        <x:v>OPEN</x:v>
      </x:c>
    </x:row>
    <x:row r="1679">
      <x:c r="B1679" s="7" t="str">
        <x:v>PHY-1673</x:v>
      </x:c>
      <x:c r="C1679" s="7" t="str">
        <x:v>event phase</x:v>
      </x:c>
      <x:c r="D1679" s="7" t="str">
        <x:v>RAE-E-15-P15</x:v>
      </x:c>
      <x:c r="E1679" s="7" t="str">
        <x:v>Event Phases!M357</x:v>
      </x:c>
      <x:c r="F1679" s="7" t="str">
        <x:f>'Event Phases'!M357</x:f>
        <x:v>OPEN</x:v>
      </x:c>
    </x:row>
    <x:row r="1680">
      <x:c r="B1680" s="7" t="str">
        <x:v>PHY-1674</x:v>
      </x:c>
      <x:c r="C1680" s="7" t="str">
        <x:v>event phase</x:v>
      </x:c>
      <x:c r="D1680" s="7" t="str">
        <x:v>RAE-E-15-P16</x:v>
      </x:c>
      <x:c r="E1680" s="7" t="str">
        <x:v>Event Phases!M358</x:v>
      </x:c>
      <x:c r="F1680" s="7" t="str">
        <x:f>'Event Phases'!M358</x:f>
        <x:v>OPEN</x:v>
      </x:c>
    </x:row>
    <x:row r="1681">
      <x:c r="B1681" s="7" t="str">
        <x:v>PHY-1675</x:v>
      </x:c>
      <x:c r="C1681" s="7" t="str">
        <x:v>event phase</x:v>
      </x:c>
      <x:c r="D1681" s="7" t="str">
        <x:v>RAE-E-15-P17</x:v>
      </x:c>
      <x:c r="E1681" s="7" t="str">
        <x:v>Event Phases!M359</x:v>
      </x:c>
      <x:c r="F1681" s="7" t="str">
        <x:f>'Event Phases'!M359</x:f>
        <x:v>OPEN</x:v>
      </x:c>
    </x:row>
    <x:row r="1682">
      <x:c r="B1682" s="7" t="str">
        <x:v>PHY-1676</x:v>
      </x:c>
      <x:c r="C1682" s="7" t="str">
        <x:v>event phase</x:v>
      </x:c>
      <x:c r="D1682" s="7" t="str">
        <x:v>RAE-E-15-P18</x:v>
      </x:c>
      <x:c r="E1682" s="7" t="str">
        <x:v>Event Phases!M360</x:v>
      </x:c>
      <x:c r="F1682" s="7" t="str">
        <x:f>'Event Phases'!M360</x:f>
        <x:v>OPEN</x:v>
      </x:c>
    </x:row>
    <x:row r="1683">
      <x:c r="B1683" s="7" t="str">
        <x:v>PHY-1677</x:v>
      </x:c>
      <x:c r="C1683" s="7" t="str">
        <x:v>event phase</x:v>
      </x:c>
      <x:c r="D1683" s="7" t="str">
        <x:v>RAE-E-15-P19</x:v>
      </x:c>
      <x:c r="E1683" s="7" t="str">
        <x:v>Event Phases!M361</x:v>
      </x:c>
      <x:c r="F1683" s="7" t="str">
        <x:f>'Event Phases'!M361</x:f>
        <x:v>OPEN</x:v>
      </x:c>
    </x:row>
    <x:row r="1684">
      <x:c r="B1684" s="7" t="str">
        <x:v>PHY-1678</x:v>
      </x:c>
      <x:c r="C1684" s="7" t="str">
        <x:v>event phase</x:v>
      </x:c>
      <x:c r="D1684" s="7" t="str">
        <x:v>RAE-E-15-P20</x:v>
      </x:c>
      <x:c r="E1684" s="7" t="str">
        <x:v>Event Phases!M362</x:v>
      </x:c>
      <x:c r="F1684" s="7" t="str">
        <x:f>'Event Phases'!M362</x:f>
        <x:v>OPEN</x:v>
      </x:c>
    </x:row>
    <x:row r="1685">
      <x:c r="B1685" s="7" t="str">
        <x:v>PHY-1679</x:v>
      </x:c>
      <x:c r="C1685" s="7" t="str">
        <x:v>event phase</x:v>
      </x:c>
      <x:c r="D1685" s="7" t="str">
        <x:v>RAE-E-15-P21</x:v>
      </x:c>
      <x:c r="E1685" s="7" t="str">
        <x:v>Event Phases!M363</x:v>
      </x:c>
      <x:c r="F1685" s="7" t="str">
        <x:f>'Event Phases'!M363</x:f>
        <x:v>OPEN</x:v>
      </x:c>
    </x:row>
    <x:row r="1686">
      <x:c r="B1686" s="7" t="str">
        <x:v>PHY-1680</x:v>
      </x:c>
      <x:c r="C1686" s="7" t="str">
        <x:v>event phase</x:v>
      </x:c>
      <x:c r="D1686" s="7" t="str">
        <x:v>RAE-E-15-P22</x:v>
      </x:c>
      <x:c r="E1686" s="7" t="str">
        <x:v>Event Phases!M364</x:v>
      </x:c>
      <x:c r="F1686" s="7" t="str">
        <x:f>'Event Phases'!M364</x:f>
        <x:v>OPEN</x:v>
      </x:c>
    </x:row>
    <x:row r="1687">
      <x:c r="B1687" s="7" t="str">
        <x:v>PHY-1681</x:v>
      </x:c>
      <x:c r="C1687" s="7" t="str">
        <x:v>event phase</x:v>
      </x:c>
      <x:c r="D1687" s="7" t="str">
        <x:v>RAE-E-15-P23</x:v>
      </x:c>
      <x:c r="E1687" s="7" t="str">
        <x:v>Event Phases!M365</x:v>
      </x:c>
      <x:c r="F1687" s="7" t="str">
        <x:f>'Event Phases'!M365</x:f>
        <x:v>OPEN</x:v>
      </x:c>
    </x:row>
    <x:row r="1688">
      <x:c r="B1688" s="7" t="str">
        <x:v>PHY-1682</x:v>
      </x:c>
      <x:c r="C1688" s="7" t="str">
        <x:v>event phase</x:v>
      </x:c>
      <x:c r="D1688" s="7" t="str">
        <x:v>RAE-E-15-P24</x:v>
      </x:c>
      <x:c r="E1688" s="7" t="str">
        <x:v>Event Phases!M366</x:v>
      </x:c>
      <x:c r="F1688" s="7" t="str">
        <x:f>'Event Phases'!M366</x:f>
        <x:v>OPEN</x:v>
      </x:c>
    </x:row>
    <x:row r="1689">
      <x:c r="B1689" s="7" t="str">
        <x:v>PHY-1683</x:v>
      </x:c>
      <x:c r="C1689" s="7" t="str">
        <x:v>event phase</x:v>
      </x:c>
      <x:c r="D1689" s="7" t="str">
        <x:v>RAE-E-16-P01</x:v>
      </x:c>
      <x:c r="E1689" s="7" t="str">
        <x:v>Event Phases!M367</x:v>
      </x:c>
      <x:c r="F1689" s="7" t="str">
        <x:f>'Event Phases'!M367</x:f>
        <x:v>OPEN</x:v>
      </x:c>
    </x:row>
    <x:row r="1690">
      <x:c r="B1690" s="7" t="str">
        <x:v>PHY-1684</x:v>
      </x:c>
      <x:c r="C1690" s="7" t="str">
        <x:v>event phase</x:v>
      </x:c>
      <x:c r="D1690" s="7" t="str">
        <x:v>RAE-E-16-P02</x:v>
      </x:c>
      <x:c r="E1690" s="7" t="str">
        <x:v>Event Phases!M368</x:v>
      </x:c>
      <x:c r="F1690" s="7" t="str">
        <x:f>'Event Phases'!M368</x:f>
        <x:v>OPEN</x:v>
      </x:c>
    </x:row>
    <x:row r="1691">
      <x:c r="B1691" s="7" t="str">
        <x:v>PHY-1685</x:v>
      </x:c>
      <x:c r="C1691" s="7" t="str">
        <x:v>event phase</x:v>
      </x:c>
      <x:c r="D1691" s="7" t="str">
        <x:v>RAE-E-16-P03</x:v>
      </x:c>
      <x:c r="E1691" s="7" t="str">
        <x:v>Event Phases!M369</x:v>
      </x:c>
      <x:c r="F1691" s="7" t="str">
        <x:f>'Event Phases'!M369</x:f>
        <x:v>OPEN</x:v>
      </x:c>
    </x:row>
    <x:row r="1692">
      <x:c r="B1692" s="7" t="str">
        <x:v>PHY-1686</x:v>
      </x:c>
      <x:c r="C1692" s="7" t="str">
        <x:v>event phase</x:v>
      </x:c>
      <x:c r="D1692" s="7" t="str">
        <x:v>RAE-E-16-P04</x:v>
      </x:c>
      <x:c r="E1692" s="7" t="str">
        <x:v>Event Phases!M370</x:v>
      </x:c>
      <x:c r="F1692" s="7" t="str">
        <x:f>'Event Phases'!M370</x:f>
        <x:v>OPEN</x:v>
      </x:c>
    </x:row>
    <x:row r="1693">
      <x:c r="B1693" s="7" t="str">
        <x:v>PHY-1687</x:v>
      </x:c>
      <x:c r="C1693" s="7" t="str">
        <x:v>event phase</x:v>
      </x:c>
      <x:c r="D1693" s="7" t="str">
        <x:v>RAE-E-16-P05</x:v>
      </x:c>
      <x:c r="E1693" s="7" t="str">
        <x:v>Event Phases!M371</x:v>
      </x:c>
      <x:c r="F1693" s="7" t="str">
        <x:f>'Event Phases'!M371</x:f>
        <x:v>OPEN</x:v>
      </x:c>
    </x:row>
    <x:row r="1694">
      <x:c r="B1694" s="7" t="str">
        <x:v>PHY-1688</x:v>
      </x:c>
      <x:c r="C1694" s="7" t="str">
        <x:v>event phase</x:v>
      </x:c>
      <x:c r="D1694" s="7" t="str">
        <x:v>RAE-E-16-P06</x:v>
      </x:c>
      <x:c r="E1694" s="7" t="str">
        <x:v>Event Phases!M372</x:v>
      </x:c>
      <x:c r="F1694" s="7" t="str">
        <x:f>'Event Phases'!M372</x:f>
        <x:v>OPEN</x:v>
      </x:c>
    </x:row>
    <x:row r="1695">
      <x:c r="B1695" s="7" t="str">
        <x:v>PHY-1689</x:v>
      </x:c>
      <x:c r="C1695" s="7" t="str">
        <x:v>event phase</x:v>
      </x:c>
      <x:c r="D1695" s="7" t="str">
        <x:v>RAE-E-16-P07</x:v>
      </x:c>
      <x:c r="E1695" s="7" t="str">
        <x:v>Event Phases!M373</x:v>
      </x:c>
      <x:c r="F1695" s="7" t="str">
        <x:f>'Event Phases'!M373</x:f>
        <x:v>OPEN</x:v>
      </x:c>
    </x:row>
    <x:row r="1696">
      <x:c r="B1696" s="7" t="str">
        <x:v>PHY-1690</x:v>
      </x:c>
      <x:c r="C1696" s="7" t="str">
        <x:v>event phase</x:v>
      </x:c>
      <x:c r="D1696" s="7" t="str">
        <x:v>RAE-E-16-P08</x:v>
      </x:c>
      <x:c r="E1696" s="7" t="str">
        <x:v>Event Phases!M374</x:v>
      </x:c>
      <x:c r="F1696" s="7" t="str">
        <x:f>'Event Phases'!M374</x:f>
        <x:v>OPEN</x:v>
      </x:c>
    </x:row>
    <x:row r="1697">
      <x:c r="B1697" s="7" t="str">
        <x:v>PHY-1691</x:v>
      </x:c>
      <x:c r="C1697" s="7" t="str">
        <x:v>event phase</x:v>
      </x:c>
      <x:c r="D1697" s="7" t="str">
        <x:v>RAE-E-16-P09</x:v>
      </x:c>
      <x:c r="E1697" s="7" t="str">
        <x:v>Event Phases!M375</x:v>
      </x:c>
      <x:c r="F1697" s="7" t="str">
        <x:f>'Event Phases'!M375</x:f>
        <x:v>OPEN</x:v>
      </x:c>
    </x:row>
    <x:row r="1698">
      <x:c r="B1698" s="7" t="str">
        <x:v>PHY-1692</x:v>
      </x:c>
      <x:c r="C1698" s="7" t="str">
        <x:v>event phase</x:v>
      </x:c>
      <x:c r="D1698" s="7" t="str">
        <x:v>RAE-E-16-P10</x:v>
      </x:c>
      <x:c r="E1698" s="7" t="str">
        <x:v>Event Phases!M376</x:v>
      </x:c>
      <x:c r="F1698" s="7" t="str">
        <x:f>'Event Phases'!M376</x:f>
        <x:v>OPEN</x:v>
      </x:c>
    </x:row>
    <x:row r="1699">
      <x:c r="B1699" s="7" t="str">
        <x:v>PHY-1693</x:v>
      </x:c>
      <x:c r="C1699" s="7" t="str">
        <x:v>event phase</x:v>
      </x:c>
      <x:c r="D1699" s="7" t="str">
        <x:v>RAE-E-16-P11</x:v>
      </x:c>
      <x:c r="E1699" s="7" t="str">
        <x:v>Event Phases!M377</x:v>
      </x:c>
      <x:c r="F1699" s="7" t="str">
        <x:f>'Event Phases'!M377</x:f>
        <x:v>OPEN</x:v>
      </x:c>
    </x:row>
    <x:row r="1700">
      <x:c r="B1700" s="7" t="str">
        <x:v>PHY-1694</x:v>
      </x:c>
      <x:c r="C1700" s="7" t="str">
        <x:v>event phase</x:v>
      </x:c>
      <x:c r="D1700" s="7" t="str">
        <x:v>RAE-E-16-P12</x:v>
      </x:c>
      <x:c r="E1700" s="7" t="str">
        <x:v>Event Phases!M378</x:v>
      </x:c>
      <x:c r="F1700" s="7" t="str">
        <x:f>'Event Phases'!M378</x:f>
        <x:v>OPEN</x:v>
      </x:c>
    </x:row>
    <x:row r="1701">
      <x:c r="B1701" s="7" t="str">
        <x:v>PHY-1695</x:v>
      </x:c>
      <x:c r="C1701" s="7" t="str">
        <x:v>event phase</x:v>
      </x:c>
      <x:c r="D1701" s="7" t="str">
        <x:v>RAE-E-16-P13</x:v>
      </x:c>
      <x:c r="E1701" s="7" t="str">
        <x:v>Event Phases!M379</x:v>
      </x:c>
      <x:c r="F1701" s="7" t="str">
        <x:f>'Event Phases'!M379</x:f>
        <x:v>OPEN</x:v>
      </x:c>
    </x:row>
    <x:row r="1702">
      <x:c r="B1702" s="7" t="str">
        <x:v>PHY-1696</x:v>
      </x:c>
      <x:c r="C1702" s="7" t="str">
        <x:v>event phase</x:v>
      </x:c>
      <x:c r="D1702" s="7" t="str">
        <x:v>RAE-E-16-P14</x:v>
      </x:c>
      <x:c r="E1702" s="7" t="str">
        <x:v>Event Phases!M380</x:v>
      </x:c>
      <x:c r="F1702" s="7" t="str">
        <x:f>'Event Phases'!M380</x:f>
        <x:v>OPEN</x:v>
      </x:c>
    </x:row>
    <x:row r="1703">
      <x:c r="B1703" s="7" t="str">
        <x:v>PHY-1697</x:v>
      </x:c>
      <x:c r="C1703" s="7" t="str">
        <x:v>event phase</x:v>
      </x:c>
      <x:c r="D1703" s="7" t="str">
        <x:v>RAE-E-16-P15</x:v>
      </x:c>
      <x:c r="E1703" s="7" t="str">
        <x:v>Event Phases!M381</x:v>
      </x:c>
      <x:c r="F1703" s="7" t="str">
        <x:f>'Event Phases'!M381</x:f>
        <x:v>OPEN</x:v>
      </x:c>
    </x:row>
    <x:row r="1704">
      <x:c r="B1704" s="7" t="str">
        <x:v>PHY-1698</x:v>
      </x:c>
      <x:c r="C1704" s="7" t="str">
        <x:v>event phase</x:v>
      </x:c>
      <x:c r="D1704" s="7" t="str">
        <x:v>RAE-E-16-P16</x:v>
      </x:c>
      <x:c r="E1704" s="7" t="str">
        <x:v>Event Phases!M382</x:v>
      </x:c>
      <x:c r="F1704" s="7" t="str">
        <x:f>'Event Phases'!M382</x:f>
        <x:v>OPEN</x:v>
      </x:c>
    </x:row>
    <x:row r="1705">
      <x:c r="B1705" s="7" t="str">
        <x:v>PHY-1699</x:v>
      </x:c>
      <x:c r="C1705" s="7" t="str">
        <x:v>event phase</x:v>
      </x:c>
      <x:c r="D1705" s="7" t="str">
        <x:v>RAE-E-16-P17</x:v>
      </x:c>
      <x:c r="E1705" s="7" t="str">
        <x:v>Event Phases!M383</x:v>
      </x:c>
      <x:c r="F1705" s="7" t="str">
        <x:f>'Event Phases'!M383</x:f>
        <x:v>OPEN</x:v>
      </x:c>
    </x:row>
    <x:row r="1706">
      <x:c r="B1706" s="7" t="str">
        <x:v>PHY-1700</x:v>
      </x:c>
      <x:c r="C1706" s="7" t="str">
        <x:v>event phase</x:v>
      </x:c>
      <x:c r="D1706" s="7" t="str">
        <x:v>RAE-E-16-P18</x:v>
      </x:c>
      <x:c r="E1706" s="7" t="str">
        <x:v>Event Phases!M384</x:v>
      </x:c>
      <x:c r="F1706" s="7" t="str">
        <x:f>'Event Phases'!M384</x:f>
        <x:v>OPEN</x:v>
      </x:c>
    </x:row>
    <x:row r="1707">
      <x:c r="B1707" s="7" t="str">
        <x:v>PHY-1701</x:v>
      </x:c>
      <x:c r="C1707" s="7" t="str">
        <x:v>event phase</x:v>
      </x:c>
      <x:c r="D1707" s="7" t="str">
        <x:v>RAE-E-16-P19</x:v>
      </x:c>
      <x:c r="E1707" s="7" t="str">
        <x:v>Event Phases!M385</x:v>
      </x:c>
      <x:c r="F1707" s="7" t="str">
        <x:f>'Event Phases'!M385</x:f>
        <x:v>OPEN</x:v>
      </x:c>
    </x:row>
    <x:row r="1708">
      <x:c r="B1708" s="7" t="str">
        <x:v>PHY-1702</x:v>
      </x:c>
      <x:c r="C1708" s="7" t="str">
        <x:v>event phase</x:v>
      </x:c>
      <x:c r="D1708" s="7" t="str">
        <x:v>RAE-E-16-P20</x:v>
      </x:c>
      <x:c r="E1708" s="7" t="str">
        <x:v>Event Phases!M386</x:v>
      </x:c>
      <x:c r="F1708" s="7" t="str">
        <x:f>'Event Phases'!M386</x:f>
        <x:v>OPEN</x:v>
      </x:c>
    </x:row>
    <x:row r="1709">
      <x:c r="B1709" s="7" t="str">
        <x:v>PHY-1703</x:v>
      </x:c>
      <x:c r="C1709" s="7" t="str">
        <x:v>event phase</x:v>
      </x:c>
      <x:c r="D1709" s="7" t="str">
        <x:v>RAE-E-16-P21</x:v>
      </x:c>
      <x:c r="E1709" s="7" t="str">
        <x:v>Event Phases!M387</x:v>
      </x:c>
      <x:c r="F1709" s="7" t="str">
        <x:f>'Event Phases'!M387</x:f>
        <x:v>OPEN</x:v>
      </x:c>
    </x:row>
    <x:row r="1710">
      <x:c r="B1710" s="7" t="str">
        <x:v>PHY-1704</x:v>
      </x:c>
      <x:c r="C1710" s="7" t="str">
        <x:v>event phase</x:v>
      </x:c>
      <x:c r="D1710" s="7" t="str">
        <x:v>RAE-E-16-P22</x:v>
      </x:c>
      <x:c r="E1710" s="7" t="str">
        <x:v>Event Phases!M388</x:v>
      </x:c>
      <x:c r="F1710" s="7" t="str">
        <x:f>'Event Phases'!M388</x:f>
        <x:v>OPEN</x:v>
      </x:c>
    </x:row>
    <x:row r="1711">
      <x:c r="B1711" s="7" t="str">
        <x:v>PHY-1705</x:v>
      </x:c>
      <x:c r="C1711" s="7" t="str">
        <x:v>event phase</x:v>
      </x:c>
      <x:c r="D1711" s="7" t="str">
        <x:v>RAE-E-16-P23</x:v>
      </x:c>
      <x:c r="E1711" s="7" t="str">
        <x:v>Event Phases!M389</x:v>
      </x:c>
      <x:c r="F1711" s="7" t="str">
        <x:f>'Event Phases'!M389</x:f>
        <x:v>OPEN</x:v>
      </x:c>
    </x:row>
    <x:row r="1712">
      <x:c r="B1712" s="7" t="str">
        <x:v>PHY-1706</x:v>
      </x:c>
      <x:c r="C1712" s="7" t="str">
        <x:v>event phase</x:v>
      </x:c>
      <x:c r="D1712" s="7" t="str">
        <x:v>RAE-E-16-P24</x:v>
      </x:c>
      <x:c r="E1712" s="7" t="str">
        <x:v>Event Phases!M390</x:v>
      </x:c>
      <x:c r="F1712" s="7" t="str">
        <x:f>'Event Phases'!M390</x:f>
        <x:v>OPEN</x:v>
      </x:c>
    </x:row>
    <x:row r="1713">
      <x:c r="B1713" s="7" t="str">
        <x:v>PHY-1707</x:v>
      </x:c>
      <x:c r="C1713" s="7" t="str">
        <x:v>event phase</x:v>
      </x:c>
      <x:c r="D1713" s="7" t="str">
        <x:v>RAE-E-17-P01</x:v>
      </x:c>
      <x:c r="E1713" s="7" t="str">
        <x:v>Event Phases!M391</x:v>
      </x:c>
      <x:c r="F1713" s="7" t="str">
        <x:f>'Event Phases'!M391</x:f>
        <x:v>OPEN</x:v>
      </x:c>
    </x:row>
    <x:row r="1714">
      <x:c r="B1714" s="7" t="str">
        <x:v>PHY-1708</x:v>
      </x:c>
      <x:c r="C1714" s="7" t="str">
        <x:v>event phase</x:v>
      </x:c>
      <x:c r="D1714" s="7" t="str">
        <x:v>RAE-E-17-P02</x:v>
      </x:c>
      <x:c r="E1714" s="7" t="str">
        <x:v>Event Phases!M392</x:v>
      </x:c>
      <x:c r="F1714" s="7" t="str">
        <x:f>'Event Phases'!M392</x:f>
        <x:v>OPEN</x:v>
      </x:c>
    </x:row>
    <x:row r="1715">
      <x:c r="B1715" s="7" t="str">
        <x:v>PHY-1709</x:v>
      </x:c>
      <x:c r="C1715" s="7" t="str">
        <x:v>event phase</x:v>
      </x:c>
      <x:c r="D1715" s="7" t="str">
        <x:v>RAE-E-17-P03</x:v>
      </x:c>
      <x:c r="E1715" s="7" t="str">
        <x:v>Event Phases!M393</x:v>
      </x:c>
      <x:c r="F1715" s="7" t="str">
        <x:f>'Event Phases'!M393</x:f>
        <x:v>OPEN</x:v>
      </x:c>
    </x:row>
    <x:row r="1716">
      <x:c r="B1716" s="7" t="str">
        <x:v>PHY-1710</x:v>
      </x:c>
      <x:c r="C1716" s="7" t="str">
        <x:v>event phase</x:v>
      </x:c>
      <x:c r="D1716" s="7" t="str">
        <x:v>RAE-E-17-P04</x:v>
      </x:c>
      <x:c r="E1716" s="7" t="str">
        <x:v>Event Phases!M394</x:v>
      </x:c>
      <x:c r="F1716" s="7" t="str">
        <x:f>'Event Phases'!M394</x:f>
        <x:v>OPEN</x:v>
      </x:c>
    </x:row>
    <x:row r="1717">
      <x:c r="B1717" s="7" t="str">
        <x:v>PHY-1711</x:v>
      </x:c>
      <x:c r="C1717" s="7" t="str">
        <x:v>event phase</x:v>
      </x:c>
      <x:c r="D1717" s="7" t="str">
        <x:v>RAE-E-17-P05</x:v>
      </x:c>
      <x:c r="E1717" s="7" t="str">
        <x:v>Event Phases!M395</x:v>
      </x:c>
      <x:c r="F1717" s="7" t="str">
        <x:f>'Event Phases'!M395</x:f>
        <x:v>OPEN</x:v>
      </x:c>
    </x:row>
    <x:row r="1718">
      <x:c r="B1718" s="7" t="str">
        <x:v>PHY-1712</x:v>
      </x:c>
      <x:c r="C1718" s="7" t="str">
        <x:v>event phase</x:v>
      </x:c>
      <x:c r="D1718" s="7" t="str">
        <x:v>RAE-E-17-P06</x:v>
      </x:c>
      <x:c r="E1718" s="7" t="str">
        <x:v>Event Phases!M396</x:v>
      </x:c>
      <x:c r="F1718" s="7" t="str">
        <x:f>'Event Phases'!M396</x:f>
        <x:v>OPEN</x:v>
      </x:c>
    </x:row>
    <x:row r="1719">
      <x:c r="B1719" s="7" t="str">
        <x:v>PHY-1713</x:v>
      </x:c>
      <x:c r="C1719" s="7" t="str">
        <x:v>event phase</x:v>
      </x:c>
      <x:c r="D1719" s="7" t="str">
        <x:v>RAE-E-17-P07</x:v>
      </x:c>
      <x:c r="E1719" s="7" t="str">
        <x:v>Event Phases!M397</x:v>
      </x:c>
      <x:c r="F1719" s="7" t="str">
        <x:f>'Event Phases'!M397</x:f>
        <x:v>OPEN</x:v>
      </x:c>
    </x:row>
    <x:row r="1720">
      <x:c r="B1720" s="7" t="str">
        <x:v>PHY-1714</x:v>
      </x:c>
      <x:c r="C1720" s="7" t="str">
        <x:v>event phase</x:v>
      </x:c>
      <x:c r="D1720" s="7" t="str">
        <x:v>RAE-E-17-P08</x:v>
      </x:c>
      <x:c r="E1720" s="7" t="str">
        <x:v>Event Phases!M398</x:v>
      </x:c>
      <x:c r="F1720" s="7" t="str">
        <x:f>'Event Phases'!M398</x:f>
        <x:v>OPEN</x:v>
      </x:c>
    </x:row>
    <x:row r="1721">
      <x:c r="B1721" s="7" t="str">
        <x:v>PHY-1715</x:v>
      </x:c>
      <x:c r="C1721" s="7" t="str">
        <x:v>event phase</x:v>
      </x:c>
      <x:c r="D1721" s="7" t="str">
        <x:v>RAE-E-17-P09</x:v>
      </x:c>
      <x:c r="E1721" s="7" t="str">
        <x:v>Event Phases!M399</x:v>
      </x:c>
      <x:c r="F1721" s="7" t="str">
        <x:f>'Event Phases'!M399</x:f>
        <x:v>OPEN</x:v>
      </x:c>
    </x:row>
    <x:row r="1722">
      <x:c r="B1722" s="7" t="str">
        <x:v>PHY-1716</x:v>
      </x:c>
      <x:c r="C1722" s="7" t="str">
        <x:v>event phase</x:v>
      </x:c>
      <x:c r="D1722" s="7" t="str">
        <x:v>RAE-E-17-P10</x:v>
      </x:c>
      <x:c r="E1722" s="7" t="str">
        <x:v>Event Phases!M400</x:v>
      </x:c>
      <x:c r="F1722" s="7" t="str">
        <x:f>'Event Phases'!M400</x:f>
        <x:v>OPEN</x:v>
      </x:c>
    </x:row>
    <x:row r="1723">
      <x:c r="B1723" s="7" t="str">
        <x:v>PHY-1717</x:v>
      </x:c>
      <x:c r="C1723" s="7" t="str">
        <x:v>event phase</x:v>
      </x:c>
      <x:c r="D1723" s="7" t="str">
        <x:v>RAE-E-17-P11</x:v>
      </x:c>
      <x:c r="E1723" s="7" t="str">
        <x:v>Event Phases!M401</x:v>
      </x:c>
      <x:c r="F1723" s="7" t="str">
        <x:f>'Event Phases'!M401</x:f>
        <x:v>OPEN</x:v>
      </x:c>
    </x:row>
    <x:row r="1724">
      <x:c r="B1724" s="7" t="str">
        <x:v>PHY-1718</x:v>
      </x:c>
      <x:c r="C1724" s="7" t="str">
        <x:v>event phase</x:v>
      </x:c>
      <x:c r="D1724" s="7" t="str">
        <x:v>RAE-E-17-P12</x:v>
      </x:c>
      <x:c r="E1724" s="7" t="str">
        <x:v>Event Phases!M402</x:v>
      </x:c>
      <x:c r="F1724" s="7" t="str">
        <x:f>'Event Phases'!M402</x:f>
        <x:v>OPEN</x:v>
      </x:c>
    </x:row>
    <x:row r="1725">
      <x:c r="B1725" s="7" t="str">
        <x:v>PHY-1719</x:v>
      </x:c>
      <x:c r="C1725" s="7" t="str">
        <x:v>event phase</x:v>
      </x:c>
      <x:c r="D1725" s="7" t="str">
        <x:v>RAE-E-17-P13</x:v>
      </x:c>
      <x:c r="E1725" s="7" t="str">
        <x:v>Event Phases!M403</x:v>
      </x:c>
      <x:c r="F1725" s="7" t="str">
        <x:f>'Event Phases'!M403</x:f>
        <x:v>OPEN</x:v>
      </x:c>
    </x:row>
    <x:row r="1726">
      <x:c r="B1726" s="7" t="str">
        <x:v>PHY-1720</x:v>
      </x:c>
      <x:c r="C1726" s="7" t="str">
        <x:v>event phase</x:v>
      </x:c>
      <x:c r="D1726" s="7" t="str">
        <x:v>RAE-E-17-P14</x:v>
      </x:c>
      <x:c r="E1726" s="7" t="str">
        <x:v>Event Phases!M404</x:v>
      </x:c>
      <x:c r="F1726" s="7" t="str">
        <x:f>'Event Phases'!M404</x:f>
        <x:v>OPEN</x:v>
      </x:c>
    </x:row>
    <x:row r="1727">
      <x:c r="B1727" s="7" t="str">
        <x:v>PHY-1721</x:v>
      </x:c>
      <x:c r="C1727" s="7" t="str">
        <x:v>event phase</x:v>
      </x:c>
      <x:c r="D1727" s="7" t="str">
        <x:v>RAE-E-17-P15</x:v>
      </x:c>
      <x:c r="E1727" s="7" t="str">
        <x:v>Event Phases!M405</x:v>
      </x:c>
      <x:c r="F1727" s="7" t="str">
        <x:f>'Event Phases'!M405</x:f>
        <x:v>OPEN</x:v>
      </x:c>
    </x:row>
    <x:row r="1728">
      <x:c r="B1728" s="7" t="str">
        <x:v>PHY-1722</x:v>
      </x:c>
      <x:c r="C1728" s="7" t="str">
        <x:v>event phase</x:v>
      </x:c>
      <x:c r="D1728" s="7" t="str">
        <x:v>RAE-E-17-P16</x:v>
      </x:c>
      <x:c r="E1728" s="7" t="str">
        <x:v>Event Phases!M406</x:v>
      </x:c>
      <x:c r="F1728" s="7" t="str">
        <x:f>'Event Phases'!M406</x:f>
        <x:v>OPEN</x:v>
      </x:c>
    </x:row>
    <x:row r="1729">
      <x:c r="B1729" s="7" t="str">
        <x:v>PHY-1723</x:v>
      </x:c>
      <x:c r="C1729" s="7" t="str">
        <x:v>event phase</x:v>
      </x:c>
      <x:c r="D1729" s="7" t="str">
        <x:v>RAE-E-17-P17</x:v>
      </x:c>
      <x:c r="E1729" s="7" t="str">
        <x:v>Event Phases!M407</x:v>
      </x:c>
      <x:c r="F1729" s="7" t="str">
        <x:f>'Event Phases'!M407</x:f>
        <x:v>OPEN</x:v>
      </x:c>
    </x:row>
    <x:row r="1730">
      <x:c r="B1730" s="7" t="str">
        <x:v>PHY-1724</x:v>
      </x:c>
      <x:c r="C1730" s="7" t="str">
        <x:v>event phase</x:v>
      </x:c>
      <x:c r="D1730" s="7" t="str">
        <x:v>RAE-E-17-P18</x:v>
      </x:c>
      <x:c r="E1730" s="7" t="str">
        <x:v>Event Phases!M408</x:v>
      </x:c>
      <x:c r="F1730" s="7" t="str">
        <x:f>'Event Phases'!M408</x:f>
        <x:v>OPEN</x:v>
      </x:c>
    </x:row>
    <x:row r="1731">
      <x:c r="B1731" s="7" t="str">
        <x:v>PHY-1725</x:v>
      </x:c>
      <x:c r="C1731" s="7" t="str">
        <x:v>event phase</x:v>
      </x:c>
      <x:c r="D1731" s="7" t="str">
        <x:v>RAE-E-17-P19</x:v>
      </x:c>
      <x:c r="E1731" s="7" t="str">
        <x:v>Event Phases!M409</x:v>
      </x:c>
      <x:c r="F1731" s="7" t="str">
        <x:f>'Event Phases'!M409</x:f>
        <x:v>OPEN</x:v>
      </x:c>
    </x:row>
    <x:row r="1732">
      <x:c r="B1732" s="7" t="str">
        <x:v>PHY-1726</x:v>
      </x:c>
      <x:c r="C1732" s="7" t="str">
        <x:v>event phase</x:v>
      </x:c>
      <x:c r="D1732" s="7" t="str">
        <x:v>RAE-E-17-P20</x:v>
      </x:c>
      <x:c r="E1732" s="7" t="str">
        <x:v>Event Phases!M410</x:v>
      </x:c>
      <x:c r="F1732" s="7" t="str">
        <x:f>'Event Phases'!M410</x:f>
        <x:v>OPEN</x:v>
      </x:c>
    </x:row>
    <x:row r="1733">
      <x:c r="B1733" s="7" t="str">
        <x:v>PHY-1727</x:v>
      </x:c>
      <x:c r="C1733" s="7" t="str">
        <x:v>event phase</x:v>
      </x:c>
      <x:c r="D1733" s="7" t="str">
        <x:v>RAE-E-17-P21</x:v>
      </x:c>
      <x:c r="E1733" s="7" t="str">
        <x:v>Event Phases!M411</x:v>
      </x:c>
      <x:c r="F1733" s="7" t="str">
        <x:f>'Event Phases'!M411</x:f>
        <x:v>OPEN</x:v>
      </x:c>
    </x:row>
    <x:row r="1734">
      <x:c r="B1734" s="7" t="str">
        <x:v>PHY-1728</x:v>
      </x:c>
      <x:c r="C1734" s="7" t="str">
        <x:v>event phase</x:v>
      </x:c>
      <x:c r="D1734" s="7" t="str">
        <x:v>RAE-E-17-P22</x:v>
      </x:c>
      <x:c r="E1734" s="7" t="str">
        <x:v>Event Phases!M412</x:v>
      </x:c>
      <x:c r="F1734" s="7" t="str">
        <x:f>'Event Phases'!M412</x:f>
        <x:v>OPEN</x:v>
      </x:c>
    </x:row>
    <x:row r="1735">
      <x:c r="B1735" s="7" t="str">
        <x:v>PHY-1729</x:v>
      </x:c>
      <x:c r="C1735" s="7" t="str">
        <x:v>event phase</x:v>
      </x:c>
      <x:c r="D1735" s="7" t="str">
        <x:v>RAE-E-17-P23</x:v>
      </x:c>
      <x:c r="E1735" s="7" t="str">
        <x:v>Event Phases!M413</x:v>
      </x:c>
      <x:c r="F1735" s="7" t="str">
        <x:f>'Event Phases'!M413</x:f>
        <x:v>OPEN</x:v>
      </x:c>
    </x:row>
    <x:row r="1736">
      <x:c r="B1736" s="7" t="str">
        <x:v>PHY-1730</x:v>
      </x:c>
      <x:c r="C1736" s="7" t="str">
        <x:v>event phase</x:v>
      </x:c>
      <x:c r="D1736" s="7" t="str">
        <x:v>RAE-E-17-P24</x:v>
      </x:c>
      <x:c r="E1736" s="7" t="str">
        <x:v>Event Phases!M414</x:v>
      </x:c>
      <x:c r="F1736" s="7" t="str">
        <x:f>'Event Phases'!M414</x:f>
        <x:v>OPEN</x:v>
      </x:c>
    </x:row>
    <x:row r="1737">
      <x:c r="B1737" s="7" t="str">
        <x:v>PHY-1731</x:v>
      </x:c>
      <x:c r="C1737" s="7" t="str">
        <x:v>event phase</x:v>
      </x:c>
      <x:c r="D1737" s="7" t="str">
        <x:v>RAE-E-18-P01</x:v>
      </x:c>
      <x:c r="E1737" s="7" t="str">
        <x:v>Event Phases!M415</x:v>
      </x:c>
      <x:c r="F1737" s="7" t="str">
        <x:f>'Event Phases'!M415</x:f>
        <x:v>OPEN</x:v>
      </x:c>
    </x:row>
    <x:row r="1738">
      <x:c r="B1738" s="7" t="str">
        <x:v>PHY-1732</x:v>
      </x:c>
      <x:c r="C1738" s="7" t="str">
        <x:v>event phase</x:v>
      </x:c>
      <x:c r="D1738" s="7" t="str">
        <x:v>RAE-E-18-P02</x:v>
      </x:c>
      <x:c r="E1738" s="7" t="str">
        <x:v>Event Phases!M416</x:v>
      </x:c>
      <x:c r="F1738" s="7" t="str">
        <x:f>'Event Phases'!M416</x:f>
        <x:v>OPEN</x:v>
      </x:c>
    </x:row>
    <x:row r="1739">
      <x:c r="B1739" s="7" t="str">
        <x:v>PHY-1733</x:v>
      </x:c>
      <x:c r="C1739" s="7" t="str">
        <x:v>event phase</x:v>
      </x:c>
      <x:c r="D1739" s="7" t="str">
        <x:v>RAE-E-18-P03</x:v>
      </x:c>
      <x:c r="E1739" s="7" t="str">
        <x:v>Event Phases!M417</x:v>
      </x:c>
      <x:c r="F1739" s="7" t="str">
        <x:f>'Event Phases'!M417</x:f>
        <x:v>OPEN</x:v>
      </x:c>
    </x:row>
    <x:row r="1740">
      <x:c r="B1740" s="7" t="str">
        <x:v>PHY-1734</x:v>
      </x:c>
      <x:c r="C1740" s="7" t="str">
        <x:v>event phase</x:v>
      </x:c>
      <x:c r="D1740" s="7" t="str">
        <x:v>RAE-E-18-P04</x:v>
      </x:c>
      <x:c r="E1740" s="7" t="str">
        <x:v>Event Phases!M418</x:v>
      </x:c>
      <x:c r="F1740" s="7" t="str">
        <x:f>'Event Phases'!M418</x:f>
        <x:v>OPEN</x:v>
      </x:c>
    </x:row>
    <x:row r="1741">
      <x:c r="B1741" s="7" t="str">
        <x:v>PHY-1735</x:v>
      </x:c>
      <x:c r="C1741" s="7" t="str">
        <x:v>event phase</x:v>
      </x:c>
      <x:c r="D1741" s="7" t="str">
        <x:v>RAE-E-18-P05</x:v>
      </x:c>
      <x:c r="E1741" s="7" t="str">
        <x:v>Event Phases!M419</x:v>
      </x:c>
      <x:c r="F1741" s="7" t="str">
        <x:f>'Event Phases'!M419</x:f>
        <x:v>OPEN</x:v>
      </x:c>
    </x:row>
    <x:row r="1742">
      <x:c r="B1742" s="7" t="str">
        <x:v>PHY-1736</x:v>
      </x:c>
      <x:c r="C1742" s="7" t="str">
        <x:v>event phase</x:v>
      </x:c>
      <x:c r="D1742" s="7" t="str">
        <x:v>RAE-E-18-P06</x:v>
      </x:c>
      <x:c r="E1742" s="7" t="str">
        <x:v>Event Phases!M420</x:v>
      </x:c>
      <x:c r="F1742" s="7" t="str">
        <x:f>'Event Phases'!M420</x:f>
        <x:v>OPEN</x:v>
      </x:c>
    </x:row>
    <x:row r="1743">
      <x:c r="B1743" s="7" t="str">
        <x:v>PHY-1737</x:v>
      </x:c>
      <x:c r="C1743" s="7" t="str">
        <x:v>event phase</x:v>
      </x:c>
      <x:c r="D1743" s="7" t="str">
        <x:v>RAE-E-18-P07</x:v>
      </x:c>
      <x:c r="E1743" s="7" t="str">
        <x:v>Event Phases!M421</x:v>
      </x:c>
      <x:c r="F1743" s="7" t="str">
        <x:f>'Event Phases'!M421</x:f>
        <x:v>OPEN</x:v>
      </x:c>
    </x:row>
    <x:row r="1744">
      <x:c r="B1744" s="7" t="str">
        <x:v>PHY-1738</x:v>
      </x:c>
      <x:c r="C1744" s="7" t="str">
        <x:v>event phase</x:v>
      </x:c>
      <x:c r="D1744" s="7" t="str">
        <x:v>RAE-E-18-P08</x:v>
      </x:c>
      <x:c r="E1744" s="7" t="str">
        <x:v>Event Phases!M422</x:v>
      </x:c>
      <x:c r="F1744" s="7" t="str">
        <x:f>'Event Phases'!M422</x:f>
        <x:v>OPEN</x:v>
      </x:c>
    </x:row>
    <x:row r="1745">
      <x:c r="B1745" s="7" t="str">
        <x:v>PHY-1739</x:v>
      </x:c>
      <x:c r="C1745" s="7" t="str">
        <x:v>event phase</x:v>
      </x:c>
      <x:c r="D1745" s="7" t="str">
        <x:v>RAE-E-18-P09</x:v>
      </x:c>
      <x:c r="E1745" s="7" t="str">
        <x:v>Event Phases!M423</x:v>
      </x:c>
      <x:c r="F1745" s="7" t="str">
        <x:f>'Event Phases'!M423</x:f>
        <x:v>OPEN</x:v>
      </x:c>
    </x:row>
    <x:row r="1746">
      <x:c r="B1746" s="7" t="str">
        <x:v>PHY-1740</x:v>
      </x:c>
      <x:c r="C1746" s="7" t="str">
        <x:v>event phase</x:v>
      </x:c>
      <x:c r="D1746" s="7" t="str">
        <x:v>RAE-E-18-P10</x:v>
      </x:c>
      <x:c r="E1746" s="7" t="str">
        <x:v>Event Phases!M424</x:v>
      </x:c>
      <x:c r="F1746" s="7" t="str">
        <x:f>'Event Phases'!M424</x:f>
        <x:v>OPEN</x:v>
      </x:c>
    </x:row>
    <x:row r="1747">
      <x:c r="B1747" s="7" t="str">
        <x:v>PHY-1741</x:v>
      </x:c>
      <x:c r="C1747" s="7" t="str">
        <x:v>event phase</x:v>
      </x:c>
      <x:c r="D1747" s="7" t="str">
        <x:v>RAE-E-18-P11</x:v>
      </x:c>
      <x:c r="E1747" s="7" t="str">
        <x:v>Event Phases!M425</x:v>
      </x:c>
      <x:c r="F1747" s="7" t="str">
        <x:f>'Event Phases'!M425</x:f>
        <x:v>OPEN</x:v>
      </x:c>
    </x:row>
    <x:row r="1748">
      <x:c r="B1748" s="7" t="str">
        <x:v>PHY-1742</x:v>
      </x:c>
      <x:c r="C1748" s="7" t="str">
        <x:v>event phase</x:v>
      </x:c>
      <x:c r="D1748" s="7" t="str">
        <x:v>RAE-E-18-P12</x:v>
      </x:c>
      <x:c r="E1748" s="7" t="str">
        <x:v>Event Phases!M426</x:v>
      </x:c>
      <x:c r="F1748" s="7" t="str">
        <x:f>'Event Phases'!M426</x:f>
        <x:v>OPEN</x:v>
      </x:c>
    </x:row>
    <x:row r="1749">
      <x:c r="B1749" s="7" t="str">
        <x:v>PHY-1743</x:v>
      </x:c>
      <x:c r="C1749" s="7" t="str">
        <x:v>event phase</x:v>
      </x:c>
      <x:c r="D1749" s="7" t="str">
        <x:v>RAE-E-18-P13</x:v>
      </x:c>
      <x:c r="E1749" s="7" t="str">
        <x:v>Event Phases!M427</x:v>
      </x:c>
      <x:c r="F1749" s="7" t="str">
        <x:f>'Event Phases'!M427</x:f>
        <x:v>OPEN</x:v>
      </x:c>
    </x:row>
    <x:row r="1750">
      <x:c r="B1750" s="7" t="str">
        <x:v>PHY-1744</x:v>
      </x:c>
      <x:c r="C1750" s="7" t="str">
        <x:v>event phase</x:v>
      </x:c>
      <x:c r="D1750" s="7" t="str">
        <x:v>RAE-E-18-P14</x:v>
      </x:c>
      <x:c r="E1750" s="7" t="str">
        <x:v>Event Phases!M428</x:v>
      </x:c>
      <x:c r="F1750" s="7" t="str">
        <x:f>'Event Phases'!M428</x:f>
        <x:v>OPEN</x:v>
      </x:c>
    </x:row>
    <x:row r="1751">
      <x:c r="B1751" s="7" t="str">
        <x:v>PHY-1745</x:v>
      </x:c>
      <x:c r="C1751" s="7" t="str">
        <x:v>event phase</x:v>
      </x:c>
      <x:c r="D1751" s="7" t="str">
        <x:v>RAE-E-18-P15</x:v>
      </x:c>
      <x:c r="E1751" s="7" t="str">
        <x:v>Event Phases!M429</x:v>
      </x:c>
      <x:c r="F1751" s="7" t="str">
        <x:f>'Event Phases'!M429</x:f>
        <x:v>OPEN</x:v>
      </x:c>
    </x:row>
    <x:row r="1752">
      <x:c r="B1752" s="7" t="str">
        <x:v>PHY-1746</x:v>
      </x:c>
      <x:c r="C1752" s="7" t="str">
        <x:v>event phase</x:v>
      </x:c>
      <x:c r="D1752" s="7" t="str">
        <x:v>RAE-E-18-P16</x:v>
      </x:c>
      <x:c r="E1752" s="7" t="str">
        <x:v>Event Phases!M430</x:v>
      </x:c>
      <x:c r="F1752" s="7" t="str">
        <x:f>'Event Phases'!M430</x:f>
        <x:v>OPEN</x:v>
      </x:c>
    </x:row>
    <x:row r="1753">
      <x:c r="B1753" s="7" t="str">
        <x:v>PHY-1747</x:v>
      </x:c>
      <x:c r="C1753" s="7" t="str">
        <x:v>event phase</x:v>
      </x:c>
      <x:c r="D1753" s="7" t="str">
        <x:v>RAE-E-18-P17</x:v>
      </x:c>
      <x:c r="E1753" s="7" t="str">
        <x:v>Event Phases!M431</x:v>
      </x:c>
      <x:c r="F1753" s="7" t="str">
        <x:f>'Event Phases'!M431</x:f>
        <x:v>OPEN</x:v>
      </x:c>
    </x:row>
    <x:row r="1754">
      <x:c r="B1754" s="7" t="str">
        <x:v>PHY-1748</x:v>
      </x:c>
      <x:c r="C1754" s="7" t="str">
        <x:v>event phase</x:v>
      </x:c>
      <x:c r="D1754" s="7" t="str">
        <x:v>RAE-E-18-P18</x:v>
      </x:c>
      <x:c r="E1754" s="7" t="str">
        <x:v>Event Phases!M432</x:v>
      </x:c>
      <x:c r="F1754" s="7" t="str">
        <x:f>'Event Phases'!M432</x:f>
        <x:v>OPEN</x:v>
      </x:c>
    </x:row>
    <x:row r="1755">
      <x:c r="B1755" s="7" t="str">
        <x:v>PHY-1749</x:v>
      </x:c>
      <x:c r="C1755" s="7" t="str">
        <x:v>event phase</x:v>
      </x:c>
      <x:c r="D1755" s="7" t="str">
        <x:v>RAE-E-18-P19</x:v>
      </x:c>
      <x:c r="E1755" s="7" t="str">
        <x:v>Event Phases!M433</x:v>
      </x:c>
      <x:c r="F1755" s="7" t="str">
        <x:f>'Event Phases'!M433</x:f>
        <x:v>OPEN</x:v>
      </x:c>
    </x:row>
    <x:row r="1756">
      <x:c r="B1756" s="7" t="str">
        <x:v>PHY-1750</x:v>
      </x:c>
      <x:c r="C1756" s="7" t="str">
        <x:v>event phase</x:v>
      </x:c>
      <x:c r="D1756" s="7" t="str">
        <x:v>RAE-E-18-P20</x:v>
      </x:c>
      <x:c r="E1756" s="7" t="str">
        <x:v>Event Phases!M434</x:v>
      </x:c>
      <x:c r="F1756" s="7" t="str">
        <x:f>'Event Phases'!M434</x:f>
        <x:v>OPEN</x:v>
      </x:c>
    </x:row>
    <x:row r="1757">
      <x:c r="B1757" s="7" t="str">
        <x:v>PHY-1751</x:v>
      </x:c>
      <x:c r="C1757" s="7" t="str">
        <x:v>event phase</x:v>
      </x:c>
      <x:c r="D1757" s="7" t="str">
        <x:v>RAE-E-18-P21</x:v>
      </x:c>
      <x:c r="E1757" s="7" t="str">
        <x:v>Event Phases!M435</x:v>
      </x:c>
      <x:c r="F1757" s="7" t="str">
        <x:f>'Event Phases'!M435</x:f>
        <x:v>OPEN</x:v>
      </x:c>
    </x:row>
    <x:row r="1758">
      <x:c r="B1758" s="7" t="str">
        <x:v>PHY-1752</x:v>
      </x:c>
      <x:c r="C1758" s="7" t="str">
        <x:v>event phase</x:v>
      </x:c>
      <x:c r="D1758" s="7" t="str">
        <x:v>RAE-E-18-P22</x:v>
      </x:c>
      <x:c r="E1758" s="7" t="str">
        <x:v>Event Phases!M436</x:v>
      </x:c>
      <x:c r="F1758" s="7" t="str">
        <x:f>'Event Phases'!M436</x:f>
        <x:v>OPEN</x:v>
      </x:c>
    </x:row>
    <x:row r="1759">
      <x:c r="B1759" s="7" t="str">
        <x:v>PHY-1753</x:v>
      </x:c>
      <x:c r="C1759" s="7" t="str">
        <x:v>event phase</x:v>
      </x:c>
      <x:c r="D1759" s="7" t="str">
        <x:v>RAE-E-18-P23</x:v>
      </x:c>
      <x:c r="E1759" s="7" t="str">
        <x:v>Event Phases!M437</x:v>
      </x:c>
      <x:c r="F1759" s="7" t="str">
        <x:f>'Event Phases'!M437</x:f>
        <x:v>OPEN</x:v>
      </x:c>
    </x:row>
    <x:row r="1760">
      <x:c r="B1760" s="7" t="str">
        <x:v>PHY-1754</x:v>
      </x:c>
      <x:c r="C1760" s="7" t="str">
        <x:v>event phase</x:v>
      </x:c>
      <x:c r="D1760" s="7" t="str">
        <x:v>RAE-E-18-P24</x:v>
      </x:c>
      <x:c r="E1760" s="7" t="str">
        <x:v>Event Phases!M438</x:v>
      </x:c>
      <x:c r="F1760" s="7" t="str">
        <x:f>'Event Phases'!M438</x:f>
        <x:v>OPEN</x:v>
      </x:c>
    </x:row>
    <x:row r="1761">
      <x:c r="B1761" s="7" t="str">
        <x:v>PHY-1755</x:v>
      </x:c>
      <x:c r="C1761" s="7" t="str">
        <x:v>event phase</x:v>
      </x:c>
      <x:c r="D1761" s="7" t="str">
        <x:v>RAE-E-19-P01</x:v>
      </x:c>
      <x:c r="E1761" s="7" t="str">
        <x:v>Event Phases!M439</x:v>
      </x:c>
      <x:c r="F1761" s="7" t="str">
        <x:f>'Event Phases'!M439</x:f>
        <x:v>OPEN</x:v>
      </x:c>
    </x:row>
    <x:row r="1762">
      <x:c r="B1762" s="7" t="str">
        <x:v>PHY-1756</x:v>
      </x:c>
      <x:c r="C1762" s="7" t="str">
        <x:v>event phase</x:v>
      </x:c>
      <x:c r="D1762" s="7" t="str">
        <x:v>RAE-E-19-P02</x:v>
      </x:c>
      <x:c r="E1762" s="7" t="str">
        <x:v>Event Phases!M440</x:v>
      </x:c>
      <x:c r="F1762" s="7" t="str">
        <x:f>'Event Phases'!M440</x:f>
        <x:v>OPEN</x:v>
      </x:c>
    </x:row>
    <x:row r="1763">
      <x:c r="B1763" s="7" t="str">
        <x:v>PHY-1757</x:v>
      </x:c>
      <x:c r="C1763" s="7" t="str">
        <x:v>event phase</x:v>
      </x:c>
      <x:c r="D1763" s="7" t="str">
        <x:v>RAE-E-19-P03</x:v>
      </x:c>
      <x:c r="E1763" s="7" t="str">
        <x:v>Event Phases!M441</x:v>
      </x:c>
      <x:c r="F1763" s="7" t="str">
        <x:f>'Event Phases'!M441</x:f>
        <x:v>OPEN</x:v>
      </x:c>
    </x:row>
    <x:row r="1764">
      <x:c r="B1764" s="7" t="str">
        <x:v>PHY-1758</x:v>
      </x:c>
      <x:c r="C1764" s="7" t="str">
        <x:v>event phase</x:v>
      </x:c>
      <x:c r="D1764" s="7" t="str">
        <x:v>RAE-E-19-P04</x:v>
      </x:c>
      <x:c r="E1764" s="7" t="str">
        <x:v>Event Phases!M442</x:v>
      </x:c>
      <x:c r="F1764" s="7" t="str">
        <x:f>'Event Phases'!M442</x:f>
        <x:v>OPEN</x:v>
      </x:c>
    </x:row>
    <x:row r="1765">
      <x:c r="B1765" s="7" t="str">
        <x:v>PHY-1759</x:v>
      </x:c>
      <x:c r="C1765" s="7" t="str">
        <x:v>event phase</x:v>
      </x:c>
      <x:c r="D1765" s="7" t="str">
        <x:v>RAE-E-19-P05</x:v>
      </x:c>
      <x:c r="E1765" s="7" t="str">
        <x:v>Event Phases!M443</x:v>
      </x:c>
      <x:c r="F1765" s="7" t="str">
        <x:f>'Event Phases'!M443</x:f>
        <x:v>OPEN</x:v>
      </x:c>
    </x:row>
    <x:row r="1766">
      <x:c r="B1766" s="7" t="str">
        <x:v>PHY-1760</x:v>
      </x:c>
      <x:c r="C1766" s="7" t="str">
        <x:v>event phase</x:v>
      </x:c>
      <x:c r="D1766" s="7" t="str">
        <x:v>RAE-E-19-P06</x:v>
      </x:c>
      <x:c r="E1766" s="7" t="str">
        <x:v>Event Phases!M444</x:v>
      </x:c>
      <x:c r="F1766" s="7" t="str">
        <x:f>'Event Phases'!M444</x:f>
        <x:v>OPEN</x:v>
      </x:c>
    </x:row>
    <x:row r="1767">
      <x:c r="B1767" s="7" t="str">
        <x:v>PHY-1761</x:v>
      </x:c>
      <x:c r="C1767" s="7" t="str">
        <x:v>event phase</x:v>
      </x:c>
      <x:c r="D1767" s="7" t="str">
        <x:v>RAE-E-19-P07</x:v>
      </x:c>
      <x:c r="E1767" s="7" t="str">
        <x:v>Event Phases!M445</x:v>
      </x:c>
      <x:c r="F1767" s="7" t="str">
        <x:f>'Event Phases'!M445</x:f>
        <x:v>OPEN</x:v>
      </x:c>
    </x:row>
    <x:row r="1768">
      <x:c r="B1768" s="7" t="str">
        <x:v>PHY-1762</x:v>
      </x:c>
      <x:c r="C1768" s="7" t="str">
        <x:v>event phase</x:v>
      </x:c>
      <x:c r="D1768" s="7" t="str">
        <x:v>RAE-E-19-P08</x:v>
      </x:c>
      <x:c r="E1768" s="7" t="str">
        <x:v>Event Phases!M446</x:v>
      </x:c>
      <x:c r="F1768" s="7" t="str">
        <x:f>'Event Phases'!M446</x:f>
        <x:v>OPEN</x:v>
      </x:c>
    </x:row>
    <x:row r="1769">
      <x:c r="B1769" s="7" t="str">
        <x:v>PHY-1763</x:v>
      </x:c>
      <x:c r="C1769" s="7" t="str">
        <x:v>event phase</x:v>
      </x:c>
      <x:c r="D1769" s="7" t="str">
        <x:v>RAE-E-19-P09</x:v>
      </x:c>
      <x:c r="E1769" s="7" t="str">
        <x:v>Event Phases!M447</x:v>
      </x:c>
      <x:c r="F1769" s="7" t="str">
        <x:f>'Event Phases'!M447</x:f>
        <x:v>OPEN</x:v>
      </x:c>
    </x:row>
    <x:row r="1770">
      <x:c r="B1770" s="7" t="str">
        <x:v>PHY-1764</x:v>
      </x:c>
      <x:c r="C1770" s="7" t="str">
        <x:v>event phase</x:v>
      </x:c>
      <x:c r="D1770" s="7" t="str">
        <x:v>RAE-E-19-P10</x:v>
      </x:c>
      <x:c r="E1770" s="7" t="str">
        <x:v>Event Phases!M448</x:v>
      </x:c>
      <x:c r="F1770" s="7" t="str">
        <x:f>'Event Phases'!M448</x:f>
        <x:v>OPEN</x:v>
      </x:c>
    </x:row>
    <x:row r="1771">
      <x:c r="B1771" s="7" t="str">
        <x:v>PHY-1765</x:v>
      </x:c>
      <x:c r="C1771" s="7" t="str">
        <x:v>event phase</x:v>
      </x:c>
      <x:c r="D1771" s="7" t="str">
        <x:v>RAE-E-19-P11</x:v>
      </x:c>
      <x:c r="E1771" s="7" t="str">
        <x:v>Event Phases!M449</x:v>
      </x:c>
      <x:c r="F1771" s="7" t="str">
        <x:f>'Event Phases'!M449</x:f>
        <x:v>OPEN</x:v>
      </x:c>
    </x:row>
    <x:row r="1772">
      <x:c r="B1772" s="7" t="str">
        <x:v>PHY-1766</x:v>
      </x:c>
      <x:c r="C1772" s="7" t="str">
        <x:v>event phase</x:v>
      </x:c>
      <x:c r="D1772" s="7" t="str">
        <x:v>RAE-E-19-P12</x:v>
      </x:c>
      <x:c r="E1772" s="7" t="str">
        <x:v>Event Phases!M450</x:v>
      </x:c>
      <x:c r="F1772" s="7" t="str">
        <x:f>'Event Phases'!M450</x:f>
        <x:v>OPEN</x:v>
      </x:c>
    </x:row>
    <x:row r="1773">
      <x:c r="B1773" s="7" t="str">
        <x:v>PHY-1767</x:v>
      </x:c>
      <x:c r="C1773" s="7" t="str">
        <x:v>event phase</x:v>
      </x:c>
      <x:c r="D1773" s="7" t="str">
        <x:v>RAE-E-19-P13</x:v>
      </x:c>
      <x:c r="E1773" s="7" t="str">
        <x:v>Event Phases!M451</x:v>
      </x:c>
      <x:c r="F1773" s="7" t="str">
        <x:f>'Event Phases'!M451</x:f>
        <x:v>OPEN</x:v>
      </x:c>
    </x:row>
    <x:row r="1774">
      <x:c r="B1774" s="7" t="str">
        <x:v>PHY-1768</x:v>
      </x:c>
      <x:c r="C1774" s="7" t="str">
        <x:v>event phase</x:v>
      </x:c>
      <x:c r="D1774" s="7" t="str">
        <x:v>RAE-E-19-P14</x:v>
      </x:c>
      <x:c r="E1774" s="7" t="str">
        <x:v>Event Phases!M452</x:v>
      </x:c>
      <x:c r="F1774" s="7" t="str">
        <x:f>'Event Phases'!M452</x:f>
        <x:v>OPEN</x:v>
      </x:c>
    </x:row>
    <x:row r="1775">
      <x:c r="B1775" s="7" t="str">
        <x:v>PHY-1769</x:v>
      </x:c>
      <x:c r="C1775" s="7" t="str">
        <x:v>event phase</x:v>
      </x:c>
      <x:c r="D1775" s="7" t="str">
        <x:v>RAE-E-19-P15</x:v>
      </x:c>
      <x:c r="E1775" s="7" t="str">
        <x:v>Event Phases!M453</x:v>
      </x:c>
      <x:c r="F1775" s="7" t="str">
        <x:f>'Event Phases'!M453</x:f>
        <x:v>OPEN</x:v>
      </x:c>
    </x:row>
    <x:row r="1776">
      <x:c r="B1776" s="7" t="str">
        <x:v>PHY-1770</x:v>
      </x:c>
      <x:c r="C1776" s="7" t="str">
        <x:v>event phase</x:v>
      </x:c>
      <x:c r="D1776" s="7" t="str">
        <x:v>RAE-E-19-P16</x:v>
      </x:c>
      <x:c r="E1776" s="7" t="str">
        <x:v>Event Phases!M454</x:v>
      </x:c>
      <x:c r="F1776" s="7" t="str">
        <x:f>'Event Phases'!M454</x:f>
        <x:v>OPEN</x:v>
      </x:c>
    </x:row>
    <x:row r="1777">
      <x:c r="B1777" s="7" t="str">
        <x:v>PHY-1771</x:v>
      </x:c>
      <x:c r="C1777" s="7" t="str">
        <x:v>event phase</x:v>
      </x:c>
      <x:c r="D1777" s="7" t="str">
        <x:v>RAE-E-19-P17</x:v>
      </x:c>
      <x:c r="E1777" s="7" t="str">
        <x:v>Event Phases!M455</x:v>
      </x:c>
      <x:c r="F1777" s="7" t="str">
        <x:f>'Event Phases'!M455</x:f>
        <x:v>OPEN</x:v>
      </x:c>
    </x:row>
    <x:row r="1778">
      <x:c r="B1778" s="7" t="str">
        <x:v>PHY-1772</x:v>
      </x:c>
      <x:c r="C1778" s="7" t="str">
        <x:v>event phase</x:v>
      </x:c>
      <x:c r="D1778" s="7" t="str">
        <x:v>RAE-E-19-P18</x:v>
      </x:c>
      <x:c r="E1778" s="7" t="str">
        <x:v>Event Phases!M456</x:v>
      </x:c>
      <x:c r="F1778" s="7" t="str">
        <x:f>'Event Phases'!M456</x:f>
        <x:v>OPEN</x:v>
      </x:c>
    </x:row>
    <x:row r="1779">
      <x:c r="B1779" s="7" t="str">
        <x:v>PHY-1773</x:v>
      </x:c>
      <x:c r="C1779" s="7" t="str">
        <x:v>event phase</x:v>
      </x:c>
      <x:c r="D1779" s="7" t="str">
        <x:v>RAE-E-19-P19</x:v>
      </x:c>
      <x:c r="E1779" s="7" t="str">
        <x:v>Event Phases!M457</x:v>
      </x:c>
      <x:c r="F1779" s="7" t="str">
        <x:f>'Event Phases'!M457</x:f>
        <x:v>OPEN</x:v>
      </x:c>
    </x:row>
    <x:row r="1780">
      <x:c r="B1780" s="7" t="str">
        <x:v>PHY-1774</x:v>
      </x:c>
      <x:c r="C1780" s="7" t="str">
        <x:v>event phase</x:v>
      </x:c>
      <x:c r="D1780" s="7" t="str">
        <x:v>RAE-E-19-P20</x:v>
      </x:c>
      <x:c r="E1780" s="7" t="str">
        <x:v>Event Phases!M458</x:v>
      </x:c>
      <x:c r="F1780" s="7" t="str">
        <x:f>'Event Phases'!M458</x:f>
        <x:v>OPEN</x:v>
      </x:c>
    </x:row>
    <x:row r="1781">
      <x:c r="B1781" s="7" t="str">
        <x:v>PHY-1775</x:v>
      </x:c>
      <x:c r="C1781" s="7" t="str">
        <x:v>event phase</x:v>
      </x:c>
      <x:c r="D1781" s="7" t="str">
        <x:v>RAE-E-19-P21</x:v>
      </x:c>
      <x:c r="E1781" s="7" t="str">
        <x:v>Event Phases!M459</x:v>
      </x:c>
      <x:c r="F1781" s="7" t="str">
        <x:f>'Event Phases'!M459</x:f>
        <x:v>OPEN</x:v>
      </x:c>
    </x:row>
    <x:row r="1782">
      <x:c r="B1782" s="7" t="str">
        <x:v>PHY-1776</x:v>
      </x:c>
      <x:c r="C1782" s="7" t="str">
        <x:v>event phase</x:v>
      </x:c>
      <x:c r="D1782" s="7" t="str">
        <x:v>RAE-E-19-P22</x:v>
      </x:c>
      <x:c r="E1782" s="7" t="str">
        <x:v>Event Phases!M460</x:v>
      </x:c>
      <x:c r="F1782" s="7" t="str">
        <x:f>'Event Phases'!M460</x:f>
        <x:v>OPEN</x:v>
      </x:c>
    </x:row>
    <x:row r="1783">
      <x:c r="B1783" s="7" t="str">
        <x:v>PHY-1777</x:v>
      </x:c>
      <x:c r="C1783" s="7" t="str">
        <x:v>event phase</x:v>
      </x:c>
      <x:c r="D1783" s="7" t="str">
        <x:v>RAE-E-19-P23</x:v>
      </x:c>
      <x:c r="E1783" s="7" t="str">
        <x:v>Event Phases!M461</x:v>
      </x:c>
      <x:c r="F1783" s="7" t="str">
        <x:f>'Event Phases'!M461</x:f>
        <x:v>OPEN</x:v>
      </x:c>
    </x:row>
    <x:row r="1784">
      <x:c r="B1784" s="7" t="str">
        <x:v>PHY-1778</x:v>
      </x:c>
      <x:c r="C1784" s="7" t="str">
        <x:v>event phase</x:v>
      </x:c>
      <x:c r="D1784" s="7" t="str">
        <x:v>RAE-E-19-P24</x:v>
      </x:c>
      <x:c r="E1784" s="7" t="str">
        <x:v>Event Phases!M462</x:v>
      </x:c>
      <x:c r="F1784" s="7" t="str">
        <x:f>'Event Phases'!M462</x:f>
        <x:v>OPEN</x:v>
      </x:c>
    </x:row>
    <x:row r="1785">
      <x:c r="B1785" s="7" t="str">
        <x:v>PHY-1779</x:v>
      </x:c>
      <x:c r="C1785" s="7" t="str">
        <x:v>event phase</x:v>
      </x:c>
      <x:c r="D1785" s="7" t="str">
        <x:v>RAE-E-20-P01</x:v>
      </x:c>
      <x:c r="E1785" s="7" t="str">
        <x:v>Event Phases!M463</x:v>
      </x:c>
      <x:c r="F1785" s="7" t="str">
        <x:f>'Event Phases'!M463</x:f>
        <x:v>OPEN</x:v>
      </x:c>
    </x:row>
    <x:row r="1786">
      <x:c r="B1786" s="7" t="str">
        <x:v>PHY-1780</x:v>
      </x:c>
      <x:c r="C1786" s="7" t="str">
        <x:v>event phase</x:v>
      </x:c>
      <x:c r="D1786" s="7" t="str">
        <x:v>RAE-E-20-P02</x:v>
      </x:c>
      <x:c r="E1786" s="7" t="str">
        <x:v>Event Phases!M464</x:v>
      </x:c>
      <x:c r="F1786" s="7" t="str">
        <x:f>'Event Phases'!M464</x:f>
        <x:v>OPEN</x:v>
      </x:c>
    </x:row>
    <x:row r="1787">
      <x:c r="B1787" s="7" t="str">
        <x:v>PHY-1781</x:v>
      </x:c>
      <x:c r="C1787" s="7" t="str">
        <x:v>event phase</x:v>
      </x:c>
      <x:c r="D1787" s="7" t="str">
        <x:v>RAE-E-20-P03</x:v>
      </x:c>
      <x:c r="E1787" s="7" t="str">
        <x:v>Event Phases!M465</x:v>
      </x:c>
      <x:c r="F1787" s="7" t="str">
        <x:f>'Event Phases'!M465</x:f>
        <x:v>OPEN</x:v>
      </x:c>
    </x:row>
    <x:row r="1788">
      <x:c r="B1788" s="7" t="str">
        <x:v>PHY-1782</x:v>
      </x:c>
      <x:c r="C1788" s="7" t="str">
        <x:v>event phase</x:v>
      </x:c>
      <x:c r="D1788" s="7" t="str">
        <x:v>RAE-E-20-P04</x:v>
      </x:c>
      <x:c r="E1788" s="7" t="str">
        <x:v>Event Phases!M466</x:v>
      </x:c>
      <x:c r="F1788" s="7" t="str">
        <x:f>'Event Phases'!M466</x:f>
        <x:v>OPEN</x:v>
      </x:c>
    </x:row>
    <x:row r="1789">
      <x:c r="B1789" s="7" t="str">
        <x:v>PHY-1783</x:v>
      </x:c>
      <x:c r="C1789" s="7" t="str">
        <x:v>event phase</x:v>
      </x:c>
      <x:c r="D1789" s="7" t="str">
        <x:v>RAE-E-20-P05</x:v>
      </x:c>
      <x:c r="E1789" s="7" t="str">
        <x:v>Event Phases!M467</x:v>
      </x:c>
      <x:c r="F1789" s="7" t="str">
        <x:f>'Event Phases'!M467</x:f>
        <x:v>OPEN</x:v>
      </x:c>
    </x:row>
    <x:row r="1790">
      <x:c r="B1790" s="7" t="str">
        <x:v>PHY-1784</x:v>
      </x:c>
      <x:c r="C1790" s="7" t="str">
        <x:v>event phase</x:v>
      </x:c>
      <x:c r="D1790" s="7" t="str">
        <x:v>RAE-E-20-P06</x:v>
      </x:c>
      <x:c r="E1790" s="7" t="str">
        <x:v>Event Phases!M468</x:v>
      </x:c>
      <x:c r="F1790" s="7" t="str">
        <x:f>'Event Phases'!M468</x:f>
        <x:v>OPEN</x:v>
      </x:c>
    </x:row>
    <x:row r="1791">
      <x:c r="B1791" s="7" t="str">
        <x:v>PHY-1785</x:v>
      </x:c>
      <x:c r="C1791" s="7" t="str">
        <x:v>event phase</x:v>
      </x:c>
      <x:c r="D1791" s="7" t="str">
        <x:v>RAE-E-20-P07</x:v>
      </x:c>
      <x:c r="E1791" s="7" t="str">
        <x:v>Event Phases!M469</x:v>
      </x:c>
      <x:c r="F1791" s="7" t="str">
        <x:f>'Event Phases'!M469</x:f>
        <x:v>OPEN</x:v>
      </x:c>
    </x:row>
    <x:row r="1792">
      <x:c r="B1792" s="7" t="str">
        <x:v>PHY-1786</x:v>
      </x:c>
      <x:c r="C1792" s="7" t="str">
        <x:v>event phase</x:v>
      </x:c>
      <x:c r="D1792" s="7" t="str">
        <x:v>RAE-E-20-P08</x:v>
      </x:c>
      <x:c r="E1792" s="7" t="str">
        <x:v>Event Phases!M470</x:v>
      </x:c>
      <x:c r="F1792" s="7" t="str">
        <x:f>'Event Phases'!M470</x:f>
        <x:v>OPEN</x:v>
      </x:c>
    </x:row>
    <x:row r="1793">
      <x:c r="B1793" s="7" t="str">
        <x:v>PHY-1787</x:v>
      </x:c>
      <x:c r="C1793" s="7" t="str">
        <x:v>event phase</x:v>
      </x:c>
      <x:c r="D1793" s="7" t="str">
        <x:v>RAE-E-20-P09</x:v>
      </x:c>
      <x:c r="E1793" s="7" t="str">
        <x:v>Event Phases!M471</x:v>
      </x:c>
      <x:c r="F1793" s="7" t="str">
        <x:f>'Event Phases'!M471</x:f>
        <x:v>OPEN</x:v>
      </x:c>
    </x:row>
    <x:row r="1794">
      <x:c r="B1794" s="7" t="str">
        <x:v>PHY-1788</x:v>
      </x:c>
      <x:c r="C1794" s="7" t="str">
        <x:v>event phase</x:v>
      </x:c>
      <x:c r="D1794" s="7" t="str">
        <x:v>RAE-E-20-P10</x:v>
      </x:c>
      <x:c r="E1794" s="7" t="str">
        <x:v>Event Phases!M472</x:v>
      </x:c>
      <x:c r="F1794" s="7" t="str">
        <x:f>'Event Phases'!M472</x:f>
        <x:v>OPEN</x:v>
      </x:c>
    </x:row>
    <x:row r="1795">
      <x:c r="B1795" s="7" t="str">
        <x:v>PHY-1789</x:v>
      </x:c>
      <x:c r="C1795" s="7" t="str">
        <x:v>event phase</x:v>
      </x:c>
      <x:c r="D1795" s="7" t="str">
        <x:v>RAE-E-20-P11</x:v>
      </x:c>
      <x:c r="E1795" s="7" t="str">
        <x:v>Event Phases!M473</x:v>
      </x:c>
      <x:c r="F1795" s="7" t="str">
        <x:f>'Event Phases'!M473</x:f>
        <x:v>OPEN</x:v>
      </x:c>
    </x:row>
    <x:row r="1796">
      <x:c r="B1796" s="7" t="str">
        <x:v>PHY-1790</x:v>
      </x:c>
      <x:c r="C1796" s="7" t="str">
        <x:v>event phase</x:v>
      </x:c>
      <x:c r="D1796" s="7" t="str">
        <x:v>RAE-E-20-P12</x:v>
      </x:c>
      <x:c r="E1796" s="7" t="str">
        <x:v>Event Phases!M474</x:v>
      </x:c>
      <x:c r="F1796" s="7" t="str">
        <x:f>'Event Phases'!M474</x:f>
        <x:v>OPEN</x:v>
      </x:c>
    </x:row>
    <x:row r="1797">
      <x:c r="B1797" s="7" t="str">
        <x:v>PHY-1791</x:v>
      </x:c>
      <x:c r="C1797" s="7" t="str">
        <x:v>event phase</x:v>
      </x:c>
      <x:c r="D1797" s="7" t="str">
        <x:v>RAE-E-20-P13</x:v>
      </x:c>
      <x:c r="E1797" s="7" t="str">
        <x:v>Event Phases!M475</x:v>
      </x:c>
      <x:c r="F1797" s="7" t="str">
        <x:f>'Event Phases'!M475</x:f>
        <x:v>OPEN</x:v>
      </x:c>
    </x:row>
    <x:row r="1798">
      <x:c r="B1798" s="7" t="str">
        <x:v>PHY-1792</x:v>
      </x:c>
      <x:c r="C1798" s="7" t="str">
        <x:v>event phase</x:v>
      </x:c>
      <x:c r="D1798" s="7" t="str">
        <x:v>RAE-E-20-P14</x:v>
      </x:c>
      <x:c r="E1798" s="7" t="str">
        <x:v>Event Phases!M476</x:v>
      </x:c>
      <x:c r="F1798" s="7" t="str">
        <x:f>'Event Phases'!M476</x:f>
        <x:v>OPEN</x:v>
      </x:c>
    </x:row>
    <x:row r="1799">
      <x:c r="B1799" s="7" t="str">
        <x:v>PHY-1793</x:v>
      </x:c>
      <x:c r="C1799" s="7" t="str">
        <x:v>event phase</x:v>
      </x:c>
      <x:c r="D1799" s="7" t="str">
        <x:v>RAE-E-20-P15</x:v>
      </x:c>
      <x:c r="E1799" s="7" t="str">
        <x:v>Event Phases!M477</x:v>
      </x:c>
      <x:c r="F1799" s="7" t="str">
        <x:f>'Event Phases'!M477</x:f>
        <x:v>OPEN</x:v>
      </x:c>
    </x:row>
    <x:row r="1800">
      <x:c r="B1800" s="7" t="str">
        <x:v>PHY-1794</x:v>
      </x:c>
      <x:c r="C1800" s="7" t="str">
        <x:v>event phase</x:v>
      </x:c>
      <x:c r="D1800" s="7" t="str">
        <x:v>RAE-E-20-P16</x:v>
      </x:c>
      <x:c r="E1800" s="7" t="str">
        <x:v>Event Phases!M478</x:v>
      </x:c>
      <x:c r="F1800" s="7" t="str">
        <x:f>'Event Phases'!M478</x:f>
        <x:v>OPEN</x:v>
      </x:c>
    </x:row>
    <x:row r="1801">
      <x:c r="B1801" s="7" t="str">
        <x:v>PHY-1795</x:v>
      </x:c>
      <x:c r="C1801" s="7" t="str">
        <x:v>event phase</x:v>
      </x:c>
      <x:c r="D1801" s="7" t="str">
        <x:v>RAE-E-20-P17</x:v>
      </x:c>
      <x:c r="E1801" s="7" t="str">
        <x:v>Event Phases!M479</x:v>
      </x:c>
      <x:c r="F1801" s="7" t="str">
        <x:f>'Event Phases'!M479</x:f>
        <x:v>OPEN</x:v>
      </x:c>
    </x:row>
    <x:row r="1802">
      <x:c r="B1802" s="7" t="str">
        <x:v>PHY-1796</x:v>
      </x:c>
      <x:c r="C1802" s="7" t="str">
        <x:v>event phase</x:v>
      </x:c>
      <x:c r="D1802" s="7" t="str">
        <x:v>RAE-E-20-P18</x:v>
      </x:c>
      <x:c r="E1802" s="7" t="str">
        <x:v>Event Phases!M480</x:v>
      </x:c>
      <x:c r="F1802" s="7" t="str">
        <x:f>'Event Phases'!M480</x:f>
        <x:v>OPEN</x:v>
      </x:c>
    </x:row>
    <x:row r="1803">
      <x:c r="B1803" s="7" t="str">
        <x:v>PHY-1797</x:v>
      </x:c>
      <x:c r="C1803" s="7" t="str">
        <x:v>event phase</x:v>
      </x:c>
      <x:c r="D1803" s="7" t="str">
        <x:v>RAE-E-20-P19</x:v>
      </x:c>
      <x:c r="E1803" s="7" t="str">
        <x:v>Event Phases!M481</x:v>
      </x:c>
      <x:c r="F1803" s="7" t="str">
        <x:f>'Event Phases'!M481</x:f>
        <x:v>OPEN</x:v>
      </x:c>
    </x:row>
    <x:row r="1804">
      <x:c r="B1804" s="7" t="str">
        <x:v>PHY-1798</x:v>
      </x:c>
      <x:c r="C1804" s="7" t="str">
        <x:v>event phase</x:v>
      </x:c>
      <x:c r="D1804" s="7" t="str">
        <x:v>RAE-E-20-P20</x:v>
      </x:c>
      <x:c r="E1804" s="7" t="str">
        <x:v>Event Phases!M482</x:v>
      </x:c>
      <x:c r="F1804" s="7" t="str">
        <x:f>'Event Phases'!M482</x:f>
        <x:v>OPEN</x:v>
      </x:c>
    </x:row>
    <x:row r="1805">
      <x:c r="B1805" s="7" t="str">
        <x:v>PHY-1799</x:v>
      </x:c>
      <x:c r="C1805" s="7" t="str">
        <x:v>event phase</x:v>
      </x:c>
      <x:c r="D1805" s="7" t="str">
        <x:v>RAE-E-20-P21</x:v>
      </x:c>
      <x:c r="E1805" s="7" t="str">
        <x:v>Event Phases!M483</x:v>
      </x:c>
      <x:c r="F1805" s="7" t="str">
        <x:f>'Event Phases'!M483</x:f>
        <x:v>OPEN</x:v>
      </x:c>
    </x:row>
    <x:row r="1806">
      <x:c r="B1806" s="7" t="str">
        <x:v>PHY-1800</x:v>
      </x:c>
      <x:c r="C1806" s="7" t="str">
        <x:v>event phase</x:v>
      </x:c>
      <x:c r="D1806" s="7" t="str">
        <x:v>RAE-E-20-P22</x:v>
      </x:c>
      <x:c r="E1806" s="7" t="str">
        <x:v>Event Phases!M484</x:v>
      </x:c>
      <x:c r="F1806" s="7" t="str">
        <x:f>'Event Phases'!M484</x:f>
        <x:v>OPEN</x:v>
      </x:c>
    </x:row>
    <x:row r="1807">
      <x:c r="B1807" s="7" t="str">
        <x:v>PHY-1801</x:v>
      </x:c>
      <x:c r="C1807" s="7" t="str">
        <x:v>event phase</x:v>
      </x:c>
      <x:c r="D1807" s="7" t="str">
        <x:v>RAE-E-20-P23</x:v>
      </x:c>
      <x:c r="E1807" s="7" t="str">
        <x:v>Event Phases!M485</x:v>
      </x:c>
      <x:c r="F1807" s="7" t="str">
        <x:f>'Event Phases'!M485</x:f>
        <x:v>OPEN</x:v>
      </x:c>
    </x:row>
    <x:row r="1808">
      <x:c r="B1808" s="7" t="str">
        <x:v>PHY-1802</x:v>
      </x:c>
      <x:c r="C1808" s="7" t="str">
        <x:v>event phase</x:v>
      </x:c>
      <x:c r="D1808" s="7" t="str">
        <x:v>RAE-E-20-P24</x:v>
      </x:c>
      <x:c r="E1808" s="7" t="str">
        <x:v>Event Phases!M486</x:v>
      </x:c>
      <x:c r="F1808" s="7" t="str">
        <x:f>'Event Phases'!M486</x:f>
        <x:v>OPEN</x:v>
      </x:c>
    </x:row>
    <x:row r="1809">
      <x:c r="B1809" s="7" t="str">
        <x:v>PHY-1803</x:v>
      </x:c>
      <x:c r="C1809" s="7" t="str">
        <x:v>event phase</x:v>
      </x:c>
      <x:c r="D1809" s="7" t="str">
        <x:v>RAE-E-21-P01</x:v>
      </x:c>
      <x:c r="E1809" s="7" t="str">
        <x:v>Event Phases!M487</x:v>
      </x:c>
      <x:c r="F1809" s="7" t="str">
        <x:f>'Event Phases'!M487</x:f>
        <x:v>OPEN</x:v>
      </x:c>
    </x:row>
    <x:row r="1810">
      <x:c r="B1810" s="7" t="str">
        <x:v>PHY-1804</x:v>
      </x:c>
      <x:c r="C1810" s="7" t="str">
        <x:v>event phase</x:v>
      </x:c>
      <x:c r="D1810" s="7" t="str">
        <x:v>RAE-E-21-P02</x:v>
      </x:c>
      <x:c r="E1810" s="7" t="str">
        <x:v>Event Phases!M488</x:v>
      </x:c>
      <x:c r="F1810" s="7" t="str">
        <x:f>'Event Phases'!M488</x:f>
        <x:v>OPEN</x:v>
      </x:c>
    </x:row>
    <x:row r="1811">
      <x:c r="B1811" s="7" t="str">
        <x:v>PHY-1805</x:v>
      </x:c>
      <x:c r="C1811" s="7" t="str">
        <x:v>event phase</x:v>
      </x:c>
      <x:c r="D1811" s="7" t="str">
        <x:v>RAE-E-21-P03</x:v>
      </x:c>
      <x:c r="E1811" s="7" t="str">
        <x:v>Event Phases!M489</x:v>
      </x:c>
      <x:c r="F1811" s="7" t="str">
        <x:f>'Event Phases'!M489</x:f>
        <x:v>OPEN</x:v>
      </x:c>
    </x:row>
    <x:row r="1812">
      <x:c r="B1812" s="7" t="str">
        <x:v>PHY-1806</x:v>
      </x:c>
      <x:c r="C1812" s="7" t="str">
        <x:v>event phase</x:v>
      </x:c>
      <x:c r="D1812" s="7" t="str">
        <x:v>RAE-E-21-P04</x:v>
      </x:c>
      <x:c r="E1812" s="7" t="str">
        <x:v>Event Phases!M490</x:v>
      </x:c>
      <x:c r="F1812" s="7" t="str">
        <x:f>'Event Phases'!M490</x:f>
        <x:v>OPEN</x:v>
      </x:c>
    </x:row>
    <x:row r="1813">
      <x:c r="B1813" s="7" t="str">
        <x:v>PHY-1807</x:v>
      </x:c>
      <x:c r="C1813" s="7" t="str">
        <x:v>event phase</x:v>
      </x:c>
      <x:c r="D1813" s="7" t="str">
        <x:v>RAE-E-21-P05</x:v>
      </x:c>
      <x:c r="E1813" s="7" t="str">
        <x:v>Event Phases!M491</x:v>
      </x:c>
      <x:c r="F1813" s="7" t="str">
        <x:f>'Event Phases'!M491</x:f>
        <x:v>OPEN</x:v>
      </x:c>
    </x:row>
    <x:row r="1814">
      <x:c r="B1814" s="7" t="str">
        <x:v>PHY-1808</x:v>
      </x:c>
      <x:c r="C1814" s="7" t="str">
        <x:v>event phase</x:v>
      </x:c>
      <x:c r="D1814" s="7" t="str">
        <x:v>RAE-E-21-P06</x:v>
      </x:c>
      <x:c r="E1814" s="7" t="str">
        <x:v>Event Phases!M492</x:v>
      </x:c>
      <x:c r="F1814" s="7" t="str">
        <x:f>'Event Phases'!M492</x:f>
        <x:v>OPEN</x:v>
      </x:c>
    </x:row>
    <x:row r="1815">
      <x:c r="B1815" s="7" t="str">
        <x:v>PHY-1809</x:v>
      </x:c>
      <x:c r="C1815" s="7" t="str">
        <x:v>event phase</x:v>
      </x:c>
      <x:c r="D1815" s="7" t="str">
        <x:v>RAE-E-21-P07</x:v>
      </x:c>
      <x:c r="E1815" s="7" t="str">
        <x:v>Event Phases!M493</x:v>
      </x:c>
      <x:c r="F1815" s="7" t="str">
        <x:f>'Event Phases'!M493</x:f>
        <x:v>OPEN</x:v>
      </x:c>
    </x:row>
    <x:row r="1816">
      <x:c r="B1816" s="7" t="str">
        <x:v>PHY-1810</x:v>
      </x:c>
      <x:c r="C1816" s="7" t="str">
        <x:v>event phase</x:v>
      </x:c>
      <x:c r="D1816" s="7" t="str">
        <x:v>RAE-E-21-P08</x:v>
      </x:c>
      <x:c r="E1816" s="7" t="str">
        <x:v>Event Phases!M494</x:v>
      </x:c>
      <x:c r="F1816" s="7" t="str">
        <x:f>'Event Phases'!M494</x:f>
        <x:v>OPEN</x:v>
      </x:c>
    </x:row>
    <x:row r="1817">
      <x:c r="B1817" s="7" t="str">
        <x:v>PHY-1811</x:v>
      </x:c>
      <x:c r="C1817" s="7" t="str">
        <x:v>event phase</x:v>
      </x:c>
      <x:c r="D1817" s="7" t="str">
        <x:v>RAE-E-21-P09</x:v>
      </x:c>
      <x:c r="E1817" s="7" t="str">
        <x:v>Event Phases!M495</x:v>
      </x:c>
      <x:c r="F1817" s="7" t="str">
        <x:f>'Event Phases'!M495</x:f>
        <x:v>OPEN</x:v>
      </x:c>
    </x:row>
    <x:row r="1818">
      <x:c r="B1818" s="7" t="str">
        <x:v>PHY-1812</x:v>
      </x:c>
      <x:c r="C1818" s="7" t="str">
        <x:v>event phase</x:v>
      </x:c>
      <x:c r="D1818" s="7" t="str">
        <x:v>RAE-E-21-P10</x:v>
      </x:c>
      <x:c r="E1818" s="7" t="str">
        <x:v>Event Phases!M496</x:v>
      </x:c>
      <x:c r="F1818" s="7" t="str">
        <x:f>'Event Phases'!M496</x:f>
        <x:v>OPEN</x:v>
      </x:c>
    </x:row>
    <x:row r="1819">
      <x:c r="B1819" s="7" t="str">
        <x:v>PHY-1813</x:v>
      </x:c>
      <x:c r="C1819" s="7" t="str">
        <x:v>event phase</x:v>
      </x:c>
      <x:c r="D1819" s="7" t="str">
        <x:v>RAE-E-21-P11</x:v>
      </x:c>
      <x:c r="E1819" s="7" t="str">
        <x:v>Event Phases!M497</x:v>
      </x:c>
      <x:c r="F1819" s="7" t="str">
        <x:f>'Event Phases'!M497</x:f>
        <x:v>OPEN</x:v>
      </x:c>
    </x:row>
    <x:row r="1820">
      <x:c r="B1820" s="7" t="str">
        <x:v>PHY-1814</x:v>
      </x:c>
      <x:c r="C1820" s="7" t="str">
        <x:v>event phase</x:v>
      </x:c>
      <x:c r="D1820" s="7" t="str">
        <x:v>RAE-E-21-P12</x:v>
      </x:c>
      <x:c r="E1820" s="7" t="str">
        <x:v>Event Phases!M498</x:v>
      </x:c>
      <x:c r="F1820" s="7" t="str">
        <x:f>'Event Phases'!M498</x:f>
        <x:v>OPEN</x:v>
      </x:c>
    </x:row>
    <x:row r="1821">
      <x:c r="B1821" s="7" t="str">
        <x:v>PHY-1815</x:v>
      </x:c>
      <x:c r="C1821" s="7" t="str">
        <x:v>event phase</x:v>
      </x:c>
      <x:c r="D1821" s="7" t="str">
        <x:v>RAE-E-21-P13</x:v>
      </x:c>
      <x:c r="E1821" s="7" t="str">
        <x:v>Event Phases!M499</x:v>
      </x:c>
      <x:c r="F1821" s="7" t="str">
        <x:f>'Event Phases'!M499</x:f>
        <x:v>OPEN</x:v>
      </x:c>
    </x:row>
    <x:row r="1822">
      <x:c r="B1822" s="7" t="str">
        <x:v>PHY-1816</x:v>
      </x:c>
      <x:c r="C1822" s="7" t="str">
        <x:v>event phase</x:v>
      </x:c>
      <x:c r="D1822" s="7" t="str">
        <x:v>RAE-E-21-P14</x:v>
      </x:c>
      <x:c r="E1822" s="7" t="str">
        <x:v>Event Phases!M500</x:v>
      </x:c>
      <x:c r="F1822" s="7" t="str">
        <x:f>'Event Phases'!M500</x:f>
        <x:v>OPEN</x:v>
      </x:c>
    </x:row>
    <x:row r="1823">
      <x:c r="B1823" s="7" t="str">
        <x:v>PHY-1817</x:v>
      </x:c>
      <x:c r="C1823" s="7" t="str">
        <x:v>event phase</x:v>
      </x:c>
      <x:c r="D1823" s="7" t="str">
        <x:v>RAE-E-21-P15</x:v>
      </x:c>
      <x:c r="E1823" s="7" t="str">
        <x:v>Event Phases!M501</x:v>
      </x:c>
      <x:c r="F1823" s="7" t="str">
        <x:f>'Event Phases'!M501</x:f>
        <x:v>OPEN</x:v>
      </x:c>
    </x:row>
    <x:row r="1824">
      <x:c r="B1824" s="7" t="str">
        <x:v>PHY-1818</x:v>
      </x:c>
      <x:c r="C1824" s="7" t="str">
        <x:v>event phase</x:v>
      </x:c>
      <x:c r="D1824" s="7" t="str">
        <x:v>RAE-E-21-P16</x:v>
      </x:c>
      <x:c r="E1824" s="7" t="str">
        <x:v>Event Phases!M502</x:v>
      </x:c>
      <x:c r="F1824" s="7" t="str">
        <x:f>'Event Phases'!M502</x:f>
        <x:v>OPEN</x:v>
      </x:c>
    </x:row>
    <x:row r="1825">
      <x:c r="B1825" s="7" t="str">
        <x:v>PHY-1819</x:v>
      </x:c>
      <x:c r="C1825" s="7" t="str">
        <x:v>event phase</x:v>
      </x:c>
      <x:c r="D1825" s="7" t="str">
        <x:v>RAE-E-21-P17</x:v>
      </x:c>
      <x:c r="E1825" s="7" t="str">
        <x:v>Event Phases!M503</x:v>
      </x:c>
      <x:c r="F1825" s="7" t="str">
        <x:f>'Event Phases'!M503</x:f>
        <x:v>OPEN</x:v>
      </x:c>
    </x:row>
    <x:row r="1826">
      <x:c r="B1826" s="7" t="str">
        <x:v>PHY-1820</x:v>
      </x:c>
      <x:c r="C1826" s="7" t="str">
        <x:v>event phase</x:v>
      </x:c>
      <x:c r="D1826" s="7" t="str">
        <x:v>RAE-E-21-P18</x:v>
      </x:c>
      <x:c r="E1826" s="7" t="str">
        <x:v>Event Phases!M504</x:v>
      </x:c>
      <x:c r="F1826" s="7" t="str">
        <x:f>'Event Phases'!M504</x:f>
        <x:v>OPEN</x:v>
      </x:c>
    </x:row>
    <x:row r="1827">
      <x:c r="B1827" s="7" t="str">
        <x:v>PHY-1821</x:v>
      </x:c>
      <x:c r="C1827" s="7" t="str">
        <x:v>event phase</x:v>
      </x:c>
      <x:c r="D1827" s="7" t="str">
        <x:v>RAE-E-21-P19</x:v>
      </x:c>
      <x:c r="E1827" s="7" t="str">
        <x:v>Event Phases!M505</x:v>
      </x:c>
      <x:c r="F1827" s="7" t="str">
        <x:f>'Event Phases'!M505</x:f>
        <x:v>OPEN</x:v>
      </x:c>
    </x:row>
    <x:row r="1828">
      <x:c r="B1828" s="7" t="str">
        <x:v>PHY-1822</x:v>
      </x:c>
      <x:c r="C1828" s="7" t="str">
        <x:v>event phase</x:v>
      </x:c>
      <x:c r="D1828" s="7" t="str">
        <x:v>RAE-E-21-P20</x:v>
      </x:c>
      <x:c r="E1828" s="7" t="str">
        <x:v>Event Phases!M506</x:v>
      </x:c>
      <x:c r="F1828" s="7" t="str">
        <x:f>'Event Phases'!M506</x:f>
        <x:v>OPEN</x:v>
      </x:c>
    </x:row>
    <x:row r="1829">
      <x:c r="B1829" s="7" t="str">
        <x:v>PHY-1823</x:v>
      </x:c>
      <x:c r="C1829" s="7" t="str">
        <x:v>event phase</x:v>
      </x:c>
      <x:c r="D1829" s="7" t="str">
        <x:v>RAE-E-21-P21</x:v>
      </x:c>
      <x:c r="E1829" s="7" t="str">
        <x:v>Event Phases!M507</x:v>
      </x:c>
      <x:c r="F1829" s="7" t="str">
        <x:f>'Event Phases'!M507</x:f>
        <x:v>OPEN</x:v>
      </x:c>
    </x:row>
    <x:row r="1830">
      <x:c r="B1830" s="7" t="str">
        <x:v>PHY-1824</x:v>
      </x:c>
      <x:c r="C1830" s="7" t="str">
        <x:v>event phase</x:v>
      </x:c>
      <x:c r="D1830" s="7" t="str">
        <x:v>RAE-E-21-P22</x:v>
      </x:c>
      <x:c r="E1830" s="7" t="str">
        <x:v>Event Phases!M508</x:v>
      </x:c>
      <x:c r="F1830" s="7" t="str">
        <x:f>'Event Phases'!M508</x:f>
        <x:v>OPEN</x:v>
      </x:c>
    </x:row>
    <x:row r="1831">
      <x:c r="B1831" s="7" t="str">
        <x:v>PHY-1825</x:v>
      </x:c>
      <x:c r="C1831" s="7" t="str">
        <x:v>event phase</x:v>
      </x:c>
      <x:c r="D1831" s="7" t="str">
        <x:v>RAE-E-21-P23</x:v>
      </x:c>
      <x:c r="E1831" s="7" t="str">
        <x:v>Event Phases!M509</x:v>
      </x:c>
      <x:c r="F1831" s="7" t="str">
        <x:f>'Event Phases'!M509</x:f>
        <x:v>OPEN</x:v>
      </x:c>
    </x:row>
    <x:row r="1832">
      <x:c r="B1832" s="7" t="str">
        <x:v>PHY-1826</x:v>
      </x:c>
      <x:c r="C1832" s="7" t="str">
        <x:v>event phase</x:v>
      </x:c>
      <x:c r="D1832" s="7" t="str">
        <x:v>RAE-E-21-P24</x:v>
      </x:c>
      <x:c r="E1832" s="7" t="str">
        <x:v>Event Phases!M510</x:v>
      </x:c>
      <x:c r="F1832" s="7" t="str">
        <x:f>'Event Phases'!M510</x:f>
        <x:v>OPEN</x:v>
      </x:c>
    </x:row>
    <x:row r="1833">
      <x:c r="B1833" s="7" t="str">
        <x:v>PHY-1827</x:v>
      </x:c>
      <x:c r="C1833" s="7" t="str">
        <x:v>event phase</x:v>
      </x:c>
      <x:c r="D1833" s="7" t="str">
        <x:v>RAE-E-22-P01</x:v>
      </x:c>
      <x:c r="E1833" s="7" t="str">
        <x:v>Event Phases!M511</x:v>
      </x:c>
      <x:c r="F1833" s="7" t="str">
        <x:f>'Event Phases'!M511</x:f>
        <x:v>OPEN</x:v>
      </x:c>
    </x:row>
    <x:row r="1834">
      <x:c r="B1834" s="7" t="str">
        <x:v>PHY-1828</x:v>
      </x:c>
      <x:c r="C1834" s="7" t="str">
        <x:v>event phase</x:v>
      </x:c>
      <x:c r="D1834" s="7" t="str">
        <x:v>RAE-E-22-P02</x:v>
      </x:c>
      <x:c r="E1834" s="7" t="str">
        <x:v>Event Phases!M512</x:v>
      </x:c>
      <x:c r="F1834" s="7" t="str">
        <x:f>'Event Phases'!M512</x:f>
        <x:v>OPEN</x:v>
      </x:c>
    </x:row>
    <x:row r="1835">
      <x:c r="B1835" s="7" t="str">
        <x:v>PHY-1829</x:v>
      </x:c>
      <x:c r="C1835" s="7" t="str">
        <x:v>event phase</x:v>
      </x:c>
      <x:c r="D1835" s="7" t="str">
        <x:v>RAE-E-22-P03</x:v>
      </x:c>
      <x:c r="E1835" s="7" t="str">
        <x:v>Event Phases!M513</x:v>
      </x:c>
      <x:c r="F1835" s="7" t="str">
        <x:f>'Event Phases'!M513</x:f>
        <x:v>OPEN</x:v>
      </x:c>
    </x:row>
    <x:row r="1836">
      <x:c r="B1836" s="7" t="str">
        <x:v>PHY-1830</x:v>
      </x:c>
      <x:c r="C1836" s="7" t="str">
        <x:v>event phase</x:v>
      </x:c>
      <x:c r="D1836" s="7" t="str">
        <x:v>RAE-E-22-P04</x:v>
      </x:c>
      <x:c r="E1836" s="7" t="str">
        <x:v>Event Phases!M514</x:v>
      </x:c>
      <x:c r="F1836" s="7" t="str">
        <x:f>'Event Phases'!M514</x:f>
        <x:v>OPEN</x:v>
      </x:c>
    </x:row>
    <x:row r="1837">
      <x:c r="B1837" s="7" t="str">
        <x:v>PHY-1831</x:v>
      </x:c>
      <x:c r="C1837" s="7" t="str">
        <x:v>event phase</x:v>
      </x:c>
      <x:c r="D1837" s="7" t="str">
        <x:v>RAE-E-22-P05</x:v>
      </x:c>
      <x:c r="E1837" s="7" t="str">
        <x:v>Event Phases!M515</x:v>
      </x:c>
      <x:c r="F1837" s="7" t="str">
        <x:f>'Event Phases'!M515</x:f>
        <x:v>OPEN</x:v>
      </x:c>
    </x:row>
    <x:row r="1838">
      <x:c r="B1838" s="7" t="str">
        <x:v>PHY-1832</x:v>
      </x:c>
      <x:c r="C1838" s="7" t="str">
        <x:v>event phase</x:v>
      </x:c>
      <x:c r="D1838" s="7" t="str">
        <x:v>RAE-E-22-P06</x:v>
      </x:c>
      <x:c r="E1838" s="7" t="str">
        <x:v>Event Phases!M516</x:v>
      </x:c>
      <x:c r="F1838" s="7" t="str">
        <x:f>'Event Phases'!M516</x:f>
        <x:v>OPEN</x:v>
      </x:c>
    </x:row>
    <x:row r="1839">
      <x:c r="B1839" s="7" t="str">
        <x:v>PHY-1833</x:v>
      </x:c>
      <x:c r="C1839" s="7" t="str">
        <x:v>event phase</x:v>
      </x:c>
      <x:c r="D1839" s="7" t="str">
        <x:v>RAE-E-22-P07</x:v>
      </x:c>
      <x:c r="E1839" s="7" t="str">
        <x:v>Event Phases!M517</x:v>
      </x:c>
      <x:c r="F1839" s="7" t="str">
        <x:f>'Event Phases'!M517</x:f>
        <x:v>OPEN</x:v>
      </x:c>
    </x:row>
    <x:row r="1840">
      <x:c r="B1840" s="7" t="str">
        <x:v>PHY-1834</x:v>
      </x:c>
      <x:c r="C1840" s="7" t="str">
        <x:v>event phase</x:v>
      </x:c>
      <x:c r="D1840" s="7" t="str">
        <x:v>RAE-E-22-P08</x:v>
      </x:c>
      <x:c r="E1840" s="7" t="str">
        <x:v>Event Phases!M518</x:v>
      </x:c>
      <x:c r="F1840" s="7" t="str">
        <x:f>'Event Phases'!M518</x:f>
        <x:v>OPEN</x:v>
      </x:c>
    </x:row>
    <x:row r="1841">
      <x:c r="B1841" s="7" t="str">
        <x:v>PHY-1835</x:v>
      </x:c>
      <x:c r="C1841" s="7" t="str">
        <x:v>event phase</x:v>
      </x:c>
      <x:c r="D1841" s="7" t="str">
        <x:v>RAE-E-22-P09</x:v>
      </x:c>
      <x:c r="E1841" s="7" t="str">
        <x:v>Event Phases!M519</x:v>
      </x:c>
      <x:c r="F1841" s="7" t="str">
        <x:f>'Event Phases'!M519</x:f>
        <x:v>OPEN</x:v>
      </x:c>
    </x:row>
    <x:row r="1842">
      <x:c r="B1842" s="7" t="str">
        <x:v>PHY-1836</x:v>
      </x:c>
      <x:c r="C1842" s="7" t="str">
        <x:v>event phase</x:v>
      </x:c>
      <x:c r="D1842" s="7" t="str">
        <x:v>RAE-E-22-P10</x:v>
      </x:c>
      <x:c r="E1842" s="7" t="str">
        <x:v>Event Phases!M520</x:v>
      </x:c>
      <x:c r="F1842" s="7" t="str">
        <x:f>'Event Phases'!M520</x:f>
        <x:v>OPEN</x:v>
      </x:c>
    </x:row>
    <x:row r="1843">
      <x:c r="B1843" s="7" t="str">
        <x:v>PHY-1837</x:v>
      </x:c>
      <x:c r="C1843" s="7" t="str">
        <x:v>event phase</x:v>
      </x:c>
      <x:c r="D1843" s="7" t="str">
        <x:v>RAE-E-22-P11</x:v>
      </x:c>
      <x:c r="E1843" s="7" t="str">
        <x:v>Event Phases!M521</x:v>
      </x:c>
      <x:c r="F1843" s="7" t="str">
        <x:f>'Event Phases'!M521</x:f>
        <x:v>OPEN</x:v>
      </x:c>
    </x:row>
    <x:row r="1844">
      <x:c r="B1844" s="7" t="str">
        <x:v>PHY-1838</x:v>
      </x:c>
      <x:c r="C1844" s="7" t="str">
        <x:v>event phase</x:v>
      </x:c>
      <x:c r="D1844" s="7" t="str">
        <x:v>RAE-E-22-P12</x:v>
      </x:c>
      <x:c r="E1844" s="7" t="str">
        <x:v>Event Phases!M522</x:v>
      </x:c>
      <x:c r="F1844" s="7" t="str">
        <x:f>'Event Phases'!M522</x:f>
        <x:v>OPEN</x:v>
      </x:c>
    </x:row>
    <x:row r="1845">
      <x:c r="B1845" s="7" t="str">
        <x:v>PHY-1839</x:v>
      </x:c>
      <x:c r="C1845" s="7" t="str">
        <x:v>event phase</x:v>
      </x:c>
      <x:c r="D1845" s="7" t="str">
        <x:v>RAE-E-22-P13</x:v>
      </x:c>
      <x:c r="E1845" s="7" t="str">
        <x:v>Event Phases!M523</x:v>
      </x:c>
      <x:c r="F1845" s="7" t="str">
        <x:f>'Event Phases'!M523</x:f>
        <x:v>OPEN</x:v>
      </x:c>
    </x:row>
    <x:row r="1846">
      <x:c r="B1846" s="7" t="str">
        <x:v>PHY-1840</x:v>
      </x:c>
      <x:c r="C1846" s="7" t="str">
        <x:v>event phase</x:v>
      </x:c>
      <x:c r="D1846" s="7" t="str">
        <x:v>RAE-E-22-P14</x:v>
      </x:c>
      <x:c r="E1846" s="7" t="str">
        <x:v>Event Phases!M524</x:v>
      </x:c>
      <x:c r="F1846" s="7" t="str">
        <x:f>'Event Phases'!M524</x:f>
        <x:v>OPEN</x:v>
      </x:c>
    </x:row>
    <x:row r="1847">
      <x:c r="B1847" s="7" t="str">
        <x:v>PHY-1841</x:v>
      </x:c>
      <x:c r="C1847" s="7" t="str">
        <x:v>event phase</x:v>
      </x:c>
      <x:c r="D1847" s="7" t="str">
        <x:v>RAE-E-22-P15</x:v>
      </x:c>
      <x:c r="E1847" s="7" t="str">
        <x:v>Event Phases!M525</x:v>
      </x:c>
      <x:c r="F1847" s="7" t="str">
        <x:f>'Event Phases'!M525</x:f>
        <x:v>OPEN</x:v>
      </x:c>
    </x:row>
    <x:row r="1848">
      <x:c r="B1848" s="7" t="str">
        <x:v>PHY-1842</x:v>
      </x:c>
      <x:c r="C1848" s="7" t="str">
        <x:v>event phase</x:v>
      </x:c>
      <x:c r="D1848" s="7" t="str">
        <x:v>RAE-E-22-P16</x:v>
      </x:c>
      <x:c r="E1848" s="7" t="str">
        <x:v>Event Phases!M526</x:v>
      </x:c>
      <x:c r="F1848" s="7" t="str">
        <x:f>'Event Phases'!M526</x:f>
        <x:v>OPEN</x:v>
      </x:c>
    </x:row>
    <x:row r="1849">
      <x:c r="B1849" s="7" t="str">
        <x:v>PHY-1843</x:v>
      </x:c>
      <x:c r="C1849" s="7" t="str">
        <x:v>event phase</x:v>
      </x:c>
      <x:c r="D1849" s="7" t="str">
        <x:v>RAE-E-22-P17</x:v>
      </x:c>
      <x:c r="E1849" s="7" t="str">
        <x:v>Event Phases!M527</x:v>
      </x:c>
      <x:c r="F1849" s="7" t="str">
        <x:f>'Event Phases'!M527</x:f>
        <x:v>OPEN</x:v>
      </x:c>
    </x:row>
    <x:row r="1850">
      <x:c r="B1850" s="7" t="str">
        <x:v>PHY-1844</x:v>
      </x:c>
      <x:c r="C1850" s="7" t="str">
        <x:v>event phase</x:v>
      </x:c>
      <x:c r="D1850" s="7" t="str">
        <x:v>RAE-E-22-P18</x:v>
      </x:c>
      <x:c r="E1850" s="7" t="str">
        <x:v>Event Phases!M528</x:v>
      </x:c>
      <x:c r="F1850" s="7" t="str">
        <x:f>'Event Phases'!M528</x:f>
        <x:v>OPEN</x:v>
      </x:c>
    </x:row>
    <x:row r="1851">
      <x:c r="B1851" s="7" t="str">
        <x:v>PHY-1845</x:v>
      </x:c>
      <x:c r="C1851" s="7" t="str">
        <x:v>event phase</x:v>
      </x:c>
      <x:c r="D1851" s="7" t="str">
        <x:v>RAE-E-22-P19</x:v>
      </x:c>
      <x:c r="E1851" s="7" t="str">
        <x:v>Event Phases!M529</x:v>
      </x:c>
      <x:c r="F1851" s="7" t="str">
        <x:f>'Event Phases'!M529</x:f>
        <x:v>OPEN</x:v>
      </x:c>
    </x:row>
    <x:row r="1852">
      <x:c r="B1852" s="7" t="str">
        <x:v>PHY-1846</x:v>
      </x:c>
      <x:c r="C1852" s="7" t="str">
        <x:v>event phase</x:v>
      </x:c>
      <x:c r="D1852" s="7" t="str">
        <x:v>RAE-E-22-P20</x:v>
      </x:c>
      <x:c r="E1852" s="7" t="str">
        <x:v>Event Phases!M530</x:v>
      </x:c>
      <x:c r="F1852" s="7" t="str">
        <x:f>'Event Phases'!M530</x:f>
        <x:v>OPEN</x:v>
      </x:c>
    </x:row>
    <x:row r="1853">
      <x:c r="B1853" s="7" t="str">
        <x:v>PHY-1847</x:v>
      </x:c>
      <x:c r="C1853" s="7" t="str">
        <x:v>event phase</x:v>
      </x:c>
      <x:c r="D1853" s="7" t="str">
        <x:v>RAE-E-22-P21</x:v>
      </x:c>
      <x:c r="E1853" s="7" t="str">
        <x:v>Event Phases!M531</x:v>
      </x:c>
      <x:c r="F1853" s="7" t="str">
        <x:f>'Event Phases'!M531</x:f>
        <x:v>OPEN</x:v>
      </x:c>
    </x:row>
    <x:row r="1854">
      <x:c r="B1854" s="7" t="str">
        <x:v>PHY-1848</x:v>
      </x:c>
      <x:c r="C1854" s="7" t="str">
        <x:v>event phase</x:v>
      </x:c>
      <x:c r="D1854" s="7" t="str">
        <x:v>RAE-E-22-P22</x:v>
      </x:c>
      <x:c r="E1854" s="7" t="str">
        <x:v>Event Phases!M532</x:v>
      </x:c>
      <x:c r="F1854" s="7" t="str">
        <x:f>'Event Phases'!M532</x:f>
        <x:v>OPEN</x:v>
      </x:c>
    </x:row>
    <x:row r="1855">
      <x:c r="B1855" s="7" t="str">
        <x:v>PHY-1849</x:v>
      </x:c>
      <x:c r="C1855" s="7" t="str">
        <x:v>event phase</x:v>
      </x:c>
      <x:c r="D1855" s="7" t="str">
        <x:v>RAE-E-22-P23</x:v>
      </x:c>
      <x:c r="E1855" s="7" t="str">
        <x:v>Event Phases!M533</x:v>
      </x:c>
      <x:c r="F1855" s="7" t="str">
        <x:f>'Event Phases'!M533</x:f>
        <x:v>OPEN</x:v>
      </x:c>
    </x:row>
    <x:row r="1856">
      <x:c r="B1856" s="7" t="str">
        <x:v>PHY-1850</x:v>
      </x:c>
      <x:c r="C1856" s="7" t="str">
        <x:v>event phase</x:v>
      </x:c>
      <x:c r="D1856" s="7" t="str">
        <x:v>RAE-E-22-P24</x:v>
      </x:c>
      <x:c r="E1856" s="7" t="str">
        <x:v>Event Phases!M534</x:v>
      </x:c>
      <x:c r="F1856" s="7" t="str">
        <x:f>'Event Phases'!M534</x:f>
        <x:v>OPEN</x:v>
      </x:c>
    </x:row>
    <x:row r="1857">
      <x:c r="B1857" s="7" t="str">
        <x:v>PHY-1851</x:v>
      </x:c>
      <x:c r="C1857" s="7" t="str">
        <x:v>event phase</x:v>
      </x:c>
      <x:c r="D1857" s="7" t="str">
        <x:v>RAE-E-23-P01</x:v>
      </x:c>
      <x:c r="E1857" s="7" t="str">
        <x:v>Event Phases!M535</x:v>
      </x:c>
      <x:c r="F1857" s="7" t="str">
        <x:f>'Event Phases'!M535</x:f>
        <x:v>OPEN</x:v>
      </x:c>
    </x:row>
    <x:row r="1858">
      <x:c r="B1858" s="7" t="str">
        <x:v>PHY-1852</x:v>
      </x:c>
      <x:c r="C1858" s="7" t="str">
        <x:v>event phase</x:v>
      </x:c>
      <x:c r="D1858" s="7" t="str">
        <x:v>RAE-E-23-P02</x:v>
      </x:c>
      <x:c r="E1858" s="7" t="str">
        <x:v>Event Phases!M536</x:v>
      </x:c>
      <x:c r="F1858" s="7" t="str">
        <x:f>'Event Phases'!M536</x:f>
        <x:v>OPEN</x:v>
      </x:c>
    </x:row>
    <x:row r="1859">
      <x:c r="B1859" s="7" t="str">
        <x:v>PHY-1853</x:v>
      </x:c>
      <x:c r="C1859" s="7" t="str">
        <x:v>event phase</x:v>
      </x:c>
      <x:c r="D1859" s="7" t="str">
        <x:v>RAE-E-23-P03</x:v>
      </x:c>
      <x:c r="E1859" s="7" t="str">
        <x:v>Event Phases!M537</x:v>
      </x:c>
      <x:c r="F1859" s="7" t="str">
        <x:f>'Event Phases'!M537</x:f>
        <x:v>OPEN</x:v>
      </x:c>
    </x:row>
    <x:row r="1860">
      <x:c r="B1860" s="7" t="str">
        <x:v>PHY-1854</x:v>
      </x:c>
      <x:c r="C1860" s="7" t="str">
        <x:v>event phase</x:v>
      </x:c>
      <x:c r="D1860" s="7" t="str">
        <x:v>RAE-E-23-P04</x:v>
      </x:c>
      <x:c r="E1860" s="7" t="str">
        <x:v>Event Phases!M538</x:v>
      </x:c>
      <x:c r="F1860" s="7" t="str">
        <x:f>'Event Phases'!M538</x:f>
        <x:v>OPEN</x:v>
      </x:c>
    </x:row>
    <x:row r="1861">
      <x:c r="B1861" s="7" t="str">
        <x:v>PHY-1855</x:v>
      </x:c>
      <x:c r="C1861" s="7" t="str">
        <x:v>event phase</x:v>
      </x:c>
      <x:c r="D1861" s="7" t="str">
        <x:v>RAE-E-23-P05</x:v>
      </x:c>
      <x:c r="E1861" s="7" t="str">
        <x:v>Event Phases!M539</x:v>
      </x:c>
      <x:c r="F1861" s="7" t="str">
        <x:f>'Event Phases'!M539</x:f>
        <x:v>OPEN</x:v>
      </x:c>
    </x:row>
    <x:row r="1862">
      <x:c r="B1862" s="7" t="str">
        <x:v>PHY-1856</x:v>
      </x:c>
      <x:c r="C1862" s="7" t="str">
        <x:v>event phase</x:v>
      </x:c>
      <x:c r="D1862" s="7" t="str">
        <x:v>RAE-E-23-P06</x:v>
      </x:c>
      <x:c r="E1862" s="7" t="str">
        <x:v>Event Phases!M540</x:v>
      </x:c>
      <x:c r="F1862" s="7" t="str">
        <x:f>'Event Phases'!M540</x:f>
        <x:v>OPEN</x:v>
      </x:c>
    </x:row>
    <x:row r="1863">
      <x:c r="B1863" s="7" t="str">
        <x:v>PHY-1857</x:v>
      </x:c>
      <x:c r="C1863" s="7" t="str">
        <x:v>event phase</x:v>
      </x:c>
      <x:c r="D1863" s="7" t="str">
        <x:v>RAE-E-23-P07</x:v>
      </x:c>
      <x:c r="E1863" s="7" t="str">
        <x:v>Event Phases!M541</x:v>
      </x:c>
      <x:c r="F1863" s="7" t="str">
        <x:f>'Event Phases'!M541</x:f>
        <x:v>OPEN</x:v>
      </x:c>
    </x:row>
    <x:row r="1864">
      <x:c r="B1864" s="7" t="str">
        <x:v>PHY-1858</x:v>
      </x:c>
      <x:c r="C1864" s="7" t="str">
        <x:v>event phase</x:v>
      </x:c>
      <x:c r="D1864" s="7" t="str">
        <x:v>RAE-E-23-P08</x:v>
      </x:c>
      <x:c r="E1864" s="7" t="str">
        <x:v>Event Phases!M542</x:v>
      </x:c>
      <x:c r="F1864" s="7" t="str">
        <x:f>'Event Phases'!M542</x:f>
        <x:v>OPEN</x:v>
      </x:c>
    </x:row>
    <x:row r="1865">
      <x:c r="B1865" s="7" t="str">
        <x:v>PHY-1859</x:v>
      </x:c>
      <x:c r="C1865" s="7" t="str">
        <x:v>event phase</x:v>
      </x:c>
      <x:c r="D1865" s="7" t="str">
        <x:v>RAE-E-23-P09</x:v>
      </x:c>
      <x:c r="E1865" s="7" t="str">
        <x:v>Event Phases!M543</x:v>
      </x:c>
      <x:c r="F1865" s="7" t="str">
        <x:f>'Event Phases'!M543</x:f>
        <x:v>OPEN</x:v>
      </x:c>
    </x:row>
    <x:row r="1866">
      <x:c r="B1866" s="7" t="str">
        <x:v>PHY-1860</x:v>
      </x:c>
      <x:c r="C1866" s="7" t="str">
        <x:v>event phase</x:v>
      </x:c>
      <x:c r="D1866" s="7" t="str">
        <x:v>RAE-E-23-P10</x:v>
      </x:c>
      <x:c r="E1866" s="7" t="str">
        <x:v>Event Phases!M544</x:v>
      </x:c>
      <x:c r="F1866" s="7" t="str">
        <x:f>'Event Phases'!M544</x:f>
        <x:v>OPEN</x:v>
      </x:c>
    </x:row>
    <x:row r="1867">
      <x:c r="B1867" s="7" t="str">
        <x:v>PHY-1861</x:v>
      </x:c>
      <x:c r="C1867" s="7" t="str">
        <x:v>event phase</x:v>
      </x:c>
      <x:c r="D1867" s="7" t="str">
        <x:v>RAE-E-23-P11</x:v>
      </x:c>
      <x:c r="E1867" s="7" t="str">
        <x:v>Event Phases!M545</x:v>
      </x:c>
      <x:c r="F1867" s="7" t="str">
        <x:f>'Event Phases'!M545</x:f>
        <x:v>OPEN</x:v>
      </x:c>
    </x:row>
    <x:row r="1868">
      <x:c r="B1868" s="7" t="str">
        <x:v>PHY-1862</x:v>
      </x:c>
      <x:c r="C1868" s="7" t="str">
        <x:v>event phase</x:v>
      </x:c>
      <x:c r="D1868" s="7" t="str">
        <x:v>RAE-E-23-P12</x:v>
      </x:c>
      <x:c r="E1868" s="7" t="str">
        <x:v>Event Phases!M546</x:v>
      </x:c>
      <x:c r="F1868" s="7" t="str">
        <x:f>'Event Phases'!M546</x:f>
        <x:v>OPEN</x:v>
      </x:c>
    </x:row>
    <x:row r="1869">
      <x:c r="B1869" s="7" t="str">
        <x:v>PHY-1863</x:v>
      </x:c>
      <x:c r="C1869" s="7" t="str">
        <x:v>event phase</x:v>
      </x:c>
      <x:c r="D1869" s="7" t="str">
        <x:v>RAE-E-23-P13</x:v>
      </x:c>
      <x:c r="E1869" s="7" t="str">
        <x:v>Event Phases!M547</x:v>
      </x:c>
      <x:c r="F1869" s="7" t="str">
        <x:f>'Event Phases'!M547</x:f>
        <x:v>OPEN</x:v>
      </x:c>
    </x:row>
    <x:row r="1870">
      <x:c r="B1870" s="7" t="str">
        <x:v>PHY-1864</x:v>
      </x:c>
      <x:c r="C1870" s="7" t="str">
        <x:v>event phase</x:v>
      </x:c>
      <x:c r="D1870" s="7" t="str">
        <x:v>RAE-E-23-P14</x:v>
      </x:c>
      <x:c r="E1870" s="7" t="str">
        <x:v>Event Phases!M548</x:v>
      </x:c>
      <x:c r="F1870" s="7" t="str">
        <x:f>'Event Phases'!M548</x:f>
        <x:v>OPEN</x:v>
      </x:c>
    </x:row>
    <x:row r="1871">
      <x:c r="B1871" s="7" t="str">
        <x:v>PHY-1865</x:v>
      </x:c>
      <x:c r="C1871" s="7" t="str">
        <x:v>event phase</x:v>
      </x:c>
      <x:c r="D1871" s="7" t="str">
        <x:v>RAE-E-23-P15</x:v>
      </x:c>
      <x:c r="E1871" s="7" t="str">
        <x:v>Event Phases!M549</x:v>
      </x:c>
      <x:c r="F1871" s="7" t="str">
        <x:f>'Event Phases'!M549</x:f>
        <x:v>OPEN</x:v>
      </x:c>
    </x:row>
    <x:row r="1872">
      <x:c r="B1872" s="7" t="str">
        <x:v>PHY-1866</x:v>
      </x:c>
      <x:c r="C1872" s="7" t="str">
        <x:v>event phase</x:v>
      </x:c>
      <x:c r="D1872" s="7" t="str">
        <x:v>RAE-E-23-P16</x:v>
      </x:c>
      <x:c r="E1872" s="7" t="str">
        <x:v>Event Phases!M550</x:v>
      </x:c>
      <x:c r="F1872" s="7" t="str">
        <x:f>'Event Phases'!M550</x:f>
        <x:v>OPEN</x:v>
      </x:c>
    </x:row>
    <x:row r="1873">
      <x:c r="B1873" s="7" t="str">
        <x:v>PHY-1867</x:v>
      </x:c>
      <x:c r="C1873" s="7" t="str">
        <x:v>event phase</x:v>
      </x:c>
      <x:c r="D1873" s="7" t="str">
        <x:v>RAE-E-23-P17</x:v>
      </x:c>
      <x:c r="E1873" s="7" t="str">
        <x:v>Event Phases!M551</x:v>
      </x:c>
      <x:c r="F1873" s="7" t="str">
        <x:f>'Event Phases'!M551</x:f>
        <x:v>OPEN</x:v>
      </x:c>
    </x:row>
    <x:row r="1874">
      <x:c r="B1874" s="7" t="str">
        <x:v>PHY-1868</x:v>
      </x:c>
      <x:c r="C1874" s="7" t="str">
        <x:v>event phase</x:v>
      </x:c>
      <x:c r="D1874" s="7" t="str">
        <x:v>RAE-E-23-P18</x:v>
      </x:c>
      <x:c r="E1874" s="7" t="str">
        <x:v>Event Phases!M552</x:v>
      </x:c>
      <x:c r="F1874" s="7" t="str">
        <x:f>'Event Phases'!M552</x:f>
        <x:v>OPEN</x:v>
      </x:c>
    </x:row>
    <x:row r="1875">
      <x:c r="B1875" s="7" t="str">
        <x:v>PHY-1869</x:v>
      </x:c>
      <x:c r="C1875" s="7" t="str">
        <x:v>event phase</x:v>
      </x:c>
      <x:c r="D1875" s="7" t="str">
        <x:v>RAE-E-23-P19</x:v>
      </x:c>
      <x:c r="E1875" s="7" t="str">
        <x:v>Event Phases!M553</x:v>
      </x:c>
      <x:c r="F1875" s="7" t="str">
        <x:f>'Event Phases'!M553</x:f>
        <x:v>OPEN</x:v>
      </x:c>
    </x:row>
    <x:row r="1876">
      <x:c r="B1876" s="7" t="str">
        <x:v>PHY-1870</x:v>
      </x:c>
      <x:c r="C1876" s="7" t="str">
        <x:v>event phase</x:v>
      </x:c>
      <x:c r="D1876" s="7" t="str">
        <x:v>RAE-E-23-P20</x:v>
      </x:c>
      <x:c r="E1876" s="7" t="str">
        <x:v>Event Phases!M554</x:v>
      </x:c>
      <x:c r="F1876" s="7" t="str">
        <x:f>'Event Phases'!M554</x:f>
        <x:v>OPEN</x:v>
      </x:c>
    </x:row>
    <x:row r="1877">
      <x:c r="B1877" s="7" t="str">
        <x:v>PHY-1871</x:v>
      </x:c>
      <x:c r="C1877" s="7" t="str">
        <x:v>event phase</x:v>
      </x:c>
      <x:c r="D1877" s="7" t="str">
        <x:v>RAE-E-23-P21</x:v>
      </x:c>
      <x:c r="E1877" s="7" t="str">
        <x:v>Event Phases!M555</x:v>
      </x:c>
      <x:c r="F1877" s="7" t="str">
        <x:f>'Event Phases'!M555</x:f>
        <x:v>OPEN</x:v>
      </x:c>
    </x:row>
    <x:row r="1878">
      <x:c r="B1878" s="7" t="str">
        <x:v>PHY-1872</x:v>
      </x:c>
      <x:c r="C1878" s="7" t="str">
        <x:v>event phase</x:v>
      </x:c>
      <x:c r="D1878" s="7" t="str">
        <x:v>RAE-E-23-P22</x:v>
      </x:c>
      <x:c r="E1878" s="7" t="str">
        <x:v>Event Phases!M556</x:v>
      </x:c>
      <x:c r="F1878" s="7" t="str">
        <x:f>'Event Phases'!M556</x:f>
        <x:v>OPEN</x:v>
      </x:c>
    </x:row>
    <x:row r="1879">
      <x:c r="B1879" s="7" t="str">
        <x:v>PHY-1873</x:v>
      </x:c>
      <x:c r="C1879" s="7" t="str">
        <x:v>event phase</x:v>
      </x:c>
      <x:c r="D1879" s="7" t="str">
        <x:v>RAE-E-23-P23</x:v>
      </x:c>
      <x:c r="E1879" s="7" t="str">
        <x:v>Event Phases!M557</x:v>
      </x:c>
      <x:c r="F1879" s="7" t="str">
        <x:f>'Event Phases'!M557</x:f>
        <x:v>OPEN</x:v>
      </x:c>
    </x:row>
    <x:row r="1880">
      <x:c r="B1880" s="7" t="str">
        <x:v>PHY-1874</x:v>
      </x:c>
      <x:c r="C1880" s="7" t="str">
        <x:v>event phase</x:v>
      </x:c>
      <x:c r="D1880" s="7" t="str">
        <x:v>RAE-E-23-P24</x:v>
      </x:c>
      <x:c r="E1880" s="7" t="str">
        <x:v>Event Phases!M558</x:v>
      </x:c>
      <x:c r="F1880" s="7" t="str">
        <x:f>'Event Phases'!M558</x:f>
        <x:v>OPEN</x:v>
      </x:c>
    </x:row>
    <x:row r="1881">
      <x:c r="B1881" s="7" t="str">
        <x:v>PHY-1875</x:v>
      </x:c>
      <x:c r="C1881" s="7" t="str">
        <x:v>event phase</x:v>
      </x:c>
      <x:c r="D1881" s="7" t="str">
        <x:v>RAE-E-24-P01</x:v>
      </x:c>
      <x:c r="E1881" s="7" t="str">
        <x:v>Event Phases!M559</x:v>
      </x:c>
      <x:c r="F1881" s="7" t="str">
        <x:f>'Event Phases'!M559</x:f>
        <x:v>OPEN</x:v>
      </x:c>
    </x:row>
    <x:row r="1882">
      <x:c r="B1882" s="7" t="str">
        <x:v>PHY-1876</x:v>
      </x:c>
      <x:c r="C1882" s="7" t="str">
        <x:v>event phase</x:v>
      </x:c>
      <x:c r="D1882" s="7" t="str">
        <x:v>RAE-E-24-P02</x:v>
      </x:c>
      <x:c r="E1882" s="7" t="str">
        <x:v>Event Phases!M560</x:v>
      </x:c>
      <x:c r="F1882" s="7" t="str">
        <x:f>'Event Phases'!M560</x:f>
        <x:v>OPEN</x:v>
      </x:c>
    </x:row>
    <x:row r="1883">
      <x:c r="B1883" s="7" t="str">
        <x:v>PHY-1877</x:v>
      </x:c>
      <x:c r="C1883" s="7" t="str">
        <x:v>event phase</x:v>
      </x:c>
      <x:c r="D1883" s="7" t="str">
        <x:v>RAE-E-24-P03</x:v>
      </x:c>
      <x:c r="E1883" s="7" t="str">
        <x:v>Event Phases!M561</x:v>
      </x:c>
      <x:c r="F1883" s="7" t="str">
        <x:f>'Event Phases'!M561</x:f>
        <x:v>OPEN</x:v>
      </x:c>
    </x:row>
    <x:row r="1884">
      <x:c r="B1884" s="7" t="str">
        <x:v>PHY-1878</x:v>
      </x:c>
      <x:c r="C1884" s="7" t="str">
        <x:v>event phase</x:v>
      </x:c>
      <x:c r="D1884" s="7" t="str">
        <x:v>RAE-E-24-P04</x:v>
      </x:c>
      <x:c r="E1884" s="7" t="str">
        <x:v>Event Phases!M562</x:v>
      </x:c>
      <x:c r="F1884" s="7" t="str">
        <x:f>'Event Phases'!M562</x:f>
        <x:v>OPEN</x:v>
      </x:c>
    </x:row>
    <x:row r="1885">
      <x:c r="B1885" s="7" t="str">
        <x:v>PHY-1879</x:v>
      </x:c>
      <x:c r="C1885" s="7" t="str">
        <x:v>event phase</x:v>
      </x:c>
      <x:c r="D1885" s="7" t="str">
        <x:v>RAE-E-24-P05</x:v>
      </x:c>
      <x:c r="E1885" s="7" t="str">
        <x:v>Event Phases!M563</x:v>
      </x:c>
      <x:c r="F1885" s="7" t="str">
        <x:f>'Event Phases'!M563</x:f>
        <x:v>OPEN</x:v>
      </x:c>
    </x:row>
    <x:row r="1886">
      <x:c r="B1886" s="7" t="str">
        <x:v>PHY-1880</x:v>
      </x:c>
      <x:c r="C1886" s="7" t="str">
        <x:v>event phase</x:v>
      </x:c>
      <x:c r="D1886" s="7" t="str">
        <x:v>RAE-E-24-P06</x:v>
      </x:c>
      <x:c r="E1886" s="7" t="str">
        <x:v>Event Phases!M564</x:v>
      </x:c>
      <x:c r="F1886" s="7" t="str">
        <x:f>'Event Phases'!M564</x:f>
        <x:v>OPEN</x:v>
      </x:c>
    </x:row>
    <x:row r="1887">
      <x:c r="B1887" s="7" t="str">
        <x:v>PHY-1881</x:v>
      </x:c>
      <x:c r="C1887" s="7" t="str">
        <x:v>event phase</x:v>
      </x:c>
      <x:c r="D1887" s="7" t="str">
        <x:v>RAE-E-24-P07</x:v>
      </x:c>
      <x:c r="E1887" s="7" t="str">
        <x:v>Event Phases!M565</x:v>
      </x:c>
      <x:c r="F1887" s="7" t="str">
        <x:f>'Event Phases'!M565</x:f>
        <x:v>OPEN</x:v>
      </x:c>
    </x:row>
    <x:row r="1888">
      <x:c r="B1888" s="7" t="str">
        <x:v>PHY-1882</x:v>
      </x:c>
      <x:c r="C1888" s="7" t="str">
        <x:v>event phase</x:v>
      </x:c>
      <x:c r="D1888" s="7" t="str">
        <x:v>RAE-E-24-P08</x:v>
      </x:c>
      <x:c r="E1888" s="7" t="str">
        <x:v>Event Phases!M566</x:v>
      </x:c>
      <x:c r="F1888" s="7" t="str">
        <x:f>'Event Phases'!M566</x:f>
        <x:v>OPEN</x:v>
      </x:c>
    </x:row>
    <x:row r="1889">
      <x:c r="B1889" s="7" t="str">
        <x:v>PHY-1883</x:v>
      </x:c>
      <x:c r="C1889" s="7" t="str">
        <x:v>event phase</x:v>
      </x:c>
      <x:c r="D1889" s="7" t="str">
        <x:v>RAE-E-24-P09</x:v>
      </x:c>
      <x:c r="E1889" s="7" t="str">
        <x:v>Event Phases!M567</x:v>
      </x:c>
      <x:c r="F1889" s="7" t="str">
        <x:f>'Event Phases'!M567</x:f>
        <x:v>OPEN</x:v>
      </x:c>
    </x:row>
    <x:row r="1890">
      <x:c r="B1890" s="7" t="str">
        <x:v>PHY-1884</x:v>
      </x:c>
      <x:c r="C1890" s="7" t="str">
        <x:v>event phase</x:v>
      </x:c>
      <x:c r="D1890" s="7" t="str">
        <x:v>RAE-E-24-P10</x:v>
      </x:c>
      <x:c r="E1890" s="7" t="str">
        <x:v>Event Phases!M568</x:v>
      </x:c>
      <x:c r="F1890" s="7" t="str">
        <x:f>'Event Phases'!M568</x:f>
        <x:v>OPEN</x:v>
      </x:c>
    </x:row>
    <x:row r="1891">
      <x:c r="B1891" s="7" t="str">
        <x:v>PHY-1885</x:v>
      </x:c>
      <x:c r="C1891" s="7" t="str">
        <x:v>event phase</x:v>
      </x:c>
      <x:c r="D1891" s="7" t="str">
        <x:v>RAE-E-24-P11</x:v>
      </x:c>
      <x:c r="E1891" s="7" t="str">
        <x:v>Event Phases!M569</x:v>
      </x:c>
      <x:c r="F1891" s="7" t="str">
        <x:f>'Event Phases'!M569</x:f>
        <x:v>OPEN</x:v>
      </x:c>
    </x:row>
    <x:row r="1892">
      <x:c r="B1892" s="7" t="str">
        <x:v>PHY-1886</x:v>
      </x:c>
      <x:c r="C1892" s="7" t="str">
        <x:v>event phase</x:v>
      </x:c>
      <x:c r="D1892" s="7" t="str">
        <x:v>RAE-E-24-P12</x:v>
      </x:c>
      <x:c r="E1892" s="7" t="str">
        <x:v>Event Phases!M570</x:v>
      </x:c>
      <x:c r="F1892" s="7" t="str">
        <x:f>'Event Phases'!M570</x:f>
        <x:v>OPEN</x:v>
      </x:c>
    </x:row>
    <x:row r="1893">
      <x:c r="B1893" s="7" t="str">
        <x:v>PHY-1887</x:v>
      </x:c>
      <x:c r="C1893" s="7" t="str">
        <x:v>event phase</x:v>
      </x:c>
      <x:c r="D1893" s="7" t="str">
        <x:v>RAE-E-24-P13</x:v>
      </x:c>
      <x:c r="E1893" s="7" t="str">
        <x:v>Event Phases!M571</x:v>
      </x:c>
      <x:c r="F1893" s="7" t="str">
        <x:f>'Event Phases'!M571</x:f>
        <x:v>OPEN</x:v>
      </x:c>
    </x:row>
    <x:row r="1894">
      <x:c r="B1894" s="7" t="str">
        <x:v>PHY-1888</x:v>
      </x:c>
      <x:c r="C1894" s="7" t="str">
        <x:v>event phase</x:v>
      </x:c>
      <x:c r="D1894" s="7" t="str">
        <x:v>RAE-E-24-P14</x:v>
      </x:c>
      <x:c r="E1894" s="7" t="str">
        <x:v>Event Phases!M572</x:v>
      </x:c>
      <x:c r="F1894" s="7" t="str">
        <x:f>'Event Phases'!M572</x:f>
        <x:v>OPEN</x:v>
      </x:c>
    </x:row>
    <x:row r="1895">
      <x:c r="B1895" s="7" t="str">
        <x:v>PHY-1889</x:v>
      </x:c>
      <x:c r="C1895" s="7" t="str">
        <x:v>event phase</x:v>
      </x:c>
      <x:c r="D1895" s="7" t="str">
        <x:v>RAE-E-24-P15</x:v>
      </x:c>
      <x:c r="E1895" s="7" t="str">
        <x:v>Event Phases!M573</x:v>
      </x:c>
      <x:c r="F1895" s="7" t="str">
        <x:f>'Event Phases'!M573</x:f>
        <x:v>OPEN</x:v>
      </x:c>
    </x:row>
    <x:row r="1896">
      <x:c r="B1896" s="7" t="str">
        <x:v>PHY-1890</x:v>
      </x:c>
      <x:c r="C1896" s="7" t="str">
        <x:v>event phase</x:v>
      </x:c>
      <x:c r="D1896" s="7" t="str">
        <x:v>RAE-E-24-P16</x:v>
      </x:c>
      <x:c r="E1896" s="7" t="str">
        <x:v>Event Phases!M574</x:v>
      </x:c>
      <x:c r="F1896" s="7" t="str">
        <x:f>'Event Phases'!M574</x:f>
        <x:v>OPEN</x:v>
      </x:c>
    </x:row>
    <x:row r="1897">
      <x:c r="B1897" s="7" t="str">
        <x:v>PHY-1891</x:v>
      </x:c>
      <x:c r="C1897" s="7" t="str">
        <x:v>event phase</x:v>
      </x:c>
      <x:c r="D1897" s="7" t="str">
        <x:v>RAE-E-24-P17</x:v>
      </x:c>
      <x:c r="E1897" s="7" t="str">
        <x:v>Event Phases!M575</x:v>
      </x:c>
      <x:c r="F1897" s="7" t="str">
        <x:f>'Event Phases'!M575</x:f>
        <x:v>OPEN</x:v>
      </x:c>
    </x:row>
    <x:row r="1898">
      <x:c r="B1898" s="7" t="str">
        <x:v>PHY-1892</x:v>
      </x:c>
      <x:c r="C1898" s="7" t="str">
        <x:v>event phase</x:v>
      </x:c>
      <x:c r="D1898" s="7" t="str">
        <x:v>RAE-E-24-P18</x:v>
      </x:c>
      <x:c r="E1898" s="7" t="str">
        <x:v>Event Phases!M576</x:v>
      </x:c>
      <x:c r="F1898" s="7" t="str">
        <x:f>'Event Phases'!M576</x:f>
        <x:v>OPEN</x:v>
      </x:c>
    </x:row>
    <x:row r="1899">
      <x:c r="B1899" s="7" t="str">
        <x:v>PHY-1893</x:v>
      </x:c>
      <x:c r="C1899" s="7" t="str">
        <x:v>event phase</x:v>
      </x:c>
      <x:c r="D1899" s="7" t="str">
        <x:v>RAE-E-24-P19</x:v>
      </x:c>
      <x:c r="E1899" s="7" t="str">
        <x:v>Event Phases!M577</x:v>
      </x:c>
      <x:c r="F1899" s="7" t="str">
        <x:f>'Event Phases'!M577</x:f>
        <x:v>OPEN</x:v>
      </x:c>
    </x:row>
    <x:row r="1900">
      <x:c r="B1900" s="7" t="str">
        <x:v>PHY-1894</x:v>
      </x:c>
      <x:c r="C1900" s="7" t="str">
        <x:v>event phase</x:v>
      </x:c>
      <x:c r="D1900" s="7" t="str">
        <x:v>RAE-E-24-P20</x:v>
      </x:c>
      <x:c r="E1900" s="7" t="str">
        <x:v>Event Phases!M578</x:v>
      </x:c>
      <x:c r="F1900" s="7" t="str">
        <x:f>'Event Phases'!M578</x:f>
        <x:v>OPEN</x:v>
      </x:c>
    </x:row>
    <x:row r="1901">
      <x:c r="B1901" s="7" t="str">
        <x:v>PHY-1895</x:v>
      </x:c>
      <x:c r="C1901" s="7" t="str">
        <x:v>event phase</x:v>
      </x:c>
      <x:c r="D1901" s="7" t="str">
        <x:v>RAE-E-24-P21</x:v>
      </x:c>
      <x:c r="E1901" s="7" t="str">
        <x:v>Event Phases!M579</x:v>
      </x:c>
      <x:c r="F1901" s="7" t="str">
        <x:f>'Event Phases'!M579</x:f>
        <x:v>OPEN</x:v>
      </x:c>
    </x:row>
    <x:row r="1902">
      <x:c r="B1902" s="7" t="str">
        <x:v>PHY-1896</x:v>
      </x:c>
      <x:c r="C1902" s="7" t="str">
        <x:v>event phase</x:v>
      </x:c>
      <x:c r="D1902" s="7" t="str">
        <x:v>RAE-E-24-P22</x:v>
      </x:c>
      <x:c r="E1902" s="7" t="str">
        <x:v>Event Phases!M580</x:v>
      </x:c>
      <x:c r="F1902" s="7" t="str">
        <x:f>'Event Phases'!M580</x:f>
        <x:v>OPEN</x:v>
      </x:c>
    </x:row>
    <x:row r="1903">
      <x:c r="B1903" s="7" t="str">
        <x:v>PHY-1897</x:v>
      </x:c>
      <x:c r="C1903" s="7" t="str">
        <x:v>event phase</x:v>
      </x:c>
      <x:c r="D1903" s="7" t="str">
        <x:v>RAE-E-24-P23</x:v>
      </x:c>
      <x:c r="E1903" s="7" t="str">
        <x:v>Event Phases!M581</x:v>
      </x:c>
      <x:c r="F1903" s="7" t="str">
        <x:f>'Event Phases'!M581</x:f>
        <x:v>OPEN</x:v>
      </x:c>
    </x:row>
    <x:row r="1904">
      <x:c r="B1904" s="7" t="str">
        <x:v>PHY-1898</x:v>
      </x:c>
      <x:c r="C1904" s="7" t="str">
        <x:v>event phase</x:v>
      </x:c>
      <x:c r="D1904" s="7" t="str">
        <x:v>RAE-E-24-P24</x:v>
      </x:c>
      <x:c r="E1904" s="7" t="str">
        <x:v>Event Phases!M582</x:v>
      </x:c>
      <x:c r="F1904" s="7" t="str">
        <x:f>'Event Phases'!M582</x:f>
        <x:v>OPEN</x:v>
      </x:c>
    </x:row>
    <x:row r="1905">
      <x:c r="B1905" s="7" t="str">
        <x:v>PHY-1899</x:v>
      </x:c>
      <x:c r="C1905" s="7" t="str">
        <x:v>event phase</x:v>
      </x:c>
      <x:c r="D1905" s="7" t="str">
        <x:v>RAE-E-25-P01</x:v>
      </x:c>
      <x:c r="E1905" s="7" t="str">
        <x:v>Event Phases!M583</x:v>
      </x:c>
      <x:c r="F1905" s="7" t="str">
        <x:f>'Event Phases'!M583</x:f>
        <x:v>OPEN</x:v>
      </x:c>
    </x:row>
    <x:row r="1906">
      <x:c r="B1906" s="7" t="str">
        <x:v>PHY-1900</x:v>
      </x:c>
      <x:c r="C1906" s="7" t="str">
        <x:v>event phase</x:v>
      </x:c>
      <x:c r="D1906" s="7" t="str">
        <x:v>RAE-E-25-P02</x:v>
      </x:c>
      <x:c r="E1906" s="7" t="str">
        <x:v>Event Phases!M584</x:v>
      </x:c>
      <x:c r="F1906" s="7" t="str">
        <x:f>'Event Phases'!M584</x:f>
        <x:v>OPEN</x:v>
      </x:c>
    </x:row>
    <x:row r="1907">
      <x:c r="B1907" s="7" t="str">
        <x:v>PHY-1901</x:v>
      </x:c>
      <x:c r="C1907" s="7" t="str">
        <x:v>event phase</x:v>
      </x:c>
      <x:c r="D1907" s="7" t="str">
        <x:v>RAE-E-25-P03</x:v>
      </x:c>
      <x:c r="E1907" s="7" t="str">
        <x:v>Event Phases!M585</x:v>
      </x:c>
      <x:c r="F1907" s="7" t="str">
        <x:f>'Event Phases'!M585</x:f>
        <x:v>OPEN</x:v>
      </x:c>
    </x:row>
    <x:row r="1908">
      <x:c r="B1908" s="7" t="str">
        <x:v>PHY-1902</x:v>
      </x:c>
      <x:c r="C1908" s="7" t="str">
        <x:v>event phase</x:v>
      </x:c>
      <x:c r="D1908" s="7" t="str">
        <x:v>RAE-E-25-P04</x:v>
      </x:c>
      <x:c r="E1908" s="7" t="str">
        <x:v>Event Phases!M586</x:v>
      </x:c>
      <x:c r="F1908" s="7" t="str">
        <x:f>'Event Phases'!M586</x:f>
        <x:v>OPEN</x:v>
      </x:c>
    </x:row>
    <x:row r="1909">
      <x:c r="B1909" s="7" t="str">
        <x:v>PHY-1903</x:v>
      </x:c>
      <x:c r="C1909" s="7" t="str">
        <x:v>event phase</x:v>
      </x:c>
      <x:c r="D1909" s="7" t="str">
        <x:v>RAE-E-25-P05</x:v>
      </x:c>
      <x:c r="E1909" s="7" t="str">
        <x:v>Event Phases!M587</x:v>
      </x:c>
      <x:c r="F1909" s="7" t="str">
        <x:f>'Event Phases'!M587</x:f>
        <x:v>OPEN</x:v>
      </x:c>
    </x:row>
    <x:row r="1910">
      <x:c r="B1910" s="7" t="str">
        <x:v>PHY-1904</x:v>
      </x:c>
      <x:c r="C1910" s="7" t="str">
        <x:v>event phase</x:v>
      </x:c>
      <x:c r="D1910" s="7" t="str">
        <x:v>RAE-E-25-P06</x:v>
      </x:c>
      <x:c r="E1910" s="7" t="str">
        <x:v>Event Phases!M588</x:v>
      </x:c>
      <x:c r="F1910" s="7" t="str">
        <x:f>'Event Phases'!M588</x:f>
        <x:v>OPEN</x:v>
      </x:c>
    </x:row>
    <x:row r="1911">
      <x:c r="B1911" s="7" t="str">
        <x:v>PHY-1905</x:v>
      </x:c>
      <x:c r="C1911" s="7" t="str">
        <x:v>event phase</x:v>
      </x:c>
      <x:c r="D1911" s="7" t="str">
        <x:v>RAE-E-25-P07</x:v>
      </x:c>
      <x:c r="E1911" s="7" t="str">
        <x:v>Event Phases!M589</x:v>
      </x:c>
      <x:c r="F1911" s="7" t="str">
        <x:f>'Event Phases'!M589</x:f>
        <x:v>OPEN</x:v>
      </x:c>
    </x:row>
    <x:row r="1912">
      <x:c r="B1912" s="7" t="str">
        <x:v>PHY-1906</x:v>
      </x:c>
      <x:c r="C1912" s="7" t="str">
        <x:v>event phase</x:v>
      </x:c>
      <x:c r="D1912" s="7" t="str">
        <x:v>RAE-E-25-P08</x:v>
      </x:c>
      <x:c r="E1912" s="7" t="str">
        <x:v>Event Phases!M590</x:v>
      </x:c>
      <x:c r="F1912" s="7" t="str">
        <x:f>'Event Phases'!M590</x:f>
        <x:v>OPEN</x:v>
      </x:c>
    </x:row>
    <x:row r="1913">
      <x:c r="B1913" s="7" t="str">
        <x:v>PHY-1907</x:v>
      </x:c>
      <x:c r="C1913" s="7" t="str">
        <x:v>event phase</x:v>
      </x:c>
      <x:c r="D1913" s="7" t="str">
        <x:v>RAE-E-25-P09</x:v>
      </x:c>
      <x:c r="E1913" s="7" t="str">
        <x:v>Event Phases!M591</x:v>
      </x:c>
      <x:c r="F1913" s="7" t="str">
        <x:f>'Event Phases'!M591</x:f>
        <x:v>OPEN</x:v>
      </x:c>
    </x:row>
    <x:row r="1914">
      <x:c r="B1914" s="7" t="str">
        <x:v>PHY-1908</x:v>
      </x:c>
      <x:c r="C1914" s="7" t="str">
        <x:v>event phase</x:v>
      </x:c>
      <x:c r="D1914" s="7" t="str">
        <x:v>RAE-E-25-P10</x:v>
      </x:c>
      <x:c r="E1914" s="7" t="str">
        <x:v>Event Phases!M592</x:v>
      </x:c>
      <x:c r="F1914" s="7" t="str">
        <x:f>'Event Phases'!M592</x:f>
        <x:v>OPEN</x:v>
      </x:c>
    </x:row>
    <x:row r="1915">
      <x:c r="B1915" s="7" t="str">
        <x:v>PHY-1909</x:v>
      </x:c>
      <x:c r="C1915" s="7" t="str">
        <x:v>event phase</x:v>
      </x:c>
      <x:c r="D1915" s="7" t="str">
        <x:v>RAE-E-25-P11</x:v>
      </x:c>
      <x:c r="E1915" s="7" t="str">
        <x:v>Event Phases!M593</x:v>
      </x:c>
      <x:c r="F1915" s="7" t="str">
        <x:f>'Event Phases'!M593</x:f>
        <x:v>OPEN</x:v>
      </x:c>
    </x:row>
    <x:row r="1916">
      <x:c r="B1916" s="7" t="str">
        <x:v>PHY-1910</x:v>
      </x:c>
      <x:c r="C1916" s="7" t="str">
        <x:v>event phase</x:v>
      </x:c>
      <x:c r="D1916" s="7" t="str">
        <x:v>RAE-E-25-P12</x:v>
      </x:c>
      <x:c r="E1916" s="7" t="str">
        <x:v>Event Phases!M594</x:v>
      </x:c>
      <x:c r="F1916" s="7" t="str">
        <x:f>'Event Phases'!M594</x:f>
        <x:v>OPEN</x:v>
      </x:c>
    </x:row>
    <x:row r="1917">
      <x:c r="B1917" s="7" t="str">
        <x:v>PHY-1911</x:v>
      </x:c>
      <x:c r="C1917" s="7" t="str">
        <x:v>event phase</x:v>
      </x:c>
      <x:c r="D1917" s="7" t="str">
        <x:v>RAE-E-25-P13</x:v>
      </x:c>
      <x:c r="E1917" s="7" t="str">
        <x:v>Event Phases!M595</x:v>
      </x:c>
      <x:c r="F1917" s="7" t="str">
        <x:f>'Event Phases'!M595</x:f>
        <x:v>OPEN</x:v>
      </x:c>
    </x:row>
    <x:row r="1918">
      <x:c r="B1918" s="7" t="str">
        <x:v>PHY-1912</x:v>
      </x:c>
      <x:c r="C1918" s="7" t="str">
        <x:v>event phase</x:v>
      </x:c>
      <x:c r="D1918" s="7" t="str">
        <x:v>RAE-E-25-P14</x:v>
      </x:c>
      <x:c r="E1918" s="7" t="str">
        <x:v>Event Phases!M596</x:v>
      </x:c>
      <x:c r="F1918" s="7" t="str">
        <x:f>'Event Phases'!M596</x:f>
        <x:v>OPEN</x:v>
      </x:c>
    </x:row>
    <x:row r="1919">
      <x:c r="B1919" s="7" t="str">
        <x:v>PHY-1913</x:v>
      </x:c>
      <x:c r="C1919" s="7" t="str">
        <x:v>event phase</x:v>
      </x:c>
      <x:c r="D1919" s="7" t="str">
        <x:v>RAE-E-25-P15</x:v>
      </x:c>
      <x:c r="E1919" s="7" t="str">
        <x:v>Event Phases!M597</x:v>
      </x:c>
      <x:c r="F1919" s="7" t="str">
        <x:f>'Event Phases'!M597</x:f>
        <x:v>OPEN</x:v>
      </x:c>
    </x:row>
    <x:row r="1920">
      <x:c r="B1920" s="7" t="str">
        <x:v>PHY-1914</x:v>
      </x:c>
      <x:c r="C1920" s="7" t="str">
        <x:v>event phase</x:v>
      </x:c>
      <x:c r="D1920" s="7" t="str">
        <x:v>RAE-E-25-P16</x:v>
      </x:c>
      <x:c r="E1920" s="7" t="str">
        <x:v>Event Phases!M598</x:v>
      </x:c>
      <x:c r="F1920" s="7" t="str">
        <x:f>'Event Phases'!M598</x:f>
        <x:v>OPEN</x:v>
      </x:c>
    </x:row>
    <x:row r="1921">
      <x:c r="B1921" s="7" t="str">
        <x:v>PHY-1915</x:v>
      </x:c>
      <x:c r="C1921" s="7" t="str">
        <x:v>event phase</x:v>
      </x:c>
      <x:c r="D1921" s="7" t="str">
        <x:v>RAE-E-25-P17</x:v>
      </x:c>
      <x:c r="E1921" s="7" t="str">
        <x:v>Event Phases!M599</x:v>
      </x:c>
      <x:c r="F1921" s="7" t="str">
        <x:f>'Event Phases'!M599</x:f>
        <x:v>OPEN</x:v>
      </x:c>
    </x:row>
    <x:row r="1922">
      <x:c r="B1922" s="7" t="str">
        <x:v>PHY-1916</x:v>
      </x:c>
      <x:c r="C1922" s="7" t="str">
        <x:v>event phase</x:v>
      </x:c>
      <x:c r="D1922" s="7" t="str">
        <x:v>RAE-E-25-P18</x:v>
      </x:c>
      <x:c r="E1922" s="7" t="str">
        <x:v>Event Phases!M600</x:v>
      </x:c>
      <x:c r="F1922" s="7" t="str">
        <x:f>'Event Phases'!M600</x:f>
        <x:v>OPEN</x:v>
      </x:c>
    </x:row>
    <x:row r="1923">
      <x:c r="B1923" s="7" t="str">
        <x:v>PHY-1917</x:v>
      </x:c>
      <x:c r="C1923" s="7" t="str">
        <x:v>event phase</x:v>
      </x:c>
      <x:c r="D1923" s="7" t="str">
        <x:v>RAE-E-25-P19</x:v>
      </x:c>
      <x:c r="E1923" s="7" t="str">
        <x:v>Event Phases!M601</x:v>
      </x:c>
      <x:c r="F1923" s="7" t="str">
        <x:f>'Event Phases'!M601</x:f>
        <x:v>OPEN</x:v>
      </x:c>
    </x:row>
    <x:row r="1924">
      <x:c r="B1924" s="7" t="str">
        <x:v>PHY-1918</x:v>
      </x:c>
      <x:c r="C1924" s="7" t="str">
        <x:v>event phase</x:v>
      </x:c>
      <x:c r="D1924" s="7" t="str">
        <x:v>RAE-E-25-P20</x:v>
      </x:c>
      <x:c r="E1924" s="7" t="str">
        <x:v>Event Phases!M602</x:v>
      </x:c>
      <x:c r="F1924" s="7" t="str">
        <x:f>'Event Phases'!M602</x:f>
        <x:v>OPEN</x:v>
      </x:c>
    </x:row>
    <x:row r="1925">
      <x:c r="B1925" s="7" t="str">
        <x:v>PHY-1919</x:v>
      </x:c>
      <x:c r="C1925" s="7" t="str">
        <x:v>event phase</x:v>
      </x:c>
      <x:c r="D1925" s="7" t="str">
        <x:v>RAE-E-25-P21</x:v>
      </x:c>
      <x:c r="E1925" s="7" t="str">
        <x:v>Event Phases!M603</x:v>
      </x:c>
      <x:c r="F1925" s="7" t="str">
        <x:f>'Event Phases'!M603</x:f>
        <x:v>OPEN</x:v>
      </x:c>
    </x:row>
    <x:row r="1926">
      <x:c r="B1926" s="7" t="str">
        <x:v>PHY-1920</x:v>
      </x:c>
      <x:c r="C1926" s="7" t="str">
        <x:v>event phase</x:v>
      </x:c>
      <x:c r="D1926" s="7" t="str">
        <x:v>RAE-E-25-P22</x:v>
      </x:c>
      <x:c r="E1926" s="7" t="str">
        <x:v>Event Phases!M604</x:v>
      </x:c>
      <x:c r="F1926" s="7" t="str">
        <x:f>'Event Phases'!M604</x:f>
        <x:v>OPEN</x:v>
      </x:c>
    </x:row>
    <x:row r="1927">
      <x:c r="B1927" s="7" t="str">
        <x:v>PHY-1921</x:v>
      </x:c>
      <x:c r="C1927" s="7" t="str">
        <x:v>event phase</x:v>
      </x:c>
      <x:c r="D1927" s="7" t="str">
        <x:v>RAE-E-25-P23</x:v>
      </x:c>
      <x:c r="E1927" s="7" t="str">
        <x:v>Event Phases!M605</x:v>
      </x:c>
      <x:c r="F1927" s="7" t="str">
        <x:f>'Event Phases'!M605</x:f>
        <x:v>OPEN</x:v>
      </x:c>
    </x:row>
    <x:row r="1928">
      <x:c r="B1928" s="7" t="str">
        <x:v>PHY-1922</x:v>
      </x:c>
      <x:c r="C1928" s="7" t="str">
        <x:v>event phase</x:v>
      </x:c>
      <x:c r="D1928" s="7" t="str">
        <x:v>RAE-E-25-P24</x:v>
      </x:c>
      <x:c r="E1928" s="7" t="str">
        <x:v>Event Phases!M606</x:v>
      </x:c>
      <x:c r="F1928" s="7" t="str">
        <x:f>'Event Phases'!M606</x:f>
        <x:v>OPEN</x:v>
      </x:c>
    </x:row>
    <x:row r="1929">
      <x:c r="B1929" s="7" t="str">
        <x:v>PHY-1923</x:v>
      </x:c>
      <x:c r="C1929" s="7" t="str">
        <x:v>event phase</x:v>
      </x:c>
      <x:c r="D1929" s="7" t="str">
        <x:v>RAE-E-26-P01</x:v>
      </x:c>
      <x:c r="E1929" s="7" t="str">
        <x:v>Event Phases!M607</x:v>
      </x:c>
      <x:c r="F1929" s="7" t="str">
        <x:f>'Event Phases'!M607</x:f>
        <x:v>OPEN</x:v>
      </x:c>
    </x:row>
    <x:row r="1930">
      <x:c r="B1930" s="7" t="str">
        <x:v>PHY-1924</x:v>
      </x:c>
      <x:c r="C1930" s="7" t="str">
        <x:v>event phase</x:v>
      </x:c>
      <x:c r="D1930" s="7" t="str">
        <x:v>RAE-E-26-P02</x:v>
      </x:c>
      <x:c r="E1930" s="7" t="str">
        <x:v>Event Phases!M608</x:v>
      </x:c>
      <x:c r="F1930" s="7" t="str">
        <x:f>'Event Phases'!M608</x:f>
        <x:v>OPEN</x:v>
      </x:c>
    </x:row>
    <x:row r="1931">
      <x:c r="B1931" s="7" t="str">
        <x:v>PHY-1925</x:v>
      </x:c>
      <x:c r="C1931" s="7" t="str">
        <x:v>event phase</x:v>
      </x:c>
      <x:c r="D1931" s="7" t="str">
        <x:v>RAE-E-26-P03</x:v>
      </x:c>
      <x:c r="E1931" s="7" t="str">
        <x:v>Event Phases!M609</x:v>
      </x:c>
      <x:c r="F1931" s="7" t="str">
        <x:f>'Event Phases'!M609</x:f>
        <x:v>OPEN</x:v>
      </x:c>
    </x:row>
    <x:row r="1932">
      <x:c r="B1932" s="7" t="str">
        <x:v>PHY-1926</x:v>
      </x:c>
      <x:c r="C1932" s="7" t="str">
        <x:v>event phase</x:v>
      </x:c>
      <x:c r="D1932" s="7" t="str">
        <x:v>RAE-E-26-P04</x:v>
      </x:c>
      <x:c r="E1932" s="7" t="str">
        <x:v>Event Phases!M610</x:v>
      </x:c>
      <x:c r="F1932" s="7" t="str">
        <x:f>'Event Phases'!M610</x:f>
        <x:v>OPEN</x:v>
      </x:c>
    </x:row>
    <x:row r="1933">
      <x:c r="B1933" s="7" t="str">
        <x:v>PHY-1927</x:v>
      </x:c>
      <x:c r="C1933" s="7" t="str">
        <x:v>event phase</x:v>
      </x:c>
      <x:c r="D1933" s="7" t="str">
        <x:v>RAE-E-26-P05</x:v>
      </x:c>
      <x:c r="E1933" s="7" t="str">
        <x:v>Event Phases!M611</x:v>
      </x:c>
      <x:c r="F1933" s="7" t="str">
        <x:f>'Event Phases'!M611</x:f>
        <x:v>OPEN</x:v>
      </x:c>
    </x:row>
    <x:row r="1934">
      <x:c r="B1934" s="7" t="str">
        <x:v>PHY-1928</x:v>
      </x:c>
      <x:c r="C1934" s="7" t="str">
        <x:v>event phase</x:v>
      </x:c>
      <x:c r="D1934" s="7" t="str">
        <x:v>RAE-E-26-P06</x:v>
      </x:c>
      <x:c r="E1934" s="7" t="str">
        <x:v>Event Phases!M612</x:v>
      </x:c>
      <x:c r="F1934" s="7" t="str">
        <x:f>'Event Phases'!M612</x:f>
        <x:v>OPEN</x:v>
      </x:c>
    </x:row>
    <x:row r="1935">
      <x:c r="B1935" s="7" t="str">
        <x:v>PHY-1929</x:v>
      </x:c>
      <x:c r="C1935" s="7" t="str">
        <x:v>event phase</x:v>
      </x:c>
      <x:c r="D1935" s="7" t="str">
        <x:v>RAE-E-26-P07</x:v>
      </x:c>
      <x:c r="E1935" s="7" t="str">
        <x:v>Event Phases!M613</x:v>
      </x:c>
      <x:c r="F1935" s="7" t="str">
        <x:f>'Event Phases'!M613</x:f>
        <x:v>OPEN</x:v>
      </x:c>
    </x:row>
    <x:row r="1936">
      <x:c r="B1936" s="7" t="str">
        <x:v>PHY-1930</x:v>
      </x:c>
      <x:c r="C1936" s="7" t="str">
        <x:v>event phase</x:v>
      </x:c>
      <x:c r="D1936" s="7" t="str">
        <x:v>RAE-E-26-P08</x:v>
      </x:c>
      <x:c r="E1936" s="7" t="str">
        <x:v>Event Phases!M614</x:v>
      </x:c>
      <x:c r="F1936" s="7" t="str">
        <x:f>'Event Phases'!M614</x:f>
        <x:v>OPEN</x:v>
      </x:c>
    </x:row>
    <x:row r="1937">
      <x:c r="B1937" s="7" t="str">
        <x:v>PHY-1931</x:v>
      </x:c>
      <x:c r="C1937" s="7" t="str">
        <x:v>event phase</x:v>
      </x:c>
      <x:c r="D1937" s="7" t="str">
        <x:v>RAE-E-26-P09</x:v>
      </x:c>
      <x:c r="E1937" s="7" t="str">
        <x:v>Event Phases!M615</x:v>
      </x:c>
      <x:c r="F1937" s="7" t="str">
        <x:f>'Event Phases'!M615</x:f>
        <x:v>OPEN</x:v>
      </x:c>
    </x:row>
    <x:row r="1938">
      <x:c r="B1938" s="7" t="str">
        <x:v>PHY-1932</x:v>
      </x:c>
      <x:c r="C1938" s="7" t="str">
        <x:v>event phase</x:v>
      </x:c>
      <x:c r="D1938" s="7" t="str">
        <x:v>RAE-E-26-P10</x:v>
      </x:c>
      <x:c r="E1938" s="7" t="str">
        <x:v>Event Phases!M616</x:v>
      </x:c>
      <x:c r="F1938" s="7" t="str">
        <x:f>'Event Phases'!M616</x:f>
        <x:v>OPEN</x:v>
      </x:c>
    </x:row>
    <x:row r="1939">
      <x:c r="B1939" s="7" t="str">
        <x:v>PHY-1933</x:v>
      </x:c>
      <x:c r="C1939" s="7" t="str">
        <x:v>event phase</x:v>
      </x:c>
      <x:c r="D1939" s="7" t="str">
        <x:v>RAE-E-26-P11</x:v>
      </x:c>
      <x:c r="E1939" s="7" t="str">
        <x:v>Event Phases!M617</x:v>
      </x:c>
      <x:c r="F1939" s="7" t="str">
        <x:f>'Event Phases'!M617</x:f>
        <x:v>OPEN</x:v>
      </x:c>
    </x:row>
    <x:row r="1940">
      <x:c r="B1940" s="7" t="str">
        <x:v>PHY-1934</x:v>
      </x:c>
      <x:c r="C1940" s="7" t="str">
        <x:v>event phase</x:v>
      </x:c>
      <x:c r="D1940" s="7" t="str">
        <x:v>RAE-E-26-P12</x:v>
      </x:c>
      <x:c r="E1940" s="7" t="str">
        <x:v>Event Phases!M618</x:v>
      </x:c>
      <x:c r="F1940" s="7" t="str">
        <x:f>'Event Phases'!M618</x:f>
        <x:v>OPEN</x:v>
      </x:c>
    </x:row>
    <x:row r="1941">
      <x:c r="B1941" s="7" t="str">
        <x:v>PHY-1935</x:v>
      </x:c>
      <x:c r="C1941" s="7" t="str">
        <x:v>event phase</x:v>
      </x:c>
      <x:c r="D1941" s="7" t="str">
        <x:v>RAE-E-26-P13</x:v>
      </x:c>
      <x:c r="E1941" s="7" t="str">
        <x:v>Event Phases!M619</x:v>
      </x:c>
      <x:c r="F1941" s="7" t="str">
        <x:f>'Event Phases'!M619</x:f>
        <x:v>OPEN</x:v>
      </x:c>
    </x:row>
    <x:row r="1942">
      <x:c r="B1942" s="7" t="str">
        <x:v>PHY-1936</x:v>
      </x:c>
      <x:c r="C1942" s="7" t="str">
        <x:v>event phase</x:v>
      </x:c>
      <x:c r="D1942" s="7" t="str">
        <x:v>RAE-E-26-P14</x:v>
      </x:c>
      <x:c r="E1942" s="7" t="str">
        <x:v>Event Phases!M620</x:v>
      </x:c>
      <x:c r="F1942" s="7" t="str">
        <x:f>'Event Phases'!M620</x:f>
        <x:v>OPEN</x:v>
      </x:c>
    </x:row>
    <x:row r="1943">
      <x:c r="B1943" s="7" t="str">
        <x:v>PHY-1937</x:v>
      </x:c>
      <x:c r="C1943" s="7" t="str">
        <x:v>event phase</x:v>
      </x:c>
      <x:c r="D1943" s="7" t="str">
        <x:v>RAE-E-26-P15</x:v>
      </x:c>
      <x:c r="E1943" s="7" t="str">
        <x:v>Event Phases!M621</x:v>
      </x:c>
      <x:c r="F1943" s="7" t="str">
        <x:f>'Event Phases'!M621</x:f>
        <x:v>OPEN</x:v>
      </x:c>
    </x:row>
    <x:row r="1944">
      <x:c r="B1944" s="7" t="str">
        <x:v>PHY-1938</x:v>
      </x:c>
      <x:c r="C1944" s="7" t="str">
        <x:v>event phase</x:v>
      </x:c>
      <x:c r="D1944" s="7" t="str">
        <x:v>RAE-E-26-P16</x:v>
      </x:c>
      <x:c r="E1944" s="7" t="str">
        <x:v>Event Phases!M622</x:v>
      </x:c>
      <x:c r="F1944" s="7" t="str">
        <x:f>'Event Phases'!M622</x:f>
        <x:v>OPEN</x:v>
      </x:c>
    </x:row>
    <x:row r="1945">
      <x:c r="B1945" s="7" t="str">
        <x:v>PHY-1939</x:v>
      </x:c>
      <x:c r="C1945" s="7" t="str">
        <x:v>event phase</x:v>
      </x:c>
      <x:c r="D1945" s="7" t="str">
        <x:v>RAE-E-26-P17</x:v>
      </x:c>
      <x:c r="E1945" s="7" t="str">
        <x:v>Event Phases!M623</x:v>
      </x:c>
      <x:c r="F1945" s="7" t="str">
        <x:f>'Event Phases'!M623</x:f>
        <x:v>OPEN</x:v>
      </x:c>
    </x:row>
    <x:row r="1946">
      <x:c r="B1946" s="7" t="str">
        <x:v>PHY-1940</x:v>
      </x:c>
      <x:c r="C1946" s="7" t="str">
        <x:v>event phase</x:v>
      </x:c>
      <x:c r="D1946" s="7" t="str">
        <x:v>RAE-E-26-P18</x:v>
      </x:c>
      <x:c r="E1946" s="7" t="str">
        <x:v>Event Phases!M624</x:v>
      </x:c>
      <x:c r="F1946" s="7" t="str">
        <x:f>'Event Phases'!M624</x:f>
        <x:v>OPEN</x:v>
      </x:c>
    </x:row>
    <x:row r="1947">
      <x:c r="B1947" s="7" t="str">
        <x:v>PHY-1941</x:v>
      </x:c>
      <x:c r="C1947" s="7" t="str">
        <x:v>event phase</x:v>
      </x:c>
      <x:c r="D1947" s="7" t="str">
        <x:v>RAE-E-26-P19</x:v>
      </x:c>
      <x:c r="E1947" s="7" t="str">
        <x:v>Event Phases!M625</x:v>
      </x:c>
      <x:c r="F1947" s="7" t="str">
        <x:f>'Event Phases'!M625</x:f>
        <x:v>OPEN</x:v>
      </x:c>
    </x:row>
    <x:row r="1948">
      <x:c r="B1948" s="7" t="str">
        <x:v>PHY-1942</x:v>
      </x:c>
      <x:c r="C1948" s="7" t="str">
        <x:v>event phase</x:v>
      </x:c>
      <x:c r="D1948" s="7" t="str">
        <x:v>RAE-E-26-P20</x:v>
      </x:c>
      <x:c r="E1948" s="7" t="str">
        <x:v>Event Phases!M626</x:v>
      </x:c>
      <x:c r="F1948" s="7" t="str">
        <x:f>'Event Phases'!M626</x:f>
        <x:v>OPEN</x:v>
      </x:c>
    </x:row>
    <x:row r="1949">
      <x:c r="B1949" s="7" t="str">
        <x:v>PHY-1943</x:v>
      </x:c>
      <x:c r="C1949" s="7" t="str">
        <x:v>event phase</x:v>
      </x:c>
      <x:c r="D1949" s="7" t="str">
        <x:v>RAE-E-26-P21</x:v>
      </x:c>
      <x:c r="E1949" s="7" t="str">
        <x:v>Event Phases!M627</x:v>
      </x:c>
      <x:c r="F1949" s="7" t="str">
        <x:f>'Event Phases'!M627</x:f>
        <x:v>OPEN</x:v>
      </x:c>
    </x:row>
    <x:row r="1950">
      <x:c r="B1950" s="7" t="str">
        <x:v>PHY-1944</x:v>
      </x:c>
      <x:c r="C1950" s="7" t="str">
        <x:v>event phase</x:v>
      </x:c>
      <x:c r="D1950" s="7" t="str">
        <x:v>RAE-E-26-P22</x:v>
      </x:c>
      <x:c r="E1950" s="7" t="str">
        <x:v>Event Phases!M628</x:v>
      </x:c>
      <x:c r="F1950" s="7" t="str">
        <x:f>'Event Phases'!M628</x:f>
        <x:v>OPEN</x:v>
      </x:c>
    </x:row>
    <x:row r="1951">
      <x:c r="B1951" s="7" t="str">
        <x:v>PHY-1945</x:v>
      </x:c>
      <x:c r="C1951" s="7" t="str">
        <x:v>event phase</x:v>
      </x:c>
      <x:c r="D1951" s="7" t="str">
        <x:v>RAE-E-26-P23</x:v>
      </x:c>
      <x:c r="E1951" s="7" t="str">
        <x:v>Event Phases!M629</x:v>
      </x:c>
      <x:c r="F1951" s="7" t="str">
        <x:f>'Event Phases'!M629</x:f>
        <x:v>OPEN</x:v>
      </x:c>
    </x:row>
    <x:row r="1952">
      <x:c r="B1952" s="7" t="str">
        <x:v>PHY-1946</x:v>
      </x:c>
      <x:c r="C1952" s="7" t="str">
        <x:v>event phase</x:v>
      </x:c>
      <x:c r="D1952" s="7" t="str">
        <x:v>RAE-E-26-P24</x:v>
      </x:c>
      <x:c r="E1952" s="7" t="str">
        <x:v>Event Phases!M630</x:v>
      </x:c>
      <x:c r="F1952" s="7" t="str">
        <x:f>'Event Phases'!M630</x:f>
        <x:v>OPEN</x:v>
      </x:c>
    </x:row>
    <x:row r="1953">
      <x:c r="B1953" s="7" t="str">
        <x:v>PHY-1947</x:v>
      </x:c>
      <x:c r="C1953" s="7" t="str">
        <x:v>event phase</x:v>
      </x:c>
      <x:c r="D1953" s="7" t="str">
        <x:v>RAE-E-27-P01</x:v>
      </x:c>
      <x:c r="E1953" s="7" t="str">
        <x:v>Event Phases!M631</x:v>
      </x:c>
      <x:c r="F1953" s="7" t="str">
        <x:f>'Event Phases'!M631</x:f>
        <x:v>OPEN</x:v>
      </x:c>
    </x:row>
    <x:row r="1954">
      <x:c r="B1954" s="7" t="str">
        <x:v>PHY-1948</x:v>
      </x:c>
      <x:c r="C1954" s="7" t="str">
        <x:v>event phase</x:v>
      </x:c>
      <x:c r="D1954" s="7" t="str">
        <x:v>RAE-E-27-P02</x:v>
      </x:c>
      <x:c r="E1954" s="7" t="str">
        <x:v>Event Phases!M632</x:v>
      </x:c>
      <x:c r="F1954" s="7" t="str">
        <x:f>'Event Phases'!M632</x:f>
        <x:v>OPEN</x:v>
      </x:c>
    </x:row>
    <x:row r="1955">
      <x:c r="B1955" s="7" t="str">
        <x:v>PHY-1949</x:v>
      </x:c>
      <x:c r="C1955" s="7" t="str">
        <x:v>event phase</x:v>
      </x:c>
      <x:c r="D1955" s="7" t="str">
        <x:v>RAE-E-27-P03</x:v>
      </x:c>
      <x:c r="E1955" s="7" t="str">
        <x:v>Event Phases!M633</x:v>
      </x:c>
      <x:c r="F1955" s="7" t="str">
        <x:f>'Event Phases'!M633</x:f>
        <x:v>OPEN</x:v>
      </x:c>
    </x:row>
    <x:row r="1956">
      <x:c r="B1956" s="7" t="str">
        <x:v>PHY-1950</x:v>
      </x:c>
      <x:c r="C1956" s="7" t="str">
        <x:v>event phase</x:v>
      </x:c>
      <x:c r="D1956" s="7" t="str">
        <x:v>RAE-E-27-P04</x:v>
      </x:c>
      <x:c r="E1956" s="7" t="str">
        <x:v>Event Phases!M634</x:v>
      </x:c>
      <x:c r="F1956" s="7" t="str">
        <x:f>'Event Phases'!M634</x:f>
        <x:v>OPEN</x:v>
      </x:c>
    </x:row>
    <x:row r="1957">
      <x:c r="B1957" s="7" t="str">
        <x:v>PHY-1951</x:v>
      </x:c>
      <x:c r="C1957" s="7" t="str">
        <x:v>event phase</x:v>
      </x:c>
      <x:c r="D1957" s="7" t="str">
        <x:v>RAE-E-27-P05</x:v>
      </x:c>
      <x:c r="E1957" s="7" t="str">
        <x:v>Event Phases!M635</x:v>
      </x:c>
      <x:c r="F1957" s="7" t="str">
        <x:f>'Event Phases'!M635</x:f>
        <x:v>OPEN</x:v>
      </x:c>
    </x:row>
    <x:row r="1958">
      <x:c r="B1958" s="7" t="str">
        <x:v>PHY-1952</x:v>
      </x:c>
      <x:c r="C1958" s="7" t="str">
        <x:v>event phase</x:v>
      </x:c>
      <x:c r="D1958" s="7" t="str">
        <x:v>RAE-E-27-P06</x:v>
      </x:c>
      <x:c r="E1958" s="7" t="str">
        <x:v>Event Phases!M636</x:v>
      </x:c>
      <x:c r="F1958" s="7" t="str">
        <x:f>'Event Phases'!M636</x:f>
        <x:v>OPEN</x:v>
      </x:c>
    </x:row>
    <x:row r="1959">
      <x:c r="B1959" s="7" t="str">
        <x:v>PHY-1953</x:v>
      </x:c>
      <x:c r="C1959" s="7" t="str">
        <x:v>event phase</x:v>
      </x:c>
      <x:c r="D1959" s="7" t="str">
        <x:v>RAE-E-27-P07</x:v>
      </x:c>
      <x:c r="E1959" s="7" t="str">
        <x:v>Event Phases!M637</x:v>
      </x:c>
      <x:c r="F1959" s="7" t="str">
        <x:f>'Event Phases'!M637</x:f>
        <x:v>OPEN</x:v>
      </x:c>
    </x:row>
    <x:row r="1960">
      <x:c r="B1960" s="7" t="str">
        <x:v>PHY-1954</x:v>
      </x:c>
      <x:c r="C1960" s="7" t="str">
        <x:v>event phase</x:v>
      </x:c>
      <x:c r="D1960" s="7" t="str">
        <x:v>RAE-E-27-P08</x:v>
      </x:c>
      <x:c r="E1960" s="7" t="str">
        <x:v>Event Phases!M638</x:v>
      </x:c>
      <x:c r="F1960" s="7" t="str">
        <x:f>'Event Phases'!M638</x:f>
        <x:v>OPEN</x:v>
      </x:c>
    </x:row>
    <x:row r="1961">
      <x:c r="B1961" s="7" t="str">
        <x:v>PHY-1955</x:v>
      </x:c>
      <x:c r="C1961" s="7" t="str">
        <x:v>event phase</x:v>
      </x:c>
      <x:c r="D1961" s="7" t="str">
        <x:v>RAE-E-27-P09</x:v>
      </x:c>
      <x:c r="E1961" s="7" t="str">
        <x:v>Event Phases!M639</x:v>
      </x:c>
      <x:c r="F1961" s="7" t="str">
        <x:f>'Event Phases'!M639</x:f>
        <x:v>OPEN</x:v>
      </x:c>
    </x:row>
    <x:row r="1962">
      <x:c r="B1962" s="7" t="str">
        <x:v>PHY-1956</x:v>
      </x:c>
      <x:c r="C1962" s="7" t="str">
        <x:v>event phase</x:v>
      </x:c>
      <x:c r="D1962" s="7" t="str">
        <x:v>RAE-E-27-P10</x:v>
      </x:c>
      <x:c r="E1962" s="7" t="str">
        <x:v>Event Phases!M640</x:v>
      </x:c>
      <x:c r="F1962" s="7" t="str">
        <x:f>'Event Phases'!M640</x:f>
        <x:v>OPEN</x:v>
      </x:c>
    </x:row>
    <x:row r="1963">
      <x:c r="B1963" s="7" t="str">
        <x:v>PHY-1957</x:v>
      </x:c>
      <x:c r="C1963" s="7" t="str">
        <x:v>event phase</x:v>
      </x:c>
      <x:c r="D1963" s="7" t="str">
        <x:v>RAE-E-27-P11</x:v>
      </x:c>
      <x:c r="E1963" s="7" t="str">
        <x:v>Event Phases!M641</x:v>
      </x:c>
      <x:c r="F1963" s="7" t="str">
        <x:f>'Event Phases'!M641</x:f>
        <x:v>OPEN</x:v>
      </x:c>
    </x:row>
    <x:row r="1964">
      <x:c r="B1964" s="7" t="str">
        <x:v>PHY-1958</x:v>
      </x:c>
      <x:c r="C1964" s="7" t="str">
        <x:v>event phase</x:v>
      </x:c>
      <x:c r="D1964" s="7" t="str">
        <x:v>RAE-E-27-P12</x:v>
      </x:c>
      <x:c r="E1964" s="7" t="str">
        <x:v>Event Phases!M642</x:v>
      </x:c>
      <x:c r="F1964" s="7" t="str">
        <x:f>'Event Phases'!M642</x:f>
        <x:v>OPEN</x:v>
      </x:c>
    </x:row>
    <x:row r="1965">
      <x:c r="B1965" s="7" t="str">
        <x:v>PHY-1959</x:v>
      </x:c>
      <x:c r="C1965" s="7" t="str">
        <x:v>event phase</x:v>
      </x:c>
      <x:c r="D1965" s="7" t="str">
        <x:v>RAE-E-27-P13</x:v>
      </x:c>
      <x:c r="E1965" s="7" t="str">
        <x:v>Event Phases!M643</x:v>
      </x:c>
      <x:c r="F1965" s="7" t="str">
        <x:f>'Event Phases'!M643</x:f>
        <x:v>OPEN</x:v>
      </x:c>
    </x:row>
    <x:row r="1966">
      <x:c r="B1966" s="7" t="str">
        <x:v>PHY-1960</x:v>
      </x:c>
      <x:c r="C1966" s="7" t="str">
        <x:v>event phase</x:v>
      </x:c>
      <x:c r="D1966" s="7" t="str">
        <x:v>RAE-E-27-P14</x:v>
      </x:c>
      <x:c r="E1966" s="7" t="str">
        <x:v>Event Phases!M644</x:v>
      </x:c>
      <x:c r="F1966" s="7" t="str">
        <x:f>'Event Phases'!M644</x:f>
        <x:v>OPEN</x:v>
      </x:c>
    </x:row>
    <x:row r="1967">
      <x:c r="B1967" s="7" t="str">
        <x:v>PHY-1961</x:v>
      </x:c>
      <x:c r="C1967" s="7" t="str">
        <x:v>event phase</x:v>
      </x:c>
      <x:c r="D1967" s="7" t="str">
        <x:v>RAE-E-27-P15</x:v>
      </x:c>
      <x:c r="E1967" s="7" t="str">
        <x:v>Event Phases!M645</x:v>
      </x:c>
      <x:c r="F1967" s="7" t="str">
        <x:f>'Event Phases'!M645</x:f>
        <x:v>OPEN</x:v>
      </x:c>
    </x:row>
    <x:row r="1968">
      <x:c r="B1968" s="7" t="str">
        <x:v>PHY-1962</x:v>
      </x:c>
      <x:c r="C1968" s="7" t="str">
        <x:v>event phase</x:v>
      </x:c>
      <x:c r="D1968" s="7" t="str">
        <x:v>RAE-E-27-P16</x:v>
      </x:c>
      <x:c r="E1968" s="7" t="str">
        <x:v>Event Phases!M646</x:v>
      </x:c>
      <x:c r="F1968" s="7" t="str">
        <x:f>'Event Phases'!M646</x:f>
        <x:v>OPEN</x:v>
      </x:c>
    </x:row>
    <x:row r="1969">
      <x:c r="B1969" s="7" t="str">
        <x:v>PHY-1963</x:v>
      </x:c>
      <x:c r="C1969" s="7" t="str">
        <x:v>event phase</x:v>
      </x:c>
      <x:c r="D1969" s="7" t="str">
        <x:v>RAE-E-27-P17</x:v>
      </x:c>
      <x:c r="E1969" s="7" t="str">
        <x:v>Event Phases!M647</x:v>
      </x:c>
      <x:c r="F1969" s="7" t="str">
        <x:f>'Event Phases'!M647</x:f>
        <x:v>OPEN</x:v>
      </x:c>
    </x:row>
    <x:row r="1970">
      <x:c r="B1970" s="7" t="str">
        <x:v>PHY-1964</x:v>
      </x:c>
      <x:c r="C1970" s="7" t="str">
        <x:v>event phase</x:v>
      </x:c>
      <x:c r="D1970" s="7" t="str">
        <x:v>RAE-E-27-P18</x:v>
      </x:c>
      <x:c r="E1970" s="7" t="str">
        <x:v>Event Phases!M648</x:v>
      </x:c>
      <x:c r="F1970" s="7" t="str">
        <x:f>'Event Phases'!M648</x:f>
        <x:v>OPEN</x:v>
      </x:c>
    </x:row>
    <x:row r="1971">
      <x:c r="B1971" s="7" t="str">
        <x:v>PHY-1965</x:v>
      </x:c>
      <x:c r="C1971" s="7" t="str">
        <x:v>event phase</x:v>
      </x:c>
      <x:c r="D1971" s="7" t="str">
        <x:v>RAE-E-27-P19</x:v>
      </x:c>
      <x:c r="E1971" s="7" t="str">
        <x:v>Event Phases!M649</x:v>
      </x:c>
      <x:c r="F1971" s="7" t="str">
        <x:f>'Event Phases'!M649</x:f>
        <x:v>OPEN</x:v>
      </x:c>
    </x:row>
    <x:row r="1972">
      <x:c r="B1972" s="7" t="str">
        <x:v>PHY-1966</x:v>
      </x:c>
      <x:c r="C1972" s="7" t="str">
        <x:v>event phase</x:v>
      </x:c>
      <x:c r="D1972" s="7" t="str">
        <x:v>RAE-E-27-P20</x:v>
      </x:c>
      <x:c r="E1972" s="7" t="str">
        <x:v>Event Phases!M650</x:v>
      </x:c>
      <x:c r="F1972" s="7" t="str">
        <x:f>'Event Phases'!M650</x:f>
        <x:v>OPEN</x:v>
      </x:c>
    </x:row>
    <x:row r="1973">
      <x:c r="B1973" s="7" t="str">
        <x:v>PHY-1967</x:v>
      </x:c>
      <x:c r="C1973" s="7" t="str">
        <x:v>event phase</x:v>
      </x:c>
      <x:c r="D1973" s="7" t="str">
        <x:v>RAE-E-27-P21</x:v>
      </x:c>
      <x:c r="E1973" s="7" t="str">
        <x:v>Event Phases!M651</x:v>
      </x:c>
      <x:c r="F1973" s="7" t="str">
        <x:f>'Event Phases'!M651</x:f>
        <x:v>OPEN</x:v>
      </x:c>
    </x:row>
    <x:row r="1974">
      <x:c r="B1974" s="7" t="str">
        <x:v>PHY-1968</x:v>
      </x:c>
      <x:c r="C1974" s="7" t="str">
        <x:v>event phase</x:v>
      </x:c>
      <x:c r="D1974" s="7" t="str">
        <x:v>RAE-E-27-P22</x:v>
      </x:c>
      <x:c r="E1974" s="7" t="str">
        <x:v>Event Phases!M652</x:v>
      </x:c>
      <x:c r="F1974" s="7" t="str">
        <x:f>'Event Phases'!M652</x:f>
        <x:v>OPEN</x:v>
      </x:c>
    </x:row>
    <x:row r="1975">
      <x:c r="B1975" s="7" t="str">
        <x:v>PHY-1969</x:v>
      </x:c>
      <x:c r="C1975" s="7" t="str">
        <x:v>event phase</x:v>
      </x:c>
      <x:c r="D1975" s="7" t="str">
        <x:v>RAE-E-27-P23</x:v>
      </x:c>
      <x:c r="E1975" s="7" t="str">
        <x:v>Event Phases!M653</x:v>
      </x:c>
      <x:c r="F1975" s="7" t="str">
        <x:f>'Event Phases'!M653</x:f>
        <x:v>OPEN</x:v>
      </x:c>
    </x:row>
    <x:row r="1976">
      <x:c r="B1976" s="7" t="str">
        <x:v>PHY-1970</x:v>
      </x:c>
      <x:c r="C1976" s="7" t="str">
        <x:v>event phase</x:v>
      </x:c>
      <x:c r="D1976" s="7" t="str">
        <x:v>RAE-E-27-P24</x:v>
      </x:c>
      <x:c r="E1976" s="7" t="str">
        <x:v>Event Phases!M654</x:v>
      </x:c>
      <x:c r="F1976" s="7" t="str">
        <x:f>'Event Phases'!M654</x:f>
        <x:v>OPEN</x:v>
      </x:c>
    </x:row>
    <x:row r="1977">
      <x:c r="B1977" s="7" t="str">
        <x:v>PHY-1971</x:v>
      </x:c>
      <x:c r="C1977" s="7" t="str">
        <x:v>event phase</x:v>
      </x:c>
      <x:c r="D1977" s="7" t="str">
        <x:v>RAE-E-28-P01</x:v>
      </x:c>
      <x:c r="E1977" s="7" t="str">
        <x:v>Event Phases!M655</x:v>
      </x:c>
      <x:c r="F1977" s="7" t="str">
        <x:f>'Event Phases'!M655</x:f>
        <x:v>OPEN</x:v>
      </x:c>
    </x:row>
    <x:row r="1978">
      <x:c r="B1978" s="7" t="str">
        <x:v>PHY-1972</x:v>
      </x:c>
      <x:c r="C1978" s="7" t="str">
        <x:v>event phase</x:v>
      </x:c>
      <x:c r="D1978" s="7" t="str">
        <x:v>RAE-E-28-P02</x:v>
      </x:c>
      <x:c r="E1978" s="7" t="str">
        <x:v>Event Phases!M656</x:v>
      </x:c>
      <x:c r="F1978" s="7" t="str">
        <x:f>'Event Phases'!M656</x:f>
        <x:v>OPEN</x:v>
      </x:c>
    </x:row>
    <x:row r="1979">
      <x:c r="B1979" s="7" t="str">
        <x:v>PHY-1973</x:v>
      </x:c>
      <x:c r="C1979" s="7" t="str">
        <x:v>event phase</x:v>
      </x:c>
      <x:c r="D1979" s="7" t="str">
        <x:v>RAE-E-28-P03</x:v>
      </x:c>
      <x:c r="E1979" s="7" t="str">
        <x:v>Event Phases!M657</x:v>
      </x:c>
      <x:c r="F1979" s="7" t="str">
        <x:f>'Event Phases'!M657</x:f>
        <x:v>OPEN</x:v>
      </x:c>
    </x:row>
    <x:row r="1980">
      <x:c r="B1980" s="7" t="str">
        <x:v>PHY-1974</x:v>
      </x:c>
      <x:c r="C1980" s="7" t="str">
        <x:v>event phase</x:v>
      </x:c>
      <x:c r="D1980" s="7" t="str">
        <x:v>RAE-E-28-P04</x:v>
      </x:c>
      <x:c r="E1980" s="7" t="str">
        <x:v>Event Phases!M658</x:v>
      </x:c>
      <x:c r="F1980" s="7" t="str">
        <x:f>'Event Phases'!M658</x:f>
        <x:v>OPEN</x:v>
      </x:c>
    </x:row>
    <x:row r="1981">
      <x:c r="B1981" s="7" t="str">
        <x:v>PHY-1975</x:v>
      </x:c>
      <x:c r="C1981" s="7" t="str">
        <x:v>event phase</x:v>
      </x:c>
      <x:c r="D1981" s="7" t="str">
        <x:v>RAE-E-28-P05</x:v>
      </x:c>
      <x:c r="E1981" s="7" t="str">
        <x:v>Event Phases!M659</x:v>
      </x:c>
      <x:c r="F1981" s="7" t="str">
        <x:f>'Event Phases'!M659</x:f>
        <x:v>OPEN</x:v>
      </x:c>
    </x:row>
    <x:row r="1982">
      <x:c r="B1982" s="7" t="str">
        <x:v>PHY-1976</x:v>
      </x:c>
      <x:c r="C1982" s="7" t="str">
        <x:v>event phase</x:v>
      </x:c>
      <x:c r="D1982" s="7" t="str">
        <x:v>RAE-E-28-P06</x:v>
      </x:c>
      <x:c r="E1982" s="7" t="str">
        <x:v>Event Phases!M660</x:v>
      </x:c>
      <x:c r="F1982" s="7" t="str">
        <x:f>'Event Phases'!M660</x:f>
        <x:v>OPEN</x:v>
      </x:c>
    </x:row>
    <x:row r="1983">
      <x:c r="B1983" s="7" t="str">
        <x:v>PHY-1977</x:v>
      </x:c>
      <x:c r="C1983" s="7" t="str">
        <x:v>event phase</x:v>
      </x:c>
      <x:c r="D1983" s="7" t="str">
        <x:v>RAE-E-28-P07</x:v>
      </x:c>
      <x:c r="E1983" s="7" t="str">
        <x:v>Event Phases!M661</x:v>
      </x:c>
      <x:c r="F1983" s="7" t="str">
        <x:f>'Event Phases'!M661</x:f>
        <x:v>OPEN</x:v>
      </x:c>
    </x:row>
    <x:row r="1984">
      <x:c r="B1984" s="7" t="str">
        <x:v>PHY-1978</x:v>
      </x:c>
      <x:c r="C1984" s="7" t="str">
        <x:v>event phase</x:v>
      </x:c>
      <x:c r="D1984" s="7" t="str">
        <x:v>RAE-E-28-P08</x:v>
      </x:c>
      <x:c r="E1984" s="7" t="str">
        <x:v>Event Phases!M662</x:v>
      </x:c>
      <x:c r="F1984" s="7" t="str">
        <x:f>'Event Phases'!M662</x:f>
        <x:v>OPEN</x:v>
      </x:c>
    </x:row>
    <x:row r="1985">
      <x:c r="B1985" s="7" t="str">
        <x:v>PHY-1979</x:v>
      </x:c>
      <x:c r="C1985" s="7" t="str">
        <x:v>event phase</x:v>
      </x:c>
      <x:c r="D1985" s="7" t="str">
        <x:v>RAE-E-28-P09</x:v>
      </x:c>
      <x:c r="E1985" s="7" t="str">
        <x:v>Event Phases!M663</x:v>
      </x:c>
      <x:c r="F1985" s="7" t="str">
        <x:f>'Event Phases'!M663</x:f>
        <x:v>OPEN</x:v>
      </x:c>
    </x:row>
    <x:row r="1986">
      <x:c r="B1986" s="7" t="str">
        <x:v>PHY-1980</x:v>
      </x:c>
      <x:c r="C1986" s="7" t="str">
        <x:v>event phase</x:v>
      </x:c>
      <x:c r="D1986" s="7" t="str">
        <x:v>RAE-E-28-P10</x:v>
      </x:c>
      <x:c r="E1986" s="7" t="str">
        <x:v>Event Phases!M664</x:v>
      </x:c>
      <x:c r="F1986" s="7" t="str">
        <x:f>'Event Phases'!M664</x:f>
        <x:v>OPEN</x:v>
      </x:c>
    </x:row>
    <x:row r="1987">
      <x:c r="B1987" s="7" t="str">
        <x:v>PHY-1981</x:v>
      </x:c>
      <x:c r="C1987" s="7" t="str">
        <x:v>event phase</x:v>
      </x:c>
      <x:c r="D1987" s="7" t="str">
        <x:v>RAE-E-28-P11</x:v>
      </x:c>
      <x:c r="E1987" s="7" t="str">
        <x:v>Event Phases!M665</x:v>
      </x:c>
      <x:c r="F1987" s="7" t="str">
        <x:f>'Event Phases'!M665</x:f>
        <x:v>OPEN</x:v>
      </x:c>
    </x:row>
    <x:row r="1988">
      <x:c r="B1988" s="7" t="str">
        <x:v>PHY-1982</x:v>
      </x:c>
      <x:c r="C1988" s="7" t="str">
        <x:v>event phase</x:v>
      </x:c>
      <x:c r="D1988" s="7" t="str">
        <x:v>RAE-E-28-P12</x:v>
      </x:c>
      <x:c r="E1988" s="7" t="str">
        <x:v>Event Phases!M666</x:v>
      </x:c>
      <x:c r="F1988" s="7" t="str">
        <x:f>'Event Phases'!M666</x:f>
        <x:v>OPEN</x:v>
      </x:c>
    </x:row>
    <x:row r="1989">
      <x:c r="B1989" s="7" t="str">
        <x:v>PHY-1983</x:v>
      </x:c>
      <x:c r="C1989" s="7" t="str">
        <x:v>event phase</x:v>
      </x:c>
      <x:c r="D1989" s="7" t="str">
        <x:v>RAE-E-28-P13</x:v>
      </x:c>
      <x:c r="E1989" s="7" t="str">
        <x:v>Event Phases!M667</x:v>
      </x:c>
      <x:c r="F1989" s="7" t="str">
        <x:f>'Event Phases'!M667</x:f>
        <x:v>OPEN</x:v>
      </x:c>
    </x:row>
    <x:row r="1990">
      <x:c r="B1990" s="7" t="str">
        <x:v>PHY-1984</x:v>
      </x:c>
      <x:c r="C1990" s="7" t="str">
        <x:v>event phase</x:v>
      </x:c>
      <x:c r="D1990" s="7" t="str">
        <x:v>RAE-E-28-P14</x:v>
      </x:c>
      <x:c r="E1990" s="7" t="str">
        <x:v>Event Phases!M668</x:v>
      </x:c>
      <x:c r="F1990" s="7" t="str">
        <x:f>'Event Phases'!M668</x:f>
        <x:v>OPEN</x:v>
      </x:c>
    </x:row>
    <x:row r="1991">
      <x:c r="B1991" s="7" t="str">
        <x:v>PHY-1985</x:v>
      </x:c>
      <x:c r="C1991" s="7" t="str">
        <x:v>event phase</x:v>
      </x:c>
      <x:c r="D1991" s="7" t="str">
        <x:v>RAE-E-28-P15</x:v>
      </x:c>
      <x:c r="E1991" s="7" t="str">
        <x:v>Event Phases!M669</x:v>
      </x:c>
      <x:c r="F1991" s="7" t="str">
        <x:f>'Event Phases'!M669</x:f>
        <x:v>OPEN</x:v>
      </x:c>
    </x:row>
    <x:row r="1992">
      <x:c r="B1992" s="7" t="str">
        <x:v>PHY-1986</x:v>
      </x:c>
      <x:c r="C1992" s="7" t="str">
        <x:v>event phase</x:v>
      </x:c>
      <x:c r="D1992" s="7" t="str">
        <x:v>RAE-E-28-P16</x:v>
      </x:c>
      <x:c r="E1992" s="7" t="str">
        <x:v>Event Phases!M670</x:v>
      </x:c>
      <x:c r="F1992" s="7" t="str">
        <x:f>'Event Phases'!M670</x:f>
        <x:v>OPEN</x:v>
      </x:c>
    </x:row>
    <x:row r="1993">
      <x:c r="B1993" s="7" t="str">
        <x:v>PHY-1987</x:v>
      </x:c>
      <x:c r="C1993" s="7" t="str">
        <x:v>event phase</x:v>
      </x:c>
      <x:c r="D1993" s="7" t="str">
        <x:v>RAE-E-28-P17</x:v>
      </x:c>
      <x:c r="E1993" s="7" t="str">
        <x:v>Event Phases!M671</x:v>
      </x:c>
      <x:c r="F1993" s="7" t="str">
        <x:f>'Event Phases'!M671</x:f>
        <x:v>OPEN</x:v>
      </x:c>
    </x:row>
    <x:row r="1994">
      <x:c r="B1994" s="7" t="str">
        <x:v>PHY-1988</x:v>
      </x:c>
      <x:c r="C1994" s="7" t="str">
        <x:v>event phase</x:v>
      </x:c>
      <x:c r="D1994" s="7" t="str">
        <x:v>RAE-E-28-P18</x:v>
      </x:c>
      <x:c r="E1994" s="7" t="str">
        <x:v>Event Phases!M672</x:v>
      </x:c>
      <x:c r="F1994" s="7" t="str">
        <x:f>'Event Phases'!M672</x:f>
        <x:v>OPEN</x:v>
      </x:c>
    </x:row>
    <x:row r="1995">
      <x:c r="B1995" s="7" t="str">
        <x:v>PHY-1989</x:v>
      </x:c>
      <x:c r="C1995" s="7" t="str">
        <x:v>event phase</x:v>
      </x:c>
      <x:c r="D1995" s="7" t="str">
        <x:v>RAE-E-28-P19</x:v>
      </x:c>
      <x:c r="E1995" s="7" t="str">
        <x:v>Event Phases!M673</x:v>
      </x:c>
      <x:c r="F1995" s="7" t="str">
        <x:f>'Event Phases'!M673</x:f>
        <x:v>OPEN</x:v>
      </x:c>
    </x:row>
    <x:row r="1996">
      <x:c r="B1996" s="7" t="str">
        <x:v>PHY-1990</x:v>
      </x:c>
      <x:c r="C1996" s="7" t="str">
        <x:v>event phase</x:v>
      </x:c>
      <x:c r="D1996" s="7" t="str">
        <x:v>RAE-E-28-P20</x:v>
      </x:c>
      <x:c r="E1996" s="7" t="str">
        <x:v>Event Phases!M674</x:v>
      </x:c>
      <x:c r="F1996" s="7" t="str">
        <x:f>'Event Phases'!M674</x:f>
        <x:v>OPEN</x:v>
      </x:c>
    </x:row>
    <x:row r="1997">
      <x:c r="B1997" s="7" t="str">
        <x:v>PHY-1991</x:v>
      </x:c>
      <x:c r="C1997" s="7" t="str">
        <x:v>event phase</x:v>
      </x:c>
      <x:c r="D1997" s="7" t="str">
        <x:v>RAE-E-28-P21</x:v>
      </x:c>
      <x:c r="E1997" s="7" t="str">
        <x:v>Event Phases!M675</x:v>
      </x:c>
      <x:c r="F1997" s="7" t="str">
        <x:f>'Event Phases'!M675</x:f>
        <x:v>OPEN</x:v>
      </x:c>
    </x:row>
    <x:row r="1998">
      <x:c r="B1998" s="7" t="str">
        <x:v>PHY-1992</x:v>
      </x:c>
      <x:c r="C1998" s="7" t="str">
        <x:v>event phase</x:v>
      </x:c>
      <x:c r="D1998" s="7" t="str">
        <x:v>RAE-E-28-P22</x:v>
      </x:c>
      <x:c r="E1998" s="7" t="str">
        <x:v>Event Phases!M676</x:v>
      </x:c>
      <x:c r="F1998" s="7" t="str">
        <x:f>'Event Phases'!M676</x:f>
        <x:v>OPEN</x:v>
      </x:c>
    </x:row>
    <x:row r="1999">
      <x:c r="B1999" s="7" t="str">
        <x:v>PHY-1993</x:v>
      </x:c>
      <x:c r="C1999" s="7" t="str">
        <x:v>event phase</x:v>
      </x:c>
      <x:c r="D1999" s="7" t="str">
        <x:v>RAE-E-28-P23</x:v>
      </x:c>
      <x:c r="E1999" s="7" t="str">
        <x:v>Event Phases!M677</x:v>
      </x:c>
      <x:c r="F1999" s="7" t="str">
        <x:f>'Event Phases'!M677</x:f>
        <x:v>OPEN</x:v>
      </x:c>
    </x:row>
    <x:row r="2000">
      <x:c r="B2000" s="7" t="str">
        <x:v>PHY-1994</x:v>
      </x:c>
      <x:c r="C2000" s="7" t="str">
        <x:v>event phase</x:v>
      </x:c>
      <x:c r="D2000" s="7" t="str">
        <x:v>RAE-E-28-P24</x:v>
      </x:c>
      <x:c r="E2000" s="7" t="str">
        <x:v>Event Phases!M678</x:v>
      </x:c>
      <x:c r="F2000" s="7" t="str">
        <x:f>'Event Phases'!M678</x:f>
        <x:v>OPEN</x:v>
      </x:c>
    </x:row>
    <x:row r="2001">
      <x:c r="B2001" s="7" t="str">
        <x:v>PHY-1995</x:v>
      </x:c>
      <x:c r="C2001" s="7" t="str">
        <x:v>event phase</x:v>
      </x:c>
      <x:c r="D2001" s="7" t="str">
        <x:v>RAE-E-29-P01</x:v>
      </x:c>
      <x:c r="E2001" s="7" t="str">
        <x:v>Event Phases!M679</x:v>
      </x:c>
      <x:c r="F2001" s="7" t="str">
        <x:f>'Event Phases'!M679</x:f>
        <x:v>OPEN</x:v>
      </x:c>
    </x:row>
    <x:row r="2002">
      <x:c r="B2002" s="7" t="str">
        <x:v>PHY-1996</x:v>
      </x:c>
      <x:c r="C2002" s="7" t="str">
        <x:v>event phase</x:v>
      </x:c>
      <x:c r="D2002" s="7" t="str">
        <x:v>RAE-E-29-P02</x:v>
      </x:c>
      <x:c r="E2002" s="7" t="str">
        <x:v>Event Phases!M680</x:v>
      </x:c>
      <x:c r="F2002" s="7" t="str">
        <x:f>'Event Phases'!M680</x:f>
        <x:v>OPEN</x:v>
      </x:c>
    </x:row>
    <x:row r="2003">
      <x:c r="B2003" s="7" t="str">
        <x:v>PHY-1997</x:v>
      </x:c>
      <x:c r="C2003" s="7" t="str">
        <x:v>event phase</x:v>
      </x:c>
      <x:c r="D2003" s="7" t="str">
        <x:v>RAE-E-29-P03</x:v>
      </x:c>
      <x:c r="E2003" s="7" t="str">
        <x:v>Event Phases!M681</x:v>
      </x:c>
      <x:c r="F2003" s="7" t="str">
        <x:f>'Event Phases'!M681</x:f>
        <x:v>OPEN</x:v>
      </x:c>
    </x:row>
    <x:row r="2004">
      <x:c r="B2004" s="7" t="str">
        <x:v>PHY-1998</x:v>
      </x:c>
      <x:c r="C2004" s="7" t="str">
        <x:v>event phase</x:v>
      </x:c>
      <x:c r="D2004" s="7" t="str">
        <x:v>RAE-E-29-P04</x:v>
      </x:c>
      <x:c r="E2004" s="7" t="str">
        <x:v>Event Phases!M682</x:v>
      </x:c>
      <x:c r="F2004" s="7" t="str">
        <x:f>'Event Phases'!M682</x:f>
        <x:v>OPEN</x:v>
      </x:c>
    </x:row>
    <x:row r="2005">
      <x:c r="B2005" s="7" t="str">
        <x:v>PHY-1999</x:v>
      </x:c>
      <x:c r="C2005" s="7" t="str">
        <x:v>event phase</x:v>
      </x:c>
      <x:c r="D2005" s="7" t="str">
        <x:v>RAE-E-29-P05</x:v>
      </x:c>
      <x:c r="E2005" s="7" t="str">
        <x:v>Event Phases!M683</x:v>
      </x:c>
      <x:c r="F2005" s="7" t="str">
        <x:f>'Event Phases'!M683</x:f>
        <x:v>OPEN</x:v>
      </x:c>
    </x:row>
    <x:row r="2006">
      <x:c r="B2006" s="7" t="str">
        <x:v>PHY-2000</x:v>
      </x:c>
      <x:c r="C2006" s="7" t="str">
        <x:v>event phase</x:v>
      </x:c>
      <x:c r="D2006" s="7" t="str">
        <x:v>RAE-E-29-P06</x:v>
      </x:c>
      <x:c r="E2006" s="7" t="str">
        <x:v>Event Phases!M684</x:v>
      </x:c>
      <x:c r="F2006" s="7" t="str">
        <x:f>'Event Phases'!M684</x:f>
        <x:v>OPEN</x:v>
      </x:c>
    </x:row>
    <x:row r="2007">
      <x:c r="B2007" s="7" t="str">
        <x:v>PHY-2001</x:v>
      </x:c>
      <x:c r="C2007" s="7" t="str">
        <x:v>event phase</x:v>
      </x:c>
      <x:c r="D2007" s="7" t="str">
        <x:v>RAE-E-29-P07</x:v>
      </x:c>
      <x:c r="E2007" s="7" t="str">
        <x:v>Event Phases!M685</x:v>
      </x:c>
      <x:c r="F2007" s="7" t="str">
        <x:f>'Event Phases'!M685</x:f>
        <x:v>OPEN</x:v>
      </x:c>
    </x:row>
    <x:row r="2008">
      <x:c r="B2008" s="7" t="str">
        <x:v>PHY-2002</x:v>
      </x:c>
      <x:c r="C2008" s="7" t="str">
        <x:v>event phase</x:v>
      </x:c>
      <x:c r="D2008" s="7" t="str">
        <x:v>RAE-E-29-P08</x:v>
      </x:c>
      <x:c r="E2008" s="7" t="str">
        <x:v>Event Phases!M686</x:v>
      </x:c>
      <x:c r="F2008" s="7" t="str">
        <x:f>'Event Phases'!M686</x:f>
        <x:v>OPEN</x:v>
      </x:c>
    </x:row>
    <x:row r="2009">
      <x:c r="B2009" s="7" t="str">
        <x:v>PHY-2003</x:v>
      </x:c>
      <x:c r="C2009" s="7" t="str">
        <x:v>event phase</x:v>
      </x:c>
      <x:c r="D2009" s="7" t="str">
        <x:v>RAE-E-29-P09</x:v>
      </x:c>
      <x:c r="E2009" s="7" t="str">
        <x:v>Event Phases!M687</x:v>
      </x:c>
      <x:c r="F2009" s="7" t="str">
        <x:f>'Event Phases'!M687</x:f>
        <x:v>OPEN</x:v>
      </x:c>
    </x:row>
    <x:row r="2010">
      <x:c r="B2010" s="7" t="str">
        <x:v>PHY-2004</x:v>
      </x:c>
      <x:c r="C2010" s="7" t="str">
        <x:v>event phase</x:v>
      </x:c>
      <x:c r="D2010" s="7" t="str">
        <x:v>RAE-E-29-P10</x:v>
      </x:c>
      <x:c r="E2010" s="7" t="str">
        <x:v>Event Phases!M688</x:v>
      </x:c>
      <x:c r="F2010" s="7" t="str">
        <x:f>'Event Phases'!M688</x:f>
        <x:v>OPEN</x:v>
      </x:c>
    </x:row>
    <x:row r="2011">
      <x:c r="B2011" s="7" t="str">
        <x:v>PHY-2005</x:v>
      </x:c>
      <x:c r="C2011" s="7" t="str">
        <x:v>event phase</x:v>
      </x:c>
      <x:c r="D2011" s="7" t="str">
        <x:v>RAE-E-29-P11</x:v>
      </x:c>
      <x:c r="E2011" s="7" t="str">
        <x:v>Event Phases!M689</x:v>
      </x:c>
      <x:c r="F2011" s="7" t="str">
        <x:f>'Event Phases'!M689</x:f>
        <x:v>OPEN</x:v>
      </x:c>
    </x:row>
    <x:row r="2012">
      <x:c r="B2012" s="7" t="str">
        <x:v>PHY-2006</x:v>
      </x:c>
      <x:c r="C2012" s="7" t="str">
        <x:v>event phase</x:v>
      </x:c>
      <x:c r="D2012" s="7" t="str">
        <x:v>RAE-E-29-P12</x:v>
      </x:c>
      <x:c r="E2012" s="7" t="str">
        <x:v>Event Phases!M690</x:v>
      </x:c>
      <x:c r="F2012" s="7" t="str">
        <x:f>'Event Phases'!M690</x:f>
        <x:v>OPEN</x:v>
      </x:c>
    </x:row>
    <x:row r="2013">
      <x:c r="B2013" s="7" t="str">
        <x:v>PHY-2007</x:v>
      </x:c>
      <x:c r="C2013" s="7" t="str">
        <x:v>event phase</x:v>
      </x:c>
      <x:c r="D2013" s="7" t="str">
        <x:v>RAE-E-29-P13</x:v>
      </x:c>
      <x:c r="E2013" s="7" t="str">
        <x:v>Event Phases!M691</x:v>
      </x:c>
      <x:c r="F2013" s="7" t="str">
        <x:f>'Event Phases'!M691</x:f>
        <x:v>OPEN</x:v>
      </x:c>
    </x:row>
    <x:row r="2014">
      <x:c r="B2014" s="7" t="str">
        <x:v>PHY-2008</x:v>
      </x:c>
      <x:c r="C2014" s="7" t="str">
        <x:v>event phase</x:v>
      </x:c>
      <x:c r="D2014" s="7" t="str">
        <x:v>RAE-E-29-P14</x:v>
      </x:c>
      <x:c r="E2014" s="7" t="str">
        <x:v>Event Phases!M692</x:v>
      </x:c>
      <x:c r="F2014" s="7" t="str">
        <x:f>'Event Phases'!M692</x:f>
        <x:v>OPEN</x:v>
      </x:c>
    </x:row>
    <x:row r="2015">
      <x:c r="B2015" s="7" t="str">
        <x:v>PHY-2009</x:v>
      </x:c>
      <x:c r="C2015" s="7" t="str">
        <x:v>event phase</x:v>
      </x:c>
      <x:c r="D2015" s="7" t="str">
        <x:v>RAE-E-29-P15</x:v>
      </x:c>
      <x:c r="E2015" s="7" t="str">
        <x:v>Event Phases!M693</x:v>
      </x:c>
      <x:c r="F2015" s="7" t="str">
        <x:f>'Event Phases'!M693</x:f>
        <x:v>OPEN</x:v>
      </x:c>
    </x:row>
    <x:row r="2016">
      <x:c r="B2016" s="7" t="str">
        <x:v>PHY-2010</x:v>
      </x:c>
      <x:c r="C2016" s="7" t="str">
        <x:v>event phase</x:v>
      </x:c>
      <x:c r="D2016" s="7" t="str">
        <x:v>RAE-E-29-P16</x:v>
      </x:c>
      <x:c r="E2016" s="7" t="str">
        <x:v>Event Phases!M694</x:v>
      </x:c>
      <x:c r="F2016" s="7" t="str">
        <x:f>'Event Phases'!M694</x:f>
        <x:v>OPEN</x:v>
      </x:c>
    </x:row>
    <x:row r="2017">
      <x:c r="B2017" s="7" t="str">
        <x:v>PHY-2011</x:v>
      </x:c>
      <x:c r="C2017" s="7" t="str">
        <x:v>event phase</x:v>
      </x:c>
      <x:c r="D2017" s="7" t="str">
        <x:v>RAE-E-29-P17</x:v>
      </x:c>
      <x:c r="E2017" s="7" t="str">
        <x:v>Event Phases!M695</x:v>
      </x:c>
      <x:c r="F2017" s="7" t="str">
        <x:f>'Event Phases'!M695</x:f>
        <x:v>OPEN</x:v>
      </x:c>
    </x:row>
    <x:row r="2018">
      <x:c r="B2018" s="7" t="str">
        <x:v>PHY-2012</x:v>
      </x:c>
      <x:c r="C2018" s="7" t="str">
        <x:v>event phase</x:v>
      </x:c>
      <x:c r="D2018" s="7" t="str">
        <x:v>RAE-E-29-P18</x:v>
      </x:c>
      <x:c r="E2018" s="7" t="str">
        <x:v>Event Phases!M696</x:v>
      </x:c>
      <x:c r="F2018" s="7" t="str">
        <x:f>'Event Phases'!M696</x:f>
        <x:v>OPEN</x:v>
      </x:c>
    </x:row>
    <x:row r="2019">
      <x:c r="B2019" s="7" t="str">
        <x:v>PHY-2013</x:v>
      </x:c>
      <x:c r="C2019" s="7" t="str">
        <x:v>event phase</x:v>
      </x:c>
      <x:c r="D2019" s="7" t="str">
        <x:v>RAE-E-29-P19</x:v>
      </x:c>
      <x:c r="E2019" s="7" t="str">
        <x:v>Event Phases!M697</x:v>
      </x:c>
      <x:c r="F2019" s="7" t="str">
        <x:f>'Event Phases'!M697</x:f>
        <x:v>OPEN</x:v>
      </x:c>
    </x:row>
    <x:row r="2020">
      <x:c r="B2020" s="7" t="str">
        <x:v>PHY-2014</x:v>
      </x:c>
      <x:c r="C2020" s="7" t="str">
        <x:v>event phase</x:v>
      </x:c>
      <x:c r="D2020" s="7" t="str">
        <x:v>RAE-E-29-P20</x:v>
      </x:c>
      <x:c r="E2020" s="7" t="str">
        <x:v>Event Phases!M698</x:v>
      </x:c>
      <x:c r="F2020" s="7" t="str">
        <x:f>'Event Phases'!M698</x:f>
        <x:v>OPEN</x:v>
      </x:c>
    </x:row>
    <x:row r="2021">
      <x:c r="B2021" s="7" t="str">
        <x:v>PHY-2015</x:v>
      </x:c>
      <x:c r="C2021" s="7" t="str">
        <x:v>event phase</x:v>
      </x:c>
      <x:c r="D2021" s="7" t="str">
        <x:v>RAE-E-29-P21</x:v>
      </x:c>
      <x:c r="E2021" s="7" t="str">
        <x:v>Event Phases!M699</x:v>
      </x:c>
      <x:c r="F2021" s="7" t="str">
        <x:f>'Event Phases'!M699</x:f>
        <x:v>OPEN</x:v>
      </x:c>
    </x:row>
    <x:row r="2022">
      <x:c r="B2022" s="7" t="str">
        <x:v>PHY-2016</x:v>
      </x:c>
      <x:c r="C2022" s="7" t="str">
        <x:v>event phase</x:v>
      </x:c>
      <x:c r="D2022" s="7" t="str">
        <x:v>RAE-E-29-P22</x:v>
      </x:c>
      <x:c r="E2022" s="7" t="str">
        <x:v>Event Phases!M700</x:v>
      </x:c>
      <x:c r="F2022" s="7" t="str">
        <x:f>'Event Phases'!M700</x:f>
        <x:v>OPEN</x:v>
      </x:c>
    </x:row>
    <x:row r="2023">
      <x:c r="B2023" s="7" t="str">
        <x:v>PHY-2017</x:v>
      </x:c>
      <x:c r="C2023" s="7" t="str">
        <x:v>event phase</x:v>
      </x:c>
      <x:c r="D2023" s="7" t="str">
        <x:v>RAE-E-29-P23</x:v>
      </x:c>
      <x:c r="E2023" s="7" t="str">
        <x:v>Event Phases!M701</x:v>
      </x:c>
      <x:c r="F2023" s="7" t="str">
        <x:f>'Event Phases'!M701</x:f>
        <x:v>OPEN</x:v>
      </x:c>
    </x:row>
    <x:row r="2024">
      <x:c r="B2024" s="7" t="str">
        <x:v>PHY-2018</x:v>
      </x:c>
      <x:c r="C2024" s="7" t="str">
        <x:v>event phase</x:v>
      </x:c>
      <x:c r="D2024" s="7" t="str">
        <x:v>RAE-E-29-P24</x:v>
      </x:c>
      <x:c r="E2024" s="7" t="str">
        <x:v>Event Phases!M702</x:v>
      </x:c>
      <x:c r="F2024" s="7" t="str">
        <x:f>'Event Phases'!M702</x:f>
        <x:v>OPEN</x:v>
      </x:c>
    </x:row>
    <x:row r="2025">
      <x:c r="B2025" s="7" t="str">
        <x:v>PHY-2019</x:v>
      </x:c>
      <x:c r="C2025" s="7" t="str">
        <x:v>event phase</x:v>
      </x:c>
      <x:c r="D2025" s="7" t="str">
        <x:v>RAE-E-30-P01</x:v>
      </x:c>
      <x:c r="E2025" s="7" t="str">
        <x:v>Event Phases!M703</x:v>
      </x:c>
      <x:c r="F2025" s="7" t="str">
        <x:f>'Event Phases'!M703</x:f>
        <x:v>OPEN</x:v>
      </x:c>
    </x:row>
    <x:row r="2026">
      <x:c r="B2026" s="7" t="str">
        <x:v>PHY-2020</x:v>
      </x:c>
      <x:c r="C2026" s="7" t="str">
        <x:v>event phase</x:v>
      </x:c>
      <x:c r="D2026" s="7" t="str">
        <x:v>RAE-E-30-P02</x:v>
      </x:c>
      <x:c r="E2026" s="7" t="str">
        <x:v>Event Phases!M704</x:v>
      </x:c>
      <x:c r="F2026" s="7" t="str">
        <x:f>'Event Phases'!M704</x:f>
        <x:v>OPEN</x:v>
      </x:c>
    </x:row>
    <x:row r="2027">
      <x:c r="B2027" s="7" t="str">
        <x:v>PHY-2021</x:v>
      </x:c>
      <x:c r="C2027" s="7" t="str">
        <x:v>event phase</x:v>
      </x:c>
      <x:c r="D2027" s="7" t="str">
        <x:v>RAE-E-30-P03</x:v>
      </x:c>
      <x:c r="E2027" s="7" t="str">
        <x:v>Event Phases!M705</x:v>
      </x:c>
      <x:c r="F2027" s="7" t="str">
        <x:f>'Event Phases'!M705</x:f>
        <x:v>OPEN</x:v>
      </x:c>
    </x:row>
    <x:row r="2028">
      <x:c r="B2028" s="7" t="str">
        <x:v>PHY-2022</x:v>
      </x:c>
      <x:c r="C2028" s="7" t="str">
        <x:v>event phase</x:v>
      </x:c>
      <x:c r="D2028" s="7" t="str">
        <x:v>RAE-E-30-P04</x:v>
      </x:c>
      <x:c r="E2028" s="7" t="str">
        <x:v>Event Phases!M706</x:v>
      </x:c>
      <x:c r="F2028" s="7" t="str">
        <x:f>'Event Phases'!M706</x:f>
        <x:v>OPEN</x:v>
      </x:c>
    </x:row>
    <x:row r="2029">
      <x:c r="B2029" s="7" t="str">
        <x:v>PHY-2023</x:v>
      </x:c>
      <x:c r="C2029" s="7" t="str">
        <x:v>event phase</x:v>
      </x:c>
      <x:c r="D2029" s="7" t="str">
        <x:v>RAE-E-30-P05</x:v>
      </x:c>
      <x:c r="E2029" s="7" t="str">
        <x:v>Event Phases!M707</x:v>
      </x:c>
      <x:c r="F2029" s="7" t="str">
        <x:f>'Event Phases'!M707</x:f>
        <x:v>OPEN</x:v>
      </x:c>
    </x:row>
    <x:row r="2030">
      <x:c r="B2030" s="7" t="str">
        <x:v>PHY-2024</x:v>
      </x:c>
      <x:c r="C2030" s="7" t="str">
        <x:v>event phase</x:v>
      </x:c>
      <x:c r="D2030" s="7" t="str">
        <x:v>RAE-E-30-P06</x:v>
      </x:c>
      <x:c r="E2030" s="7" t="str">
        <x:v>Event Phases!M708</x:v>
      </x:c>
      <x:c r="F2030" s="7" t="str">
        <x:f>'Event Phases'!M708</x:f>
        <x:v>OPEN</x:v>
      </x:c>
    </x:row>
    <x:row r="2031">
      <x:c r="B2031" s="7" t="str">
        <x:v>PHY-2025</x:v>
      </x:c>
      <x:c r="C2031" s="7" t="str">
        <x:v>event phase</x:v>
      </x:c>
      <x:c r="D2031" s="7" t="str">
        <x:v>RAE-E-30-P07</x:v>
      </x:c>
      <x:c r="E2031" s="7" t="str">
        <x:v>Event Phases!M709</x:v>
      </x:c>
      <x:c r="F2031" s="7" t="str">
        <x:f>'Event Phases'!M709</x:f>
        <x:v>OPEN</x:v>
      </x:c>
    </x:row>
    <x:row r="2032">
      <x:c r="B2032" s="7" t="str">
        <x:v>PHY-2026</x:v>
      </x:c>
      <x:c r="C2032" s="7" t="str">
        <x:v>event phase</x:v>
      </x:c>
      <x:c r="D2032" s="7" t="str">
        <x:v>RAE-E-30-P08</x:v>
      </x:c>
      <x:c r="E2032" s="7" t="str">
        <x:v>Event Phases!M710</x:v>
      </x:c>
      <x:c r="F2032" s="7" t="str">
        <x:f>'Event Phases'!M710</x:f>
        <x:v>OPEN</x:v>
      </x:c>
    </x:row>
    <x:row r="2033">
      <x:c r="B2033" s="7" t="str">
        <x:v>PHY-2027</x:v>
      </x:c>
      <x:c r="C2033" s="7" t="str">
        <x:v>event phase</x:v>
      </x:c>
      <x:c r="D2033" s="7" t="str">
        <x:v>RAE-E-30-P09</x:v>
      </x:c>
      <x:c r="E2033" s="7" t="str">
        <x:v>Event Phases!M711</x:v>
      </x:c>
      <x:c r="F2033" s="7" t="str">
        <x:f>'Event Phases'!M711</x:f>
        <x:v>OPEN</x:v>
      </x:c>
    </x:row>
    <x:row r="2034">
      <x:c r="B2034" s="7" t="str">
        <x:v>PHY-2028</x:v>
      </x:c>
      <x:c r="C2034" s="7" t="str">
        <x:v>event phase</x:v>
      </x:c>
      <x:c r="D2034" s="7" t="str">
        <x:v>RAE-E-30-P10</x:v>
      </x:c>
      <x:c r="E2034" s="7" t="str">
        <x:v>Event Phases!M712</x:v>
      </x:c>
      <x:c r="F2034" s="7" t="str">
        <x:f>'Event Phases'!M712</x:f>
        <x:v>OPEN</x:v>
      </x:c>
    </x:row>
    <x:row r="2035">
      <x:c r="B2035" s="7" t="str">
        <x:v>PHY-2029</x:v>
      </x:c>
      <x:c r="C2035" s="7" t="str">
        <x:v>event phase</x:v>
      </x:c>
      <x:c r="D2035" s="7" t="str">
        <x:v>RAE-E-30-P11</x:v>
      </x:c>
      <x:c r="E2035" s="7" t="str">
        <x:v>Event Phases!M713</x:v>
      </x:c>
      <x:c r="F2035" s="7" t="str">
        <x:f>'Event Phases'!M713</x:f>
        <x:v>OPEN</x:v>
      </x:c>
    </x:row>
    <x:row r="2036">
      <x:c r="B2036" s="7" t="str">
        <x:v>PHY-2030</x:v>
      </x:c>
      <x:c r="C2036" s="7" t="str">
        <x:v>event phase</x:v>
      </x:c>
      <x:c r="D2036" s="7" t="str">
        <x:v>RAE-E-30-P12</x:v>
      </x:c>
      <x:c r="E2036" s="7" t="str">
        <x:v>Event Phases!M714</x:v>
      </x:c>
      <x:c r="F2036" s="7" t="str">
        <x:f>'Event Phases'!M714</x:f>
        <x:v>OPEN</x:v>
      </x:c>
    </x:row>
    <x:row r="2037">
      <x:c r="B2037" s="7" t="str">
        <x:v>PHY-2031</x:v>
      </x:c>
      <x:c r="C2037" s="7" t="str">
        <x:v>event phase</x:v>
      </x:c>
      <x:c r="D2037" s="7" t="str">
        <x:v>RAE-E-30-P13</x:v>
      </x:c>
      <x:c r="E2037" s="7" t="str">
        <x:v>Event Phases!M715</x:v>
      </x:c>
      <x:c r="F2037" s="7" t="str">
        <x:f>'Event Phases'!M715</x:f>
        <x:v>OPEN</x:v>
      </x:c>
    </x:row>
    <x:row r="2038">
      <x:c r="B2038" s="7" t="str">
        <x:v>PHY-2032</x:v>
      </x:c>
      <x:c r="C2038" s="7" t="str">
        <x:v>event phase</x:v>
      </x:c>
      <x:c r="D2038" s="7" t="str">
        <x:v>RAE-E-30-P14</x:v>
      </x:c>
      <x:c r="E2038" s="7" t="str">
        <x:v>Event Phases!M716</x:v>
      </x:c>
      <x:c r="F2038" s="7" t="str">
        <x:f>'Event Phases'!M716</x:f>
        <x:v>OPEN</x:v>
      </x:c>
    </x:row>
    <x:row r="2039">
      <x:c r="B2039" s="7" t="str">
        <x:v>PHY-2033</x:v>
      </x:c>
      <x:c r="C2039" s="7" t="str">
        <x:v>event phase</x:v>
      </x:c>
      <x:c r="D2039" s="7" t="str">
        <x:v>RAE-E-30-P15</x:v>
      </x:c>
      <x:c r="E2039" s="7" t="str">
        <x:v>Event Phases!M717</x:v>
      </x:c>
      <x:c r="F2039" s="7" t="str">
        <x:f>'Event Phases'!M717</x:f>
        <x:v>OPEN</x:v>
      </x:c>
    </x:row>
    <x:row r="2040">
      <x:c r="B2040" s="7" t="str">
        <x:v>PHY-2034</x:v>
      </x:c>
      <x:c r="C2040" s="7" t="str">
        <x:v>event phase</x:v>
      </x:c>
      <x:c r="D2040" s="7" t="str">
        <x:v>RAE-E-30-P16</x:v>
      </x:c>
      <x:c r="E2040" s="7" t="str">
        <x:v>Event Phases!M718</x:v>
      </x:c>
      <x:c r="F2040" s="7" t="str">
        <x:f>'Event Phases'!M718</x:f>
        <x:v>OPEN</x:v>
      </x:c>
    </x:row>
    <x:row r="2041">
      <x:c r="B2041" s="7" t="str">
        <x:v>PHY-2035</x:v>
      </x:c>
      <x:c r="C2041" s="7" t="str">
        <x:v>event phase</x:v>
      </x:c>
      <x:c r="D2041" s="7" t="str">
        <x:v>RAE-E-30-P17</x:v>
      </x:c>
      <x:c r="E2041" s="7" t="str">
        <x:v>Event Phases!M719</x:v>
      </x:c>
      <x:c r="F2041" s="7" t="str">
        <x:f>'Event Phases'!M719</x:f>
        <x:v>OPEN</x:v>
      </x:c>
    </x:row>
    <x:row r="2042">
      <x:c r="B2042" s="7" t="str">
        <x:v>PHY-2036</x:v>
      </x:c>
      <x:c r="C2042" s="7" t="str">
        <x:v>event phase</x:v>
      </x:c>
      <x:c r="D2042" s="7" t="str">
        <x:v>RAE-E-30-P18</x:v>
      </x:c>
      <x:c r="E2042" s="7" t="str">
        <x:v>Event Phases!M720</x:v>
      </x:c>
      <x:c r="F2042" s="7" t="str">
        <x:f>'Event Phases'!M720</x:f>
        <x:v>OPEN</x:v>
      </x:c>
    </x:row>
    <x:row r="2043">
      <x:c r="B2043" s="7" t="str">
        <x:v>PHY-2037</x:v>
      </x:c>
      <x:c r="C2043" s="7" t="str">
        <x:v>event phase</x:v>
      </x:c>
      <x:c r="D2043" s="7" t="str">
        <x:v>RAE-E-30-P19</x:v>
      </x:c>
      <x:c r="E2043" s="7" t="str">
        <x:v>Event Phases!M721</x:v>
      </x:c>
      <x:c r="F2043" s="7" t="str">
        <x:f>'Event Phases'!M721</x:f>
        <x:v>OPEN</x:v>
      </x:c>
    </x:row>
    <x:row r="2044">
      <x:c r="B2044" s="7" t="str">
        <x:v>PHY-2038</x:v>
      </x:c>
      <x:c r="C2044" s="7" t="str">
        <x:v>event phase</x:v>
      </x:c>
      <x:c r="D2044" s="7" t="str">
        <x:v>RAE-E-30-P20</x:v>
      </x:c>
      <x:c r="E2044" s="7" t="str">
        <x:v>Event Phases!M722</x:v>
      </x:c>
      <x:c r="F2044" s="7" t="str">
        <x:f>'Event Phases'!M722</x:f>
        <x:v>OPEN</x:v>
      </x:c>
    </x:row>
    <x:row r="2045">
      <x:c r="B2045" s="7" t="str">
        <x:v>PHY-2039</x:v>
      </x:c>
      <x:c r="C2045" s="7" t="str">
        <x:v>event phase</x:v>
      </x:c>
      <x:c r="D2045" s="7" t="str">
        <x:v>RAE-E-30-P21</x:v>
      </x:c>
      <x:c r="E2045" s="7" t="str">
        <x:v>Event Phases!M723</x:v>
      </x:c>
      <x:c r="F2045" s="7" t="str">
        <x:f>'Event Phases'!M723</x:f>
        <x:v>OPEN</x:v>
      </x:c>
    </x:row>
    <x:row r="2046">
      <x:c r="B2046" s="7" t="str">
        <x:v>PHY-2040</x:v>
      </x:c>
      <x:c r="C2046" s="7" t="str">
        <x:v>event phase</x:v>
      </x:c>
      <x:c r="D2046" s="7" t="str">
        <x:v>RAE-E-30-P22</x:v>
      </x:c>
      <x:c r="E2046" s="7" t="str">
        <x:v>Event Phases!M724</x:v>
      </x:c>
      <x:c r="F2046" s="7" t="str">
        <x:f>'Event Phases'!M724</x:f>
        <x:v>OPEN</x:v>
      </x:c>
    </x:row>
    <x:row r="2047">
      <x:c r="B2047" s="7" t="str">
        <x:v>PHY-2041</x:v>
      </x:c>
      <x:c r="C2047" s="7" t="str">
        <x:v>event phase</x:v>
      </x:c>
      <x:c r="D2047" s="7" t="str">
        <x:v>RAE-E-30-P23</x:v>
      </x:c>
      <x:c r="E2047" s="7" t="str">
        <x:v>Event Phases!M725</x:v>
      </x:c>
      <x:c r="F2047" s="7" t="str">
        <x:f>'Event Phases'!M725</x:f>
        <x:v>OPEN</x:v>
      </x:c>
    </x:row>
    <x:row r="2048">
      <x:c r="B2048" s="7" t="str">
        <x:v>PHY-2042</x:v>
      </x:c>
      <x:c r="C2048" s="7" t="str">
        <x:v>event phase</x:v>
      </x:c>
      <x:c r="D2048" s="7" t="str">
        <x:v>RAE-E-30-P24</x:v>
      </x:c>
      <x:c r="E2048" s="7" t="str">
        <x:v>Event Phases!M726</x:v>
      </x:c>
      <x:c r="F2048" s="7" t="str">
        <x:f>'Event Phases'!M726</x:f>
        <x:v>OPEN</x:v>
      </x:c>
    </x:row>
    <x:row r="2049">
      <x:c r="B2049" s="7" t="str">
        <x:v>PHY-2043</x:v>
      </x:c>
      <x:c r="C2049" s="7" t="str">
        <x:v>event phase</x:v>
      </x:c>
      <x:c r="D2049" s="7" t="str">
        <x:v>RAE-E-31-P01</x:v>
      </x:c>
      <x:c r="E2049" s="7" t="str">
        <x:v>Event Phases!M727</x:v>
      </x:c>
      <x:c r="F2049" s="7" t="str">
        <x:f>'Event Phases'!M727</x:f>
        <x:v>OPEN</x:v>
      </x:c>
    </x:row>
    <x:row r="2050">
      <x:c r="B2050" s="7" t="str">
        <x:v>PHY-2044</x:v>
      </x:c>
      <x:c r="C2050" s="7" t="str">
        <x:v>event phase</x:v>
      </x:c>
      <x:c r="D2050" s="7" t="str">
        <x:v>RAE-E-31-P02</x:v>
      </x:c>
      <x:c r="E2050" s="7" t="str">
        <x:v>Event Phases!M728</x:v>
      </x:c>
      <x:c r="F2050" s="7" t="str">
        <x:f>'Event Phases'!M728</x:f>
        <x:v>OPEN</x:v>
      </x:c>
    </x:row>
    <x:row r="2051">
      <x:c r="B2051" s="7" t="str">
        <x:v>PHY-2045</x:v>
      </x:c>
      <x:c r="C2051" s="7" t="str">
        <x:v>event phase</x:v>
      </x:c>
      <x:c r="D2051" s="7" t="str">
        <x:v>RAE-E-31-P03</x:v>
      </x:c>
      <x:c r="E2051" s="7" t="str">
        <x:v>Event Phases!M729</x:v>
      </x:c>
      <x:c r="F2051" s="7" t="str">
        <x:f>'Event Phases'!M729</x:f>
        <x:v>OPEN</x:v>
      </x:c>
    </x:row>
    <x:row r="2052">
      <x:c r="B2052" s="7" t="str">
        <x:v>PHY-2046</x:v>
      </x:c>
      <x:c r="C2052" s="7" t="str">
        <x:v>event phase</x:v>
      </x:c>
      <x:c r="D2052" s="7" t="str">
        <x:v>RAE-E-31-P04</x:v>
      </x:c>
      <x:c r="E2052" s="7" t="str">
        <x:v>Event Phases!M730</x:v>
      </x:c>
      <x:c r="F2052" s="7" t="str">
        <x:f>'Event Phases'!M730</x:f>
        <x:v>OPEN</x:v>
      </x:c>
    </x:row>
    <x:row r="2053">
      <x:c r="B2053" s="7" t="str">
        <x:v>PHY-2047</x:v>
      </x:c>
      <x:c r="C2053" s="7" t="str">
        <x:v>event phase</x:v>
      </x:c>
      <x:c r="D2053" s="7" t="str">
        <x:v>RAE-E-31-P05</x:v>
      </x:c>
      <x:c r="E2053" s="7" t="str">
        <x:v>Event Phases!M731</x:v>
      </x:c>
      <x:c r="F2053" s="7" t="str">
        <x:f>'Event Phases'!M731</x:f>
        <x:v>OPEN</x:v>
      </x:c>
    </x:row>
    <x:row r="2054">
      <x:c r="B2054" s="7" t="str">
        <x:v>PHY-2048</x:v>
      </x:c>
      <x:c r="C2054" s="7" t="str">
        <x:v>event phase</x:v>
      </x:c>
      <x:c r="D2054" s="7" t="str">
        <x:v>RAE-E-31-P06</x:v>
      </x:c>
      <x:c r="E2054" s="7" t="str">
        <x:v>Event Phases!M732</x:v>
      </x:c>
      <x:c r="F2054" s="7" t="str">
        <x:f>'Event Phases'!M732</x:f>
        <x:v>OPEN</x:v>
      </x:c>
    </x:row>
    <x:row r="2055">
      <x:c r="B2055" s="7" t="str">
        <x:v>PHY-2049</x:v>
      </x:c>
      <x:c r="C2055" s="7" t="str">
        <x:v>event phase</x:v>
      </x:c>
      <x:c r="D2055" s="7" t="str">
        <x:v>RAE-E-31-P07</x:v>
      </x:c>
      <x:c r="E2055" s="7" t="str">
        <x:v>Event Phases!M733</x:v>
      </x:c>
      <x:c r="F2055" s="7" t="str">
        <x:f>'Event Phases'!M733</x:f>
        <x:v>OPEN</x:v>
      </x:c>
    </x:row>
    <x:row r="2056">
      <x:c r="B2056" s="7" t="str">
        <x:v>PHY-2050</x:v>
      </x:c>
      <x:c r="C2056" s="7" t="str">
        <x:v>event phase</x:v>
      </x:c>
      <x:c r="D2056" s="7" t="str">
        <x:v>RAE-E-31-P08</x:v>
      </x:c>
      <x:c r="E2056" s="7" t="str">
        <x:v>Event Phases!M734</x:v>
      </x:c>
      <x:c r="F2056" s="7" t="str">
        <x:f>'Event Phases'!M734</x:f>
        <x:v>OPEN</x:v>
      </x:c>
    </x:row>
    <x:row r="2057">
      <x:c r="B2057" s="7" t="str">
        <x:v>PHY-2051</x:v>
      </x:c>
      <x:c r="C2057" s="7" t="str">
        <x:v>event phase</x:v>
      </x:c>
      <x:c r="D2057" s="7" t="str">
        <x:v>RAE-E-31-P09</x:v>
      </x:c>
      <x:c r="E2057" s="7" t="str">
        <x:v>Event Phases!M735</x:v>
      </x:c>
      <x:c r="F2057" s="7" t="str">
        <x:f>'Event Phases'!M735</x:f>
        <x:v>OPEN</x:v>
      </x:c>
    </x:row>
    <x:row r="2058">
      <x:c r="B2058" s="7" t="str">
        <x:v>PHY-2052</x:v>
      </x:c>
      <x:c r="C2058" s="7" t="str">
        <x:v>event phase</x:v>
      </x:c>
      <x:c r="D2058" s="7" t="str">
        <x:v>RAE-E-31-P10</x:v>
      </x:c>
      <x:c r="E2058" s="7" t="str">
        <x:v>Event Phases!M736</x:v>
      </x:c>
      <x:c r="F2058" s="7" t="str">
        <x:f>'Event Phases'!M736</x:f>
        <x:v>OPEN</x:v>
      </x:c>
    </x:row>
    <x:row r="2059">
      <x:c r="B2059" s="7" t="str">
        <x:v>PHY-2053</x:v>
      </x:c>
      <x:c r="C2059" s="7" t="str">
        <x:v>event phase</x:v>
      </x:c>
      <x:c r="D2059" s="7" t="str">
        <x:v>RAE-E-31-P11</x:v>
      </x:c>
      <x:c r="E2059" s="7" t="str">
        <x:v>Event Phases!M737</x:v>
      </x:c>
      <x:c r="F2059" s="7" t="str">
        <x:f>'Event Phases'!M737</x:f>
        <x:v>OPEN</x:v>
      </x:c>
    </x:row>
    <x:row r="2060">
      <x:c r="B2060" s="7" t="str">
        <x:v>PHY-2054</x:v>
      </x:c>
      <x:c r="C2060" s="7" t="str">
        <x:v>event phase</x:v>
      </x:c>
      <x:c r="D2060" s="7" t="str">
        <x:v>RAE-E-31-P12</x:v>
      </x:c>
      <x:c r="E2060" s="7" t="str">
        <x:v>Event Phases!M738</x:v>
      </x:c>
      <x:c r="F2060" s="7" t="str">
        <x:f>'Event Phases'!M738</x:f>
        <x:v>OPEN</x:v>
      </x:c>
    </x:row>
    <x:row r="2061">
      <x:c r="B2061" s="7" t="str">
        <x:v>PHY-2055</x:v>
      </x:c>
      <x:c r="C2061" s="7" t="str">
        <x:v>event phase</x:v>
      </x:c>
      <x:c r="D2061" s="7" t="str">
        <x:v>RAE-E-31-P13</x:v>
      </x:c>
      <x:c r="E2061" s="7" t="str">
        <x:v>Event Phases!M739</x:v>
      </x:c>
      <x:c r="F2061" s="7" t="str">
        <x:f>'Event Phases'!M739</x:f>
        <x:v>OPEN</x:v>
      </x:c>
    </x:row>
    <x:row r="2062">
      <x:c r="B2062" s="7" t="str">
        <x:v>PHY-2056</x:v>
      </x:c>
      <x:c r="C2062" s="7" t="str">
        <x:v>event phase</x:v>
      </x:c>
      <x:c r="D2062" s="7" t="str">
        <x:v>RAE-E-31-P14</x:v>
      </x:c>
      <x:c r="E2062" s="7" t="str">
        <x:v>Event Phases!M740</x:v>
      </x:c>
      <x:c r="F2062" s="7" t="str">
        <x:f>'Event Phases'!M740</x:f>
        <x:v>OPEN</x:v>
      </x:c>
    </x:row>
    <x:row r="2063">
      <x:c r="B2063" s="7" t="str">
        <x:v>PHY-2057</x:v>
      </x:c>
      <x:c r="C2063" s="7" t="str">
        <x:v>event phase</x:v>
      </x:c>
      <x:c r="D2063" s="7" t="str">
        <x:v>RAE-E-31-P15</x:v>
      </x:c>
      <x:c r="E2063" s="7" t="str">
        <x:v>Event Phases!M741</x:v>
      </x:c>
      <x:c r="F2063" s="7" t="str">
        <x:f>'Event Phases'!M741</x:f>
        <x:v>OPEN</x:v>
      </x:c>
    </x:row>
    <x:row r="2064">
      <x:c r="B2064" s="7" t="str">
        <x:v>PHY-2058</x:v>
      </x:c>
      <x:c r="C2064" s="7" t="str">
        <x:v>event phase</x:v>
      </x:c>
      <x:c r="D2064" s="7" t="str">
        <x:v>RAE-E-31-P16</x:v>
      </x:c>
      <x:c r="E2064" s="7" t="str">
        <x:v>Event Phases!M742</x:v>
      </x:c>
      <x:c r="F2064" s="7" t="str">
        <x:f>'Event Phases'!M742</x:f>
        <x:v>OPEN</x:v>
      </x:c>
    </x:row>
    <x:row r="2065">
      <x:c r="B2065" s="7" t="str">
        <x:v>PHY-2059</x:v>
      </x:c>
      <x:c r="C2065" s="7" t="str">
        <x:v>event phase</x:v>
      </x:c>
      <x:c r="D2065" s="7" t="str">
        <x:v>RAE-E-31-P17</x:v>
      </x:c>
      <x:c r="E2065" s="7" t="str">
        <x:v>Event Phases!M743</x:v>
      </x:c>
      <x:c r="F2065" s="7" t="str">
        <x:f>'Event Phases'!M743</x:f>
        <x:v>OPEN</x:v>
      </x:c>
    </x:row>
    <x:row r="2066">
      <x:c r="B2066" s="7" t="str">
        <x:v>PHY-2060</x:v>
      </x:c>
      <x:c r="C2066" s="7" t="str">
        <x:v>event phase</x:v>
      </x:c>
      <x:c r="D2066" s="7" t="str">
        <x:v>RAE-E-31-P18</x:v>
      </x:c>
      <x:c r="E2066" s="7" t="str">
        <x:v>Event Phases!M744</x:v>
      </x:c>
      <x:c r="F2066" s="7" t="str">
        <x:f>'Event Phases'!M744</x:f>
        <x:v>OPEN</x:v>
      </x:c>
    </x:row>
    <x:row r="2067">
      <x:c r="B2067" s="7" t="str">
        <x:v>PHY-2061</x:v>
      </x:c>
      <x:c r="C2067" s="7" t="str">
        <x:v>event phase</x:v>
      </x:c>
      <x:c r="D2067" s="7" t="str">
        <x:v>RAE-E-31-P19</x:v>
      </x:c>
      <x:c r="E2067" s="7" t="str">
        <x:v>Event Phases!M745</x:v>
      </x:c>
      <x:c r="F2067" s="7" t="str">
        <x:f>'Event Phases'!M745</x:f>
        <x:v>OPEN</x:v>
      </x:c>
    </x:row>
    <x:row r="2068">
      <x:c r="B2068" s="7" t="str">
        <x:v>PHY-2062</x:v>
      </x:c>
      <x:c r="C2068" s="7" t="str">
        <x:v>event phase</x:v>
      </x:c>
      <x:c r="D2068" s="7" t="str">
        <x:v>RAE-E-31-P20</x:v>
      </x:c>
      <x:c r="E2068" s="7" t="str">
        <x:v>Event Phases!M746</x:v>
      </x:c>
      <x:c r="F2068" s="7" t="str">
        <x:f>'Event Phases'!M746</x:f>
        <x:v>OPEN</x:v>
      </x:c>
    </x:row>
    <x:row r="2069">
      <x:c r="B2069" s="7" t="str">
        <x:v>PHY-2063</x:v>
      </x:c>
      <x:c r="C2069" s="7" t="str">
        <x:v>event phase</x:v>
      </x:c>
      <x:c r="D2069" s="7" t="str">
        <x:v>RAE-E-31-P21</x:v>
      </x:c>
      <x:c r="E2069" s="7" t="str">
        <x:v>Event Phases!M747</x:v>
      </x:c>
      <x:c r="F2069" s="7" t="str">
        <x:f>'Event Phases'!M747</x:f>
        <x:v>OPEN</x:v>
      </x:c>
    </x:row>
    <x:row r="2070">
      <x:c r="B2070" s="7" t="str">
        <x:v>PHY-2064</x:v>
      </x:c>
      <x:c r="C2070" s="7" t="str">
        <x:v>event phase</x:v>
      </x:c>
      <x:c r="D2070" s="7" t="str">
        <x:v>RAE-E-31-P22</x:v>
      </x:c>
      <x:c r="E2070" s="7" t="str">
        <x:v>Event Phases!M748</x:v>
      </x:c>
      <x:c r="F2070" s="7" t="str">
        <x:f>'Event Phases'!M748</x:f>
        <x:v>OPEN</x:v>
      </x:c>
    </x:row>
    <x:row r="2071">
      <x:c r="B2071" s="7" t="str">
        <x:v>PHY-2065</x:v>
      </x:c>
      <x:c r="C2071" s="7" t="str">
        <x:v>event phase</x:v>
      </x:c>
      <x:c r="D2071" s="7" t="str">
        <x:v>RAE-E-31-P23</x:v>
      </x:c>
      <x:c r="E2071" s="7" t="str">
        <x:v>Event Phases!M749</x:v>
      </x:c>
      <x:c r="F2071" s="7" t="str">
        <x:f>'Event Phases'!M749</x:f>
        <x:v>OPEN</x:v>
      </x:c>
    </x:row>
    <x:row r="2072">
      <x:c r="B2072" s="7" t="str">
        <x:v>PHY-2066</x:v>
      </x:c>
      <x:c r="C2072" s="7" t="str">
        <x:v>event phase</x:v>
      </x:c>
      <x:c r="D2072" s="7" t="str">
        <x:v>RAE-E-31-P24</x:v>
      </x:c>
      <x:c r="E2072" s="7" t="str">
        <x:v>Event Phases!M750</x:v>
      </x:c>
      <x:c r="F2072" s="7" t="str">
        <x:f>'Event Phases'!M750</x:f>
        <x:v>OPEN</x:v>
      </x:c>
    </x:row>
    <x:row r="2073">
      <x:c r="B2073" s="7" t="str">
        <x:v>PHY-2067</x:v>
      </x:c>
      <x:c r="C2073" s="7" t="str">
        <x:v>event phase</x:v>
      </x:c>
      <x:c r="D2073" s="7" t="str">
        <x:v>RAE-E-32-P01</x:v>
      </x:c>
      <x:c r="E2073" s="7" t="str">
        <x:v>Event Phases!M751</x:v>
      </x:c>
      <x:c r="F2073" s="7" t="str">
        <x:f>'Event Phases'!M751</x:f>
        <x:v>OPEN</x:v>
      </x:c>
    </x:row>
    <x:row r="2074">
      <x:c r="B2074" s="7" t="str">
        <x:v>PHY-2068</x:v>
      </x:c>
      <x:c r="C2074" s="7" t="str">
        <x:v>event phase</x:v>
      </x:c>
      <x:c r="D2074" s="7" t="str">
        <x:v>RAE-E-32-P02</x:v>
      </x:c>
      <x:c r="E2074" s="7" t="str">
        <x:v>Event Phases!M752</x:v>
      </x:c>
      <x:c r="F2074" s="7" t="str">
        <x:f>'Event Phases'!M752</x:f>
        <x:v>OPEN</x:v>
      </x:c>
    </x:row>
    <x:row r="2075">
      <x:c r="B2075" s="7" t="str">
        <x:v>PHY-2069</x:v>
      </x:c>
      <x:c r="C2075" s="7" t="str">
        <x:v>event phase</x:v>
      </x:c>
      <x:c r="D2075" s="7" t="str">
        <x:v>RAE-E-32-P03</x:v>
      </x:c>
      <x:c r="E2075" s="7" t="str">
        <x:v>Event Phases!M753</x:v>
      </x:c>
      <x:c r="F2075" s="7" t="str">
        <x:f>'Event Phases'!M753</x:f>
        <x:v>OPEN</x:v>
      </x:c>
    </x:row>
    <x:row r="2076">
      <x:c r="B2076" s="7" t="str">
        <x:v>PHY-2070</x:v>
      </x:c>
      <x:c r="C2076" s="7" t="str">
        <x:v>event phase</x:v>
      </x:c>
      <x:c r="D2076" s="7" t="str">
        <x:v>RAE-E-32-P04</x:v>
      </x:c>
      <x:c r="E2076" s="7" t="str">
        <x:v>Event Phases!M754</x:v>
      </x:c>
      <x:c r="F2076" s="7" t="str">
        <x:f>'Event Phases'!M754</x:f>
        <x:v>OPEN</x:v>
      </x:c>
    </x:row>
    <x:row r="2077">
      <x:c r="B2077" s="7" t="str">
        <x:v>PHY-2071</x:v>
      </x:c>
      <x:c r="C2077" s="7" t="str">
        <x:v>event phase</x:v>
      </x:c>
      <x:c r="D2077" s="7" t="str">
        <x:v>RAE-E-32-P05</x:v>
      </x:c>
      <x:c r="E2077" s="7" t="str">
        <x:v>Event Phases!M755</x:v>
      </x:c>
      <x:c r="F2077" s="7" t="str">
        <x:f>'Event Phases'!M755</x:f>
        <x:v>OPEN</x:v>
      </x:c>
    </x:row>
    <x:row r="2078">
      <x:c r="B2078" s="7" t="str">
        <x:v>PHY-2072</x:v>
      </x:c>
      <x:c r="C2078" s="7" t="str">
        <x:v>event phase</x:v>
      </x:c>
      <x:c r="D2078" s="7" t="str">
        <x:v>RAE-E-32-P06</x:v>
      </x:c>
      <x:c r="E2078" s="7" t="str">
        <x:v>Event Phases!M756</x:v>
      </x:c>
      <x:c r="F2078" s="7" t="str">
        <x:f>'Event Phases'!M756</x:f>
        <x:v>OPEN</x:v>
      </x:c>
    </x:row>
    <x:row r="2079">
      <x:c r="B2079" s="7" t="str">
        <x:v>PHY-2073</x:v>
      </x:c>
      <x:c r="C2079" s="7" t="str">
        <x:v>event phase</x:v>
      </x:c>
      <x:c r="D2079" s="7" t="str">
        <x:v>RAE-E-32-P07</x:v>
      </x:c>
      <x:c r="E2079" s="7" t="str">
        <x:v>Event Phases!M757</x:v>
      </x:c>
      <x:c r="F2079" s="7" t="str">
        <x:f>'Event Phases'!M757</x:f>
        <x:v>OPEN</x:v>
      </x:c>
    </x:row>
    <x:row r="2080">
      <x:c r="B2080" s="7" t="str">
        <x:v>PHY-2074</x:v>
      </x:c>
      <x:c r="C2080" s="7" t="str">
        <x:v>event phase</x:v>
      </x:c>
      <x:c r="D2080" s="7" t="str">
        <x:v>RAE-E-32-P08</x:v>
      </x:c>
      <x:c r="E2080" s="7" t="str">
        <x:v>Event Phases!M758</x:v>
      </x:c>
      <x:c r="F2080" s="7" t="str">
        <x:f>'Event Phases'!M758</x:f>
        <x:v>OPEN</x:v>
      </x:c>
    </x:row>
    <x:row r="2081">
      <x:c r="B2081" s="7" t="str">
        <x:v>PHY-2075</x:v>
      </x:c>
      <x:c r="C2081" s="7" t="str">
        <x:v>event phase</x:v>
      </x:c>
      <x:c r="D2081" s="7" t="str">
        <x:v>RAE-E-32-P09</x:v>
      </x:c>
      <x:c r="E2081" s="7" t="str">
        <x:v>Event Phases!M759</x:v>
      </x:c>
      <x:c r="F2081" s="7" t="str">
        <x:f>'Event Phases'!M759</x:f>
        <x:v>OPEN</x:v>
      </x:c>
    </x:row>
    <x:row r="2082">
      <x:c r="B2082" s="7" t="str">
        <x:v>PHY-2076</x:v>
      </x:c>
      <x:c r="C2082" s="7" t="str">
        <x:v>event phase</x:v>
      </x:c>
      <x:c r="D2082" s="7" t="str">
        <x:v>RAE-E-32-P10</x:v>
      </x:c>
      <x:c r="E2082" s="7" t="str">
        <x:v>Event Phases!M760</x:v>
      </x:c>
      <x:c r="F2082" s="7" t="str">
        <x:f>'Event Phases'!M760</x:f>
        <x:v>OPEN</x:v>
      </x:c>
    </x:row>
    <x:row r="2083">
      <x:c r="B2083" s="7" t="str">
        <x:v>PHY-2077</x:v>
      </x:c>
      <x:c r="C2083" s="7" t="str">
        <x:v>event phase</x:v>
      </x:c>
      <x:c r="D2083" s="7" t="str">
        <x:v>RAE-E-32-P11</x:v>
      </x:c>
      <x:c r="E2083" s="7" t="str">
        <x:v>Event Phases!M761</x:v>
      </x:c>
      <x:c r="F2083" s="7" t="str">
        <x:f>'Event Phases'!M761</x:f>
        <x:v>OPEN</x:v>
      </x:c>
    </x:row>
    <x:row r="2084">
      <x:c r="B2084" s="7" t="str">
        <x:v>PHY-2078</x:v>
      </x:c>
      <x:c r="C2084" s="7" t="str">
        <x:v>event phase</x:v>
      </x:c>
      <x:c r="D2084" s="7" t="str">
        <x:v>RAE-E-32-P12</x:v>
      </x:c>
      <x:c r="E2084" s="7" t="str">
        <x:v>Event Phases!M762</x:v>
      </x:c>
      <x:c r="F2084" s="7" t="str">
        <x:f>'Event Phases'!M762</x:f>
        <x:v>OPEN</x:v>
      </x:c>
    </x:row>
    <x:row r="2085">
      <x:c r="B2085" s="7" t="str">
        <x:v>PHY-2079</x:v>
      </x:c>
      <x:c r="C2085" s="7" t="str">
        <x:v>event phase</x:v>
      </x:c>
      <x:c r="D2085" s="7" t="str">
        <x:v>RAE-E-32-P13</x:v>
      </x:c>
      <x:c r="E2085" s="7" t="str">
        <x:v>Event Phases!M763</x:v>
      </x:c>
      <x:c r="F2085" s="7" t="str">
        <x:f>'Event Phases'!M763</x:f>
        <x:v>OPEN</x:v>
      </x:c>
    </x:row>
    <x:row r="2086">
      <x:c r="B2086" s="7" t="str">
        <x:v>PHY-2080</x:v>
      </x:c>
      <x:c r="C2086" s="7" t="str">
        <x:v>event phase</x:v>
      </x:c>
      <x:c r="D2086" s="7" t="str">
        <x:v>RAE-E-32-P14</x:v>
      </x:c>
      <x:c r="E2086" s="7" t="str">
        <x:v>Event Phases!M764</x:v>
      </x:c>
      <x:c r="F2086" s="7" t="str">
        <x:f>'Event Phases'!M764</x:f>
        <x:v>OPEN</x:v>
      </x:c>
    </x:row>
    <x:row r="2087">
      <x:c r="B2087" s="7" t="str">
        <x:v>PHY-2081</x:v>
      </x:c>
      <x:c r="C2087" s="7" t="str">
        <x:v>event phase</x:v>
      </x:c>
      <x:c r="D2087" s="7" t="str">
        <x:v>RAE-E-32-P15</x:v>
      </x:c>
      <x:c r="E2087" s="7" t="str">
        <x:v>Event Phases!M765</x:v>
      </x:c>
      <x:c r="F2087" s="7" t="str">
        <x:f>'Event Phases'!M765</x:f>
        <x:v>OPEN</x:v>
      </x:c>
    </x:row>
    <x:row r="2088">
      <x:c r="B2088" s="7" t="str">
        <x:v>PHY-2082</x:v>
      </x:c>
      <x:c r="C2088" s="7" t="str">
        <x:v>event phase</x:v>
      </x:c>
      <x:c r="D2088" s="7" t="str">
        <x:v>RAE-E-32-P16</x:v>
      </x:c>
      <x:c r="E2088" s="7" t="str">
        <x:v>Event Phases!M766</x:v>
      </x:c>
      <x:c r="F2088" s="7" t="str">
        <x:f>'Event Phases'!M766</x:f>
        <x:v>OPEN</x:v>
      </x:c>
    </x:row>
    <x:row r="2089">
      <x:c r="B2089" s="7" t="str">
        <x:v>PHY-2083</x:v>
      </x:c>
      <x:c r="C2089" s="7" t="str">
        <x:v>event phase</x:v>
      </x:c>
      <x:c r="D2089" s="7" t="str">
        <x:v>RAE-E-32-P17</x:v>
      </x:c>
      <x:c r="E2089" s="7" t="str">
        <x:v>Event Phases!M767</x:v>
      </x:c>
      <x:c r="F2089" s="7" t="str">
        <x:f>'Event Phases'!M767</x:f>
        <x:v>OPEN</x:v>
      </x:c>
    </x:row>
    <x:row r="2090">
      <x:c r="B2090" s="7" t="str">
        <x:v>PHY-2084</x:v>
      </x:c>
      <x:c r="C2090" s="7" t="str">
        <x:v>event phase</x:v>
      </x:c>
      <x:c r="D2090" s="7" t="str">
        <x:v>RAE-E-32-P18</x:v>
      </x:c>
      <x:c r="E2090" s="7" t="str">
        <x:v>Event Phases!M768</x:v>
      </x:c>
      <x:c r="F2090" s="7" t="str">
        <x:f>'Event Phases'!M768</x:f>
        <x:v>OPEN</x:v>
      </x:c>
    </x:row>
    <x:row r="2091">
      <x:c r="B2091" s="7" t="str">
        <x:v>PHY-2085</x:v>
      </x:c>
      <x:c r="C2091" s="7" t="str">
        <x:v>event phase</x:v>
      </x:c>
      <x:c r="D2091" s="7" t="str">
        <x:v>RAE-E-32-P19</x:v>
      </x:c>
      <x:c r="E2091" s="7" t="str">
        <x:v>Event Phases!M769</x:v>
      </x:c>
      <x:c r="F2091" s="7" t="str">
        <x:f>'Event Phases'!M769</x:f>
        <x:v>OPEN</x:v>
      </x:c>
    </x:row>
    <x:row r="2092">
      <x:c r="B2092" s="7" t="str">
        <x:v>PHY-2086</x:v>
      </x:c>
      <x:c r="C2092" s="7" t="str">
        <x:v>event phase</x:v>
      </x:c>
      <x:c r="D2092" s="7" t="str">
        <x:v>RAE-E-32-P20</x:v>
      </x:c>
      <x:c r="E2092" s="7" t="str">
        <x:v>Event Phases!M770</x:v>
      </x:c>
      <x:c r="F2092" s="7" t="str">
        <x:f>'Event Phases'!M770</x:f>
        <x:v>OPEN</x:v>
      </x:c>
    </x:row>
    <x:row r="2093">
      <x:c r="B2093" s="7" t="str">
        <x:v>PHY-2087</x:v>
      </x:c>
      <x:c r="C2093" s="7" t="str">
        <x:v>event phase</x:v>
      </x:c>
      <x:c r="D2093" s="7" t="str">
        <x:v>RAE-E-32-P21</x:v>
      </x:c>
      <x:c r="E2093" s="7" t="str">
        <x:v>Event Phases!M771</x:v>
      </x:c>
      <x:c r="F2093" s="7" t="str">
        <x:f>'Event Phases'!M771</x:f>
        <x:v>OPEN</x:v>
      </x:c>
    </x:row>
    <x:row r="2094">
      <x:c r="B2094" s="7" t="str">
        <x:v>PHY-2088</x:v>
      </x:c>
      <x:c r="C2094" s="7" t="str">
        <x:v>event phase</x:v>
      </x:c>
      <x:c r="D2094" s="7" t="str">
        <x:v>RAE-E-32-P22</x:v>
      </x:c>
      <x:c r="E2094" s="7" t="str">
        <x:v>Event Phases!M772</x:v>
      </x:c>
      <x:c r="F2094" s="7" t="str">
        <x:f>'Event Phases'!M772</x:f>
        <x:v>OPEN</x:v>
      </x:c>
    </x:row>
    <x:row r="2095">
      <x:c r="B2095" s="7" t="str">
        <x:v>PHY-2089</x:v>
      </x:c>
      <x:c r="C2095" s="7" t="str">
        <x:v>event phase</x:v>
      </x:c>
      <x:c r="D2095" s="7" t="str">
        <x:v>RAE-E-32-P23</x:v>
      </x:c>
      <x:c r="E2095" s="7" t="str">
        <x:v>Event Phases!M773</x:v>
      </x:c>
      <x:c r="F2095" s="7" t="str">
        <x:f>'Event Phases'!M773</x:f>
        <x:v>OPEN</x:v>
      </x:c>
    </x:row>
    <x:row r="2096">
      <x:c r="B2096" s="7" t="str">
        <x:v>PHY-2090</x:v>
      </x:c>
      <x:c r="C2096" s="7" t="str">
        <x:v>event phase</x:v>
      </x:c>
      <x:c r="D2096" s="7" t="str">
        <x:v>RAE-E-32-P24</x:v>
      </x:c>
      <x:c r="E2096" s="7" t="str">
        <x:v>Event Phases!M774</x:v>
      </x:c>
      <x:c r="F2096" s="7" t="str">
        <x:f>'Event Phases'!M774</x:f>
        <x:v>OPEN</x:v>
      </x:c>
    </x:row>
    <x:row r="2097">
      <x:c r="B2097" s="7" t="str">
        <x:v>PHY-2091</x:v>
      </x:c>
      <x:c r="C2097" s="7" t="str">
        <x:v>event phase</x:v>
      </x:c>
      <x:c r="D2097" s="7" t="str">
        <x:v>RAE-E-33-P01</x:v>
      </x:c>
      <x:c r="E2097" s="7" t="str">
        <x:v>Event Phases!M775</x:v>
      </x:c>
      <x:c r="F2097" s="7" t="str">
        <x:f>'Event Phases'!M775</x:f>
        <x:v>OPEN</x:v>
      </x:c>
    </x:row>
    <x:row r="2098">
      <x:c r="B2098" s="7" t="str">
        <x:v>PHY-2092</x:v>
      </x:c>
      <x:c r="C2098" s="7" t="str">
        <x:v>event phase</x:v>
      </x:c>
      <x:c r="D2098" s="7" t="str">
        <x:v>RAE-E-33-P02</x:v>
      </x:c>
      <x:c r="E2098" s="7" t="str">
        <x:v>Event Phases!M776</x:v>
      </x:c>
      <x:c r="F2098" s="7" t="str">
        <x:f>'Event Phases'!M776</x:f>
        <x:v>OPEN</x:v>
      </x:c>
    </x:row>
    <x:row r="2099">
      <x:c r="B2099" s="7" t="str">
        <x:v>PHY-2093</x:v>
      </x:c>
      <x:c r="C2099" s="7" t="str">
        <x:v>event phase</x:v>
      </x:c>
      <x:c r="D2099" s="7" t="str">
        <x:v>RAE-E-33-P03</x:v>
      </x:c>
      <x:c r="E2099" s="7" t="str">
        <x:v>Event Phases!M777</x:v>
      </x:c>
      <x:c r="F2099" s="7" t="str">
        <x:f>'Event Phases'!M777</x:f>
        <x:v>OPEN</x:v>
      </x:c>
    </x:row>
    <x:row r="2100">
      <x:c r="B2100" s="7" t="str">
        <x:v>PHY-2094</x:v>
      </x:c>
      <x:c r="C2100" s="7" t="str">
        <x:v>event phase</x:v>
      </x:c>
      <x:c r="D2100" s="7" t="str">
        <x:v>RAE-E-33-P04</x:v>
      </x:c>
      <x:c r="E2100" s="7" t="str">
        <x:v>Event Phases!M778</x:v>
      </x:c>
      <x:c r="F2100" s="7" t="str">
        <x:f>'Event Phases'!M778</x:f>
        <x:v>OPEN</x:v>
      </x:c>
    </x:row>
    <x:row r="2101">
      <x:c r="B2101" s="7" t="str">
        <x:v>PHY-2095</x:v>
      </x:c>
      <x:c r="C2101" s="7" t="str">
        <x:v>event phase</x:v>
      </x:c>
      <x:c r="D2101" s="7" t="str">
        <x:v>RAE-E-33-P05</x:v>
      </x:c>
      <x:c r="E2101" s="7" t="str">
        <x:v>Event Phases!M779</x:v>
      </x:c>
      <x:c r="F2101" s="7" t="str">
        <x:f>'Event Phases'!M779</x:f>
        <x:v>OPEN</x:v>
      </x:c>
    </x:row>
    <x:row r="2102">
      <x:c r="B2102" s="7" t="str">
        <x:v>PHY-2096</x:v>
      </x:c>
      <x:c r="C2102" s="7" t="str">
        <x:v>event phase</x:v>
      </x:c>
      <x:c r="D2102" s="7" t="str">
        <x:v>RAE-E-33-P06</x:v>
      </x:c>
      <x:c r="E2102" s="7" t="str">
        <x:v>Event Phases!M780</x:v>
      </x:c>
      <x:c r="F2102" s="7" t="str">
        <x:f>'Event Phases'!M780</x:f>
        <x:v>OPEN</x:v>
      </x:c>
    </x:row>
    <x:row r="2103">
      <x:c r="B2103" s="7" t="str">
        <x:v>PHY-2097</x:v>
      </x:c>
      <x:c r="C2103" s="7" t="str">
        <x:v>event phase</x:v>
      </x:c>
      <x:c r="D2103" s="7" t="str">
        <x:v>RAE-E-33-P07</x:v>
      </x:c>
      <x:c r="E2103" s="7" t="str">
        <x:v>Event Phases!M781</x:v>
      </x:c>
      <x:c r="F2103" s="7" t="str">
        <x:f>'Event Phases'!M781</x:f>
        <x:v>OPEN</x:v>
      </x:c>
    </x:row>
    <x:row r="2104">
      <x:c r="B2104" s="7" t="str">
        <x:v>PHY-2098</x:v>
      </x:c>
      <x:c r="C2104" s="7" t="str">
        <x:v>event phase</x:v>
      </x:c>
      <x:c r="D2104" s="7" t="str">
        <x:v>RAE-E-33-P08</x:v>
      </x:c>
      <x:c r="E2104" s="7" t="str">
        <x:v>Event Phases!M782</x:v>
      </x:c>
      <x:c r="F2104" s="7" t="str">
        <x:f>'Event Phases'!M782</x:f>
        <x:v>OPEN</x:v>
      </x:c>
    </x:row>
    <x:row r="2105">
      <x:c r="B2105" s="7" t="str">
        <x:v>PHY-2099</x:v>
      </x:c>
      <x:c r="C2105" s="7" t="str">
        <x:v>event phase</x:v>
      </x:c>
      <x:c r="D2105" s="7" t="str">
        <x:v>RAE-E-33-P09</x:v>
      </x:c>
      <x:c r="E2105" s="7" t="str">
        <x:v>Event Phases!M783</x:v>
      </x:c>
      <x:c r="F2105" s="7" t="str">
        <x:f>'Event Phases'!M783</x:f>
        <x:v>OPEN</x:v>
      </x:c>
    </x:row>
    <x:row r="2106">
      <x:c r="B2106" s="7" t="str">
        <x:v>PHY-2100</x:v>
      </x:c>
      <x:c r="C2106" s="7" t="str">
        <x:v>event phase</x:v>
      </x:c>
      <x:c r="D2106" s="7" t="str">
        <x:v>RAE-E-33-P10</x:v>
      </x:c>
      <x:c r="E2106" s="7" t="str">
        <x:v>Event Phases!M784</x:v>
      </x:c>
      <x:c r="F2106" s="7" t="str">
        <x:f>'Event Phases'!M784</x:f>
        <x:v>OPEN</x:v>
      </x:c>
    </x:row>
    <x:row r="2107">
      <x:c r="B2107" s="7" t="str">
        <x:v>PHY-2101</x:v>
      </x:c>
      <x:c r="C2107" s="7" t="str">
        <x:v>event phase</x:v>
      </x:c>
      <x:c r="D2107" s="7" t="str">
        <x:v>RAE-E-33-P11</x:v>
      </x:c>
      <x:c r="E2107" s="7" t="str">
        <x:v>Event Phases!M785</x:v>
      </x:c>
      <x:c r="F2107" s="7" t="str">
        <x:f>'Event Phases'!M785</x:f>
        <x:v>OPEN</x:v>
      </x:c>
    </x:row>
    <x:row r="2108">
      <x:c r="B2108" s="7" t="str">
        <x:v>PHY-2102</x:v>
      </x:c>
      <x:c r="C2108" s="7" t="str">
        <x:v>event phase</x:v>
      </x:c>
      <x:c r="D2108" s="7" t="str">
        <x:v>RAE-E-33-P12</x:v>
      </x:c>
      <x:c r="E2108" s="7" t="str">
        <x:v>Event Phases!M786</x:v>
      </x:c>
      <x:c r="F2108" s="7" t="str">
        <x:f>'Event Phases'!M786</x:f>
        <x:v>OPEN</x:v>
      </x:c>
    </x:row>
    <x:row r="2109">
      <x:c r="B2109" s="7" t="str">
        <x:v>PHY-2103</x:v>
      </x:c>
      <x:c r="C2109" s="7" t="str">
        <x:v>event phase</x:v>
      </x:c>
      <x:c r="D2109" s="7" t="str">
        <x:v>RAE-E-33-P13</x:v>
      </x:c>
      <x:c r="E2109" s="7" t="str">
        <x:v>Event Phases!M787</x:v>
      </x:c>
      <x:c r="F2109" s="7" t="str">
        <x:f>'Event Phases'!M787</x:f>
        <x:v>OPEN</x:v>
      </x:c>
    </x:row>
    <x:row r="2110">
      <x:c r="B2110" s="7" t="str">
        <x:v>PHY-2104</x:v>
      </x:c>
      <x:c r="C2110" s="7" t="str">
        <x:v>event phase</x:v>
      </x:c>
      <x:c r="D2110" s="7" t="str">
        <x:v>RAE-E-33-P14</x:v>
      </x:c>
      <x:c r="E2110" s="7" t="str">
        <x:v>Event Phases!M788</x:v>
      </x:c>
      <x:c r="F2110" s="7" t="str">
        <x:f>'Event Phases'!M788</x:f>
        <x:v>OPEN</x:v>
      </x:c>
    </x:row>
    <x:row r="2111">
      <x:c r="B2111" s="7" t="str">
        <x:v>PHY-2105</x:v>
      </x:c>
      <x:c r="C2111" s="7" t="str">
        <x:v>event phase</x:v>
      </x:c>
      <x:c r="D2111" s="7" t="str">
        <x:v>RAE-E-33-P15</x:v>
      </x:c>
      <x:c r="E2111" s="7" t="str">
        <x:v>Event Phases!M789</x:v>
      </x:c>
      <x:c r="F2111" s="7" t="str">
        <x:f>'Event Phases'!M789</x:f>
        <x:v>OPEN</x:v>
      </x:c>
    </x:row>
    <x:row r="2112">
      <x:c r="B2112" s="7" t="str">
        <x:v>PHY-2106</x:v>
      </x:c>
      <x:c r="C2112" s="7" t="str">
        <x:v>event phase</x:v>
      </x:c>
      <x:c r="D2112" s="7" t="str">
        <x:v>RAE-E-33-P16</x:v>
      </x:c>
      <x:c r="E2112" s="7" t="str">
        <x:v>Event Phases!M790</x:v>
      </x:c>
      <x:c r="F2112" s="7" t="str">
        <x:f>'Event Phases'!M790</x:f>
        <x:v>OPEN</x:v>
      </x:c>
    </x:row>
    <x:row r="2113">
      <x:c r="B2113" s="7" t="str">
        <x:v>PHY-2107</x:v>
      </x:c>
      <x:c r="C2113" s="7" t="str">
        <x:v>event phase</x:v>
      </x:c>
      <x:c r="D2113" s="7" t="str">
        <x:v>RAE-E-33-P17</x:v>
      </x:c>
      <x:c r="E2113" s="7" t="str">
        <x:v>Event Phases!M791</x:v>
      </x:c>
      <x:c r="F2113" s="7" t="str">
        <x:f>'Event Phases'!M791</x:f>
        <x:v>OPEN</x:v>
      </x:c>
    </x:row>
    <x:row r="2114">
      <x:c r="B2114" s="7" t="str">
        <x:v>PHY-2108</x:v>
      </x:c>
      <x:c r="C2114" s="7" t="str">
        <x:v>event phase</x:v>
      </x:c>
      <x:c r="D2114" s="7" t="str">
        <x:v>RAE-E-33-P18</x:v>
      </x:c>
      <x:c r="E2114" s="7" t="str">
        <x:v>Event Phases!M792</x:v>
      </x:c>
      <x:c r="F2114" s="7" t="str">
        <x:f>'Event Phases'!M792</x:f>
        <x:v>OPEN</x:v>
      </x:c>
    </x:row>
    <x:row r="2115">
      <x:c r="B2115" s="7" t="str">
        <x:v>PHY-2109</x:v>
      </x:c>
      <x:c r="C2115" s="7" t="str">
        <x:v>event phase</x:v>
      </x:c>
      <x:c r="D2115" s="7" t="str">
        <x:v>RAE-E-33-P19</x:v>
      </x:c>
      <x:c r="E2115" s="7" t="str">
        <x:v>Event Phases!M793</x:v>
      </x:c>
      <x:c r="F2115" s="7" t="str">
        <x:f>'Event Phases'!M793</x:f>
        <x:v>OPEN</x:v>
      </x:c>
    </x:row>
    <x:row r="2116">
      <x:c r="B2116" s="7" t="str">
        <x:v>PHY-2110</x:v>
      </x:c>
      <x:c r="C2116" s="7" t="str">
        <x:v>event phase</x:v>
      </x:c>
      <x:c r="D2116" s="7" t="str">
        <x:v>RAE-E-33-P20</x:v>
      </x:c>
      <x:c r="E2116" s="7" t="str">
        <x:v>Event Phases!M794</x:v>
      </x:c>
      <x:c r="F2116" s="7" t="str">
        <x:f>'Event Phases'!M794</x:f>
        <x:v>OPEN</x:v>
      </x:c>
    </x:row>
    <x:row r="2117">
      <x:c r="B2117" s="7" t="str">
        <x:v>PHY-2111</x:v>
      </x:c>
      <x:c r="C2117" s="7" t="str">
        <x:v>event phase</x:v>
      </x:c>
      <x:c r="D2117" s="7" t="str">
        <x:v>RAE-E-33-P21</x:v>
      </x:c>
      <x:c r="E2117" s="7" t="str">
        <x:v>Event Phases!M795</x:v>
      </x:c>
      <x:c r="F2117" s="7" t="str">
        <x:f>'Event Phases'!M795</x:f>
        <x:v>OPEN</x:v>
      </x:c>
    </x:row>
    <x:row r="2118">
      <x:c r="B2118" s="7" t="str">
        <x:v>PHY-2112</x:v>
      </x:c>
      <x:c r="C2118" s="7" t="str">
        <x:v>event phase</x:v>
      </x:c>
      <x:c r="D2118" s="7" t="str">
        <x:v>RAE-E-33-P22</x:v>
      </x:c>
      <x:c r="E2118" s="7" t="str">
        <x:v>Event Phases!M796</x:v>
      </x:c>
      <x:c r="F2118" s="7" t="str">
        <x:f>'Event Phases'!M796</x:f>
        <x:v>OPEN</x:v>
      </x:c>
    </x:row>
    <x:row r="2119">
      <x:c r="B2119" s="7" t="str">
        <x:v>PHY-2113</x:v>
      </x:c>
      <x:c r="C2119" s="7" t="str">
        <x:v>event phase</x:v>
      </x:c>
      <x:c r="D2119" s="7" t="str">
        <x:v>RAE-E-33-P23</x:v>
      </x:c>
      <x:c r="E2119" s="7" t="str">
        <x:v>Event Phases!M797</x:v>
      </x:c>
      <x:c r="F2119" s="7" t="str">
        <x:f>'Event Phases'!M797</x:f>
        <x:v>OPEN</x:v>
      </x:c>
    </x:row>
    <x:row r="2120">
      <x:c r="B2120" s="7" t="str">
        <x:v>PHY-2114</x:v>
      </x:c>
      <x:c r="C2120" s="7" t="str">
        <x:v>event phase</x:v>
      </x:c>
      <x:c r="D2120" s="7" t="str">
        <x:v>RAE-E-33-P24</x:v>
      </x:c>
      <x:c r="E2120" s="7" t="str">
        <x:v>Event Phases!M798</x:v>
      </x:c>
      <x:c r="F2120" s="7" t="str">
        <x:f>'Event Phases'!M798</x:f>
        <x:v>OPEN</x:v>
      </x:c>
    </x:row>
    <x:row r="2121">
      <x:c r="B2121" s="7" t="str">
        <x:v>PHY-2115</x:v>
      </x:c>
      <x:c r="C2121" s="7" t="str">
        <x:v>event phase</x:v>
      </x:c>
      <x:c r="D2121" s="7" t="str">
        <x:v>RAE-E-34-P01</x:v>
      </x:c>
      <x:c r="E2121" s="7" t="str">
        <x:v>Event Phases!M799</x:v>
      </x:c>
      <x:c r="F2121" s="7" t="str">
        <x:f>'Event Phases'!M799</x:f>
        <x:v>OPEN</x:v>
      </x:c>
    </x:row>
    <x:row r="2122">
      <x:c r="B2122" s="7" t="str">
        <x:v>PHY-2116</x:v>
      </x:c>
      <x:c r="C2122" s="7" t="str">
        <x:v>event phase</x:v>
      </x:c>
      <x:c r="D2122" s="7" t="str">
        <x:v>RAE-E-34-P02</x:v>
      </x:c>
      <x:c r="E2122" s="7" t="str">
        <x:v>Event Phases!M800</x:v>
      </x:c>
      <x:c r="F2122" s="7" t="str">
        <x:f>'Event Phases'!M800</x:f>
        <x:v>OPEN</x:v>
      </x:c>
    </x:row>
    <x:row r="2123">
      <x:c r="B2123" s="7" t="str">
        <x:v>PHY-2117</x:v>
      </x:c>
      <x:c r="C2123" s="7" t="str">
        <x:v>event phase</x:v>
      </x:c>
      <x:c r="D2123" s="7" t="str">
        <x:v>RAE-E-34-P03</x:v>
      </x:c>
      <x:c r="E2123" s="7" t="str">
        <x:v>Event Phases!M801</x:v>
      </x:c>
      <x:c r="F2123" s="7" t="str">
        <x:f>'Event Phases'!M801</x:f>
        <x:v>OPEN</x:v>
      </x:c>
    </x:row>
    <x:row r="2124">
      <x:c r="B2124" s="7" t="str">
        <x:v>PHY-2118</x:v>
      </x:c>
      <x:c r="C2124" s="7" t="str">
        <x:v>event phase</x:v>
      </x:c>
      <x:c r="D2124" s="7" t="str">
        <x:v>RAE-E-34-P04</x:v>
      </x:c>
      <x:c r="E2124" s="7" t="str">
        <x:v>Event Phases!M802</x:v>
      </x:c>
      <x:c r="F2124" s="7" t="str">
        <x:f>'Event Phases'!M802</x:f>
        <x:v>OPEN</x:v>
      </x:c>
    </x:row>
    <x:row r="2125">
      <x:c r="B2125" s="7" t="str">
        <x:v>PHY-2119</x:v>
      </x:c>
      <x:c r="C2125" s="7" t="str">
        <x:v>event phase</x:v>
      </x:c>
      <x:c r="D2125" s="7" t="str">
        <x:v>RAE-E-34-P05</x:v>
      </x:c>
      <x:c r="E2125" s="7" t="str">
        <x:v>Event Phases!M803</x:v>
      </x:c>
      <x:c r="F2125" s="7" t="str">
        <x:f>'Event Phases'!M803</x:f>
        <x:v>OPEN</x:v>
      </x:c>
    </x:row>
    <x:row r="2126">
      <x:c r="B2126" s="7" t="str">
        <x:v>PHY-2120</x:v>
      </x:c>
      <x:c r="C2126" s="7" t="str">
        <x:v>event phase</x:v>
      </x:c>
      <x:c r="D2126" s="7" t="str">
        <x:v>RAE-E-34-P06</x:v>
      </x:c>
      <x:c r="E2126" s="7" t="str">
        <x:v>Event Phases!M804</x:v>
      </x:c>
      <x:c r="F2126" s="7" t="str">
        <x:f>'Event Phases'!M804</x:f>
        <x:v>OPEN</x:v>
      </x:c>
    </x:row>
    <x:row r="2127">
      <x:c r="B2127" s="7" t="str">
        <x:v>PHY-2121</x:v>
      </x:c>
      <x:c r="C2127" s="7" t="str">
        <x:v>event phase</x:v>
      </x:c>
      <x:c r="D2127" s="7" t="str">
        <x:v>RAE-E-34-P07</x:v>
      </x:c>
      <x:c r="E2127" s="7" t="str">
        <x:v>Event Phases!M805</x:v>
      </x:c>
      <x:c r="F2127" s="7" t="str">
        <x:f>'Event Phases'!M805</x:f>
        <x:v>OPEN</x:v>
      </x:c>
    </x:row>
    <x:row r="2128">
      <x:c r="B2128" s="7" t="str">
        <x:v>PHY-2122</x:v>
      </x:c>
      <x:c r="C2128" s="7" t="str">
        <x:v>event phase</x:v>
      </x:c>
      <x:c r="D2128" s="7" t="str">
        <x:v>RAE-E-34-P08</x:v>
      </x:c>
      <x:c r="E2128" s="7" t="str">
        <x:v>Event Phases!M806</x:v>
      </x:c>
      <x:c r="F2128" s="7" t="str">
        <x:f>'Event Phases'!M806</x:f>
        <x:v>OPEN</x:v>
      </x:c>
    </x:row>
    <x:row r="2129">
      <x:c r="B2129" s="7" t="str">
        <x:v>PHY-2123</x:v>
      </x:c>
      <x:c r="C2129" s="7" t="str">
        <x:v>event phase</x:v>
      </x:c>
      <x:c r="D2129" s="7" t="str">
        <x:v>RAE-E-34-P09</x:v>
      </x:c>
      <x:c r="E2129" s="7" t="str">
        <x:v>Event Phases!M807</x:v>
      </x:c>
      <x:c r="F2129" s="7" t="str">
        <x:f>'Event Phases'!M807</x:f>
        <x:v>OPEN</x:v>
      </x:c>
    </x:row>
    <x:row r="2130">
      <x:c r="B2130" s="7" t="str">
        <x:v>PHY-2124</x:v>
      </x:c>
      <x:c r="C2130" s="7" t="str">
        <x:v>event phase</x:v>
      </x:c>
      <x:c r="D2130" s="7" t="str">
        <x:v>RAE-E-34-P10</x:v>
      </x:c>
      <x:c r="E2130" s="7" t="str">
        <x:v>Event Phases!M808</x:v>
      </x:c>
      <x:c r="F2130" s="7" t="str">
        <x:f>'Event Phases'!M808</x:f>
        <x:v>OPEN</x:v>
      </x:c>
    </x:row>
    <x:row r="2131">
      <x:c r="B2131" s="7" t="str">
        <x:v>PHY-2125</x:v>
      </x:c>
      <x:c r="C2131" s="7" t="str">
        <x:v>event phase</x:v>
      </x:c>
      <x:c r="D2131" s="7" t="str">
        <x:v>RAE-E-34-P11</x:v>
      </x:c>
      <x:c r="E2131" s="7" t="str">
        <x:v>Event Phases!M809</x:v>
      </x:c>
      <x:c r="F2131" s="7" t="str">
        <x:f>'Event Phases'!M809</x:f>
        <x:v>OPEN</x:v>
      </x:c>
    </x:row>
    <x:row r="2132">
      <x:c r="B2132" s="7" t="str">
        <x:v>PHY-2126</x:v>
      </x:c>
      <x:c r="C2132" s="7" t="str">
        <x:v>event phase</x:v>
      </x:c>
      <x:c r="D2132" s="7" t="str">
        <x:v>RAE-E-34-P12</x:v>
      </x:c>
      <x:c r="E2132" s="7" t="str">
        <x:v>Event Phases!M810</x:v>
      </x:c>
      <x:c r="F2132" s="7" t="str">
        <x:f>'Event Phases'!M810</x:f>
        <x:v>OPEN</x:v>
      </x:c>
    </x:row>
    <x:row r="2133">
      <x:c r="B2133" s="7" t="str">
        <x:v>PHY-2127</x:v>
      </x:c>
      <x:c r="C2133" s="7" t="str">
        <x:v>event phase</x:v>
      </x:c>
      <x:c r="D2133" s="7" t="str">
        <x:v>RAE-E-34-P13</x:v>
      </x:c>
      <x:c r="E2133" s="7" t="str">
        <x:v>Event Phases!M811</x:v>
      </x:c>
      <x:c r="F2133" s="7" t="str">
        <x:f>'Event Phases'!M811</x:f>
        <x:v>OPEN</x:v>
      </x:c>
    </x:row>
    <x:row r="2134">
      <x:c r="B2134" s="7" t="str">
        <x:v>PHY-2128</x:v>
      </x:c>
      <x:c r="C2134" s="7" t="str">
        <x:v>event phase</x:v>
      </x:c>
      <x:c r="D2134" s="7" t="str">
        <x:v>RAE-E-34-P14</x:v>
      </x:c>
      <x:c r="E2134" s="7" t="str">
        <x:v>Event Phases!M812</x:v>
      </x:c>
      <x:c r="F2134" s="7" t="str">
        <x:f>'Event Phases'!M812</x:f>
        <x:v>OPEN</x:v>
      </x:c>
    </x:row>
    <x:row r="2135">
      <x:c r="B2135" s="7" t="str">
        <x:v>PHY-2129</x:v>
      </x:c>
      <x:c r="C2135" s="7" t="str">
        <x:v>event phase</x:v>
      </x:c>
      <x:c r="D2135" s="7" t="str">
        <x:v>RAE-E-34-P15</x:v>
      </x:c>
      <x:c r="E2135" s="7" t="str">
        <x:v>Event Phases!M813</x:v>
      </x:c>
      <x:c r="F2135" s="7" t="str">
        <x:f>'Event Phases'!M813</x:f>
        <x:v>OPEN</x:v>
      </x:c>
    </x:row>
    <x:row r="2136">
      <x:c r="B2136" s="7" t="str">
        <x:v>PHY-2130</x:v>
      </x:c>
      <x:c r="C2136" s="7" t="str">
        <x:v>event phase</x:v>
      </x:c>
      <x:c r="D2136" s="7" t="str">
        <x:v>RAE-E-34-P16</x:v>
      </x:c>
      <x:c r="E2136" s="7" t="str">
        <x:v>Event Phases!M814</x:v>
      </x:c>
      <x:c r="F2136" s="7" t="str">
        <x:f>'Event Phases'!M814</x:f>
        <x:v>OPEN</x:v>
      </x:c>
    </x:row>
    <x:row r="2137">
      <x:c r="B2137" s="7" t="str">
        <x:v>PHY-2131</x:v>
      </x:c>
      <x:c r="C2137" s="7" t="str">
        <x:v>event phase</x:v>
      </x:c>
      <x:c r="D2137" s="7" t="str">
        <x:v>RAE-E-34-P17</x:v>
      </x:c>
      <x:c r="E2137" s="7" t="str">
        <x:v>Event Phases!M815</x:v>
      </x:c>
      <x:c r="F2137" s="7" t="str">
        <x:f>'Event Phases'!M815</x:f>
        <x:v>OPEN</x:v>
      </x:c>
    </x:row>
    <x:row r="2138">
      <x:c r="B2138" s="7" t="str">
        <x:v>PHY-2132</x:v>
      </x:c>
      <x:c r="C2138" s="7" t="str">
        <x:v>event phase</x:v>
      </x:c>
      <x:c r="D2138" s="7" t="str">
        <x:v>RAE-E-34-P18</x:v>
      </x:c>
      <x:c r="E2138" s="7" t="str">
        <x:v>Event Phases!M816</x:v>
      </x:c>
      <x:c r="F2138" s="7" t="str">
        <x:f>'Event Phases'!M816</x:f>
        <x:v>OPEN</x:v>
      </x:c>
    </x:row>
    <x:row r="2139">
      <x:c r="B2139" s="7" t="str">
        <x:v>PHY-2133</x:v>
      </x:c>
      <x:c r="C2139" s="7" t="str">
        <x:v>event phase</x:v>
      </x:c>
      <x:c r="D2139" s="7" t="str">
        <x:v>RAE-E-34-P19</x:v>
      </x:c>
      <x:c r="E2139" s="7" t="str">
        <x:v>Event Phases!M817</x:v>
      </x:c>
      <x:c r="F2139" s="7" t="str">
        <x:f>'Event Phases'!M817</x:f>
        <x:v>OPEN</x:v>
      </x:c>
    </x:row>
    <x:row r="2140">
      <x:c r="B2140" s="7" t="str">
        <x:v>PHY-2134</x:v>
      </x:c>
      <x:c r="C2140" s="7" t="str">
        <x:v>event phase</x:v>
      </x:c>
      <x:c r="D2140" s="7" t="str">
        <x:v>RAE-E-34-P20</x:v>
      </x:c>
      <x:c r="E2140" s="7" t="str">
        <x:v>Event Phases!M818</x:v>
      </x:c>
      <x:c r="F2140" s="7" t="str">
        <x:f>'Event Phases'!M818</x:f>
        <x:v>OPEN</x:v>
      </x:c>
    </x:row>
    <x:row r="2141">
      <x:c r="B2141" s="7" t="str">
        <x:v>PHY-2135</x:v>
      </x:c>
      <x:c r="C2141" s="7" t="str">
        <x:v>event phase</x:v>
      </x:c>
      <x:c r="D2141" s="7" t="str">
        <x:v>RAE-E-34-P21</x:v>
      </x:c>
      <x:c r="E2141" s="7" t="str">
        <x:v>Event Phases!M819</x:v>
      </x:c>
      <x:c r="F2141" s="7" t="str">
        <x:f>'Event Phases'!M819</x:f>
        <x:v>OPEN</x:v>
      </x:c>
    </x:row>
    <x:row r="2142">
      <x:c r="B2142" s="7" t="str">
        <x:v>PHY-2136</x:v>
      </x:c>
      <x:c r="C2142" s="7" t="str">
        <x:v>event phase</x:v>
      </x:c>
      <x:c r="D2142" s="7" t="str">
        <x:v>RAE-E-34-P22</x:v>
      </x:c>
      <x:c r="E2142" s="7" t="str">
        <x:v>Event Phases!M820</x:v>
      </x:c>
      <x:c r="F2142" s="7" t="str">
        <x:f>'Event Phases'!M820</x:f>
        <x:v>OPEN</x:v>
      </x:c>
    </x:row>
    <x:row r="2143">
      <x:c r="B2143" s="7" t="str">
        <x:v>PHY-2137</x:v>
      </x:c>
      <x:c r="C2143" s="7" t="str">
        <x:v>event phase</x:v>
      </x:c>
      <x:c r="D2143" s="7" t="str">
        <x:v>RAE-E-34-P23</x:v>
      </x:c>
      <x:c r="E2143" s="7" t="str">
        <x:v>Event Phases!M821</x:v>
      </x:c>
      <x:c r="F2143" s="7" t="str">
        <x:f>'Event Phases'!M821</x:f>
        <x:v>OPEN</x:v>
      </x:c>
    </x:row>
    <x:row r="2144">
      <x:c r="B2144" s="7" t="str">
        <x:v>PHY-2138</x:v>
      </x:c>
      <x:c r="C2144" s="7" t="str">
        <x:v>event phase</x:v>
      </x:c>
      <x:c r="D2144" s="7" t="str">
        <x:v>RAE-E-34-P24</x:v>
      </x:c>
      <x:c r="E2144" s="7" t="str">
        <x:v>Event Phases!M822</x:v>
      </x:c>
      <x:c r="F2144" s="7" t="str">
        <x:f>'Event Phases'!M822</x:f>
        <x:v>OPEN</x:v>
      </x:c>
    </x:row>
    <x:row r="2145">
      <x:c r="B2145" s="7" t="str">
        <x:v>PHY-2139</x:v>
      </x:c>
      <x:c r="C2145" s="7" t="str">
        <x:v>event phase</x:v>
      </x:c>
      <x:c r="D2145" s="7" t="str">
        <x:v>RAE-E-35-P01</x:v>
      </x:c>
      <x:c r="E2145" s="7" t="str">
        <x:v>Event Phases!M823</x:v>
      </x:c>
      <x:c r="F2145" s="7" t="str">
        <x:f>'Event Phases'!M823</x:f>
        <x:v>OPEN</x:v>
      </x:c>
    </x:row>
    <x:row r="2146">
      <x:c r="B2146" s="7" t="str">
        <x:v>PHY-2140</x:v>
      </x:c>
      <x:c r="C2146" s="7" t="str">
        <x:v>event phase</x:v>
      </x:c>
      <x:c r="D2146" s="7" t="str">
        <x:v>RAE-E-35-P02</x:v>
      </x:c>
      <x:c r="E2146" s="7" t="str">
        <x:v>Event Phases!M824</x:v>
      </x:c>
      <x:c r="F2146" s="7" t="str">
        <x:f>'Event Phases'!M824</x:f>
        <x:v>OPEN</x:v>
      </x:c>
    </x:row>
    <x:row r="2147">
      <x:c r="B2147" s="7" t="str">
        <x:v>PHY-2141</x:v>
      </x:c>
      <x:c r="C2147" s="7" t="str">
        <x:v>event phase</x:v>
      </x:c>
      <x:c r="D2147" s="7" t="str">
        <x:v>RAE-E-35-P03</x:v>
      </x:c>
      <x:c r="E2147" s="7" t="str">
        <x:v>Event Phases!M825</x:v>
      </x:c>
      <x:c r="F2147" s="7" t="str">
        <x:f>'Event Phases'!M825</x:f>
        <x:v>OPEN</x:v>
      </x:c>
    </x:row>
    <x:row r="2148">
      <x:c r="B2148" s="7" t="str">
        <x:v>PHY-2142</x:v>
      </x:c>
      <x:c r="C2148" s="7" t="str">
        <x:v>event phase</x:v>
      </x:c>
      <x:c r="D2148" s="7" t="str">
        <x:v>RAE-E-35-P04</x:v>
      </x:c>
      <x:c r="E2148" s="7" t="str">
        <x:v>Event Phases!M826</x:v>
      </x:c>
      <x:c r="F2148" s="7" t="str">
        <x:f>'Event Phases'!M826</x:f>
        <x:v>OPEN</x:v>
      </x:c>
    </x:row>
    <x:row r="2149">
      <x:c r="B2149" s="7" t="str">
        <x:v>PHY-2143</x:v>
      </x:c>
      <x:c r="C2149" s="7" t="str">
        <x:v>event phase</x:v>
      </x:c>
      <x:c r="D2149" s="7" t="str">
        <x:v>RAE-E-35-P05</x:v>
      </x:c>
      <x:c r="E2149" s="7" t="str">
        <x:v>Event Phases!M827</x:v>
      </x:c>
      <x:c r="F2149" s="7" t="str">
        <x:f>'Event Phases'!M827</x:f>
        <x:v>OPEN</x:v>
      </x:c>
    </x:row>
    <x:row r="2150">
      <x:c r="B2150" s="7" t="str">
        <x:v>PHY-2144</x:v>
      </x:c>
      <x:c r="C2150" s="7" t="str">
        <x:v>event phase</x:v>
      </x:c>
      <x:c r="D2150" s="7" t="str">
        <x:v>RAE-E-35-P06</x:v>
      </x:c>
      <x:c r="E2150" s="7" t="str">
        <x:v>Event Phases!M828</x:v>
      </x:c>
      <x:c r="F2150" s="7" t="str">
        <x:f>'Event Phases'!M828</x:f>
        <x:v>OPEN</x:v>
      </x:c>
    </x:row>
    <x:row r="2151">
      <x:c r="B2151" s="7" t="str">
        <x:v>PHY-2145</x:v>
      </x:c>
      <x:c r="C2151" s="7" t="str">
        <x:v>event phase</x:v>
      </x:c>
      <x:c r="D2151" s="7" t="str">
        <x:v>RAE-E-35-P07</x:v>
      </x:c>
      <x:c r="E2151" s="7" t="str">
        <x:v>Event Phases!M829</x:v>
      </x:c>
      <x:c r="F2151" s="7" t="str">
        <x:f>'Event Phases'!M829</x:f>
        <x:v>OPEN</x:v>
      </x:c>
    </x:row>
    <x:row r="2152">
      <x:c r="B2152" s="7" t="str">
        <x:v>PHY-2146</x:v>
      </x:c>
      <x:c r="C2152" s="7" t="str">
        <x:v>event phase</x:v>
      </x:c>
      <x:c r="D2152" s="7" t="str">
        <x:v>RAE-E-35-P08</x:v>
      </x:c>
      <x:c r="E2152" s="7" t="str">
        <x:v>Event Phases!M830</x:v>
      </x:c>
      <x:c r="F2152" s="7" t="str">
        <x:f>'Event Phases'!M830</x:f>
        <x:v>OPEN</x:v>
      </x:c>
    </x:row>
    <x:row r="2153">
      <x:c r="B2153" s="7" t="str">
        <x:v>PHY-2147</x:v>
      </x:c>
      <x:c r="C2153" s="7" t="str">
        <x:v>event phase</x:v>
      </x:c>
      <x:c r="D2153" s="7" t="str">
        <x:v>RAE-E-35-P09</x:v>
      </x:c>
      <x:c r="E2153" s="7" t="str">
        <x:v>Event Phases!M831</x:v>
      </x:c>
      <x:c r="F2153" s="7" t="str">
        <x:f>'Event Phases'!M831</x:f>
        <x:v>OPEN</x:v>
      </x:c>
    </x:row>
    <x:row r="2154">
      <x:c r="B2154" s="7" t="str">
        <x:v>PHY-2148</x:v>
      </x:c>
      <x:c r="C2154" s="7" t="str">
        <x:v>event phase</x:v>
      </x:c>
      <x:c r="D2154" s="7" t="str">
        <x:v>RAE-E-35-P10</x:v>
      </x:c>
      <x:c r="E2154" s="7" t="str">
        <x:v>Event Phases!M832</x:v>
      </x:c>
      <x:c r="F2154" s="7" t="str">
        <x:f>'Event Phases'!M832</x:f>
        <x:v>OPEN</x:v>
      </x:c>
    </x:row>
    <x:row r="2155">
      <x:c r="B2155" s="7" t="str">
        <x:v>PHY-2149</x:v>
      </x:c>
      <x:c r="C2155" s="7" t="str">
        <x:v>event phase</x:v>
      </x:c>
      <x:c r="D2155" s="7" t="str">
        <x:v>RAE-E-35-P11</x:v>
      </x:c>
      <x:c r="E2155" s="7" t="str">
        <x:v>Event Phases!M833</x:v>
      </x:c>
      <x:c r="F2155" s="7" t="str">
        <x:f>'Event Phases'!M833</x:f>
        <x:v>OPEN</x:v>
      </x:c>
    </x:row>
    <x:row r="2156">
      <x:c r="B2156" s="7" t="str">
        <x:v>PHY-2150</x:v>
      </x:c>
      <x:c r="C2156" s="7" t="str">
        <x:v>event phase</x:v>
      </x:c>
      <x:c r="D2156" s="7" t="str">
        <x:v>RAE-E-35-P12</x:v>
      </x:c>
      <x:c r="E2156" s="7" t="str">
        <x:v>Event Phases!M834</x:v>
      </x:c>
      <x:c r="F2156" s="7" t="str">
        <x:f>'Event Phases'!M834</x:f>
        <x:v>OPEN</x:v>
      </x:c>
    </x:row>
    <x:row r="2157">
      <x:c r="B2157" s="7" t="str">
        <x:v>PHY-2151</x:v>
      </x:c>
      <x:c r="C2157" s="7" t="str">
        <x:v>event phase</x:v>
      </x:c>
      <x:c r="D2157" s="7" t="str">
        <x:v>RAE-E-35-P13</x:v>
      </x:c>
      <x:c r="E2157" s="7" t="str">
        <x:v>Event Phases!M835</x:v>
      </x:c>
      <x:c r="F2157" s="7" t="str">
        <x:f>'Event Phases'!M835</x:f>
        <x:v>OPEN</x:v>
      </x:c>
    </x:row>
    <x:row r="2158">
      <x:c r="B2158" s="7" t="str">
        <x:v>PHY-2152</x:v>
      </x:c>
      <x:c r="C2158" s="7" t="str">
        <x:v>event phase</x:v>
      </x:c>
      <x:c r="D2158" s="7" t="str">
        <x:v>RAE-E-35-P14</x:v>
      </x:c>
      <x:c r="E2158" s="7" t="str">
        <x:v>Event Phases!M836</x:v>
      </x:c>
      <x:c r="F2158" s="7" t="str">
        <x:f>'Event Phases'!M836</x:f>
        <x:v>OPEN</x:v>
      </x:c>
    </x:row>
    <x:row r="2159">
      <x:c r="B2159" s="7" t="str">
        <x:v>PHY-2153</x:v>
      </x:c>
      <x:c r="C2159" s="7" t="str">
        <x:v>event phase</x:v>
      </x:c>
      <x:c r="D2159" s="7" t="str">
        <x:v>RAE-E-35-P15</x:v>
      </x:c>
      <x:c r="E2159" s="7" t="str">
        <x:v>Event Phases!M837</x:v>
      </x:c>
      <x:c r="F2159" s="7" t="str">
        <x:f>'Event Phases'!M837</x:f>
        <x:v>OPEN</x:v>
      </x:c>
    </x:row>
    <x:row r="2160">
      <x:c r="B2160" s="7" t="str">
        <x:v>PHY-2154</x:v>
      </x:c>
      <x:c r="C2160" s="7" t="str">
        <x:v>event phase</x:v>
      </x:c>
      <x:c r="D2160" s="7" t="str">
        <x:v>RAE-E-35-P16</x:v>
      </x:c>
      <x:c r="E2160" s="7" t="str">
        <x:v>Event Phases!M838</x:v>
      </x:c>
      <x:c r="F2160" s="7" t="str">
        <x:f>'Event Phases'!M838</x:f>
        <x:v>OPEN</x:v>
      </x:c>
    </x:row>
    <x:row r="2161">
      <x:c r="B2161" s="7" t="str">
        <x:v>PHY-2155</x:v>
      </x:c>
      <x:c r="C2161" s="7" t="str">
        <x:v>event phase</x:v>
      </x:c>
      <x:c r="D2161" s="7" t="str">
        <x:v>RAE-E-35-P17</x:v>
      </x:c>
      <x:c r="E2161" s="7" t="str">
        <x:v>Event Phases!M839</x:v>
      </x:c>
      <x:c r="F2161" s="7" t="str">
        <x:f>'Event Phases'!M839</x:f>
        <x:v>OPEN</x:v>
      </x:c>
    </x:row>
    <x:row r="2162">
      <x:c r="B2162" s="7" t="str">
        <x:v>PHY-2156</x:v>
      </x:c>
      <x:c r="C2162" s="7" t="str">
        <x:v>event phase</x:v>
      </x:c>
      <x:c r="D2162" s="7" t="str">
        <x:v>RAE-E-35-P18</x:v>
      </x:c>
      <x:c r="E2162" s="7" t="str">
        <x:v>Event Phases!M840</x:v>
      </x:c>
      <x:c r="F2162" s="7" t="str">
        <x:f>'Event Phases'!M840</x:f>
        <x:v>OPEN</x:v>
      </x:c>
    </x:row>
    <x:row r="2163">
      <x:c r="B2163" s="7" t="str">
        <x:v>PHY-2157</x:v>
      </x:c>
      <x:c r="C2163" s="7" t="str">
        <x:v>event phase</x:v>
      </x:c>
      <x:c r="D2163" s="7" t="str">
        <x:v>RAE-E-35-P19</x:v>
      </x:c>
      <x:c r="E2163" s="7" t="str">
        <x:v>Event Phases!M841</x:v>
      </x:c>
      <x:c r="F2163" s="7" t="str">
        <x:f>'Event Phases'!M841</x:f>
        <x:v>OPEN</x:v>
      </x:c>
    </x:row>
    <x:row r="2164">
      <x:c r="B2164" s="7" t="str">
        <x:v>PHY-2158</x:v>
      </x:c>
      <x:c r="C2164" s="7" t="str">
        <x:v>event phase</x:v>
      </x:c>
      <x:c r="D2164" s="7" t="str">
        <x:v>RAE-E-35-P20</x:v>
      </x:c>
      <x:c r="E2164" s="7" t="str">
        <x:v>Event Phases!M842</x:v>
      </x:c>
      <x:c r="F2164" s="7" t="str">
        <x:f>'Event Phases'!M842</x:f>
        <x:v>OPEN</x:v>
      </x:c>
    </x:row>
    <x:row r="2165">
      <x:c r="B2165" s="7" t="str">
        <x:v>PHY-2159</x:v>
      </x:c>
      <x:c r="C2165" s="7" t="str">
        <x:v>event phase</x:v>
      </x:c>
      <x:c r="D2165" s="7" t="str">
        <x:v>RAE-E-35-P21</x:v>
      </x:c>
      <x:c r="E2165" s="7" t="str">
        <x:v>Event Phases!M843</x:v>
      </x:c>
      <x:c r="F2165" s="7" t="str">
        <x:f>'Event Phases'!M843</x:f>
        <x:v>OPEN</x:v>
      </x:c>
    </x:row>
    <x:row r="2166">
      <x:c r="B2166" s="7" t="str">
        <x:v>PHY-2160</x:v>
      </x:c>
      <x:c r="C2166" s="7" t="str">
        <x:v>event phase</x:v>
      </x:c>
      <x:c r="D2166" s="7" t="str">
        <x:v>RAE-E-35-P22</x:v>
      </x:c>
      <x:c r="E2166" s="7" t="str">
        <x:v>Event Phases!M844</x:v>
      </x:c>
      <x:c r="F2166" s="7" t="str">
        <x:f>'Event Phases'!M844</x:f>
        <x:v>OPEN</x:v>
      </x:c>
    </x:row>
    <x:row r="2167">
      <x:c r="B2167" s="7" t="str">
        <x:v>PHY-2161</x:v>
      </x:c>
      <x:c r="C2167" s="7" t="str">
        <x:v>event phase</x:v>
      </x:c>
      <x:c r="D2167" s="7" t="str">
        <x:v>RAE-E-35-P23</x:v>
      </x:c>
      <x:c r="E2167" s="7" t="str">
        <x:v>Event Phases!M845</x:v>
      </x:c>
      <x:c r="F2167" s="7" t="str">
        <x:f>'Event Phases'!M845</x:f>
        <x:v>OPEN</x:v>
      </x:c>
    </x:row>
    <x:row r="2168">
      <x:c r="B2168" s="7" t="str">
        <x:v>PHY-2162</x:v>
      </x:c>
      <x:c r="C2168" s="7" t="str">
        <x:v>event phase</x:v>
      </x:c>
      <x:c r="D2168" s="7" t="str">
        <x:v>RAE-E-35-P24</x:v>
      </x:c>
      <x:c r="E2168" s="7" t="str">
        <x:v>Event Phases!M846</x:v>
      </x:c>
      <x:c r="F2168" s="7" t="str">
        <x:f>'Event Phases'!M846</x:f>
        <x:v>OPEN</x:v>
      </x:c>
    </x:row>
    <x:row r="2169">
      <x:c r="B2169" s="7" t="str">
        <x:v>PHY-2163</x:v>
      </x:c>
      <x:c r="C2169" s="7" t="str">
        <x:v>event phase</x:v>
      </x:c>
      <x:c r="D2169" s="7" t="str">
        <x:v>RAE-E-36-P01</x:v>
      </x:c>
      <x:c r="E2169" s="7" t="str">
        <x:v>Event Phases!M847</x:v>
      </x:c>
      <x:c r="F2169" s="7" t="str">
        <x:f>'Event Phases'!M847</x:f>
        <x:v>OPEN</x:v>
      </x:c>
    </x:row>
    <x:row r="2170">
      <x:c r="B2170" s="7" t="str">
        <x:v>PHY-2164</x:v>
      </x:c>
      <x:c r="C2170" s="7" t="str">
        <x:v>event phase</x:v>
      </x:c>
      <x:c r="D2170" s="7" t="str">
        <x:v>RAE-E-36-P02</x:v>
      </x:c>
      <x:c r="E2170" s="7" t="str">
        <x:v>Event Phases!M848</x:v>
      </x:c>
      <x:c r="F2170" s="7" t="str">
        <x:f>'Event Phases'!M848</x:f>
        <x:v>OPEN</x:v>
      </x:c>
    </x:row>
    <x:row r="2171">
      <x:c r="B2171" s="7" t="str">
        <x:v>PHY-2165</x:v>
      </x:c>
      <x:c r="C2171" s="7" t="str">
        <x:v>event phase</x:v>
      </x:c>
      <x:c r="D2171" s="7" t="str">
        <x:v>RAE-E-36-P03</x:v>
      </x:c>
      <x:c r="E2171" s="7" t="str">
        <x:v>Event Phases!M849</x:v>
      </x:c>
      <x:c r="F2171" s="7" t="str">
        <x:f>'Event Phases'!M849</x:f>
        <x:v>OPEN</x:v>
      </x:c>
    </x:row>
    <x:row r="2172">
      <x:c r="B2172" s="7" t="str">
        <x:v>PHY-2166</x:v>
      </x:c>
      <x:c r="C2172" s="7" t="str">
        <x:v>event phase</x:v>
      </x:c>
      <x:c r="D2172" s="7" t="str">
        <x:v>RAE-E-36-P04</x:v>
      </x:c>
      <x:c r="E2172" s="7" t="str">
        <x:v>Event Phases!M850</x:v>
      </x:c>
      <x:c r="F2172" s="7" t="str">
        <x:f>'Event Phases'!M850</x:f>
        <x:v>OPEN</x:v>
      </x:c>
    </x:row>
    <x:row r="2173">
      <x:c r="B2173" s="7" t="str">
        <x:v>PHY-2167</x:v>
      </x:c>
      <x:c r="C2173" s="7" t="str">
        <x:v>event phase</x:v>
      </x:c>
      <x:c r="D2173" s="7" t="str">
        <x:v>RAE-E-36-P05</x:v>
      </x:c>
      <x:c r="E2173" s="7" t="str">
        <x:v>Event Phases!M851</x:v>
      </x:c>
      <x:c r="F2173" s="7" t="str">
        <x:f>'Event Phases'!M851</x:f>
        <x:v>OPEN</x:v>
      </x:c>
    </x:row>
    <x:row r="2174">
      <x:c r="B2174" s="7" t="str">
        <x:v>PHY-2168</x:v>
      </x:c>
      <x:c r="C2174" s="7" t="str">
        <x:v>event phase</x:v>
      </x:c>
      <x:c r="D2174" s="7" t="str">
        <x:v>RAE-E-36-P06</x:v>
      </x:c>
      <x:c r="E2174" s="7" t="str">
        <x:v>Event Phases!M852</x:v>
      </x:c>
      <x:c r="F2174" s="7" t="str">
        <x:f>'Event Phases'!M852</x:f>
        <x:v>OPEN</x:v>
      </x:c>
    </x:row>
    <x:row r="2175">
      <x:c r="B2175" s="7" t="str">
        <x:v>PHY-2169</x:v>
      </x:c>
      <x:c r="C2175" s="7" t="str">
        <x:v>event phase</x:v>
      </x:c>
      <x:c r="D2175" s="7" t="str">
        <x:v>RAE-E-36-P07</x:v>
      </x:c>
      <x:c r="E2175" s="7" t="str">
        <x:v>Event Phases!M853</x:v>
      </x:c>
      <x:c r="F2175" s="7" t="str">
        <x:f>'Event Phases'!M853</x:f>
        <x:v>OPEN</x:v>
      </x:c>
    </x:row>
    <x:row r="2176">
      <x:c r="B2176" s="7" t="str">
        <x:v>PHY-2170</x:v>
      </x:c>
      <x:c r="C2176" s="7" t="str">
        <x:v>event phase</x:v>
      </x:c>
      <x:c r="D2176" s="7" t="str">
        <x:v>RAE-E-36-P08</x:v>
      </x:c>
      <x:c r="E2176" s="7" t="str">
        <x:v>Event Phases!M854</x:v>
      </x:c>
      <x:c r="F2176" s="7" t="str">
        <x:f>'Event Phases'!M854</x:f>
        <x:v>OPEN</x:v>
      </x:c>
    </x:row>
    <x:row r="2177">
      <x:c r="B2177" s="7" t="str">
        <x:v>PHY-2171</x:v>
      </x:c>
      <x:c r="C2177" s="7" t="str">
        <x:v>event phase</x:v>
      </x:c>
      <x:c r="D2177" s="7" t="str">
        <x:v>RAE-E-36-P09</x:v>
      </x:c>
      <x:c r="E2177" s="7" t="str">
        <x:v>Event Phases!M855</x:v>
      </x:c>
      <x:c r="F2177" s="7" t="str">
        <x:f>'Event Phases'!M855</x:f>
        <x:v>OPEN</x:v>
      </x:c>
    </x:row>
    <x:row r="2178">
      <x:c r="B2178" s="7" t="str">
        <x:v>PHY-2172</x:v>
      </x:c>
      <x:c r="C2178" s="7" t="str">
        <x:v>event phase</x:v>
      </x:c>
      <x:c r="D2178" s="7" t="str">
        <x:v>RAE-E-36-P10</x:v>
      </x:c>
      <x:c r="E2178" s="7" t="str">
        <x:v>Event Phases!M856</x:v>
      </x:c>
      <x:c r="F2178" s="7" t="str">
        <x:f>'Event Phases'!M856</x:f>
        <x:v>OPEN</x:v>
      </x:c>
    </x:row>
    <x:row r="2179">
      <x:c r="B2179" s="7" t="str">
        <x:v>PHY-2173</x:v>
      </x:c>
      <x:c r="C2179" s="7" t="str">
        <x:v>event phase</x:v>
      </x:c>
      <x:c r="D2179" s="7" t="str">
        <x:v>RAE-E-36-P11</x:v>
      </x:c>
      <x:c r="E2179" s="7" t="str">
        <x:v>Event Phases!M857</x:v>
      </x:c>
      <x:c r="F2179" s="7" t="str">
        <x:f>'Event Phases'!M857</x:f>
        <x:v>OPEN</x:v>
      </x:c>
    </x:row>
    <x:row r="2180">
      <x:c r="B2180" s="7" t="str">
        <x:v>PHY-2174</x:v>
      </x:c>
      <x:c r="C2180" s="7" t="str">
        <x:v>event phase</x:v>
      </x:c>
      <x:c r="D2180" s="7" t="str">
        <x:v>RAE-E-36-P12</x:v>
      </x:c>
      <x:c r="E2180" s="7" t="str">
        <x:v>Event Phases!M858</x:v>
      </x:c>
      <x:c r="F2180" s="7" t="str">
        <x:f>'Event Phases'!M858</x:f>
        <x:v>OPEN</x:v>
      </x:c>
    </x:row>
    <x:row r="2181">
      <x:c r="B2181" s="7" t="str">
        <x:v>PHY-2175</x:v>
      </x:c>
      <x:c r="C2181" s="7" t="str">
        <x:v>event phase</x:v>
      </x:c>
      <x:c r="D2181" s="7" t="str">
        <x:v>RAE-E-36-P13</x:v>
      </x:c>
      <x:c r="E2181" s="7" t="str">
        <x:v>Event Phases!M859</x:v>
      </x:c>
      <x:c r="F2181" s="7" t="str">
        <x:f>'Event Phases'!M859</x:f>
        <x:v>OPEN</x:v>
      </x:c>
    </x:row>
    <x:row r="2182">
      <x:c r="B2182" s="7" t="str">
        <x:v>PHY-2176</x:v>
      </x:c>
      <x:c r="C2182" s="7" t="str">
        <x:v>event phase</x:v>
      </x:c>
      <x:c r="D2182" s="7" t="str">
        <x:v>RAE-E-36-P14</x:v>
      </x:c>
      <x:c r="E2182" s="7" t="str">
        <x:v>Event Phases!M860</x:v>
      </x:c>
      <x:c r="F2182" s="7" t="str">
        <x:f>'Event Phases'!M860</x:f>
        <x:v>OPEN</x:v>
      </x:c>
    </x:row>
    <x:row r="2183">
      <x:c r="B2183" s="7" t="str">
        <x:v>PHY-2177</x:v>
      </x:c>
      <x:c r="C2183" s="7" t="str">
        <x:v>event phase</x:v>
      </x:c>
      <x:c r="D2183" s="7" t="str">
        <x:v>RAE-E-36-P15</x:v>
      </x:c>
      <x:c r="E2183" s="7" t="str">
        <x:v>Event Phases!M861</x:v>
      </x:c>
      <x:c r="F2183" s="7" t="str">
        <x:f>'Event Phases'!M861</x:f>
        <x:v>OPEN</x:v>
      </x:c>
    </x:row>
    <x:row r="2184">
      <x:c r="B2184" s="7" t="str">
        <x:v>PHY-2178</x:v>
      </x:c>
      <x:c r="C2184" s="7" t="str">
        <x:v>event phase</x:v>
      </x:c>
      <x:c r="D2184" s="7" t="str">
        <x:v>RAE-E-36-P16</x:v>
      </x:c>
      <x:c r="E2184" s="7" t="str">
        <x:v>Event Phases!M862</x:v>
      </x:c>
      <x:c r="F2184" s="7" t="str">
        <x:f>'Event Phases'!M862</x:f>
        <x:v>OPEN</x:v>
      </x:c>
    </x:row>
    <x:row r="2185">
      <x:c r="B2185" s="7" t="str">
        <x:v>PHY-2179</x:v>
      </x:c>
      <x:c r="C2185" s="7" t="str">
        <x:v>event phase</x:v>
      </x:c>
      <x:c r="D2185" s="7" t="str">
        <x:v>RAE-E-36-P17</x:v>
      </x:c>
      <x:c r="E2185" s="7" t="str">
        <x:v>Event Phases!M863</x:v>
      </x:c>
      <x:c r="F2185" s="7" t="str">
        <x:f>'Event Phases'!M863</x:f>
        <x:v>OPEN</x:v>
      </x:c>
    </x:row>
    <x:row r="2186">
      <x:c r="B2186" s="7" t="str">
        <x:v>PHY-2180</x:v>
      </x:c>
      <x:c r="C2186" s="7" t="str">
        <x:v>event phase</x:v>
      </x:c>
      <x:c r="D2186" s="7" t="str">
        <x:v>RAE-E-36-P18</x:v>
      </x:c>
      <x:c r="E2186" s="7" t="str">
        <x:v>Event Phases!M864</x:v>
      </x:c>
      <x:c r="F2186" s="7" t="str">
        <x:f>'Event Phases'!M864</x:f>
        <x:v>OPEN</x:v>
      </x:c>
    </x:row>
    <x:row r="2187">
      <x:c r="B2187" s="7" t="str">
        <x:v>PHY-2181</x:v>
      </x:c>
      <x:c r="C2187" s="7" t="str">
        <x:v>event phase</x:v>
      </x:c>
      <x:c r="D2187" s="7" t="str">
        <x:v>RAE-E-36-P19</x:v>
      </x:c>
      <x:c r="E2187" s="7" t="str">
        <x:v>Event Phases!M865</x:v>
      </x:c>
      <x:c r="F2187" s="7" t="str">
        <x:f>'Event Phases'!M865</x:f>
        <x:v>OPEN</x:v>
      </x:c>
    </x:row>
    <x:row r="2188">
      <x:c r="B2188" s="7" t="str">
        <x:v>PHY-2182</x:v>
      </x:c>
      <x:c r="C2188" s="7" t="str">
        <x:v>event phase</x:v>
      </x:c>
      <x:c r="D2188" s="7" t="str">
        <x:v>RAE-E-36-P20</x:v>
      </x:c>
      <x:c r="E2188" s="7" t="str">
        <x:v>Event Phases!M866</x:v>
      </x:c>
      <x:c r="F2188" s="7" t="str">
        <x:f>'Event Phases'!M866</x:f>
        <x:v>OPEN</x:v>
      </x:c>
    </x:row>
    <x:row r="2189">
      <x:c r="B2189" s="7" t="str">
        <x:v>PHY-2183</x:v>
      </x:c>
      <x:c r="C2189" s="7" t="str">
        <x:v>event phase</x:v>
      </x:c>
      <x:c r="D2189" s="7" t="str">
        <x:v>RAE-E-36-P21</x:v>
      </x:c>
      <x:c r="E2189" s="7" t="str">
        <x:v>Event Phases!M867</x:v>
      </x:c>
      <x:c r="F2189" s="7" t="str">
        <x:f>'Event Phases'!M867</x:f>
        <x:v>OPEN</x:v>
      </x:c>
    </x:row>
    <x:row r="2190">
      <x:c r="B2190" s="7" t="str">
        <x:v>PHY-2184</x:v>
      </x:c>
      <x:c r="C2190" s="7" t="str">
        <x:v>event phase</x:v>
      </x:c>
      <x:c r="D2190" s="7" t="str">
        <x:v>RAE-E-36-P22</x:v>
      </x:c>
      <x:c r="E2190" s="7" t="str">
        <x:v>Event Phases!M868</x:v>
      </x:c>
      <x:c r="F2190" s="7" t="str">
        <x:f>'Event Phases'!M868</x:f>
        <x:v>OPEN</x:v>
      </x:c>
    </x:row>
    <x:row r="2191">
      <x:c r="B2191" s="7" t="str">
        <x:v>PHY-2185</x:v>
      </x:c>
      <x:c r="C2191" s="7" t="str">
        <x:v>event phase</x:v>
      </x:c>
      <x:c r="D2191" s="7" t="str">
        <x:v>RAE-E-36-P23</x:v>
      </x:c>
      <x:c r="E2191" s="7" t="str">
        <x:v>Event Phases!M869</x:v>
      </x:c>
      <x:c r="F2191" s="7" t="str">
        <x:f>'Event Phases'!M869</x:f>
        <x:v>OPEN</x:v>
      </x:c>
    </x:row>
    <x:row r="2192">
      <x:c r="B2192" s="7" t="str">
        <x:v>PHY-2186</x:v>
      </x:c>
      <x:c r="C2192" s="7" t="str">
        <x:v>event phase</x:v>
      </x:c>
      <x:c r="D2192" s="7" t="str">
        <x:v>RAE-E-36-P24</x:v>
      </x:c>
      <x:c r="E2192" s="7" t="str">
        <x:v>Event Phases!M870</x:v>
      </x:c>
      <x:c r="F2192" s="7" t="str">
        <x:f>'Event Phases'!M870</x:f>
        <x:v>OPEN</x:v>
      </x:c>
    </x:row>
    <x:row r="2193">
      <x:c r="B2193" s="7" t="str">
        <x:v>PHY-2187</x:v>
      </x:c>
      <x:c r="C2193" s="7" t="str">
        <x:v>event phase</x:v>
      </x:c>
      <x:c r="D2193" s="7" t="str">
        <x:v>RAE-E-37-P01</x:v>
      </x:c>
      <x:c r="E2193" s="7" t="str">
        <x:v>Event Phases!M871</x:v>
      </x:c>
      <x:c r="F2193" s="7" t="str">
        <x:f>'Event Phases'!M871</x:f>
        <x:v>OPEN</x:v>
      </x:c>
    </x:row>
    <x:row r="2194">
      <x:c r="B2194" s="7" t="str">
        <x:v>PHY-2188</x:v>
      </x:c>
      <x:c r="C2194" s="7" t="str">
        <x:v>event phase</x:v>
      </x:c>
      <x:c r="D2194" s="7" t="str">
        <x:v>RAE-E-37-P02</x:v>
      </x:c>
      <x:c r="E2194" s="7" t="str">
        <x:v>Event Phases!M872</x:v>
      </x:c>
      <x:c r="F2194" s="7" t="str">
        <x:f>'Event Phases'!M872</x:f>
        <x:v>OPEN</x:v>
      </x:c>
    </x:row>
    <x:row r="2195">
      <x:c r="B2195" s="7" t="str">
        <x:v>PHY-2189</x:v>
      </x:c>
      <x:c r="C2195" s="7" t="str">
        <x:v>event phase</x:v>
      </x:c>
      <x:c r="D2195" s="7" t="str">
        <x:v>RAE-E-37-P03</x:v>
      </x:c>
      <x:c r="E2195" s="7" t="str">
        <x:v>Event Phases!M873</x:v>
      </x:c>
      <x:c r="F2195" s="7" t="str">
        <x:f>'Event Phases'!M873</x:f>
        <x:v>OPEN</x:v>
      </x:c>
    </x:row>
    <x:row r="2196">
      <x:c r="B2196" s="7" t="str">
        <x:v>PHY-2190</x:v>
      </x:c>
      <x:c r="C2196" s="7" t="str">
        <x:v>event phase</x:v>
      </x:c>
      <x:c r="D2196" s="7" t="str">
        <x:v>RAE-E-37-P04</x:v>
      </x:c>
      <x:c r="E2196" s="7" t="str">
        <x:v>Event Phases!M874</x:v>
      </x:c>
      <x:c r="F2196" s="7" t="str">
        <x:f>'Event Phases'!M874</x:f>
        <x:v>OPEN</x:v>
      </x:c>
    </x:row>
    <x:row r="2197">
      <x:c r="B2197" s="7" t="str">
        <x:v>PHY-2191</x:v>
      </x:c>
      <x:c r="C2197" s="7" t="str">
        <x:v>event phase</x:v>
      </x:c>
      <x:c r="D2197" s="7" t="str">
        <x:v>RAE-E-37-P05</x:v>
      </x:c>
      <x:c r="E2197" s="7" t="str">
        <x:v>Event Phases!M875</x:v>
      </x:c>
      <x:c r="F2197" s="7" t="str">
        <x:f>'Event Phases'!M875</x:f>
        <x:v>OPEN</x:v>
      </x:c>
    </x:row>
    <x:row r="2198">
      <x:c r="B2198" s="7" t="str">
        <x:v>PHY-2192</x:v>
      </x:c>
      <x:c r="C2198" s="7" t="str">
        <x:v>event phase</x:v>
      </x:c>
      <x:c r="D2198" s="7" t="str">
        <x:v>RAE-E-37-P06</x:v>
      </x:c>
      <x:c r="E2198" s="7" t="str">
        <x:v>Event Phases!M876</x:v>
      </x:c>
      <x:c r="F2198" s="7" t="str">
        <x:f>'Event Phases'!M876</x:f>
        <x:v>OPEN</x:v>
      </x:c>
    </x:row>
    <x:row r="2199">
      <x:c r="B2199" s="7" t="str">
        <x:v>PHY-2193</x:v>
      </x:c>
      <x:c r="C2199" s="7" t="str">
        <x:v>event phase</x:v>
      </x:c>
      <x:c r="D2199" s="7" t="str">
        <x:v>RAE-E-37-P07</x:v>
      </x:c>
      <x:c r="E2199" s="7" t="str">
        <x:v>Event Phases!M877</x:v>
      </x:c>
      <x:c r="F2199" s="7" t="str">
        <x:f>'Event Phases'!M877</x:f>
        <x:v>OPEN</x:v>
      </x:c>
    </x:row>
    <x:row r="2200">
      <x:c r="B2200" s="7" t="str">
        <x:v>PHY-2194</x:v>
      </x:c>
      <x:c r="C2200" s="7" t="str">
        <x:v>event phase</x:v>
      </x:c>
      <x:c r="D2200" s="7" t="str">
        <x:v>RAE-E-37-P08</x:v>
      </x:c>
      <x:c r="E2200" s="7" t="str">
        <x:v>Event Phases!M878</x:v>
      </x:c>
      <x:c r="F2200" s="7" t="str">
        <x:f>'Event Phases'!M878</x:f>
        <x:v>OPEN</x:v>
      </x:c>
    </x:row>
    <x:row r="2201">
      <x:c r="B2201" s="7" t="str">
        <x:v>PHY-2195</x:v>
      </x:c>
      <x:c r="C2201" s="7" t="str">
        <x:v>event phase</x:v>
      </x:c>
      <x:c r="D2201" s="7" t="str">
        <x:v>RAE-E-37-P09</x:v>
      </x:c>
      <x:c r="E2201" s="7" t="str">
        <x:v>Event Phases!M879</x:v>
      </x:c>
      <x:c r="F2201" s="7" t="str">
        <x:f>'Event Phases'!M879</x:f>
        <x:v>OPEN</x:v>
      </x:c>
    </x:row>
    <x:row r="2202">
      <x:c r="B2202" s="7" t="str">
        <x:v>PHY-2196</x:v>
      </x:c>
      <x:c r="C2202" s="7" t="str">
        <x:v>event phase</x:v>
      </x:c>
      <x:c r="D2202" s="7" t="str">
        <x:v>RAE-E-37-P10</x:v>
      </x:c>
      <x:c r="E2202" s="7" t="str">
        <x:v>Event Phases!M880</x:v>
      </x:c>
      <x:c r="F2202" s="7" t="str">
        <x:f>'Event Phases'!M880</x:f>
        <x:v>OPEN</x:v>
      </x:c>
    </x:row>
    <x:row r="2203">
      <x:c r="B2203" s="7" t="str">
        <x:v>PHY-2197</x:v>
      </x:c>
      <x:c r="C2203" s="7" t="str">
        <x:v>event phase</x:v>
      </x:c>
      <x:c r="D2203" s="7" t="str">
        <x:v>RAE-E-37-P11</x:v>
      </x:c>
      <x:c r="E2203" s="7" t="str">
        <x:v>Event Phases!M881</x:v>
      </x:c>
      <x:c r="F2203" s="7" t="str">
        <x:f>'Event Phases'!M881</x:f>
        <x:v>OPEN</x:v>
      </x:c>
    </x:row>
    <x:row r="2204">
      <x:c r="B2204" s="7" t="str">
        <x:v>PHY-2198</x:v>
      </x:c>
      <x:c r="C2204" s="7" t="str">
        <x:v>event phase</x:v>
      </x:c>
      <x:c r="D2204" s="7" t="str">
        <x:v>RAE-E-37-P12</x:v>
      </x:c>
      <x:c r="E2204" s="7" t="str">
        <x:v>Event Phases!M882</x:v>
      </x:c>
      <x:c r="F2204" s="7" t="str">
        <x:f>'Event Phases'!M882</x:f>
        <x:v>OPEN</x:v>
      </x:c>
    </x:row>
    <x:row r="2205">
      <x:c r="B2205" s="7" t="str">
        <x:v>PHY-2199</x:v>
      </x:c>
      <x:c r="C2205" s="7" t="str">
        <x:v>event phase</x:v>
      </x:c>
      <x:c r="D2205" s="7" t="str">
        <x:v>RAE-E-37-P13</x:v>
      </x:c>
      <x:c r="E2205" s="7" t="str">
        <x:v>Event Phases!M883</x:v>
      </x:c>
      <x:c r="F2205" s="7" t="str">
        <x:f>'Event Phases'!M883</x:f>
        <x:v>OPEN</x:v>
      </x:c>
    </x:row>
    <x:row r="2206">
      <x:c r="B2206" s="7" t="str">
        <x:v>PHY-2200</x:v>
      </x:c>
      <x:c r="C2206" s="7" t="str">
        <x:v>event phase</x:v>
      </x:c>
      <x:c r="D2206" s="7" t="str">
        <x:v>RAE-E-37-P14</x:v>
      </x:c>
      <x:c r="E2206" s="7" t="str">
        <x:v>Event Phases!M884</x:v>
      </x:c>
      <x:c r="F2206" s="7" t="str">
        <x:f>'Event Phases'!M884</x:f>
        <x:v>OPEN</x:v>
      </x:c>
    </x:row>
    <x:row r="2207">
      <x:c r="B2207" s="7" t="str">
        <x:v>PHY-2201</x:v>
      </x:c>
      <x:c r="C2207" s="7" t="str">
        <x:v>event phase</x:v>
      </x:c>
      <x:c r="D2207" s="7" t="str">
        <x:v>RAE-E-37-P15</x:v>
      </x:c>
      <x:c r="E2207" s="7" t="str">
        <x:v>Event Phases!M885</x:v>
      </x:c>
      <x:c r="F2207" s="7" t="str">
        <x:f>'Event Phases'!M885</x:f>
        <x:v>OPEN</x:v>
      </x:c>
    </x:row>
    <x:row r="2208">
      <x:c r="B2208" s="7" t="str">
        <x:v>PHY-2202</x:v>
      </x:c>
      <x:c r="C2208" s="7" t="str">
        <x:v>event phase</x:v>
      </x:c>
      <x:c r="D2208" s="7" t="str">
        <x:v>RAE-E-37-P16</x:v>
      </x:c>
      <x:c r="E2208" s="7" t="str">
        <x:v>Event Phases!M886</x:v>
      </x:c>
      <x:c r="F2208" s="7" t="str">
        <x:f>'Event Phases'!M886</x:f>
        <x:v>OPEN</x:v>
      </x:c>
    </x:row>
    <x:row r="2209">
      <x:c r="B2209" s="7" t="str">
        <x:v>PHY-2203</x:v>
      </x:c>
      <x:c r="C2209" s="7" t="str">
        <x:v>event phase</x:v>
      </x:c>
      <x:c r="D2209" s="7" t="str">
        <x:v>RAE-E-37-P17</x:v>
      </x:c>
      <x:c r="E2209" s="7" t="str">
        <x:v>Event Phases!M887</x:v>
      </x:c>
      <x:c r="F2209" s="7" t="str">
        <x:f>'Event Phases'!M887</x:f>
        <x:v>OPEN</x:v>
      </x:c>
    </x:row>
    <x:row r="2210">
      <x:c r="B2210" s="7" t="str">
        <x:v>PHY-2204</x:v>
      </x:c>
      <x:c r="C2210" s="7" t="str">
        <x:v>event phase</x:v>
      </x:c>
      <x:c r="D2210" s="7" t="str">
        <x:v>RAE-E-37-P18</x:v>
      </x:c>
      <x:c r="E2210" s="7" t="str">
        <x:v>Event Phases!M888</x:v>
      </x:c>
      <x:c r="F2210" s="7" t="str">
        <x:f>'Event Phases'!M888</x:f>
        <x:v>OPEN</x:v>
      </x:c>
    </x:row>
    <x:row r="2211">
      <x:c r="B2211" s="7" t="str">
        <x:v>PHY-2205</x:v>
      </x:c>
      <x:c r="C2211" s="7" t="str">
        <x:v>event phase</x:v>
      </x:c>
      <x:c r="D2211" s="7" t="str">
        <x:v>RAE-E-37-P19</x:v>
      </x:c>
      <x:c r="E2211" s="7" t="str">
        <x:v>Event Phases!M889</x:v>
      </x:c>
      <x:c r="F2211" s="7" t="str">
        <x:f>'Event Phases'!M889</x:f>
        <x:v>OPEN</x:v>
      </x:c>
    </x:row>
    <x:row r="2212">
      <x:c r="B2212" s="7" t="str">
        <x:v>PHY-2206</x:v>
      </x:c>
      <x:c r="C2212" s="7" t="str">
        <x:v>event phase</x:v>
      </x:c>
      <x:c r="D2212" s="7" t="str">
        <x:v>RAE-E-37-P20</x:v>
      </x:c>
      <x:c r="E2212" s="7" t="str">
        <x:v>Event Phases!M890</x:v>
      </x:c>
      <x:c r="F2212" s="7" t="str">
        <x:f>'Event Phases'!M890</x:f>
        <x:v>OPEN</x:v>
      </x:c>
    </x:row>
    <x:row r="2213">
      <x:c r="B2213" s="7" t="str">
        <x:v>PHY-2207</x:v>
      </x:c>
      <x:c r="C2213" s="7" t="str">
        <x:v>event phase</x:v>
      </x:c>
      <x:c r="D2213" s="7" t="str">
        <x:v>RAE-E-37-P21</x:v>
      </x:c>
      <x:c r="E2213" s="7" t="str">
        <x:v>Event Phases!M891</x:v>
      </x:c>
      <x:c r="F2213" s="7" t="str">
        <x:f>'Event Phases'!M891</x:f>
        <x:v>OPEN</x:v>
      </x:c>
    </x:row>
    <x:row r="2214">
      <x:c r="B2214" s="7" t="str">
        <x:v>PHY-2208</x:v>
      </x:c>
      <x:c r="C2214" s="7" t="str">
        <x:v>event phase</x:v>
      </x:c>
      <x:c r="D2214" s="7" t="str">
        <x:v>RAE-E-37-P22</x:v>
      </x:c>
      <x:c r="E2214" s="7" t="str">
        <x:v>Event Phases!M892</x:v>
      </x:c>
      <x:c r="F2214" s="7" t="str">
        <x:f>'Event Phases'!M892</x:f>
        <x:v>OPEN</x:v>
      </x:c>
    </x:row>
    <x:row r="2215">
      <x:c r="B2215" s="7" t="str">
        <x:v>PHY-2209</x:v>
      </x:c>
      <x:c r="C2215" s="7" t="str">
        <x:v>event phase</x:v>
      </x:c>
      <x:c r="D2215" s="7" t="str">
        <x:v>RAE-E-37-P23</x:v>
      </x:c>
      <x:c r="E2215" s="7" t="str">
        <x:v>Event Phases!M893</x:v>
      </x:c>
      <x:c r="F2215" s="7" t="str">
        <x:f>'Event Phases'!M893</x:f>
        <x:v>OPEN</x:v>
      </x:c>
    </x:row>
    <x:row r="2216">
      <x:c r="B2216" s="7" t="str">
        <x:v>PHY-2210</x:v>
      </x:c>
      <x:c r="C2216" s="7" t="str">
        <x:v>event phase</x:v>
      </x:c>
      <x:c r="D2216" s="7" t="str">
        <x:v>RAE-E-37-P24</x:v>
      </x:c>
      <x:c r="E2216" s="7" t="str">
        <x:v>Event Phases!M894</x:v>
      </x:c>
      <x:c r="F2216" s="7" t="str">
        <x:f>'Event Phases'!M894</x:f>
        <x:v>OPEN</x:v>
      </x:c>
    </x:row>
    <x:row r="2217">
      <x:c r="B2217" s="7" t="str">
        <x:v>PHY-2211</x:v>
      </x:c>
      <x:c r="C2217" s="7" t="str">
        <x:v>event phase</x:v>
      </x:c>
      <x:c r="D2217" s="7" t="str">
        <x:v>RAE-E-38-P01</x:v>
      </x:c>
      <x:c r="E2217" s="7" t="str">
        <x:v>Event Phases!M895</x:v>
      </x:c>
      <x:c r="F2217" s="7" t="str">
        <x:f>'Event Phases'!M895</x:f>
        <x:v>OPEN</x:v>
      </x:c>
    </x:row>
    <x:row r="2218">
      <x:c r="B2218" s="7" t="str">
        <x:v>PHY-2212</x:v>
      </x:c>
      <x:c r="C2218" s="7" t="str">
        <x:v>event phase</x:v>
      </x:c>
      <x:c r="D2218" s="7" t="str">
        <x:v>RAE-E-38-P02</x:v>
      </x:c>
      <x:c r="E2218" s="7" t="str">
        <x:v>Event Phases!M896</x:v>
      </x:c>
      <x:c r="F2218" s="7" t="str">
        <x:f>'Event Phases'!M896</x:f>
        <x:v>OPEN</x:v>
      </x:c>
    </x:row>
    <x:row r="2219">
      <x:c r="B2219" s="7" t="str">
        <x:v>PHY-2213</x:v>
      </x:c>
      <x:c r="C2219" s="7" t="str">
        <x:v>event phase</x:v>
      </x:c>
      <x:c r="D2219" s="7" t="str">
        <x:v>RAE-E-38-P03</x:v>
      </x:c>
      <x:c r="E2219" s="7" t="str">
        <x:v>Event Phases!M897</x:v>
      </x:c>
      <x:c r="F2219" s="7" t="str">
        <x:f>'Event Phases'!M897</x:f>
        <x:v>OPEN</x:v>
      </x:c>
    </x:row>
    <x:row r="2220">
      <x:c r="B2220" s="7" t="str">
        <x:v>PHY-2214</x:v>
      </x:c>
      <x:c r="C2220" s="7" t="str">
        <x:v>event phase</x:v>
      </x:c>
      <x:c r="D2220" s="7" t="str">
        <x:v>RAE-E-38-P04</x:v>
      </x:c>
      <x:c r="E2220" s="7" t="str">
        <x:v>Event Phases!M898</x:v>
      </x:c>
      <x:c r="F2220" s="7" t="str">
        <x:f>'Event Phases'!M898</x:f>
        <x:v>OPEN</x:v>
      </x:c>
    </x:row>
    <x:row r="2221">
      <x:c r="B2221" s="7" t="str">
        <x:v>PHY-2215</x:v>
      </x:c>
      <x:c r="C2221" s="7" t="str">
        <x:v>event phase</x:v>
      </x:c>
      <x:c r="D2221" s="7" t="str">
        <x:v>RAE-E-38-P05</x:v>
      </x:c>
      <x:c r="E2221" s="7" t="str">
        <x:v>Event Phases!M899</x:v>
      </x:c>
      <x:c r="F2221" s="7" t="str">
        <x:f>'Event Phases'!M899</x:f>
        <x:v>OPEN</x:v>
      </x:c>
    </x:row>
    <x:row r="2222">
      <x:c r="B2222" s="7" t="str">
        <x:v>PHY-2216</x:v>
      </x:c>
      <x:c r="C2222" s="7" t="str">
        <x:v>event phase</x:v>
      </x:c>
      <x:c r="D2222" s="7" t="str">
        <x:v>RAE-E-38-P06</x:v>
      </x:c>
      <x:c r="E2222" s="7" t="str">
        <x:v>Event Phases!M900</x:v>
      </x:c>
      <x:c r="F2222" s="7" t="str">
        <x:f>'Event Phases'!M900</x:f>
        <x:v>OPEN</x:v>
      </x:c>
    </x:row>
    <x:row r="2223">
      <x:c r="B2223" s="7" t="str">
        <x:v>PHY-2217</x:v>
      </x:c>
      <x:c r="C2223" s="7" t="str">
        <x:v>event phase</x:v>
      </x:c>
      <x:c r="D2223" s="7" t="str">
        <x:v>RAE-E-38-P07</x:v>
      </x:c>
      <x:c r="E2223" s="7" t="str">
        <x:v>Event Phases!M901</x:v>
      </x:c>
      <x:c r="F2223" s="7" t="str">
        <x:f>'Event Phases'!M901</x:f>
        <x:v>OPEN</x:v>
      </x:c>
    </x:row>
    <x:row r="2224">
      <x:c r="B2224" s="7" t="str">
        <x:v>PHY-2218</x:v>
      </x:c>
      <x:c r="C2224" s="7" t="str">
        <x:v>event phase</x:v>
      </x:c>
      <x:c r="D2224" s="7" t="str">
        <x:v>RAE-E-38-P08</x:v>
      </x:c>
      <x:c r="E2224" s="7" t="str">
        <x:v>Event Phases!M902</x:v>
      </x:c>
      <x:c r="F2224" s="7" t="str">
        <x:f>'Event Phases'!M902</x:f>
        <x:v>OPEN</x:v>
      </x:c>
    </x:row>
    <x:row r="2225">
      <x:c r="B2225" s="7" t="str">
        <x:v>PHY-2219</x:v>
      </x:c>
      <x:c r="C2225" s="7" t="str">
        <x:v>event phase</x:v>
      </x:c>
      <x:c r="D2225" s="7" t="str">
        <x:v>RAE-E-38-P09</x:v>
      </x:c>
      <x:c r="E2225" s="7" t="str">
        <x:v>Event Phases!M903</x:v>
      </x:c>
      <x:c r="F2225" s="7" t="str">
        <x:f>'Event Phases'!M903</x:f>
        <x:v>OPEN</x:v>
      </x:c>
    </x:row>
    <x:row r="2226">
      <x:c r="B2226" s="7" t="str">
        <x:v>PHY-2220</x:v>
      </x:c>
      <x:c r="C2226" s="7" t="str">
        <x:v>event phase</x:v>
      </x:c>
      <x:c r="D2226" s="7" t="str">
        <x:v>RAE-E-38-P10</x:v>
      </x:c>
      <x:c r="E2226" s="7" t="str">
        <x:v>Event Phases!M904</x:v>
      </x:c>
      <x:c r="F2226" s="7" t="str">
        <x:f>'Event Phases'!M904</x:f>
        <x:v>OPEN</x:v>
      </x:c>
    </x:row>
    <x:row r="2227">
      <x:c r="B2227" s="7" t="str">
        <x:v>PHY-2221</x:v>
      </x:c>
      <x:c r="C2227" s="7" t="str">
        <x:v>event phase</x:v>
      </x:c>
      <x:c r="D2227" s="7" t="str">
        <x:v>RAE-E-38-P11</x:v>
      </x:c>
      <x:c r="E2227" s="7" t="str">
        <x:v>Event Phases!M905</x:v>
      </x:c>
      <x:c r="F2227" s="7" t="str">
        <x:f>'Event Phases'!M905</x:f>
        <x:v>OPEN</x:v>
      </x:c>
    </x:row>
    <x:row r="2228">
      <x:c r="B2228" s="7" t="str">
        <x:v>PHY-2222</x:v>
      </x:c>
      <x:c r="C2228" s="7" t="str">
        <x:v>event phase</x:v>
      </x:c>
      <x:c r="D2228" s="7" t="str">
        <x:v>RAE-E-38-P12</x:v>
      </x:c>
      <x:c r="E2228" s="7" t="str">
        <x:v>Event Phases!M906</x:v>
      </x:c>
      <x:c r="F2228" s="7" t="str">
        <x:f>'Event Phases'!M906</x:f>
        <x:v>OPEN</x:v>
      </x:c>
    </x:row>
    <x:row r="2229">
      <x:c r="B2229" s="7" t="str">
        <x:v>PHY-2223</x:v>
      </x:c>
      <x:c r="C2229" s="7" t="str">
        <x:v>event phase</x:v>
      </x:c>
      <x:c r="D2229" s="7" t="str">
        <x:v>RAE-E-38-P13</x:v>
      </x:c>
      <x:c r="E2229" s="7" t="str">
        <x:v>Event Phases!M907</x:v>
      </x:c>
      <x:c r="F2229" s="7" t="str">
        <x:f>'Event Phases'!M907</x:f>
        <x:v>OPEN</x:v>
      </x:c>
    </x:row>
    <x:row r="2230">
      <x:c r="B2230" s="7" t="str">
        <x:v>PHY-2224</x:v>
      </x:c>
      <x:c r="C2230" s="7" t="str">
        <x:v>event phase</x:v>
      </x:c>
      <x:c r="D2230" s="7" t="str">
        <x:v>RAE-E-38-P14</x:v>
      </x:c>
      <x:c r="E2230" s="7" t="str">
        <x:v>Event Phases!M908</x:v>
      </x:c>
      <x:c r="F2230" s="7" t="str">
        <x:f>'Event Phases'!M908</x:f>
        <x:v>OPEN</x:v>
      </x:c>
    </x:row>
    <x:row r="2231">
      <x:c r="B2231" s="7" t="str">
        <x:v>PHY-2225</x:v>
      </x:c>
      <x:c r="C2231" s="7" t="str">
        <x:v>event phase</x:v>
      </x:c>
      <x:c r="D2231" s="7" t="str">
        <x:v>RAE-E-38-P15</x:v>
      </x:c>
      <x:c r="E2231" s="7" t="str">
        <x:v>Event Phases!M909</x:v>
      </x:c>
      <x:c r="F2231" s="7" t="str">
        <x:f>'Event Phases'!M909</x:f>
        <x:v>OPEN</x:v>
      </x:c>
    </x:row>
    <x:row r="2232">
      <x:c r="B2232" s="7" t="str">
        <x:v>PHY-2226</x:v>
      </x:c>
      <x:c r="C2232" s="7" t="str">
        <x:v>event phase</x:v>
      </x:c>
      <x:c r="D2232" s="7" t="str">
        <x:v>RAE-E-38-P16</x:v>
      </x:c>
      <x:c r="E2232" s="7" t="str">
        <x:v>Event Phases!M910</x:v>
      </x:c>
      <x:c r="F2232" s="7" t="str">
        <x:f>'Event Phases'!M910</x:f>
        <x:v>OPEN</x:v>
      </x:c>
    </x:row>
    <x:row r="2233">
      <x:c r="B2233" s="7" t="str">
        <x:v>PHY-2227</x:v>
      </x:c>
      <x:c r="C2233" s="7" t="str">
        <x:v>event phase</x:v>
      </x:c>
      <x:c r="D2233" s="7" t="str">
        <x:v>RAE-E-38-P17</x:v>
      </x:c>
      <x:c r="E2233" s="7" t="str">
        <x:v>Event Phases!M911</x:v>
      </x:c>
      <x:c r="F2233" s="7" t="str">
        <x:f>'Event Phases'!M911</x:f>
        <x:v>OPEN</x:v>
      </x:c>
    </x:row>
    <x:row r="2234">
      <x:c r="B2234" s="7" t="str">
        <x:v>PHY-2228</x:v>
      </x:c>
      <x:c r="C2234" s="7" t="str">
        <x:v>event phase</x:v>
      </x:c>
      <x:c r="D2234" s="7" t="str">
        <x:v>RAE-E-38-P18</x:v>
      </x:c>
      <x:c r="E2234" s="7" t="str">
        <x:v>Event Phases!M912</x:v>
      </x:c>
      <x:c r="F2234" s="7" t="str">
        <x:f>'Event Phases'!M912</x:f>
        <x:v>OPEN</x:v>
      </x:c>
    </x:row>
    <x:row r="2235">
      <x:c r="B2235" s="7" t="str">
        <x:v>PHY-2229</x:v>
      </x:c>
      <x:c r="C2235" s="7" t="str">
        <x:v>event phase</x:v>
      </x:c>
      <x:c r="D2235" s="7" t="str">
        <x:v>RAE-E-38-P19</x:v>
      </x:c>
      <x:c r="E2235" s="7" t="str">
        <x:v>Event Phases!M913</x:v>
      </x:c>
      <x:c r="F2235" s="7" t="str">
        <x:f>'Event Phases'!M913</x:f>
        <x:v>OPEN</x:v>
      </x:c>
    </x:row>
    <x:row r="2236">
      <x:c r="B2236" s="7" t="str">
        <x:v>PHY-2230</x:v>
      </x:c>
      <x:c r="C2236" s="7" t="str">
        <x:v>event phase</x:v>
      </x:c>
      <x:c r="D2236" s="7" t="str">
        <x:v>RAE-E-38-P20</x:v>
      </x:c>
      <x:c r="E2236" s="7" t="str">
        <x:v>Event Phases!M914</x:v>
      </x:c>
      <x:c r="F2236" s="7" t="str">
        <x:f>'Event Phases'!M914</x:f>
        <x:v>OPEN</x:v>
      </x:c>
    </x:row>
    <x:row r="2237">
      <x:c r="B2237" s="7" t="str">
        <x:v>PHY-2231</x:v>
      </x:c>
      <x:c r="C2237" s="7" t="str">
        <x:v>event phase</x:v>
      </x:c>
      <x:c r="D2237" s="7" t="str">
        <x:v>RAE-E-38-P21</x:v>
      </x:c>
      <x:c r="E2237" s="7" t="str">
        <x:v>Event Phases!M915</x:v>
      </x:c>
      <x:c r="F2237" s="7" t="str">
        <x:f>'Event Phases'!M915</x:f>
        <x:v>OPEN</x:v>
      </x:c>
    </x:row>
    <x:row r="2238">
      <x:c r="B2238" s="7" t="str">
        <x:v>PHY-2232</x:v>
      </x:c>
      <x:c r="C2238" s="7" t="str">
        <x:v>event phase</x:v>
      </x:c>
      <x:c r="D2238" s="7" t="str">
        <x:v>RAE-E-38-P22</x:v>
      </x:c>
      <x:c r="E2238" s="7" t="str">
        <x:v>Event Phases!M916</x:v>
      </x:c>
      <x:c r="F2238" s="7" t="str">
        <x:f>'Event Phases'!M916</x:f>
        <x:v>OPEN</x:v>
      </x:c>
    </x:row>
    <x:row r="2239">
      <x:c r="B2239" s="7" t="str">
        <x:v>PHY-2233</x:v>
      </x:c>
      <x:c r="C2239" s="7" t="str">
        <x:v>event phase</x:v>
      </x:c>
      <x:c r="D2239" s="7" t="str">
        <x:v>RAE-E-38-P23</x:v>
      </x:c>
      <x:c r="E2239" s="7" t="str">
        <x:v>Event Phases!M917</x:v>
      </x:c>
      <x:c r="F2239" s="7" t="str">
        <x:f>'Event Phases'!M917</x:f>
        <x:v>OPEN</x:v>
      </x:c>
    </x:row>
    <x:row r="2240">
      <x:c r="B2240" s="7" t="str">
        <x:v>PHY-2234</x:v>
      </x:c>
      <x:c r="C2240" s="7" t="str">
        <x:v>event phase</x:v>
      </x:c>
      <x:c r="D2240" s="7" t="str">
        <x:v>RAE-E-38-P24</x:v>
      </x:c>
      <x:c r="E2240" s="7" t="str">
        <x:v>Event Phases!M918</x:v>
      </x:c>
      <x:c r="F2240" s="7" t="str">
        <x:f>'Event Phases'!M918</x:f>
        <x:v>OPEN</x:v>
      </x:c>
    </x:row>
    <x:row r="2241">
      <x:c r="B2241" s="7" t="str">
        <x:v>PHY-2235</x:v>
      </x:c>
      <x:c r="C2241" s="7" t="str">
        <x:v>event phase</x:v>
      </x:c>
      <x:c r="D2241" s="7" t="str">
        <x:v>RAE-E-39-P01</x:v>
      </x:c>
      <x:c r="E2241" s="7" t="str">
        <x:v>Event Phases!M919</x:v>
      </x:c>
      <x:c r="F2241" s="7" t="str">
        <x:f>'Event Phases'!M919</x:f>
        <x:v>OPEN</x:v>
      </x:c>
    </x:row>
    <x:row r="2242">
      <x:c r="B2242" s="7" t="str">
        <x:v>PHY-2236</x:v>
      </x:c>
      <x:c r="C2242" s="7" t="str">
        <x:v>event phase</x:v>
      </x:c>
      <x:c r="D2242" s="7" t="str">
        <x:v>RAE-E-39-P02</x:v>
      </x:c>
      <x:c r="E2242" s="7" t="str">
        <x:v>Event Phases!M920</x:v>
      </x:c>
      <x:c r="F2242" s="7" t="str">
        <x:f>'Event Phases'!M920</x:f>
        <x:v>OPEN</x:v>
      </x:c>
    </x:row>
    <x:row r="2243">
      <x:c r="B2243" s="7" t="str">
        <x:v>PHY-2237</x:v>
      </x:c>
      <x:c r="C2243" s="7" t="str">
        <x:v>event phase</x:v>
      </x:c>
      <x:c r="D2243" s="7" t="str">
        <x:v>RAE-E-39-P03</x:v>
      </x:c>
      <x:c r="E2243" s="7" t="str">
        <x:v>Event Phases!M921</x:v>
      </x:c>
      <x:c r="F2243" s="7" t="str">
        <x:f>'Event Phases'!M921</x:f>
        <x:v>OPEN</x:v>
      </x:c>
    </x:row>
    <x:row r="2244">
      <x:c r="B2244" s="7" t="str">
        <x:v>PHY-2238</x:v>
      </x:c>
      <x:c r="C2244" s="7" t="str">
        <x:v>event phase</x:v>
      </x:c>
      <x:c r="D2244" s="7" t="str">
        <x:v>RAE-E-39-P04</x:v>
      </x:c>
      <x:c r="E2244" s="7" t="str">
        <x:v>Event Phases!M922</x:v>
      </x:c>
      <x:c r="F2244" s="7" t="str">
        <x:f>'Event Phases'!M922</x:f>
        <x:v>OPEN</x:v>
      </x:c>
    </x:row>
    <x:row r="2245">
      <x:c r="B2245" s="7" t="str">
        <x:v>PHY-2239</x:v>
      </x:c>
      <x:c r="C2245" s="7" t="str">
        <x:v>event phase</x:v>
      </x:c>
      <x:c r="D2245" s="7" t="str">
        <x:v>RAE-E-39-P05</x:v>
      </x:c>
      <x:c r="E2245" s="7" t="str">
        <x:v>Event Phases!M923</x:v>
      </x:c>
      <x:c r="F2245" s="7" t="str">
        <x:f>'Event Phases'!M923</x:f>
        <x:v>OPEN</x:v>
      </x:c>
    </x:row>
    <x:row r="2246">
      <x:c r="B2246" s="7" t="str">
        <x:v>PHY-2240</x:v>
      </x:c>
      <x:c r="C2246" s="7" t="str">
        <x:v>event phase</x:v>
      </x:c>
      <x:c r="D2246" s="7" t="str">
        <x:v>RAE-E-39-P06</x:v>
      </x:c>
      <x:c r="E2246" s="7" t="str">
        <x:v>Event Phases!M924</x:v>
      </x:c>
      <x:c r="F2246" s="7" t="str">
        <x:f>'Event Phases'!M924</x:f>
        <x:v>OPEN</x:v>
      </x:c>
    </x:row>
    <x:row r="2247">
      <x:c r="B2247" s="7" t="str">
        <x:v>PHY-2241</x:v>
      </x:c>
      <x:c r="C2247" s="7" t="str">
        <x:v>event phase</x:v>
      </x:c>
      <x:c r="D2247" s="7" t="str">
        <x:v>RAE-E-39-P07</x:v>
      </x:c>
      <x:c r="E2247" s="7" t="str">
        <x:v>Event Phases!M925</x:v>
      </x:c>
      <x:c r="F2247" s="7" t="str">
        <x:f>'Event Phases'!M925</x:f>
        <x:v>OPEN</x:v>
      </x:c>
    </x:row>
    <x:row r="2248">
      <x:c r="B2248" s="7" t="str">
        <x:v>PHY-2242</x:v>
      </x:c>
      <x:c r="C2248" s="7" t="str">
        <x:v>event phase</x:v>
      </x:c>
      <x:c r="D2248" s="7" t="str">
        <x:v>RAE-E-39-P08</x:v>
      </x:c>
      <x:c r="E2248" s="7" t="str">
        <x:v>Event Phases!M926</x:v>
      </x:c>
      <x:c r="F2248" s="7" t="str">
        <x:f>'Event Phases'!M926</x:f>
        <x:v>OPEN</x:v>
      </x:c>
    </x:row>
    <x:row r="2249">
      <x:c r="B2249" s="7" t="str">
        <x:v>PHY-2243</x:v>
      </x:c>
      <x:c r="C2249" s="7" t="str">
        <x:v>event phase</x:v>
      </x:c>
      <x:c r="D2249" s="7" t="str">
        <x:v>RAE-E-39-P09</x:v>
      </x:c>
      <x:c r="E2249" s="7" t="str">
        <x:v>Event Phases!M927</x:v>
      </x:c>
      <x:c r="F2249" s="7" t="str">
        <x:f>'Event Phases'!M927</x:f>
        <x:v>OPEN</x:v>
      </x:c>
    </x:row>
    <x:row r="2250">
      <x:c r="B2250" s="7" t="str">
        <x:v>PHY-2244</x:v>
      </x:c>
      <x:c r="C2250" s="7" t="str">
        <x:v>event phase</x:v>
      </x:c>
      <x:c r="D2250" s="7" t="str">
        <x:v>RAE-E-39-P10</x:v>
      </x:c>
      <x:c r="E2250" s="7" t="str">
        <x:v>Event Phases!M928</x:v>
      </x:c>
      <x:c r="F2250" s="7" t="str">
        <x:f>'Event Phases'!M928</x:f>
        <x:v>OPEN</x:v>
      </x:c>
    </x:row>
    <x:row r="2251">
      <x:c r="B2251" s="7" t="str">
        <x:v>PHY-2245</x:v>
      </x:c>
      <x:c r="C2251" s="7" t="str">
        <x:v>event phase</x:v>
      </x:c>
      <x:c r="D2251" s="7" t="str">
        <x:v>RAE-E-39-P11</x:v>
      </x:c>
      <x:c r="E2251" s="7" t="str">
        <x:v>Event Phases!M929</x:v>
      </x:c>
      <x:c r="F2251" s="7" t="str">
        <x:f>'Event Phases'!M929</x:f>
        <x:v>OPEN</x:v>
      </x:c>
    </x:row>
    <x:row r="2252">
      <x:c r="B2252" s="7" t="str">
        <x:v>PHY-2246</x:v>
      </x:c>
      <x:c r="C2252" s="7" t="str">
        <x:v>event phase</x:v>
      </x:c>
      <x:c r="D2252" s="7" t="str">
        <x:v>RAE-E-39-P12</x:v>
      </x:c>
      <x:c r="E2252" s="7" t="str">
        <x:v>Event Phases!M930</x:v>
      </x:c>
      <x:c r="F2252" s="7" t="str">
        <x:f>'Event Phases'!M930</x:f>
        <x:v>OPEN</x:v>
      </x:c>
    </x:row>
    <x:row r="2253">
      <x:c r="B2253" s="7" t="str">
        <x:v>PHY-2247</x:v>
      </x:c>
      <x:c r="C2253" s="7" t="str">
        <x:v>event phase</x:v>
      </x:c>
      <x:c r="D2253" s="7" t="str">
        <x:v>RAE-E-39-P13</x:v>
      </x:c>
      <x:c r="E2253" s="7" t="str">
        <x:v>Event Phases!M931</x:v>
      </x:c>
      <x:c r="F2253" s="7" t="str">
        <x:f>'Event Phases'!M931</x:f>
        <x:v>OPEN</x:v>
      </x:c>
    </x:row>
    <x:row r="2254">
      <x:c r="B2254" s="7" t="str">
        <x:v>PHY-2248</x:v>
      </x:c>
      <x:c r="C2254" s="7" t="str">
        <x:v>event phase</x:v>
      </x:c>
      <x:c r="D2254" s="7" t="str">
        <x:v>RAE-E-39-P14</x:v>
      </x:c>
      <x:c r="E2254" s="7" t="str">
        <x:v>Event Phases!M932</x:v>
      </x:c>
      <x:c r="F2254" s="7" t="str">
        <x:f>'Event Phases'!M932</x:f>
        <x:v>OPEN</x:v>
      </x:c>
    </x:row>
    <x:row r="2255">
      <x:c r="B2255" s="7" t="str">
        <x:v>PHY-2249</x:v>
      </x:c>
      <x:c r="C2255" s="7" t="str">
        <x:v>event phase</x:v>
      </x:c>
      <x:c r="D2255" s="7" t="str">
        <x:v>RAE-E-39-P15</x:v>
      </x:c>
      <x:c r="E2255" s="7" t="str">
        <x:v>Event Phases!M933</x:v>
      </x:c>
      <x:c r="F2255" s="7" t="str">
        <x:f>'Event Phases'!M933</x:f>
        <x:v>OPEN</x:v>
      </x:c>
    </x:row>
    <x:row r="2256">
      <x:c r="B2256" s="7" t="str">
        <x:v>PHY-2250</x:v>
      </x:c>
      <x:c r="C2256" s="7" t="str">
        <x:v>event phase</x:v>
      </x:c>
      <x:c r="D2256" s="7" t="str">
        <x:v>RAE-E-39-P16</x:v>
      </x:c>
      <x:c r="E2256" s="7" t="str">
        <x:v>Event Phases!M934</x:v>
      </x:c>
      <x:c r="F2256" s="7" t="str">
        <x:f>'Event Phases'!M934</x:f>
        <x:v>OPEN</x:v>
      </x:c>
    </x:row>
    <x:row r="2257">
      <x:c r="B2257" s="7" t="str">
        <x:v>PHY-2251</x:v>
      </x:c>
      <x:c r="C2257" s="7" t="str">
        <x:v>event phase</x:v>
      </x:c>
      <x:c r="D2257" s="7" t="str">
        <x:v>RAE-E-39-P17</x:v>
      </x:c>
      <x:c r="E2257" s="7" t="str">
        <x:v>Event Phases!M935</x:v>
      </x:c>
      <x:c r="F2257" s="7" t="str">
        <x:f>'Event Phases'!M935</x:f>
        <x:v>OPEN</x:v>
      </x:c>
    </x:row>
    <x:row r="2258">
      <x:c r="B2258" s="7" t="str">
        <x:v>PHY-2252</x:v>
      </x:c>
      <x:c r="C2258" s="7" t="str">
        <x:v>event phase</x:v>
      </x:c>
      <x:c r="D2258" s="7" t="str">
        <x:v>RAE-E-39-P18</x:v>
      </x:c>
      <x:c r="E2258" s="7" t="str">
        <x:v>Event Phases!M936</x:v>
      </x:c>
      <x:c r="F2258" s="7" t="str">
        <x:f>'Event Phases'!M936</x:f>
        <x:v>OPEN</x:v>
      </x:c>
    </x:row>
    <x:row r="2259">
      <x:c r="B2259" s="7" t="str">
        <x:v>PHY-2253</x:v>
      </x:c>
      <x:c r="C2259" s="7" t="str">
        <x:v>event phase</x:v>
      </x:c>
      <x:c r="D2259" s="7" t="str">
        <x:v>RAE-E-39-P19</x:v>
      </x:c>
      <x:c r="E2259" s="7" t="str">
        <x:v>Event Phases!M937</x:v>
      </x:c>
      <x:c r="F2259" s="7" t="str">
        <x:f>'Event Phases'!M937</x:f>
        <x:v>OPEN</x:v>
      </x:c>
    </x:row>
    <x:row r="2260">
      <x:c r="B2260" s="7" t="str">
        <x:v>PHY-2254</x:v>
      </x:c>
      <x:c r="C2260" s="7" t="str">
        <x:v>event phase</x:v>
      </x:c>
      <x:c r="D2260" s="7" t="str">
        <x:v>RAE-E-39-P20</x:v>
      </x:c>
      <x:c r="E2260" s="7" t="str">
        <x:v>Event Phases!M938</x:v>
      </x:c>
      <x:c r="F2260" s="7" t="str">
        <x:f>'Event Phases'!M938</x:f>
        <x:v>OPEN</x:v>
      </x:c>
    </x:row>
    <x:row r="2261">
      <x:c r="B2261" s="7" t="str">
        <x:v>PHY-2255</x:v>
      </x:c>
      <x:c r="C2261" s="7" t="str">
        <x:v>event phase</x:v>
      </x:c>
      <x:c r="D2261" s="7" t="str">
        <x:v>RAE-E-39-P21</x:v>
      </x:c>
      <x:c r="E2261" s="7" t="str">
        <x:v>Event Phases!M939</x:v>
      </x:c>
      <x:c r="F2261" s="7" t="str">
        <x:f>'Event Phases'!M939</x:f>
        <x:v>OPEN</x:v>
      </x:c>
    </x:row>
    <x:row r="2262">
      <x:c r="B2262" s="7" t="str">
        <x:v>PHY-2256</x:v>
      </x:c>
      <x:c r="C2262" s="7" t="str">
        <x:v>event phase</x:v>
      </x:c>
      <x:c r="D2262" s="7" t="str">
        <x:v>RAE-E-39-P22</x:v>
      </x:c>
      <x:c r="E2262" s="7" t="str">
        <x:v>Event Phases!M940</x:v>
      </x:c>
      <x:c r="F2262" s="7" t="str">
        <x:f>'Event Phases'!M940</x:f>
        <x:v>OPEN</x:v>
      </x:c>
    </x:row>
    <x:row r="2263">
      <x:c r="B2263" s="7" t="str">
        <x:v>PHY-2257</x:v>
      </x:c>
      <x:c r="C2263" s="7" t="str">
        <x:v>event phase</x:v>
      </x:c>
      <x:c r="D2263" s="7" t="str">
        <x:v>RAE-E-39-P23</x:v>
      </x:c>
      <x:c r="E2263" s="7" t="str">
        <x:v>Event Phases!M941</x:v>
      </x:c>
      <x:c r="F2263" s="7" t="str">
        <x:f>'Event Phases'!M941</x:f>
        <x:v>OPEN</x:v>
      </x:c>
    </x:row>
    <x:row r="2264">
      <x:c r="B2264" s="7" t="str">
        <x:v>PHY-2258</x:v>
      </x:c>
      <x:c r="C2264" s="7" t="str">
        <x:v>event phase</x:v>
      </x:c>
      <x:c r="D2264" s="7" t="str">
        <x:v>RAE-E-39-P24</x:v>
      </x:c>
      <x:c r="E2264" s="7" t="str">
        <x:v>Event Phases!M942</x:v>
      </x:c>
      <x:c r="F2264" s="7" t="str">
        <x:f>'Event Phases'!M942</x:f>
        <x:v>OPEN</x:v>
      </x:c>
    </x:row>
    <x:row r="2265">
      <x:c r="B2265" s="7" t="str">
        <x:v>PHY-2259</x:v>
      </x:c>
      <x:c r="C2265" s="7" t="str">
        <x:v>event phase</x:v>
      </x:c>
      <x:c r="D2265" s="7" t="str">
        <x:v>RAE-E-40-P01</x:v>
      </x:c>
      <x:c r="E2265" s="7" t="str">
        <x:v>Event Phases!M943</x:v>
      </x:c>
      <x:c r="F2265" s="7" t="str">
        <x:f>'Event Phases'!M943</x:f>
        <x:v>OPEN</x:v>
      </x:c>
    </x:row>
    <x:row r="2266">
      <x:c r="B2266" s="7" t="str">
        <x:v>PHY-2260</x:v>
      </x:c>
      <x:c r="C2266" s="7" t="str">
        <x:v>event phase</x:v>
      </x:c>
      <x:c r="D2266" s="7" t="str">
        <x:v>RAE-E-40-P02</x:v>
      </x:c>
      <x:c r="E2266" s="7" t="str">
        <x:v>Event Phases!M944</x:v>
      </x:c>
      <x:c r="F2266" s="7" t="str">
        <x:f>'Event Phases'!M944</x:f>
        <x:v>OPEN</x:v>
      </x:c>
    </x:row>
    <x:row r="2267">
      <x:c r="B2267" s="7" t="str">
        <x:v>PHY-2261</x:v>
      </x:c>
      <x:c r="C2267" s="7" t="str">
        <x:v>event phase</x:v>
      </x:c>
      <x:c r="D2267" s="7" t="str">
        <x:v>RAE-E-40-P03</x:v>
      </x:c>
      <x:c r="E2267" s="7" t="str">
        <x:v>Event Phases!M945</x:v>
      </x:c>
      <x:c r="F2267" s="7" t="str">
        <x:f>'Event Phases'!M945</x:f>
        <x:v>OPEN</x:v>
      </x:c>
    </x:row>
    <x:row r="2268">
      <x:c r="B2268" s="7" t="str">
        <x:v>PHY-2262</x:v>
      </x:c>
      <x:c r="C2268" s="7" t="str">
        <x:v>event phase</x:v>
      </x:c>
      <x:c r="D2268" s="7" t="str">
        <x:v>RAE-E-40-P04</x:v>
      </x:c>
      <x:c r="E2268" s="7" t="str">
        <x:v>Event Phases!M946</x:v>
      </x:c>
      <x:c r="F2268" s="7" t="str">
        <x:f>'Event Phases'!M946</x:f>
        <x:v>OPEN</x:v>
      </x:c>
    </x:row>
    <x:row r="2269">
      <x:c r="B2269" s="7" t="str">
        <x:v>PHY-2263</x:v>
      </x:c>
      <x:c r="C2269" s="7" t="str">
        <x:v>event phase</x:v>
      </x:c>
      <x:c r="D2269" s="7" t="str">
        <x:v>RAE-E-40-P05</x:v>
      </x:c>
      <x:c r="E2269" s="7" t="str">
        <x:v>Event Phases!M947</x:v>
      </x:c>
      <x:c r="F2269" s="7" t="str">
        <x:f>'Event Phases'!M947</x:f>
        <x:v>OPEN</x:v>
      </x:c>
    </x:row>
    <x:row r="2270">
      <x:c r="B2270" s="7" t="str">
        <x:v>PHY-2264</x:v>
      </x:c>
      <x:c r="C2270" s="7" t="str">
        <x:v>event phase</x:v>
      </x:c>
      <x:c r="D2270" s="7" t="str">
        <x:v>RAE-E-40-P06</x:v>
      </x:c>
      <x:c r="E2270" s="7" t="str">
        <x:v>Event Phases!M948</x:v>
      </x:c>
      <x:c r="F2270" s="7" t="str">
        <x:f>'Event Phases'!M948</x:f>
        <x:v>OPEN</x:v>
      </x:c>
    </x:row>
    <x:row r="2271">
      <x:c r="B2271" s="7" t="str">
        <x:v>PHY-2265</x:v>
      </x:c>
      <x:c r="C2271" s="7" t="str">
        <x:v>event phase</x:v>
      </x:c>
      <x:c r="D2271" s="7" t="str">
        <x:v>RAE-E-40-P07</x:v>
      </x:c>
      <x:c r="E2271" s="7" t="str">
        <x:v>Event Phases!M949</x:v>
      </x:c>
      <x:c r="F2271" s="7" t="str">
        <x:f>'Event Phases'!M949</x:f>
        <x:v>OPEN</x:v>
      </x:c>
    </x:row>
    <x:row r="2272">
      <x:c r="B2272" s="7" t="str">
        <x:v>PHY-2266</x:v>
      </x:c>
      <x:c r="C2272" s="7" t="str">
        <x:v>event phase</x:v>
      </x:c>
      <x:c r="D2272" s="7" t="str">
        <x:v>RAE-E-40-P08</x:v>
      </x:c>
      <x:c r="E2272" s="7" t="str">
        <x:v>Event Phases!M950</x:v>
      </x:c>
      <x:c r="F2272" s="7" t="str">
        <x:f>'Event Phases'!M950</x:f>
        <x:v>OPEN</x:v>
      </x:c>
    </x:row>
    <x:row r="2273">
      <x:c r="B2273" s="7" t="str">
        <x:v>PHY-2267</x:v>
      </x:c>
      <x:c r="C2273" s="7" t="str">
        <x:v>event phase</x:v>
      </x:c>
      <x:c r="D2273" s="7" t="str">
        <x:v>RAE-E-40-P09</x:v>
      </x:c>
      <x:c r="E2273" s="7" t="str">
        <x:v>Event Phases!M951</x:v>
      </x:c>
      <x:c r="F2273" s="7" t="str">
        <x:f>'Event Phases'!M951</x:f>
        <x:v>OPEN</x:v>
      </x:c>
    </x:row>
    <x:row r="2274">
      <x:c r="B2274" s="7" t="str">
        <x:v>PHY-2268</x:v>
      </x:c>
      <x:c r="C2274" s="7" t="str">
        <x:v>event phase</x:v>
      </x:c>
      <x:c r="D2274" s="7" t="str">
        <x:v>RAE-E-40-P10</x:v>
      </x:c>
      <x:c r="E2274" s="7" t="str">
        <x:v>Event Phases!M952</x:v>
      </x:c>
      <x:c r="F2274" s="7" t="str">
        <x:f>'Event Phases'!M952</x:f>
        <x:v>OPEN</x:v>
      </x:c>
    </x:row>
    <x:row r="2275">
      <x:c r="B2275" s="7" t="str">
        <x:v>PHY-2269</x:v>
      </x:c>
      <x:c r="C2275" s="7" t="str">
        <x:v>event phase</x:v>
      </x:c>
      <x:c r="D2275" s="7" t="str">
        <x:v>RAE-E-40-P11</x:v>
      </x:c>
      <x:c r="E2275" s="7" t="str">
        <x:v>Event Phases!M953</x:v>
      </x:c>
      <x:c r="F2275" s="7" t="str">
        <x:f>'Event Phases'!M953</x:f>
        <x:v>OPEN</x:v>
      </x:c>
    </x:row>
    <x:row r="2276">
      <x:c r="B2276" s="7" t="str">
        <x:v>PHY-2270</x:v>
      </x:c>
      <x:c r="C2276" s="7" t="str">
        <x:v>event phase</x:v>
      </x:c>
      <x:c r="D2276" s="7" t="str">
        <x:v>RAE-E-40-P12</x:v>
      </x:c>
      <x:c r="E2276" s="7" t="str">
        <x:v>Event Phases!M954</x:v>
      </x:c>
      <x:c r="F2276" s="7" t="str">
        <x:f>'Event Phases'!M954</x:f>
        <x:v>OPEN</x:v>
      </x:c>
    </x:row>
    <x:row r="2277">
      <x:c r="B2277" s="7" t="str">
        <x:v>PHY-2271</x:v>
      </x:c>
      <x:c r="C2277" s="7" t="str">
        <x:v>event phase</x:v>
      </x:c>
      <x:c r="D2277" s="7" t="str">
        <x:v>RAE-E-40-P13</x:v>
      </x:c>
      <x:c r="E2277" s="7" t="str">
        <x:v>Event Phases!M955</x:v>
      </x:c>
      <x:c r="F2277" s="7" t="str">
        <x:f>'Event Phases'!M955</x:f>
        <x:v>OPEN</x:v>
      </x:c>
    </x:row>
    <x:row r="2278">
      <x:c r="B2278" s="7" t="str">
        <x:v>PHY-2272</x:v>
      </x:c>
      <x:c r="C2278" s="7" t="str">
        <x:v>event phase</x:v>
      </x:c>
      <x:c r="D2278" s="7" t="str">
        <x:v>RAE-E-40-P14</x:v>
      </x:c>
      <x:c r="E2278" s="7" t="str">
        <x:v>Event Phases!M956</x:v>
      </x:c>
      <x:c r="F2278" s="7" t="str">
        <x:f>'Event Phases'!M956</x:f>
        <x:v>OPEN</x:v>
      </x:c>
    </x:row>
    <x:row r="2279">
      <x:c r="B2279" s="7" t="str">
        <x:v>PHY-2273</x:v>
      </x:c>
      <x:c r="C2279" s="7" t="str">
        <x:v>event phase</x:v>
      </x:c>
      <x:c r="D2279" s="7" t="str">
        <x:v>RAE-E-40-P15</x:v>
      </x:c>
      <x:c r="E2279" s="7" t="str">
        <x:v>Event Phases!M957</x:v>
      </x:c>
      <x:c r="F2279" s="7" t="str">
        <x:f>'Event Phases'!M957</x:f>
        <x:v>OPEN</x:v>
      </x:c>
    </x:row>
    <x:row r="2280">
      <x:c r="B2280" s="7" t="str">
        <x:v>PHY-2274</x:v>
      </x:c>
      <x:c r="C2280" s="7" t="str">
        <x:v>event phase</x:v>
      </x:c>
      <x:c r="D2280" s="7" t="str">
        <x:v>RAE-E-40-P16</x:v>
      </x:c>
      <x:c r="E2280" s="7" t="str">
        <x:v>Event Phases!M958</x:v>
      </x:c>
      <x:c r="F2280" s="7" t="str">
        <x:f>'Event Phases'!M958</x:f>
        <x:v>OPEN</x:v>
      </x:c>
    </x:row>
    <x:row r="2281">
      <x:c r="B2281" s="7" t="str">
        <x:v>PHY-2275</x:v>
      </x:c>
      <x:c r="C2281" s="7" t="str">
        <x:v>event phase</x:v>
      </x:c>
      <x:c r="D2281" s="7" t="str">
        <x:v>RAE-E-40-P17</x:v>
      </x:c>
      <x:c r="E2281" s="7" t="str">
        <x:v>Event Phases!M959</x:v>
      </x:c>
      <x:c r="F2281" s="7" t="str">
        <x:f>'Event Phases'!M959</x:f>
        <x:v>OPEN</x:v>
      </x:c>
    </x:row>
    <x:row r="2282">
      <x:c r="B2282" s="7" t="str">
        <x:v>PHY-2276</x:v>
      </x:c>
      <x:c r="C2282" s="7" t="str">
        <x:v>event phase</x:v>
      </x:c>
      <x:c r="D2282" s="7" t="str">
        <x:v>RAE-E-40-P18</x:v>
      </x:c>
      <x:c r="E2282" s="7" t="str">
        <x:v>Event Phases!M960</x:v>
      </x:c>
      <x:c r="F2282" s="7" t="str">
        <x:f>'Event Phases'!M960</x:f>
        <x:v>OPEN</x:v>
      </x:c>
    </x:row>
    <x:row r="2283">
      <x:c r="B2283" s="7" t="str">
        <x:v>PHY-2277</x:v>
      </x:c>
      <x:c r="C2283" s="7" t="str">
        <x:v>event phase</x:v>
      </x:c>
      <x:c r="D2283" s="7" t="str">
        <x:v>RAE-E-40-P19</x:v>
      </x:c>
      <x:c r="E2283" s="7" t="str">
        <x:v>Event Phases!M961</x:v>
      </x:c>
      <x:c r="F2283" s="7" t="str">
        <x:f>'Event Phases'!M961</x:f>
        <x:v>OPEN</x:v>
      </x:c>
    </x:row>
    <x:row r="2284">
      <x:c r="B2284" s="7" t="str">
        <x:v>PHY-2278</x:v>
      </x:c>
      <x:c r="C2284" s="7" t="str">
        <x:v>event phase</x:v>
      </x:c>
      <x:c r="D2284" s="7" t="str">
        <x:v>RAE-E-40-P20</x:v>
      </x:c>
      <x:c r="E2284" s="7" t="str">
        <x:v>Event Phases!M962</x:v>
      </x:c>
      <x:c r="F2284" s="7" t="str">
        <x:f>'Event Phases'!M962</x:f>
        <x:v>OPEN</x:v>
      </x:c>
    </x:row>
    <x:row r="2285">
      <x:c r="B2285" s="7" t="str">
        <x:v>PHY-2279</x:v>
      </x:c>
      <x:c r="C2285" s="7" t="str">
        <x:v>event phase</x:v>
      </x:c>
      <x:c r="D2285" s="7" t="str">
        <x:v>RAE-E-40-P21</x:v>
      </x:c>
      <x:c r="E2285" s="7" t="str">
        <x:v>Event Phases!M963</x:v>
      </x:c>
      <x:c r="F2285" s="7" t="str">
        <x:f>'Event Phases'!M963</x:f>
        <x:v>OPEN</x:v>
      </x:c>
    </x:row>
    <x:row r="2286">
      <x:c r="B2286" s="7" t="str">
        <x:v>PHY-2280</x:v>
      </x:c>
      <x:c r="C2286" s="7" t="str">
        <x:v>event phase</x:v>
      </x:c>
      <x:c r="D2286" s="7" t="str">
        <x:v>RAE-E-40-P22</x:v>
      </x:c>
      <x:c r="E2286" s="7" t="str">
        <x:v>Event Phases!M964</x:v>
      </x:c>
      <x:c r="F2286" s="7" t="str">
        <x:f>'Event Phases'!M964</x:f>
        <x:v>OPEN</x:v>
      </x:c>
    </x:row>
    <x:row r="2287">
      <x:c r="B2287" s="7" t="str">
        <x:v>PHY-2281</x:v>
      </x:c>
      <x:c r="C2287" s="7" t="str">
        <x:v>event phase</x:v>
      </x:c>
      <x:c r="D2287" s="7" t="str">
        <x:v>RAE-E-40-P23</x:v>
      </x:c>
      <x:c r="E2287" s="7" t="str">
        <x:v>Event Phases!M965</x:v>
      </x:c>
      <x:c r="F2287" s="7" t="str">
        <x:f>'Event Phases'!M965</x:f>
        <x:v>OPEN</x:v>
      </x:c>
    </x:row>
    <x:row r="2288">
      <x:c r="B2288" s="7" t="str">
        <x:v>PHY-2282</x:v>
      </x:c>
      <x:c r="C2288" s="7" t="str">
        <x:v>event phase</x:v>
      </x:c>
      <x:c r="D2288" s="7" t="str">
        <x:v>RAE-E-40-P24</x:v>
      </x:c>
      <x:c r="E2288" s="7" t="str">
        <x:v>Event Phases!M966</x:v>
      </x:c>
      <x:c r="F2288" s="7" t="str">
        <x:f>'Event Phases'!M966</x:f>
        <x:v>OPEN</x:v>
      </x:c>
    </x:row>
    <x:row r="2289">
      <x:c r="B2289" s="7" t="str">
        <x:v>PHY-2283</x:v>
      </x:c>
      <x:c r="C2289" s="7" t="str">
        <x:v>event phase</x:v>
      </x:c>
      <x:c r="D2289" s="7" t="str">
        <x:v>RAE-E-41-P01</x:v>
      </x:c>
      <x:c r="E2289" s="7" t="str">
        <x:v>Event Phases!M967</x:v>
      </x:c>
      <x:c r="F2289" s="7" t="str">
        <x:f>'Event Phases'!M967</x:f>
        <x:v>OPEN</x:v>
      </x:c>
    </x:row>
    <x:row r="2290">
      <x:c r="B2290" s="7" t="str">
        <x:v>PHY-2284</x:v>
      </x:c>
      <x:c r="C2290" s="7" t="str">
        <x:v>event phase</x:v>
      </x:c>
      <x:c r="D2290" s="7" t="str">
        <x:v>RAE-E-41-P02</x:v>
      </x:c>
      <x:c r="E2290" s="7" t="str">
        <x:v>Event Phases!M968</x:v>
      </x:c>
      <x:c r="F2290" s="7" t="str">
        <x:f>'Event Phases'!M968</x:f>
        <x:v>OPEN</x:v>
      </x:c>
    </x:row>
    <x:row r="2291">
      <x:c r="B2291" s="7" t="str">
        <x:v>PHY-2285</x:v>
      </x:c>
      <x:c r="C2291" s="7" t="str">
        <x:v>event phase</x:v>
      </x:c>
      <x:c r="D2291" s="7" t="str">
        <x:v>RAE-E-41-P03</x:v>
      </x:c>
      <x:c r="E2291" s="7" t="str">
        <x:v>Event Phases!M969</x:v>
      </x:c>
      <x:c r="F2291" s="7" t="str">
        <x:f>'Event Phases'!M969</x:f>
        <x:v>OPEN</x:v>
      </x:c>
    </x:row>
    <x:row r="2292">
      <x:c r="B2292" s="7" t="str">
        <x:v>PHY-2286</x:v>
      </x:c>
      <x:c r="C2292" s="7" t="str">
        <x:v>event phase</x:v>
      </x:c>
      <x:c r="D2292" s="7" t="str">
        <x:v>RAE-E-41-P04</x:v>
      </x:c>
      <x:c r="E2292" s="7" t="str">
        <x:v>Event Phases!M970</x:v>
      </x:c>
      <x:c r="F2292" s="7" t="str">
        <x:f>'Event Phases'!M970</x:f>
        <x:v>OPEN</x:v>
      </x:c>
    </x:row>
    <x:row r="2293">
      <x:c r="B2293" s="7" t="str">
        <x:v>PHY-2287</x:v>
      </x:c>
      <x:c r="C2293" s="7" t="str">
        <x:v>event phase</x:v>
      </x:c>
      <x:c r="D2293" s="7" t="str">
        <x:v>RAE-E-41-P05</x:v>
      </x:c>
      <x:c r="E2293" s="7" t="str">
        <x:v>Event Phases!M971</x:v>
      </x:c>
      <x:c r="F2293" s="7" t="str">
        <x:f>'Event Phases'!M971</x:f>
        <x:v>OPEN</x:v>
      </x:c>
    </x:row>
    <x:row r="2294">
      <x:c r="B2294" s="7" t="str">
        <x:v>PHY-2288</x:v>
      </x:c>
      <x:c r="C2294" s="7" t="str">
        <x:v>event phase</x:v>
      </x:c>
      <x:c r="D2294" s="7" t="str">
        <x:v>RAE-E-41-P06</x:v>
      </x:c>
      <x:c r="E2294" s="7" t="str">
        <x:v>Event Phases!M972</x:v>
      </x:c>
      <x:c r="F2294" s="7" t="str">
        <x:f>'Event Phases'!M972</x:f>
        <x:v>OPEN</x:v>
      </x:c>
    </x:row>
    <x:row r="2295">
      <x:c r="B2295" s="7" t="str">
        <x:v>PHY-2289</x:v>
      </x:c>
      <x:c r="C2295" s="7" t="str">
        <x:v>event phase</x:v>
      </x:c>
      <x:c r="D2295" s="7" t="str">
        <x:v>RAE-E-41-P07</x:v>
      </x:c>
      <x:c r="E2295" s="7" t="str">
        <x:v>Event Phases!M973</x:v>
      </x:c>
      <x:c r="F2295" s="7" t="str">
        <x:f>'Event Phases'!M973</x:f>
        <x:v>OPEN</x:v>
      </x:c>
    </x:row>
    <x:row r="2296">
      <x:c r="B2296" s="7" t="str">
        <x:v>PHY-2290</x:v>
      </x:c>
      <x:c r="C2296" s="7" t="str">
        <x:v>event phase</x:v>
      </x:c>
      <x:c r="D2296" s="7" t="str">
        <x:v>RAE-E-41-P08</x:v>
      </x:c>
      <x:c r="E2296" s="7" t="str">
        <x:v>Event Phases!M974</x:v>
      </x:c>
      <x:c r="F2296" s="7" t="str">
        <x:f>'Event Phases'!M974</x:f>
        <x:v>OPEN</x:v>
      </x:c>
    </x:row>
    <x:row r="2297">
      <x:c r="B2297" s="7" t="str">
        <x:v>PHY-2291</x:v>
      </x:c>
      <x:c r="C2297" s="7" t="str">
        <x:v>event phase</x:v>
      </x:c>
      <x:c r="D2297" s="7" t="str">
        <x:v>RAE-E-41-P09</x:v>
      </x:c>
      <x:c r="E2297" s="7" t="str">
        <x:v>Event Phases!M975</x:v>
      </x:c>
      <x:c r="F2297" s="7" t="str">
        <x:f>'Event Phases'!M975</x:f>
        <x:v>OPEN</x:v>
      </x:c>
    </x:row>
    <x:row r="2298">
      <x:c r="B2298" s="7" t="str">
        <x:v>PHY-2292</x:v>
      </x:c>
      <x:c r="C2298" s="7" t="str">
        <x:v>event phase</x:v>
      </x:c>
      <x:c r="D2298" s="7" t="str">
        <x:v>RAE-E-41-P10</x:v>
      </x:c>
      <x:c r="E2298" s="7" t="str">
        <x:v>Event Phases!M976</x:v>
      </x:c>
      <x:c r="F2298" s="7" t="str">
        <x:f>'Event Phases'!M976</x:f>
        <x:v>OPEN</x:v>
      </x:c>
    </x:row>
    <x:row r="2299">
      <x:c r="B2299" s="7" t="str">
        <x:v>PHY-2293</x:v>
      </x:c>
      <x:c r="C2299" s="7" t="str">
        <x:v>event phase</x:v>
      </x:c>
      <x:c r="D2299" s="7" t="str">
        <x:v>RAE-E-41-P11</x:v>
      </x:c>
      <x:c r="E2299" s="7" t="str">
        <x:v>Event Phases!M977</x:v>
      </x:c>
      <x:c r="F2299" s="7" t="str">
        <x:f>'Event Phases'!M977</x:f>
        <x:v>OPEN</x:v>
      </x:c>
    </x:row>
    <x:row r="2300">
      <x:c r="B2300" s="7" t="str">
        <x:v>PHY-2294</x:v>
      </x:c>
      <x:c r="C2300" s="7" t="str">
        <x:v>event phase</x:v>
      </x:c>
      <x:c r="D2300" s="7" t="str">
        <x:v>RAE-E-41-P12</x:v>
      </x:c>
      <x:c r="E2300" s="7" t="str">
        <x:v>Event Phases!M978</x:v>
      </x:c>
      <x:c r="F2300" s="7" t="str">
        <x:f>'Event Phases'!M978</x:f>
        <x:v>OPEN</x:v>
      </x:c>
    </x:row>
    <x:row r="2301">
      <x:c r="B2301" s="7" t="str">
        <x:v>PHY-2295</x:v>
      </x:c>
      <x:c r="C2301" s="7" t="str">
        <x:v>event phase</x:v>
      </x:c>
      <x:c r="D2301" s="7" t="str">
        <x:v>RAE-E-41-P13</x:v>
      </x:c>
      <x:c r="E2301" s="7" t="str">
        <x:v>Event Phases!M979</x:v>
      </x:c>
      <x:c r="F2301" s="7" t="str">
        <x:f>'Event Phases'!M979</x:f>
        <x:v>OPEN</x:v>
      </x:c>
    </x:row>
    <x:row r="2302">
      <x:c r="B2302" s="7" t="str">
        <x:v>PHY-2296</x:v>
      </x:c>
      <x:c r="C2302" s="7" t="str">
        <x:v>event phase</x:v>
      </x:c>
      <x:c r="D2302" s="7" t="str">
        <x:v>RAE-E-41-P14</x:v>
      </x:c>
      <x:c r="E2302" s="7" t="str">
        <x:v>Event Phases!M980</x:v>
      </x:c>
      <x:c r="F2302" s="7" t="str">
        <x:f>'Event Phases'!M980</x:f>
        <x:v>OPEN</x:v>
      </x:c>
    </x:row>
    <x:row r="2303">
      <x:c r="B2303" s="7" t="str">
        <x:v>PHY-2297</x:v>
      </x:c>
      <x:c r="C2303" s="7" t="str">
        <x:v>event phase</x:v>
      </x:c>
      <x:c r="D2303" s="7" t="str">
        <x:v>RAE-E-41-P15</x:v>
      </x:c>
      <x:c r="E2303" s="7" t="str">
        <x:v>Event Phases!M981</x:v>
      </x:c>
      <x:c r="F2303" s="7" t="str">
        <x:f>'Event Phases'!M981</x:f>
        <x:v>OPEN</x:v>
      </x:c>
    </x:row>
    <x:row r="2304">
      <x:c r="B2304" s="7" t="str">
        <x:v>PHY-2298</x:v>
      </x:c>
      <x:c r="C2304" s="7" t="str">
        <x:v>event phase</x:v>
      </x:c>
      <x:c r="D2304" s="7" t="str">
        <x:v>RAE-E-41-P16</x:v>
      </x:c>
      <x:c r="E2304" s="7" t="str">
        <x:v>Event Phases!M982</x:v>
      </x:c>
      <x:c r="F2304" s="7" t="str">
        <x:f>'Event Phases'!M982</x:f>
        <x:v>OPEN</x:v>
      </x:c>
    </x:row>
    <x:row r="2305">
      <x:c r="B2305" s="7" t="str">
        <x:v>PHY-2299</x:v>
      </x:c>
      <x:c r="C2305" s="7" t="str">
        <x:v>event phase</x:v>
      </x:c>
      <x:c r="D2305" s="7" t="str">
        <x:v>RAE-E-41-P17</x:v>
      </x:c>
      <x:c r="E2305" s="7" t="str">
        <x:v>Event Phases!M983</x:v>
      </x:c>
      <x:c r="F2305" s="7" t="str">
        <x:f>'Event Phases'!M983</x:f>
        <x:v>OPEN</x:v>
      </x:c>
    </x:row>
    <x:row r="2306">
      <x:c r="B2306" s="7" t="str">
        <x:v>PHY-2300</x:v>
      </x:c>
      <x:c r="C2306" s="7" t="str">
        <x:v>event phase</x:v>
      </x:c>
      <x:c r="D2306" s="7" t="str">
        <x:v>RAE-E-41-P18</x:v>
      </x:c>
      <x:c r="E2306" s="7" t="str">
        <x:v>Event Phases!M984</x:v>
      </x:c>
      <x:c r="F2306" s="7" t="str">
        <x:f>'Event Phases'!M984</x:f>
        <x:v>OPEN</x:v>
      </x:c>
    </x:row>
    <x:row r="2307">
      <x:c r="B2307" s="7" t="str">
        <x:v>PHY-2301</x:v>
      </x:c>
      <x:c r="C2307" s="7" t="str">
        <x:v>event phase</x:v>
      </x:c>
      <x:c r="D2307" s="7" t="str">
        <x:v>RAE-E-41-P19</x:v>
      </x:c>
      <x:c r="E2307" s="7" t="str">
        <x:v>Event Phases!M985</x:v>
      </x:c>
      <x:c r="F2307" s="7" t="str">
        <x:f>'Event Phases'!M985</x:f>
        <x:v>OPEN</x:v>
      </x:c>
    </x:row>
    <x:row r="2308">
      <x:c r="B2308" s="7" t="str">
        <x:v>PHY-2302</x:v>
      </x:c>
      <x:c r="C2308" s="7" t="str">
        <x:v>event phase</x:v>
      </x:c>
      <x:c r="D2308" s="7" t="str">
        <x:v>RAE-E-41-P20</x:v>
      </x:c>
      <x:c r="E2308" s="7" t="str">
        <x:v>Event Phases!M986</x:v>
      </x:c>
      <x:c r="F2308" s="7" t="str">
        <x:f>'Event Phases'!M986</x:f>
        <x:v>OPEN</x:v>
      </x:c>
    </x:row>
    <x:row r="2309">
      <x:c r="B2309" s="7" t="str">
        <x:v>PHY-2303</x:v>
      </x:c>
      <x:c r="C2309" s="7" t="str">
        <x:v>event phase</x:v>
      </x:c>
      <x:c r="D2309" s="7" t="str">
        <x:v>RAE-E-41-P21</x:v>
      </x:c>
      <x:c r="E2309" s="7" t="str">
        <x:v>Event Phases!M987</x:v>
      </x:c>
      <x:c r="F2309" s="7" t="str">
        <x:f>'Event Phases'!M987</x:f>
        <x:v>OPEN</x:v>
      </x:c>
    </x:row>
    <x:row r="2310">
      <x:c r="B2310" s="7" t="str">
        <x:v>PHY-2304</x:v>
      </x:c>
      <x:c r="C2310" s="7" t="str">
        <x:v>event phase</x:v>
      </x:c>
      <x:c r="D2310" s="7" t="str">
        <x:v>RAE-E-41-P22</x:v>
      </x:c>
      <x:c r="E2310" s="7" t="str">
        <x:v>Event Phases!M988</x:v>
      </x:c>
      <x:c r="F2310" s="7" t="str">
        <x:f>'Event Phases'!M988</x:f>
        <x:v>OPEN</x:v>
      </x:c>
    </x:row>
    <x:row r="2311">
      <x:c r="B2311" s="7" t="str">
        <x:v>PHY-2305</x:v>
      </x:c>
      <x:c r="C2311" s="7" t="str">
        <x:v>event phase</x:v>
      </x:c>
      <x:c r="D2311" s="7" t="str">
        <x:v>RAE-E-41-P23</x:v>
      </x:c>
      <x:c r="E2311" s="7" t="str">
        <x:v>Event Phases!M989</x:v>
      </x:c>
      <x:c r="F2311" s="7" t="str">
        <x:f>'Event Phases'!M989</x:f>
        <x:v>OPEN</x:v>
      </x:c>
    </x:row>
    <x:row r="2312">
      <x:c r="B2312" s="7" t="str">
        <x:v>PHY-2306</x:v>
      </x:c>
      <x:c r="C2312" s="7" t="str">
        <x:v>event phase</x:v>
      </x:c>
      <x:c r="D2312" s="7" t="str">
        <x:v>RAE-E-41-P24</x:v>
      </x:c>
      <x:c r="E2312" s="7" t="str">
        <x:v>Event Phases!M990</x:v>
      </x:c>
      <x:c r="F2312" s="7" t="str">
        <x:f>'Event Phases'!M990</x:f>
        <x:v>OPEN</x:v>
      </x:c>
    </x:row>
    <x:row r="2313">
      <x:c r="B2313" s="7" t="str">
        <x:v>PHY-2307</x:v>
      </x:c>
      <x:c r="C2313" s="7" t="str">
        <x:v>event phase</x:v>
      </x:c>
      <x:c r="D2313" s="7" t="str">
        <x:v>RAE-E-42-P01</x:v>
      </x:c>
      <x:c r="E2313" s="7" t="str">
        <x:v>Event Phases!M991</x:v>
      </x:c>
      <x:c r="F2313" s="7" t="str">
        <x:f>'Event Phases'!M991</x:f>
        <x:v>OPEN</x:v>
      </x:c>
    </x:row>
    <x:row r="2314">
      <x:c r="B2314" s="7" t="str">
        <x:v>PHY-2308</x:v>
      </x:c>
      <x:c r="C2314" s="7" t="str">
        <x:v>event phase</x:v>
      </x:c>
      <x:c r="D2314" s="7" t="str">
        <x:v>RAE-E-42-P02</x:v>
      </x:c>
      <x:c r="E2314" s="7" t="str">
        <x:v>Event Phases!M992</x:v>
      </x:c>
      <x:c r="F2314" s="7" t="str">
        <x:f>'Event Phases'!M992</x:f>
        <x:v>OPEN</x:v>
      </x:c>
    </x:row>
    <x:row r="2315">
      <x:c r="B2315" s="7" t="str">
        <x:v>PHY-2309</x:v>
      </x:c>
      <x:c r="C2315" s="7" t="str">
        <x:v>event phase</x:v>
      </x:c>
      <x:c r="D2315" s="7" t="str">
        <x:v>RAE-E-42-P03</x:v>
      </x:c>
      <x:c r="E2315" s="7" t="str">
        <x:v>Event Phases!M993</x:v>
      </x:c>
      <x:c r="F2315" s="7" t="str">
        <x:f>'Event Phases'!M993</x:f>
        <x:v>OPEN</x:v>
      </x:c>
    </x:row>
    <x:row r="2316">
      <x:c r="B2316" s="7" t="str">
        <x:v>PHY-2310</x:v>
      </x:c>
      <x:c r="C2316" s="7" t="str">
        <x:v>event phase</x:v>
      </x:c>
      <x:c r="D2316" s="7" t="str">
        <x:v>RAE-E-42-P04</x:v>
      </x:c>
      <x:c r="E2316" s="7" t="str">
        <x:v>Event Phases!M994</x:v>
      </x:c>
      <x:c r="F2316" s="7" t="str">
        <x:f>'Event Phases'!M994</x:f>
        <x:v>OPEN</x:v>
      </x:c>
    </x:row>
    <x:row r="2317">
      <x:c r="B2317" s="7" t="str">
        <x:v>PHY-2311</x:v>
      </x:c>
      <x:c r="C2317" s="7" t="str">
        <x:v>event phase</x:v>
      </x:c>
      <x:c r="D2317" s="7" t="str">
        <x:v>RAE-E-42-P05</x:v>
      </x:c>
      <x:c r="E2317" s="7" t="str">
        <x:v>Event Phases!M995</x:v>
      </x:c>
      <x:c r="F2317" s="7" t="str">
        <x:f>'Event Phases'!M995</x:f>
        <x:v>OPEN</x:v>
      </x:c>
    </x:row>
    <x:row r="2318">
      <x:c r="B2318" s="7" t="str">
        <x:v>PHY-2312</x:v>
      </x:c>
      <x:c r="C2318" s="7" t="str">
        <x:v>event phase</x:v>
      </x:c>
      <x:c r="D2318" s="7" t="str">
        <x:v>RAE-E-42-P06</x:v>
      </x:c>
      <x:c r="E2318" s="7" t="str">
        <x:v>Event Phases!M996</x:v>
      </x:c>
      <x:c r="F2318" s="7" t="str">
        <x:f>'Event Phases'!M996</x:f>
        <x:v>OPEN</x:v>
      </x:c>
    </x:row>
    <x:row r="2319">
      <x:c r="B2319" s="7" t="str">
        <x:v>PHY-2313</x:v>
      </x:c>
      <x:c r="C2319" s="7" t="str">
        <x:v>event phase</x:v>
      </x:c>
      <x:c r="D2319" s="7" t="str">
        <x:v>RAE-E-42-P07</x:v>
      </x:c>
      <x:c r="E2319" s="7" t="str">
        <x:v>Event Phases!M997</x:v>
      </x:c>
      <x:c r="F2319" s="7" t="str">
        <x:f>'Event Phases'!M997</x:f>
        <x:v>OPEN</x:v>
      </x:c>
    </x:row>
    <x:row r="2320">
      <x:c r="B2320" s="7" t="str">
        <x:v>PHY-2314</x:v>
      </x:c>
      <x:c r="C2320" s="7" t="str">
        <x:v>event phase</x:v>
      </x:c>
      <x:c r="D2320" s="7" t="str">
        <x:v>RAE-E-42-P08</x:v>
      </x:c>
      <x:c r="E2320" s="7" t="str">
        <x:v>Event Phases!M998</x:v>
      </x:c>
      <x:c r="F2320" s="7" t="str">
        <x:f>'Event Phases'!M998</x:f>
        <x:v>OPEN</x:v>
      </x:c>
    </x:row>
    <x:row r="2321">
      <x:c r="B2321" s="7" t="str">
        <x:v>PHY-2315</x:v>
      </x:c>
      <x:c r="C2321" s="7" t="str">
        <x:v>event phase</x:v>
      </x:c>
      <x:c r="D2321" s="7" t="str">
        <x:v>RAE-E-42-P09</x:v>
      </x:c>
      <x:c r="E2321" s="7" t="str">
        <x:v>Event Phases!M999</x:v>
      </x:c>
      <x:c r="F2321" s="7" t="str">
        <x:f>'Event Phases'!M999</x:f>
        <x:v>OPEN</x:v>
      </x:c>
    </x:row>
    <x:row r="2322">
      <x:c r="B2322" s="7" t="str">
        <x:v>PHY-2316</x:v>
      </x:c>
      <x:c r="C2322" s="7" t="str">
        <x:v>event phase</x:v>
      </x:c>
      <x:c r="D2322" s="7" t="str">
        <x:v>RAE-E-42-P10</x:v>
      </x:c>
      <x:c r="E2322" s="7" t="str">
        <x:v>Event Phases!M1000</x:v>
      </x:c>
      <x:c r="F2322" s="7" t="str">
        <x:f>'Event Phases'!M1000</x:f>
        <x:v>OPEN</x:v>
      </x:c>
    </x:row>
    <x:row r="2323">
      <x:c r="B2323" s="7" t="str">
        <x:v>PHY-2317</x:v>
      </x:c>
      <x:c r="C2323" s="7" t="str">
        <x:v>event phase</x:v>
      </x:c>
      <x:c r="D2323" s="7" t="str">
        <x:v>RAE-E-42-P11</x:v>
      </x:c>
      <x:c r="E2323" s="7" t="str">
        <x:v>Event Phases!M1001</x:v>
      </x:c>
      <x:c r="F2323" s="7" t="str">
        <x:f>'Event Phases'!M1001</x:f>
        <x:v>OPEN</x:v>
      </x:c>
    </x:row>
    <x:row r="2324">
      <x:c r="B2324" s="7" t="str">
        <x:v>PHY-2318</x:v>
      </x:c>
      <x:c r="C2324" s="7" t="str">
        <x:v>event phase</x:v>
      </x:c>
      <x:c r="D2324" s="7" t="str">
        <x:v>RAE-E-42-P12</x:v>
      </x:c>
      <x:c r="E2324" s="7" t="str">
        <x:v>Event Phases!M1002</x:v>
      </x:c>
      <x:c r="F2324" s="7" t="str">
        <x:f>'Event Phases'!M1002</x:f>
        <x:v>OPEN</x:v>
      </x:c>
    </x:row>
    <x:row r="2325">
      <x:c r="B2325" s="7" t="str">
        <x:v>PHY-2319</x:v>
      </x:c>
      <x:c r="C2325" s="7" t="str">
        <x:v>event phase</x:v>
      </x:c>
      <x:c r="D2325" s="7" t="str">
        <x:v>RAE-E-42-P13</x:v>
      </x:c>
      <x:c r="E2325" s="7" t="str">
        <x:v>Event Phases!M1003</x:v>
      </x:c>
      <x:c r="F2325" s="7" t="str">
        <x:f>'Event Phases'!M1003</x:f>
        <x:v>OPEN</x:v>
      </x:c>
    </x:row>
    <x:row r="2326">
      <x:c r="B2326" s="7" t="str">
        <x:v>PHY-2320</x:v>
      </x:c>
      <x:c r="C2326" s="7" t="str">
        <x:v>event phase</x:v>
      </x:c>
      <x:c r="D2326" s="7" t="str">
        <x:v>RAE-E-42-P14</x:v>
      </x:c>
      <x:c r="E2326" s="7" t="str">
        <x:v>Event Phases!M1004</x:v>
      </x:c>
      <x:c r="F2326" s="7" t="str">
        <x:f>'Event Phases'!M1004</x:f>
        <x:v>OPEN</x:v>
      </x:c>
    </x:row>
    <x:row r="2327">
      <x:c r="B2327" s="7" t="str">
        <x:v>PHY-2321</x:v>
      </x:c>
      <x:c r="C2327" s="7" t="str">
        <x:v>event phase</x:v>
      </x:c>
      <x:c r="D2327" s="7" t="str">
        <x:v>RAE-E-42-P15</x:v>
      </x:c>
      <x:c r="E2327" s="7" t="str">
        <x:v>Event Phases!M1005</x:v>
      </x:c>
      <x:c r="F2327" s="7" t="str">
        <x:f>'Event Phases'!M1005</x:f>
        <x:v>OPEN</x:v>
      </x:c>
    </x:row>
    <x:row r="2328">
      <x:c r="B2328" s="7" t="str">
        <x:v>PHY-2322</x:v>
      </x:c>
      <x:c r="C2328" s="7" t="str">
        <x:v>event phase</x:v>
      </x:c>
      <x:c r="D2328" s="7" t="str">
        <x:v>RAE-E-42-P16</x:v>
      </x:c>
      <x:c r="E2328" s="7" t="str">
        <x:v>Event Phases!M1006</x:v>
      </x:c>
      <x:c r="F2328" s="7" t="str">
        <x:f>'Event Phases'!M1006</x:f>
        <x:v>OPEN</x:v>
      </x:c>
    </x:row>
    <x:row r="2329">
      <x:c r="B2329" s="7" t="str">
        <x:v>PHY-2323</x:v>
      </x:c>
      <x:c r="C2329" s="7" t="str">
        <x:v>event phase</x:v>
      </x:c>
      <x:c r="D2329" s="7" t="str">
        <x:v>RAE-E-42-P17</x:v>
      </x:c>
      <x:c r="E2329" s="7" t="str">
        <x:v>Event Phases!M1007</x:v>
      </x:c>
      <x:c r="F2329" s="7" t="str">
        <x:f>'Event Phases'!M1007</x:f>
        <x:v>OPEN</x:v>
      </x:c>
    </x:row>
    <x:row r="2330">
      <x:c r="B2330" s="7" t="str">
        <x:v>PHY-2324</x:v>
      </x:c>
      <x:c r="C2330" s="7" t="str">
        <x:v>event phase</x:v>
      </x:c>
      <x:c r="D2330" s="7" t="str">
        <x:v>RAE-E-42-P18</x:v>
      </x:c>
      <x:c r="E2330" s="7" t="str">
        <x:v>Event Phases!M1008</x:v>
      </x:c>
      <x:c r="F2330" s="7" t="str">
        <x:f>'Event Phases'!M1008</x:f>
        <x:v>OPEN</x:v>
      </x:c>
    </x:row>
    <x:row r="2331">
      <x:c r="B2331" s="7" t="str">
        <x:v>PHY-2325</x:v>
      </x:c>
      <x:c r="C2331" s="7" t="str">
        <x:v>event phase</x:v>
      </x:c>
      <x:c r="D2331" s="7" t="str">
        <x:v>RAE-E-42-P19</x:v>
      </x:c>
      <x:c r="E2331" s="7" t="str">
        <x:v>Event Phases!M1009</x:v>
      </x:c>
      <x:c r="F2331" s="7" t="str">
        <x:f>'Event Phases'!M1009</x:f>
        <x:v>OPEN</x:v>
      </x:c>
    </x:row>
    <x:row r="2332">
      <x:c r="B2332" s="7" t="str">
        <x:v>PHY-2326</x:v>
      </x:c>
      <x:c r="C2332" s="7" t="str">
        <x:v>event phase</x:v>
      </x:c>
      <x:c r="D2332" s="7" t="str">
        <x:v>RAE-E-42-P20</x:v>
      </x:c>
      <x:c r="E2332" s="7" t="str">
        <x:v>Event Phases!M1010</x:v>
      </x:c>
      <x:c r="F2332" s="7" t="str">
        <x:f>'Event Phases'!M1010</x:f>
        <x:v>OPEN</x:v>
      </x:c>
    </x:row>
    <x:row r="2333">
      <x:c r="B2333" s="7" t="str">
        <x:v>PHY-2327</x:v>
      </x:c>
      <x:c r="C2333" s="7" t="str">
        <x:v>event phase</x:v>
      </x:c>
      <x:c r="D2333" s="7" t="str">
        <x:v>RAE-E-42-P21</x:v>
      </x:c>
      <x:c r="E2333" s="7" t="str">
        <x:v>Event Phases!M1011</x:v>
      </x:c>
      <x:c r="F2333" s="7" t="str">
        <x:f>'Event Phases'!M1011</x:f>
        <x:v>OPEN</x:v>
      </x:c>
    </x:row>
    <x:row r="2334">
      <x:c r="B2334" s="7" t="str">
        <x:v>PHY-2328</x:v>
      </x:c>
      <x:c r="C2334" s="7" t="str">
        <x:v>event phase</x:v>
      </x:c>
      <x:c r="D2334" s="7" t="str">
        <x:v>RAE-E-42-P22</x:v>
      </x:c>
      <x:c r="E2334" s="7" t="str">
        <x:v>Event Phases!M1012</x:v>
      </x:c>
      <x:c r="F2334" s="7" t="str">
        <x:f>'Event Phases'!M1012</x:f>
        <x:v>OPEN</x:v>
      </x:c>
    </x:row>
    <x:row r="2335">
      <x:c r="B2335" s="7" t="str">
        <x:v>PHY-2329</x:v>
      </x:c>
      <x:c r="C2335" s="7" t="str">
        <x:v>event phase</x:v>
      </x:c>
      <x:c r="D2335" s="7" t="str">
        <x:v>RAE-E-42-P23</x:v>
      </x:c>
      <x:c r="E2335" s="7" t="str">
        <x:v>Event Phases!M1013</x:v>
      </x:c>
      <x:c r="F2335" s="7" t="str">
        <x:f>'Event Phases'!M1013</x:f>
        <x:v>OPEN</x:v>
      </x:c>
    </x:row>
    <x:row r="2336">
      <x:c r="B2336" s="7" t="str">
        <x:v>PHY-2330</x:v>
      </x:c>
      <x:c r="C2336" s="7" t="str">
        <x:v>event phase</x:v>
      </x:c>
      <x:c r="D2336" s="7" t="str">
        <x:v>RAE-E-42-P24</x:v>
      </x:c>
      <x:c r="E2336" s="7" t="str">
        <x:v>Event Phases!M1014</x:v>
      </x:c>
      <x:c r="F2336" s="7" t="str">
        <x:f>'Event Phases'!M1014</x:f>
        <x:v>OPEN</x:v>
      </x:c>
    </x:row>
    <x:row r="2337">
      <x:c r="B2337" s="7" t="str">
        <x:v>PHY-2331</x:v>
      </x:c>
      <x:c r="C2337" s="7" t="str">
        <x:v>event phase</x:v>
      </x:c>
      <x:c r="D2337" s="7" t="str">
        <x:v>RAE-E-43-P01</x:v>
      </x:c>
      <x:c r="E2337" s="7" t="str">
        <x:v>Event Phases!M1015</x:v>
      </x:c>
      <x:c r="F2337" s="7" t="str">
        <x:f>'Event Phases'!M1015</x:f>
        <x:v>OPEN</x:v>
      </x:c>
    </x:row>
    <x:row r="2338">
      <x:c r="B2338" s="7" t="str">
        <x:v>PHY-2332</x:v>
      </x:c>
      <x:c r="C2338" s="7" t="str">
        <x:v>event phase</x:v>
      </x:c>
      <x:c r="D2338" s="7" t="str">
        <x:v>RAE-E-43-P02</x:v>
      </x:c>
      <x:c r="E2338" s="7" t="str">
        <x:v>Event Phases!M1016</x:v>
      </x:c>
      <x:c r="F2338" s="7" t="str">
        <x:f>'Event Phases'!M1016</x:f>
        <x:v>OPEN</x:v>
      </x:c>
    </x:row>
    <x:row r="2339">
      <x:c r="B2339" s="7" t="str">
        <x:v>PHY-2333</x:v>
      </x:c>
      <x:c r="C2339" s="7" t="str">
        <x:v>event phase</x:v>
      </x:c>
      <x:c r="D2339" s="7" t="str">
        <x:v>RAE-E-43-P03</x:v>
      </x:c>
      <x:c r="E2339" s="7" t="str">
        <x:v>Event Phases!M1017</x:v>
      </x:c>
      <x:c r="F2339" s="7" t="str">
        <x:f>'Event Phases'!M1017</x:f>
        <x:v>OPEN</x:v>
      </x:c>
    </x:row>
    <x:row r="2340">
      <x:c r="B2340" s="7" t="str">
        <x:v>PHY-2334</x:v>
      </x:c>
      <x:c r="C2340" s="7" t="str">
        <x:v>event phase</x:v>
      </x:c>
      <x:c r="D2340" s="7" t="str">
        <x:v>RAE-E-43-P04</x:v>
      </x:c>
      <x:c r="E2340" s="7" t="str">
        <x:v>Event Phases!M1018</x:v>
      </x:c>
      <x:c r="F2340" s="7" t="str">
        <x:f>'Event Phases'!M1018</x:f>
        <x:v>OPEN</x:v>
      </x:c>
    </x:row>
    <x:row r="2341">
      <x:c r="B2341" s="7" t="str">
        <x:v>PHY-2335</x:v>
      </x:c>
      <x:c r="C2341" s="7" t="str">
        <x:v>event phase</x:v>
      </x:c>
      <x:c r="D2341" s="7" t="str">
        <x:v>RAE-E-43-P05</x:v>
      </x:c>
      <x:c r="E2341" s="7" t="str">
        <x:v>Event Phases!M1019</x:v>
      </x:c>
      <x:c r="F2341" s="7" t="str">
        <x:f>'Event Phases'!M1019</x:f>
        <x:v>OPEN</x:v>
      </x:c>
    </x:row>
    <x:row r="2342">
      <x:c r="B2342" s="7" t="str">
        <x:v>PHY-2336</x:v>
      </x:c>
      <x:c r="C2342" s="7" t="str">
        <x:v>event phase</x:v>
      </x:c>
      <x:c r="D2342" s="7" t="str">
        <x:v>RAE-E-43-P06</x:v>
      </x:c>
      <x:c r="E2342" s="7" t="str">
        <x:v>Event Phases!M1020</x:v>
      </x:c>
      <x:c r="F2342" s="7" t="str">
        <x:f>'Event Phases'!M1020</x:f>
        <x:v>OPEN</x:v>
      </x:c>
    </x:row>
    <x:row r="2343">
      <x:c r="B2343" s="7" t="str">
        <x:v>PHY-2337</x:v>
      </x:c>
      <x:c r="C2343" s="7" t="str">
        <x:v>event phase</x:v>
      </x:c>
      <x:c r="D2343" s="7" t="str">
        <x:v>RAE-E-43-P07</x:v>
      </x:c>
      <x:c r="E2343" s="7" t="str">
        <x:v>Event Phases!M1021</x:v>
      </x:c>
      <x:c r="F2343" s="7" t="str">
        <x:f>'Event Phases'!M1021</x:f>
        <x:v>OPEN</x:v>
      </x:c>
    </x:row>
    <x:row r="2344">
      <x:c r="B2344" s="7" t="str">
        <x:v>PHY-2338</x:v>
      </x:c>
      <x:c r="C2344" s="7" t="str">
        <x:v>event phase</x:v>
      </x:c>
      <x:c r="D2344" s="7" t="str">
        <x:v>RAE-E-43-P08</x:v>
      </x:c>
      <x:c r="E2344" s="7" t="str">
        <x:v>Event Phases!M1022</x:v>
      </x:c>
      <x:c r="F2344" s="7" t="str">
        <x:f>'Event Phases'!M1022</x:f>
        <x:v>OPEN</x:v>
      </x:c>
    </x:row>
    <x:row r="2345">
      <x:c r="B2345" s="7" t="str">
        <x:v>PHY-2339</x:v>
      </x:c>
      <x:c r="C2345" s="7" t="str">
        <x:v>event phase</x:v>
      </x:c>
      <x:c r="D2345" s="7" t="str">
        <x:v>RAE-E-43-P09</x:v>
      </x:c>
      <x:c r="E2345" s="7" t="str">
        <x:v>Event Phases!M1023</x:v>
      </x:c>
      <x:c r="F2345" s="7" t="str">
        <x:f>'Event Phases'!M1023</x:f>
        <x:v>OPEN</x:v>
      </x:c>
    </x:row>
    <x:row r="2346">
      <x:c r="B2346" s="7" t="str">
        <x:v>PHY-2340</x:v>
      </x:c>
      <x:c r="C2346" s="7" t="str">
        <x:v>event phase</x:v>
      </x:c>
      <x:c r="D2346" s="7" t="str">
        <x:v>RAE-E-43-P10</x:v>
      </x:c>
      <x:c r="E2346" s="7" t="str">
        <x:v>Event Phases!M1024</x:v>
      </x:c>
      <x:c r="F2346" s="7" t="str">
        <x:f>'Event Phases'!M1024</x:f>
        <x:v>OPEN</x:v>
      </x:c>
    </x:row>
    <x:row r="2347">
      <x:c r="B2347" s="7" t="str">
        <x:v>PHY-2341</x:v>
      </x:c>
      <x:c r="C2347" s="7" t="str">
        <x:v>event phase</x:v>
      </x:c>
      <x:c r="D2347" s="7" t="str">
        <x:v>RAE-E-43-P11</x:v>
      </x:c>
      <x:c r="E2347" s="7" t="str">
        <x:v>Event Phases!M1025</x:v>
      </x:c>
      <x:c r="F2347" s="7" t="str">
        <x:f>'Event Phases'!M1025</x:f>
        <x:v>OPEN</x:v>
      </x:c>
    </x:row>
    <x:row r="2348">
      <x:c r="B2348" s="7" t="str">
        <x:v>PHY-2342</x:v>
      </x:c>
      <x:c r="C2348" s="7" t="str">
        <x:v>event phase</x:v>
      </x:c>
      <x:c r="D2348" s="7" t="str">
        <x:v>RAE-E-43-P12</x:v>
      </x:c>
      <x:c r="E2348" s="7" t="str">
        <x:v>Event Phases!M1026</x:v>
      </x:c>
      <x:c r="F2348" s="7" t="str">
        <x:f>'Event Phases'!M1026</x:f>
        <x:v>OPEN</x:v>
      </x:c>
    </x:row>
    <x:row r="2349">
      <x:c r="B2349" s="7" t="str">
        <x:v>PHY-2343</x:v>
      </x:c>
      <x:c r="C2349" s="7" t="str">
        <x:v>event phase</x:v>
      </x:c>
      <x:c r="D2349" s="7" t="str">
        <x:v>RAE-E-43-P13</x:v>
      </x:c>
      <x:c r="E2349" s="7" t="str">
        <x:v>Event Phases!M1027</x:v>
      </x:c>
      <x:c r="F2349" s="7" t="str">
        <x:f>'Event Phases'!M1027</x:f>
        <x:v>OPEN</x:v>
      </x:c>
    </x:row>
    <x:row r="2350">
      <x:c r="B2350" s="7" t="str">
        <x:v>PHY-2344</x:v>
      </x:c>
      <x:c r="C2350" s="7" t="str">
        <x:v>event phase</x:v>
      </x:c>
      <x:c r="D2350" s="7" t="str">
        <x:v>RAE-E-43-P14</x:v>
      </x:c>
      <x:c r="E2350" s="7" t="str">
        <x:v>Event Phases!M1028</x:v>
      </x:c>
      <x:c r="F2350" s="7" t="str">
        <x:f>'Event Phases'!M1028</x:f>
        <x:v>OPEN</x:v>
      </x:c>
    </x:row>
    <x:row r="2351">
      <x:c r="B2351" s="7" t="str">
        <x:v>PHY-2345</x:v>
      </x:c>
      <x:c r="C2351" s="7" t="str">
        <x:v>event phase</x:v>
      </x:c>
      <x:c r="D2351" s="7" t="str">
        <x:v>RAE-E-43-P15</x:v>
      </x:c>
      <x:c r="E2351" s="7" t="str">
        <x:v>Event Phases!M1029</x:v>
      </x:c>
      <x:c r="F2351" s="7" t="str">
        <x:f>'Event Phases'!M1029</x:f>
        <x:v>OPEN</x:v>
      </x:c>
    </x:row>
    <x:row r="2352">
      <x:c r="B2352" s="7" t="str">
        <x:v>PHY-2346</x:v>
      </x:c>
      <x:c r="C2352" s="7" t="str">
        <x:v>event phase</x:v>
      </x:c>
      <x:c r="D2352" s="7" t="str">
        <x:v>RAE-E-43-P16</x:v>
      </x:c>
      <x:c r="E2352" s="7" t="str">
        <x:v>Event Phases!M1030</x:v>
      </x:c>
      <x:c r="F2352" s="7" t="str">
        <x:f>'Event Phases'!M1030</x:f>
        <x:v>OPEN</x:v>
      </x:c>
    </x:row>
    <x:row r="2353">
      <x:c r="B2353" s="7" t="str">
        <x:v>PHY-2347</x:v>
      </x:c>
      <x:c r="C2353" s="7" t="str">
        <x:v>event phase</x:v>
      </x:c>
      <x:c r="D2353" s="7" t="str">
        <x:v>RAE-E-43-P17</x:v>
      </x:c>
      <x:c r="E2353" s="7" t="str">
        <x:v>Event Phases!M1031</x:v>
      </x:c>
      <x:c r="F2353" s="7" t="str">
        <x:f>'Event Phases'!M1031</x:f>
        <x:v>OPEN</x:v>
      </x:c>
    </x:row>
    <x:row r="2354">
      <x:c r="B2354" s="7" t="str">
        <x:v>PHY-2348</x:v>
      </x:c>
      <x:c r="C2354" s="7" t="str">
        <x:v>event phase</x:v>
      </x:c>
      <x:c r="D2354" s="7" t="str">
        <x:v>RAE-E-43-P18</x:v>
      </x:c>
      <x:c r="E2354" s="7" t="str">
        <x:v>Event Phases!M1032</x:v>
      </x:c>
      <x:c r="F2354" s="7" t="str">
        <x:f>'Event Phases'!M1032</x:f>
        <x:v>OPEN</x:v>
      </x:c>
    </x:row>
    <x:row r="2355">
      <x:c r="B2355" s="7" t="str">
        <x:v>PHY-2349</x:v>
      </x:c>
      <x:c r="C2355" s="7" t="str">
        <x:v>event phase</x:v>
      </x:c>
      <x:c r="D2355" s="7" t="str">
        <x:v>RAE-E-43-P19</x:v>
      </x:c>
      <x:c r="E2355" s="7" t="str">
        <x:v>Event Phases!M1033</x:v>
      </x:c>
      <x:c r="F2355" s="7" t="str">
        <x:f>'Event Phases'!M1033</x:f>
        <x:v>OPEN</x:v>
      </x:c>
    </x:row>
    <x:row r="2356">
      <x:c r="B2356" s="7" t="str">
        <x:v>PHY-2350</x:v>
      </x:c>
      <x:c r="C2356" s="7" t="str">
        <x:v>event phase</x:v>
      </x:c>
      <x:c r="D2356" s="7" t="str">
        <x:v>RAE-E-43-P20</x:v>
      </x:c>
      <x:c r="E2356" s="7" t="str">
        <x:v>Event Phases!M1034</x:v>
      </x:c>
      <x:c r="F2356" s="7" t="str">
        <x:f>'Event Phases'!M1034</x:f>
        <x:v>OPEN</x:v>
      </x:c>
    </x:row>
    <x:row r="2357">
      <x:c r="B2357" s="7" t="str">
        <x:v>PHY-2351</x:v>
      </x:c>
      <x:c r="C2357" s="7" t="str">
        <x:v>event phase</x:v>
      </x:c>
      <x:c r="D2357" s="7" t="str">
        <x:v>RAE-E-43-P21</x:v>
      </x:c>
      <x:c r="E2357" s="7" t="str">
        <x:v>Event Phases!M1035</x:v>
      </x:c>
      <x:c r="F2357" s="7" t="str">
        <x:f>'Event Phases'!M1035</x:f>
        <x:v>OPEN</x:v>
      </x:c>
    </x:row>
    <x:row r="2358">
      <x:c r="B2358" s="7" t="str">
        <x:v>PHY-2352</x:v>
      </x:c>
      <x:c r="C2358" s="7" t="str">
        <x:v>event phase</x:v>
      </x:c>
      <x:c r="D2358" s="7" t="str">
        <x:v>RAE-E-43-P22</x:v>
      </x:c>
      <x:c r="E2358" s="7" t="str">
        <x:v>Event Phases!M1036</x:v>
      </x:c>
      <x:c r="F2358" s="7" t="str">
        <x:f>'Event Phases'!M1036</x:f>
        <x:v>OPEN</x:v>
      </x:c>
    </x:row>
    <x:row r="2359">
      <x:c r="B2359" s="7" t="str">
        <x:v>PHY-2353</x:v>
      </x:c>
      <x:c r="C2359" s="7" t="str">
        <x:v>event phase</x:v>
      </x:c>
      <x:c r="D2359" s="7" t="str">
        <x:v>RAE-E-43-P23</x:v>
      </x:c>
      <x:c r="E2359" s="7" t="str">
        <x:v>Event Phases!M1037</x:v>
      </x:c>
      <x:c r="F2359" s="7" t="str">
        <x:f>'Event Phases'!M1037</x:f>
        <x:v>OPEN</x:v>
      </x:c>
    </x:row>
    <x:row r="2360">
      <x:c r="B2360" s="7" t="str">
        <x:v>PHY-2354</x:v>
      </x:c>
      <x:c r="C2360" s="7" t="str">
        <x:v>event phase</x:v>
      </x:c>
      <x:c r="D2360" s="7" t="str">
        <x:v>RAE-E-43-P24</x:v>
      </x:c>
      <x:c r="E2360" s="7" t="str">
        <x:v>Event Phases!M1038</x:v>
      </x:c>
      <x:c r="F2360" s="7" t="str">
        <x:f>'Event Phases'!M1038</x:f>
        <x:v>OPEN</x:v>
      </x:c>
    </x:row>
    <x:row r="2361">
      <x:c r="B2361" s="7" t="str">
        <x:v>PHY-2355</x:v>
      </x:c>
      <x:c r="C2361" s="7" t="str">
        <x:v>event phase</x:v>
      </x:c>
      <x:c r="D2361" s="7" t="str">
        <x:v>RAE-E-44-P01</x:v>
      </x:c>
      <x:c r="E2361" s="7" t="str">
        <x:v>Event Phases!M1039</x:v>
      </x:c>
      <x:c r="F2361" s="7" t="str">
        <x:f>'Event Phases'!M1039</x:f>
        <x:v>OPEN</x:v>
      </x:c>
    </x:row>
    <x:row r="2362">
      <x:c r="B2362" s="7" t="str">
        <x:v>PHY-2356</x:v>
      </x:c>
      <x:c r="C2362" s="7" t="str">
        <x:v>event phase</x:v>
      </x:c>
      <x:c r="D2362" s="7" t="str">
        <x:v>RAE-E-44-P02</x:v>
      </x:c>
      <x:c r="E2362" s="7" t="str">
        <x:v>Event Phases!M1040</x:v>
      </x:c>
      <x:c r="F2362" s="7" t="str">
        <x:f>'Event Phases'!M1040</x:f>
        <x:v>OPEN</x:v>
      </x:c>
    </x:row>
    <x:row r="2363">
      <x:c r="B2363" s="7" t="str">
        <x:v>PHY-2357</x:v>
      </x:c>
      <x:c r="C2363" s="7" t="str">
        <x:v>event phase</x:v>
      </x:c>
      <x:c r="D2363" s="7" t="str">
        <x:v>RAE-E-44-P03</x:v>
      </x:c>
      <x:c r="E2363" s="7" t="str">
        <x:v>Event Phases!M1041</x:v>
      </x:c>
      <x:c r="F2363" s="7" t="str">
        <x:f>'Event Phases'!M1041</x:f>
        <x:v>OPEN</x:v>
      </x:c>
    </x:row>
    <x:row r="2364">
      <x:c r="B2364" s="7" t="str">
        <x:v>PHY-2358</x:v>
      </x:c>
      <x:c r="C2364" s="7" t="str">
        <x:v>event phase</x:v>
      </x:c>
      <x:c r="D2364" s="7" t="str">
        <x:v>RAE-E-44-P04</x:v>
      </x:c>
      <x:c r="E2364" s="7" t="str">
        <x:v>Event Phases!M1042</x:v>
      </x:c>
      <x:c r="F2364" s="7" t="str">
        <x:f>'Event Phases'!M1042</x:f>
        <x:v>OPEN</x:v>
      </x:c>
    </x:row>
    <x:row r="2365">
      <x:c r="B2365" s="7" t="str">
        <x:v>PHY-2359</x:v>
      </x:c>
      <x:c r="C2365" s="7" t="str">
        <x:v>event phase</x:v>
      </x:c>
      <x:c r="D2365" s="7" t="str">
        <x:v>RAE-E-44-P05</x:v>
      </x:c>
      <x:c r="E2365" s="7" t="str">
        <x:v>Event Phases!M1043</x:v>
      </x:c>
      <x:c r="F2365" s="7" t="str">
        <x:f>'Event Phases'!M1043</x:f>
        <x:v>OPEN</x:v>
      </x:c>
    </x:row>
    <x:row r="2366">
      <x:c r="B2366" s="7" t="str">
        <x:v>PHY-2360</x:v>
      </x:c>
      <x:c r="C2366" s="7" t="str">
        <x:v>event phase</x:v>
      </x:c>
      <x:c r="D2366" s="7" t="str">
        <x:v>RAE-E-44-P06</x:v>
      </x:c>
      <x:c r="E2366" s="7" t="str">
        <x:v>Event Phases!M1044</x:v>
      </x:c>
      <x:c r="F2366" s="7" t="str">
        <x:f>'Event Phases'!M1044</x:f>
        <x:v>OPEN</x:v>
      </x:c>
    </x:row>
    <x:row r="2367">
      <x:c r="B2367" s="7" t="str">
        <x:v>PHY-2361</x:v>
      </x:c>
      <x:c r="C2367" s="7" t="str">
        <x:v>event phase</x:v>
      </x:c>
      <x:c r="D2367" s="7" t="str">
        <x:v>RAE-E-44-P07</x:v>
      </x:c>
      <x:c r="E2367" s="7" t="str">
        <x:v>Event Phases!M1045</x:v>
      </x:c>
      <x:c r="F2367" s="7" t="str">
        <x:f>'Event Phases'!M1045</x:f>
        <x:v>OPEN</x:v>
      </x:c>
    </x:row>
    <x:row r="2368">
      <x:c r="B2368" s="7" t="str">
        <x:v>PHY-2362</x:v>
      </x:c>
      <x:c r="C2368" s="7" t="str">
        <x:v>event phase</x:v>
      </x:c>
      <x:c r="D2368" s="7" t="str">
        <x:v>RAE-E-44-P08</x:v>
      </x:c>
      <x:c r="E2368" s="7" t="str">
        <x:v>Event Phases!M1046</x:v>
      </x:c>
      <x:c r="F2368" s="7" t="str">
        <x:f>'Event Phases'!M1046</x:f>
        <x:v>OPEN</x:v>
      </x:c>
    </x:row>
    <x:row r="2369">
      <x:c r="B2369" s="7" t="str">
        <x:v>PHY-2363</x:v>
      </x:c>
      <x:c r="C2369" s="7" t="str">
        <x:v>event phase</x:v>
      </x:c>
      <x:c r="D2369" s="7" t="str">
        <x:v>RAE-E-44-P09</x:v>
      </x:c>
      <x:c r="E2369" s="7" t="str">
        <x:v>Event Phases!M1047</x:v>
      </x:c>
      <x:c r="F2369" s="7" t="str">
        <x:f>'Event Phases'!M1047</x:f>
        <x:v>OPEN</x:v>
      </x:c>
    </x:row>
    <x:row r="2370">
      <x:c r="B2370" s="7" t="str">
        <x:v>PHY-2364</x:v>
      </x:c>
      <x:c r="C2370" s="7" t="str">
        <x:v>event phase</x:v>
      </x:c>
      <x:c r="D2370" s="7" t="str">
        <x:v>RAE-E-44-P10</x:v>
      </x:c>
      <x:c r="E2370" s="7" t="str">
        <x:v>Event Phases!M1048</x:v>
      </x:c>
      <x:c r="F2370" s="7" t="str">
        <x:f>'Event Phases'!M1048</x:f>
        <x:v>OPEN</x:v>
      </x:c>
    </x:row>
    <x:row r="2371">
      <x:c r="B2371" s="7" t="str">
        <x:v>PHY-2365</x:v>
      </x:c>
      <x:c r="C2371" s="7" t="str">
        <x:v>event phase</x:v>
      </x:c>
      <x:c r="D2371" s="7" t="str">
        <x:v>RAE-E-44-P11</x:v>
      </x:c>
      <x:c r="E2371" s="7" t="str">
        <x:v>Event Phases!M1049</x:v>
      </x:c>
      <x:c r="F2371" s="7" t="str">
        <x:f>'Event Phases'!M1049</x:f>
        <x:v>OPEN</x:v>
      </x:c>
    </x:row>
    <x:row r="2372">
      <x:c r="B2372" s="7" t="str">
        <x:v>PHY-2366</x:v>
      </x:c>
      <x:c r="C2372" s="7" t="str">
        <x:v>event phase</x:v>
      </x:c>
      <x:c r="D2372" s="7" t="str">
        <x:v>RAE-E-44-P12</x:v>
      </x:c>
      <x:c r="E2372" s="7" t="str">
        <x:v>Event Phases!M1050</x:v>
      </x:c>
      <x:c r="F2372" s="7" t="str">
        <x:f>'Event Phases'!M1050</x:f>
        <x:v>OPEN</x:v>
      </x:c>
    </x:row>
    <x:row r="2373">
      <x:c r="B2373" s="7" t="str">
        <x:v>PHY-2367</x:v>
      </x:c>
      <x:c r="C2373" s="7" t="str">
        <x:v>event phase</x:v>
      </x:c>
      <x:c r="D2373" s="7" t="str">
        <x:v>RAE-E-44-P13</x:v>
      </x:c>
      <x:c r="E2373" s="7" t="str">
        <x:v>Event Phases!M1051</x:v>
      </x:c>
      <x:c r="F2373" s="7" t="str">
        <x:f>'Event Phases'!M1051</x:f>
        <x:v>OPEN</x:v>
      </x:c>
    </x:row>
    <x:row r="2374">
      <x:c r="B2374" s="7" t="str">
        <x:v>PHY-2368</x:v>
      </x:c>
      <x:c r="C2374" s="7" t="str">
        <x:v>event phase</x:v>
      </x:c>
      <x:c r="D2374" s="7" t="str">
        <x:v>RAE-E-44-P14</x:v>
      </x:c>
      <x:c r="E2374" s="7" t="str">
        <x:v>Event Phases!M1052</x:v>
      </x:c>
      <x:c r="F2374" s="7" t="str">
        <x:f>'Event Phases'!M1052</x:f>
        <x:v>OPEN</x:v>
      </x:c>
    </x:row>
    <x:row r="2375">
      <x:c r="B2375" s="7" t="str">
        <x:v>PHY-2369</x:v>
      </x:c>
      <x:c r="C2375" s="7" t="str">
        <x:v>event phase</x:v>
      </x:c>
      <x:c r="D2375" s="7" t="str">
        <x:v>RAE-E-44-P15</x:v>
      </x:c>
      <x:c r="E2375" s="7" t="str">
        <x:v>Event Phases!M1053</x:v>
      </x:c>
      <x:c r="F2375" s="7" t="str">
        <x:f>'Event Phases'!M1053</x:f>
        <x:v>OPEN</x:v>
      </x:c>
    </x:row>
    <x:row r="2376">
      <x:c r="B2376" s="7" t="str">
        <x:v>PHY-2370</x:v>
      </x:c>
      <x:c r="C2376" s="7" t="str">
        <x:v>event phase</x:v>
      </x:c>
      <x:c r="D2376" s="7" t="str">
        <x:v>RAE-E-44-P16</x:v>
      </x:c>
      <x:c r="E2376" s="7" t="str">
        <x:v>Event Phases!M1054</x:v>
      </x:c>
      <x:c r="F2376" s="7" t="str">
        <x:f>'Event Phases'!M1054</x:f>
        <x:v>OPEN</x:v>
      </x:c>
    </x:row>
    <x:row r="2377">
      <x:c r="B2377" s="7" t="str">
        <x:v>PHY-2371</x:v>
      </x:c>
      <x:c r="C2377" s="7" t="str">
        <x:v>event phase</x:v>
      </x:c>
      <x:c r="D2377" s="7" t="str">
        <x:v>RAE-E-44-P17</x:v>
      </x:c>
      <x:c r="E2377" s="7" t="str">
        <x:v>Event Phases!M1055</x:v>
      </x:c>
      <x:c r="F2377" s="7" t="str">
        <x:f>'Event Phases'!M1055</x:f>
        <x:v>OPEN</x:v>
      </x:c>
    </x:row>
    <x:row r="2378">
      <x:c r="B2378" s="7" t="str">
        <x:v>PHY-2372</x:v>
      </x:c>
      <x:c r="C2378" s="7" t="str">
        <x:v>event phase</x:v>
      </x:c>
      <x:c r="D2378" s="7" t="str">
        <x:v>RAE-E-44-P18</x:v>
      </x:c>
      <x:c r="E2378" s="7" t="str">
        <x:v>Event Phases!M1056</x:v>
      </x:c>
      <x:c r="F2378" s="7" t="str">
        <x:f>'Event Phases'!M1056</x:f>
        <x:v>OPEN</x:v>
      </x:c>
    </x:row>
    <x:row r="2379">
      <x:c r="B2379" s="7" t="str">
        <x:v>PHY-2373</x:v>
      </x:c>
      <x:c r="C2379" s="7" t="str">
        <x:v>event phase</x:v>
      </x:c>
      <x:c r="D2379" s="7" t="str">
        <x:v>RAE-E-44-P19</x:v>
      </x:c>
      <x:c r="E2379" s="7" t="str">
        <x:v>Event Phases!M1057</x:v>
      </x:c>
      <x:c r="F2379" s="7" t="str">
        <x:f>'Event Phases'!M1057</x:f>
        <x:v>OPEN</x:v>
      </x:c>
    </x:row>
    <x:row r="2380">
      <x:c r="B2380" s="7" t="str">
        <x:v>PHY-2374</x:v>
      </x:c>
      <x:c r="C2380" s="7" t="str">
        <x:v>event phase</x:v>
      </x:c>
      <x:c r="D2380" s="7" t="str">
        <x:v>RAE-E-44-P20</x:v>
      </x:c>
      <x:c r="E2380" s="7" t="str">
        <x:v>Event Phases!M1058</x:v>
      </x:c>
      <x:c r="F2380" s="7" t="str">
        <x:f>'Event Phases'!M1058</x:f>
        <x:v>OPEN</x:v>
      </x:c>
    </x:row>
    <x:row r="2381">
      <x:c r="B2381" s="7" t="str">
        <x:v>PHY-2375</x:v>
      </x:c>
      <x:c r="C2381" s="7" t="str">
        <x:v>event phase</x:v>
      </x:c>
      <x:c r="D2381" s="7" t="str">
        <x:v>RAE-E-44-P21</x:v>
      </x:c>
      <x:c r="E2381" s="7" t="str">
        <x:v>Event Phases!M1059</x:v>
      </x:c>
      <x:c r="F2381" s="7" t="str">
        <x:f>'Event Phases'!M1059</x:f>
        <x:v>OPEN</x:v>
      </x:c>
    </x:row>
    <x:row r="2382">
      <x:c r="B2382" s="7" t="str">
        <x:v>PHY-2376</x:v>
      </x:c>
      <x:c r="C2382" s="7" t="str">
        <x:v>event phase</x:v>
      </x:c>
      <x:c r="D2382" s="7" t="str">
        <x:v>RAE-E-44-P22</x:v>
      </x:c>
      <x:c r="E2382" s="7" t="str">
        <x:v>Event Phases!M1060</x:v>
      </x:c>
      <x:c r="F2382" s="7" t="str">
        <x:f>'Event Phases'!M1060</x:f>
        <x:v>OPEN</x:v>
      </x:c>
    </x:row>
    <x:row r="2383">
      <x:c r="B2383" s="7" t="str">
        <x:v>PHY-2377</x:v>
      </x:c>
      <x:c r="C2383" s="7" t="str">
        <x:v>event phase</x:v>
      </x:c>
      <x:c r="D2383" s="7" t="str">
        <x:v>RAE-E-44-P23</x:v>
      </x:c>
      <x:c r="E2383" s="7" t="str">
        <x:v>Event Phases!M1061</x:v>
      </x:c>
      <x:c r="F2383" s="7" t="str">
        <x:f>'Event Phases'!M1061</x:f>
        <x:v>OPEN</x:v>
      </x:c>
    </x:row>
    <x:row r="2384">
      <x:c r="B2384" s="7" t="str">
        <x:v>PHY-2378</x:v>
      </x:c>
      <x:c r="C2384" s="7" t="str">
        <x:v>event phase</x:v>
      </x:c>
      <x:c r="D2384" s="7" t="str">
        <x:v>RAE-E-44-P24</x:v>
      </x:c>
      <x:c r="E2384" s="7" t="str">
        <x:v>Event Phases!M1062</x:v>
      </x:c>
      <x:c r="F2384" s="7" t="str">
        <x:f>'Event Phases'!M1062</x:f>
        <x:v>OPEN</x:v>
      </x:c>
    </x:row>
    <x:row r="2385">
      <x:c r="B2385" s="7" t="str">
        <x:v>PHY-2379</x:v>
      </x:c>
      <x:c r="C2385" s="7" t="str">
        <x:v>event phase</x:v>
      </x:c>
      <x:c r="D2385" s="7" t="str">
        <x:v>RAE-E-45-P01</x:v>
      </x:c>
      <x:c r="E2385" s="7" t="str">
        <x:v>Event Phases!M1063</x:v>
      </x:c>
      <x:c r="F2385" s="7" t="str">
        <x:f>'Event Phases'!M1063</x:f>
        <x:v>OPEN</x:v>
      </x:c>
    </x:row>
    <x:row r="2386">
      <x:c r="B2386" s="7" t="str">
        <x:v>PHY-2380</x:v>
      </x:c>
      <x:c r="C2386" s="7" t="str">
        <x:v>event phase</x:v>
      </x:c>
      <x:c r="D2386" s="7" t="str">
        <x:v>RAE-E-45-P02</x:v>
      </x:c>
      <x:c r="E2386" s="7" t="str">
        <x:v>Event Phases!M1064</x:v>
      </x:c>
      <x:c r="F2386" s="7" t="str">
        <x:f>'Event Phases'!M1064</x:f>
        <x:v>OPEN</x:v>
      </x:c>
    </x:row>
    <x:row r="2387">
      <x:c r="B2387" s="7" t="str">
        <x:v>PHY-2381</x:v>
      </x:c>
      <x:c r="C2387" s="7" t="str">
        <x:v>event phase</x:v>
      </x:c>
      <x:c r="D2387" s="7" t="str">
        <x:v>RAE-E-45-P03</x:v>
      </x:c>
      <x:c r="E2387" s="7" t="str">
        <x:v>Event Phases!M1065</x:v>
      </x:c>
      <x:c r="F2387" s="7" t="str">
        <x:f>'Event Phases'!M1065</x:f>
        <x:v>OPEN</x:v>
      </x:c>
    </x:row>
    <x:row r="2388">
      <x:c r="B2388" s="7" t="str">
        <x:v>PHY-2382</x:v>
      </x:c>
      <x:c r="C2388" s="7" t="str">
        <x:v>event phase</x:v>
      </x:c>
      <x:c r="D2388" s="7" t="str">
        <x:v>RAE-E-45-P04</x:v>
      </x:c>
      <x:c r="E2388" s="7" t="str">
        <x:v>Event Phases!M1066</x:v>
      </x:c>
      <x:c r="F2388" s="7" t="str">
        <x:f>'Event Phases'!M1066</x:f>
        <x:v>OPEN</x:v>
      </x:c>
    </x:row>
    <x:row r="2389">
      <x:c r="B2389" s="7" t="str">
        <x:v>PHY-2383</x:v>
      </x:c>
      <x:c r="C2389" s="7" t="str">
        <x:v>event phase</x:v>
      </x:c>
      <x:c r="D2389" s="7" t="str">
        <x:v>RAE-E-45-P05</x:v>
      </x:c>
      <x:c r="E2389" s="7" t="str">
        <x:v>Event Phases!M1067</x:v>
      </x:c>
      <x:c r="F2389" s="7" t="str">
        <x:f>'Event Phases'!M1067</x:f>
        <x:v>OPEN</x:v>
      </x:c>
    </x:row>
    <x:row r="2390">
      <x:c r="B2390" s="7" t="str">
        <x:v>PHY-2384</x:v>
      </x:c>
      <x:c r="C2390" s="7" t="str">
        <x:v>event phase</x:v>
      </x:c>
      <x:c r="D2390" s="7" t="str">
        <x:v>RAE-E-45-P06</x:v>
      </x:c>
      <x:c r="E2390" s="7" t="str">
        <x:v>Event Phases!M1068</x:v>
      </x:c>
      <x:c r="F2390" s="7" t="str">
        <x:f>'Event Phases'!M1068</x:f>
        <x:v>OPEN</x:v>
      </x:c>
    </x:row>
    <x:row r="2391">
      <x:c r="B2391" s="7" t="str">
        <x:v>PHY-2385</x:v>
      </x:c>
      <x:c r="C2391" s="7" t="str">
        <x:v>event phase</x:v>
      </x:c>
      <x:c r="D2391" s="7" t="str">
        <x:v>RAE-E-45-P07</x:v>
      </x:c>
      <x:c r="E2391" s="7" t="str">
        <x:v>Event Phases!M1069</x:v>
      </x:c>
      <x:c r="F2391" s="7" t="str">
        <x:f>'Event Phases'!M1069</x:f>
        <x:v>OPEN</x:v>
      </x:c>
    </x:row>
    <x:row r="2392">
      <x:c r="B2392" s="7" t="str">
        <x:v>PHY-2386</x:v>
      </x:c>
      <x:c r="C2392" s="7" t="str">
        <x:v>event phase</x:v>
      </x:c>
      <x:c r="D2392" s="7" t="str">
        <x:v>RAE-E-45-P08</x:v>
      </x:c>
      <x:c r="E2392" s="7" t="str">
        <x:v>Event Phases!M1070</x:v>
      </x:c>
      <x:c r="F2392" s="7" t="str">
        <x:f>'Event Phases'!M1070</x:f>
        <x:v>OPEN</x:v>
      </x:c>
    </x:row>
    <x:row r="2393">
      <x:c r="B2393" s="7" t="str">
        <x:v>PHY-2387</x:v>
      </x:c>
      <x:c r="C2393" s="7" t="str">
        <x:v>event phase</x:v>
      </x:c>
      <x:c r="D2393" s="7" t="str">
        <x:v>RAE-E-45-P09</x:v>
      </x:c>
      <x:c r="E2393" s="7" t="str">
        <x:v>Event Phases!M1071</x:v>
      </x:c>
      <x:c r="F2393" s="7" t="str">
        <x:f>'Event Phases'!M1071</x:f>
        <x:v>OPEN</x:v>
      </x:c>
    </x:row>
    <x:row r="2394">
      <x:c r="B2394" s="7" t="str">
        <x:v>PHY-2388</x:v>
      </x:c>
      <x:c r="C2394" s="7" t="str">
        <x:v>event phase</x:v>
      </x:c>
      <x:c r="D2394" s="7" t="str">
        <x:v>RAE-E-45-P10</x:v>
      </x:c>
      <x:c r="E2394" s="7" t="str">
        <x:v>Event Phases!M1072</x:v>
      </x:c>
      <x:c r="F2394" s="7" t="str">
        <x:f>'Event Phases'!M1072</x:f>
        <x:v>OPEN</x:v>
      </x:c>
    </x:row>
    <x:row r="2395">
      <x:c r="B2395" s="7" t="str">
        <x:v>PHY-2389</x:v>
      </x:c>
      <x:c r="C2395" s="7" t="str">
        <x:v>event phase</x:v>
      </x:c>
      <x:c r="D2395" s="7" t="str">
        <x:v>RAE-E-45-P11</x:v>
      </x:c>
      <x:c r="E2395" s="7" t="str">
        <x:v>Event Phases!M1073</x:v>
      </x:c>
      <x:c r="F2395" s="7" t="str">
        <x:f>'Event Phases'!M1073</x:f>
        <x:v>OPEN</x:v>
      </x:c>
    </x:row>
    <x:row r="2396">
      <x:c r="B2396" s="7" t="str">
        <x:v>PHY-2390</x:v>
      </x:c>
      <x:c r="C2396" s="7" t="str">
        <x:v>event phase</x:v>
      </x:c>
      <x:c r="D2396" s="7" t="str">
        <x:v>RAE-E-45-P12</x:v>
      </x:c>
      <x:c r="E2396" s="7" t="str">
        <x:v>Event Phases!M1074</x:v>
      </x:c>
      <x:c r="F2396" s="7" t="str">
        <x:f>'Event Phases'!M1074</x:f>
        <x:v>OPEN</x:v>
      </x:c>
    </x:row>
    <x:row r="2397">
      <x:c r="B2397" s="7" t="str">
        <x:v>PHY-2391</x:v>
      </x:c>
      <x:c r="C2397" s="7" t="str">
        <x:v>event phase</x:v>
      </x:c>
      <x:c r="D2397" s="7" t="str">
        <x:v>RAE-E-45-P13</x:v>
      </x:c>
      <x:c r="E2397" s="7" t="str">
        <x:v>Event Phases!M1075</x:v>
      </x:c>
      <x:c r="F2397" s="7" t="str">
        <x:f>'Event Phases'!M1075</x:f>
        <x:v>OPEN</x:v>
      </x:c>
    </x:row>
    <x:row r="2398">
      <x:c r="B2398" s="7" t="str">
        <x:v>PHY-2392</x:v>
      </x:c>
      <x:c r="C2398" s="7" t="str">
        <x:v>event phase</x:v>
      </x:c>
      <x:c r="D2398" s="7" t="str">
        <x:v>RAE-E-45-P14</x:v>
      </x:c>
      <x:c r="E2398" s="7" t="str">
        <x:v>Event Phases!M1076</x:v>
      </x:c>
      <x:c r="F2398" s="7" t="str">
        <x:f>'Event Phases'!M1076</x:f>
        <x:v>OPEN</x:v>
      </x:c>
    </x:row>
    <x:row r="2399">
      <x:c r="B2399" s="7" t="str">
        <x:v>PHY-2393</x:v>
      </x:c>
      <x:c r="C2399" s="7" t="str">
        <x:v>event phase</x:v>
      </x:c>
      <x:c r="D2399" s="7" t="str">
        <x:v>RAE-E-45-P15</x:v>
      </x:c>
      <x:c r="E2399" s="7" t="str">
        <x:v>Event Phases!M1077</x:v>
      </x:c>
      <x:c r="F2399" s="7" t="str">
        <x:f>'Event Phases'!M1077</x:f>
        <x:v>OPEN</x:v>
      </x:c>
    </x:row>
    <x:row r="2400">
      <x:c r="B2400" s="7" t="str">
        <x:v>PHY-2394</x:v>
      </x:c>
      <x:c r="C2400" s="7" t="str">
        <x:v>event phase</x:v>
      </x:c>
      <x:c r="D2400" s="7" t="str">
        <x:v>RAE-E-45-P16</x:v>
      </x:c>
      <x:c r="E2400" s="7" t="str">
        <x:v>Event Phases!M1078</x:v>
      </x:c>
      <x:c r="F2400" s="7" t="str">
        <x:f>'Event Phases'!M1078</x:f>
        <x:v>OPEN</x:v>
      </x:c>
    </x:row>
    <x:row r="2401">
      <x:c r="B2401" s="7" t="str">
        <x:v>PHY-2395</x:v>
      </x:c>
      <x:c r="C2401" s="7" t="str">
        <x:v>event phase</x:v>
      </x:c>
      <x:c r="D2401" s="7" t="str">
        <x:v>RAE-E-45-P17</x:v>
      </x:c>
      <x:c r="E2401" s="7" t="str">
        <x:v>Event Phases!M1079</x:v>
      </x:c>
      <x:c r="F2401" s="7" t="str">
        <x:f>'Event Phases'!M1079</x:f>
        <x:v>OPEN</x:v>
      </x:c>
    </x:row>
    <x:row r="2402">
      <x:c r="B2402" s="7" t="str">
        <x:v>PHY-2396</x:v>
      </x:c>
      <x:c r="C2402" s="7" t="str">
        <x:v>event phase</x:v>
      </x:c>
      <x:c r="D2402" s="7" t="str">
        <x:v>RAE-E-45-P18</x:v>
      </x:c>
      <x:c r="E2402" s="7" t="str">
        <x:v>Event Phases!M1080</x:v>
      </x:c>
      <x:c r="F2402" s="7" t="str">
        <x:f>'Event Phases'!M1080</x:f>
        <x:v>OPEN</x:v>
      </x:c>
    </x:row>
    <x:row r="2403">
      <x:c r="B2403" s="7" t="str">
        <x:v>PHY-2397</x:v>
      </x:c>
      <x:c r="C2403" s="7" t="str">
        <x:v>event phase</x:v>
      </x:c>
      <x:c r="D2403" s="7" t="str">
        <x:v>RAE-E-45-P19</x:v>
      </x:c>
      <x:c r="E2403" s="7" t="str">
        <x:v>Event Phases!M1081</x:v>
      </x:c>
      <x:c r="F2403" s="7" t="str">
        <x:f>'Event Phases'!M1081</x:f>
        <x:v>OPEN</x:v>
      </x:c>
    </x:row>
    <x:row r="2404">
      <x:c r="B2404" s="7" t="str">
        <x:v>PHY-2398</x:v>
      </x:c>
      <x:c r="C2404" s="7" t="str">
        <x:v>event phase</x:v>
      </x:c>
      <x:c r="D2404" s="7" t="str">
        <x:v>RAE-E-45-P20</x:v>
      </x:c>
      <x:c r="E2404" s="7" t="str">
        <x:v>Event Phases!M1082</x:v>
      </x:c>
      <x:c r="F2404" s="7" t="str">
        <x:f>'Event Phases'!M1082</x:f>
        <x:v>OPEN</x:v>
      </x:c>
    </x:row>
    <x:row r="2405">
      <x:c r="B2405" s="7" t="str">
        <x:v>PHY-2399</x:v>
      </x:c>
      <x:c r="C2405" s="7" t="str">
        <x:v>event phase</x:v>
      </x:c>
      <x:c r="D2405" s="7" t="str">
        <x:v>RAE-E-45-P21</x:v>
      </x:c>
      <x:c r="E2405" s="7" t="str">
        <x:v>Event Phases!M1083</x:v>
      </x:c>
      <x:c r="F2405" s="7" t="str">
        <x:f>'Event Phases'!M1083</x:f>
        <x:v>OPEN</x:v>
      </x:c>
    </x:row>
    <x:row r="2406">
      <x:c r="B2406" s="7" t="str">
        <x:v>PHY-2400</x:v>
      </x:c>
      <x:c r="C2406" s="7" t="str">
        <x:v>event phase</x:v>
      </x:c>
      <x:c r="D2406" s="7" t="str">
        <x:v>RAE-E-45-P22</x:v>
      </x:c>
      <x:c r="E2406" s="7" t="str">
        <x:v>Event Phases!M1084</x:v>
      </x:c>
      <x:c r="F2406" s="7" t="str">
        <x:f>'Event Phases'!M1084</x:f>
        <x:v>OPEN</x:v>
      </x:c>
    </x:row>
    <x:row r="2407">
      <x:c r="B2407" s="7" t="str">
        <x:v>PHY-2401</x:v>
      </x:c>
      <x:c r="C2407" s="7" t="str">
        <x:v>event phase</x:v>
      </x:c>
      <x:c r="D2407" s="7" t="str">
        <x:v>RAE-E-45-P23</x:v>
      </x:c>
      <x:c r="E2407" s="7" t="str">
        <x:v>Event Phases!M1085</x:v>
      </x:c>
      <x:c r="F2407" s="7" t="str">
        <x:f>'Event Phases'!M1085</x:f>
        <x:v>OPEN</x:v>
      </x:c>
    </x:row>
    <x:row r="2408">
      <x:c r="B2408" s="7" t="str">
        <x:v>PHY-2402</x:v>
      </x:c>
      <x:c r="C2408" s="7" t="str">
        <x:v>event phase</x:v>
      </x:c>
      <x:c r="D2408" s="7" t="str">
        <x:v>RAE-E-45-P24</x:v>
      </x:c>
      <x:c r="E2408" s="7" t="str">
        <x:v>Event Phases!M1086</x:v>
      </x:c>
      <x:c r="F2408" s="7" t="str">
        <x:f>'Event Phases'!M1086</x:f>
        <x:v>OPEN</x:v>
      </x:c>
    </x:row>
    <x:row r="2409">
      <x:c r="B2409" s="7" t="str">
        <x:v>PHY-2403</x:v>
      </x:c>
      <x:c r="C2409" s="7" t="str">
        <x:v>event phase</x:v>
      </x:c>
      <x:c r="D2409" s="7" t="str">
        <x:v>RAE-E-46-P01</x:v>
      </x:c>
      <x:c r="E2409" s="7" t="str">
        <x:v>Event Phases!M1087</x:v>
      </x:c>
      <x:c r="F2409" s="7" t="str">
        <x:f>'Event Phases'!M1087</x:f>
        <x:v>OPEN</x:v>
      </x:c>
    </x:row>
    <x:row r="2410">
      <x:c r="B2410" s="7" t="str">
        <x:v>PHY-2404</x:v>
      </x:c>
      <x:c r="C2410" s="7" t="str">
        <x:v>event phase</x:v>
      </x:c>
      <x:c r="D2410" s="7" t="str">
        <x:v>RAE-E-46-P02</x:v>
      </x:c>
      <x:c r="E2410" s="7" t="str">
        <x:v>Event Phases!M1088</x:v>
      </x:c>
      <x:c r="F2410" s="7" t="str">
        <x:f>'Event Phases'!M1088</x:f>
        <x:v>OPEN</x:v>
      </x:c>
    </x:row>
    <x:row r="2411">
      <x:c r="B2411" s="7" t="str">
        <x:v>PHY-2405</x:v>
      </x:c>
      <x:c r="C2411" s="7" t="str">
        <x:v>event phase</x:v>
      </x:c>
      <x:c r="D2411" s="7" t="str">
        <x:v>RAE-E-46-P03</x:v>
      </x:c>
      <x:c r="E2411" s="7" t="str">
        <x:v>Event Phases!M1089</x:v>
      </x:c>
      <x:c r="F2411" s="7" t="str">
        <x:f>'Event Phases'!M1089</x:f>
        <x:v>OPEN</x:v>
      </x:c>
    </x:row>
    <x:row r="2412">
      <x:c r="B2412" s="7" t="str">
        <x:v>PHY-2406</x:v>
      </x:c>
      <x:c r="C2412" s="7" t="str">
        <x:v>event phase</x:v>
      </x:c>
      <x:c r="D2412" s="7" t="str">
        <x:v>RAE-E-46-P04</x:v>
      </x:c>
      <x:c r="E2412" s="7" t="str">
        <x:v>Event Phases!M1090</x:v>
      </x:c>
      <x:c r="F2412" s="7" t="str">
        <x:f>'Event Phases'!M1090</x:f>
        <x:v>OPEN</x:v>
      </x:c>
    </x:row>
    <x:row r="2413">
      <x:c r="B2413" s="7" t="str">
        <x:v>PHY-2407</x:v>
      </x:c>
      <x:c r="C2413" s="7" t="str">
        <x:v>event phase</x:v>
      </x:c>
      <x:c r="D2413" s="7" t="str">
        <x:v>RAE-E-46-P05</x:v>
      </x:c>
      <x:c r="E2413" s="7" t="str">
        <x:v>Event Phases!M1091</x:v>
      </x:c>
      <x:c r="F2413" s="7" t="str">
        <x:f>'Event Phases'!M1091</x:f>
        <x:v>OPEN</x:v>
      </x:c>
    </x:row>
    <x:row r="2414">
      <x:c r="B2414" s="7" t="str">
        <x:v>PHY-2408</x:v>
      </x:c>
      <x:c r="C2414" s="7" t="str">
        <x:v>event phase</x:v>
      </x:c>
      <x:c r="D2414" s="7" t="str">
        <x:v>RAE-E-46-P06</x:v>
      </x:c>
      <x:c r="E2414" s="7" t="str">
        <x:v>Event Phases!M1092</x:v>
      </x:c>
      <x:c r="F2414" s="7" t="str">
        <x:f>'Event Phases'!M1092</x:f>
        <x:v>OPEN</x:v>
      </x:c>
    </x:row>
    <x:row r="2415">
      <x:c r="B2415" s="7" t="str">
        <x:v>PHY-2409</x:v>
      </x:c>
      <x:c r="C2415" s="7" t="str">
        <x:v>event phase</x:v>
      </x:c>
      <x:c r="D2415" s="7" t="str">
        <x:v>RAE-E-46-P07</x:v>
      </x:c>
      <x:c r="E2415" s="7" t="str">
        <x:v>Event Phases!M1093</x:v>
      </x:c>
      <x:c r="F2415" s="7" t="str">
        <x:f>'Event Phases'!M1093</x:f>
        <x:v>OPEN</x:v>
      </x:c>
    </x:row>
    <x:row r="2416">
      <x:c r="B2416" s="7" t="str">
        <x:v>PHY-2410</x:v>
      </x:c>
      <x:c r="C2416" s="7" t="str">
        <x:v>event phase</x:v>
      </x:c>
      <x:c r="D2416" s="7" t="str">
        <x:v>RAE-E-46-P08</x:v>
      </x:c>
      <x:c r="E2416" s="7" t="str">
        <x:v>Event Phases!M1094</x:v>
      </x:c>
      <x:c r="F2416" s="7" t="str">
        <x:f>'Event Phases'!M1094</x:f>
        <x:v>OPEN</x:v>
      </x:c>
    </x:row>
    <x:row r="2417">
      <x:c r="B2417" s="7" t="str">
        <x:v>PHY-2411</x:v>
      </x:c>
      <x:c r="C2417" s="7" t="str">
        <x:v>event phase</x:v>
      </x:c>
      <x:c r="D2417" s="7" t="str">
        <x:v>RAE-E-46-P09</x:v>
      </x:c>
      <x:c r="E2417" s="7" t="str">
        <x:v>Event Phases!M1095</x:v>
      </x:c>
      <x:c r="F2417" s="7" t="str">
        <x:f>'Event Phases'!M1095</x:f>
        <x:v>OPEN</x:v>
      </x:c>
    </x:row>
    <x:row r="2418">
      <x:c r="B2418" s="7" t="str">
        <x:v>PHY-2412</x:v>
      </x:c>
      <x:c r="C2418" s="7" t="str">
        <x:v>event phase</x:v>
      </x:c>
      <x:c r="D2418" s="7" t="str">
        <x:v>RAE-E-46-P10</x:v>
      </x:c>
      <x:c r="E2418" s="7" t="str">
        <x:v>Event Phases!M1096</x:v>
      </x:c>
      <x:c r="F2418" s="7" t="str">
        <x:f>'Event Phases'!M1096</x:f>
        <x:v>OPEN</x:v>
      </x:c>
    </x:row>
    <x:row r="2419">
      <x:c r="B2419" s="7" t="str">
        <x:v>PHY-2413</x:v>
      </x:c>
      <x:c r="C2419" s="7" t="str">
        <x:v>event phase</x:v>
      </x:c>
      <x:c r="D2419" s="7" t="str">
        <x:v>RAE-E-46-P11</x:v>
      </x:c>
      <x:c r="E2419" s="7" t="str">
        <x:v>Event Phases!M1097</x:v>
      </x:c>
      <x:c r="F2419" s="7" t="str">
        <x:f>'Event Phases'!M1097</x:f>
        <x:v>OPEN</x:v>
      </x:c>
    </x:row>
    <x:row r="2420">
      <x:c r="B2420" s="7" t="str">
        <x:v>PHY-2414</x:v>
      </x:c>
      <x:c r="C2420" s="7" t="str">
        <x:v>event phase</x:v>
      </x:c>
      <x:c r="D2420" s="7" t="str">
        <x:v>RAE-E-46-P12</x:v>
      </x:c>
      <x:c r="E2420" s="7" t="str">
        <x:v>Event Phases!M1098</x:v>
      </x:c>
      <x:c r="F2420" s="7" t="str">
        <x:f>'Event Phases'!M1098</x:f>
        <x:v>OPEN</x:v>
      </x:c>
    </x:row>
    <x:row r="2421">
      <x:c r="B2421" s="7" t="str">
        <x:v>PHY-2415</x:v>
      </x:c>
      <x:c r="C2421" s="7" t="str">
        <x:v>event phase</x:v>
      </x:c>
      <x:c r="D2421" s="7" t="str">
        <x:v>RAE-E-46-P13</x:v>
      </x:c>
      <x:c r="E2421" s="7" t="str">
        <x:v>Event Phases!M1099</x:v>
      </x:c>
      <x:c r="F2421" s="7" t="str">
        <x:f>'Event Phases'!M1099</x:f>
        <x:v>OPEN</x:v>
      </x:c>
    </x:row>
    <x:row r="2422">
      <x:c r="B2422" s="7" t="str">
        <x:v>PHY-2416</x:v>
      </x:c>
      <x:c r="C2422" s="7" t="str">
        <x:v>event phase</x:v>
      </x:c>
      <x:c r="D2422" s="7" t="str">
        <x:v>RAE-E-46-P14</x:v>
      </x:c>
      <x:c r="E2422" s="7" t="str">
        <x:v>Event Phases!M1100</x:v>
      </x:c>
      <x:c r="F2422" s="7" t="str">
        <x:f>'Event Phases'!M1100</x:f>
        <x:v>OPEN</x:v>
      </x:c>
    </x:row>
    <x:row r="2423">
      <x:c r="B2423" s="7" t="str">
        <x:v>PHY-2417</x:v>
      </x:c>
      <x:c r="C2423" s="7" t="str">
        <x:v>event phase</x:v>
      </x:c>
      <x:c r="D2423" s="7" t="str">
        <x:v>RAE-E-46-P15</x:v>
      </x:c>
      <x:c r="E2423" s="7" t="str">
        <x:v>Event Phases!M1101</x:v>
      </x:c>
      <x:c r="F2423" s="7" t="str">
        <x:f>'Event Phases'!M1101</x:f>
        <x:v>OPEN</x:v>
      </x:c>
    </x:row>
    <x:row r="2424">
      <x:c r="B2424" s="7" t="str">
        <x:v>PHY-2418</x:v>
      </x:c>
      <x:c r="C2424" s="7" t="str">
        <x:v>event phase</x:v>
      </x:c>
      <x:c r="D2424" s="7" t="str">
        <x:v>RAE-E-46-P16</x:v>
      </x:c>
      <x:c r="E2424" s="7" t="str">
        <x:v>Event Phases!M1102</x:v>
      </x:c>
      <x:c r="F2424" s="7" t="str">
        <x:f>'Event Phases'!M1102</x:f>
        <x:v>OPEN</x:v>
      </x:c>
    </x:row>
    <x:row r="2425">
      <x:c r="B2425" s="7" t="str">
        <x:v>PHY-2419</x:v>
      </x:c>
      <x:c r="C2425" s="7" t="str">
        <x:v>event phase</x:v>
      </x:c>
      <x:c r="D2425" s="7" t="str">
        <x:v>RAE-E-46-P17</x:v>
      </x:c>
      <x:c r="E2425" s="7" t="str">
        <x:v>Event Phases!M1103</x:v>
      </x:c>
      <x:c r="F2425" s="7" t="str">
        <x:f>'Event Phases'!M1103</x:f>
        <x:v>OPEN</x:v>
      </x:c>
    </x:row>
    <x:row r="2426">
      <x:c r="B2426" s="7" t="str">
        <x:v>PHY-2420</x:v>
      </x:c>
      <x:c r="C2426" s="7" t="str">
        <x:v>event phase</x:v>
      </x:c>
      <x:c r="D2426" s="7" t="str">
        <x:v>RAE-E-46-P18</x:v>
      </x:c>
      <x:c r="E2426" s="7" t="str">
        <x:v>Event Phases!M1104</x:v>
      </x:c>
      <x:c r="F2426" s="7" t="str">
        <x:f>'Event Phases'!M1104</x:f>
        <x:v>OPEN</x:v>
      </x:c>
    </x:row>
    <x:row r="2427">
      <x:c r="B2427" s="7" t="str">
        <x:v>PHY-2421</x:v>
      </x:c>
      <x:c r="C2427" s="7" t="str">
        <x:v>event phase</x:v>
      </x:c>
      <x:c r="D2427" s="7" t="str">
        <x:v>RAE-E-46-P19</x:v>
      </x:c>
      <x:c r="E2427" s="7" t="str">
        <x:v>Event Phases!M1105</x:v>
      </x:c>
      <x:c r="F2427" s="7" t="str">
        <x:f>'Event Phases'!M1105</x:f>
        <x:v>OPEN</x:v>
      </x:c>
    </x:row>
    <x:row r="2428">
      <x:c r="B2428" s="7" t="str">
        <x:v>PHY-2422</x:v>
      </x:c>
      <x:c r="C2428" s="7" t="str">
        <x:v>event phase</x:v>
      </x:c>
      <x:c r="D2428" s="7" t="str">
        <x:v>RAE-E-46-P20</x:v>
      </x:c>
      <x:c r="E2428" s="7" t="str">
        <x:v>Event Phases!M1106</x:v>
      </x:c>
      <x:c r="F2428" s="7" t="str">
        <x:f>'Event Phases'!M1106</x:f>
        <x:v>OPEN</x:v>
      </x:c>
    </x:row>
    <x:row r="2429">
      <x:c r="B2429" s="7" t="str">
        <x:v>PHY-2423</x:v>
      </x:c>
      <x:c r="C2429" s="7" t="str">
        <x:v>event phase</x:v>
      </x:c>
      <x:c r="D2429" s="7" t="str">
        <x:v>RAE-E-46-P21</x:v>
      </x:c>
      <x:c r="E2429" s="7" t="str">
        <x:v>Event Phases!M1107</x:v>
      </x:c>
      <x:c r="F2429" s="7" t="str">
        <x:f>'Event Phases'!M1107</x:f>
        <x:v>OPEN</x:v>
      </x:c>
    </x:row>
    <x:row r="2430">
      <x:c r="B2430" s="7" t="str">
        <x:v>PHY-2424</x:v>
      </x:c>
      <x:c r="C2430" s="7" t="str">
        <x:v>event phase</x:v>
      </x:c>
      <x:c r="D2430" s="7" t="str">
        <x:v>RAE-E-46-P22</x:v>
      </x:c>
      <x:c r="E2430" s="7" t="str">
        <x:v>Event Phases!M1108</x:v>
      </x:c>
      <x:c r="F2430" s="7" t="str">
        <x:f>'Event Phases'!M1108</x:f>
        <x:v>OPEN</x:v>
      </x:c>
    </x:row>
    <x:row r="2431">
      <x:c r="B2431" s="7" t="str">
        <x:v>PHY-2425</x:v>
      </x:c>
      <x:c r="C2431" s="7" t="str">
        <x:v>event phase</x:v>
      </x:c>
      <x:c r="D2431" s="7" t="str">
        <x:v>RAE-E-46-P23</x:v>
      </x:c>
      <x:c r="E2431" s="7" t="str">
        <x:v>Event Phases!M1109</x:v>
      </x:c>
      <x:c r="F2431" s="7" t="str">
        <x:f>'Event Phases'!M1109</x:f>
        <x:v>OPEN</x:v>
      </x:c>
    </x:row>
    <x:row r="2432">
      <x:c r="B2432" s="7" t="str">
        <x:v>PHY-2426</x:v>
      </x:c>
      <x:c r="C2432" s="7" t="str">
        <x:v>event phase</x:v>
      </x:c>
      <x:c r="D2432" s="7" t="str">
        <x:v>RAE-E-46-P24</x:v>
      </x:c>
      <x:c r="E2432" s="7" t="str">
        <x:v>Event Phases!M1110</x:v>
      </x:c>
      <x:c r="F2432" s="7" t="str">
        <x:f>'Event Phases'!M1110</x:f>
        <x:v>OPEN</x:v>
      </x:c>
    </x:row>
    <x:row r="2433">
      <x:c r="B2433" s="7" t="str">
        <x:v>PHY-2427</x:v>
      </x:c>
      <x:c r="C2433" s="7" t="str">
        <x:v>event phase</x:v>
      </x:c>
      <x:c r="D2433" s="7" t="str">
        <x:v>RAE-E-47-P01</x:v>
      </x:c>
      <x:c r="E2433" s="7" t="str">
        <x:v>Event Phases!M1111</x:v>
      </x:c>
      <x:c r="F2433" s="7" t="str">
        <x:f>'Event Phases'!M1111</x:f>
        <x:v>OPEN</x:v>
      </x:c>
    </x:row>
    <x:row r="2434">
      <x:c r="B2434" s="7" t="str">
        <x:v>PHY-2428</x:v>
      </x:c>
      <x:c r="C2434" s="7" t="str">
        <x:v>event phase</x:v>
      </x:c>
      <x:c r="D2434" s="7" t="str">
        <x:v>RAE-E-47-P02</x:v>
      </x:c>
      <x:c r="E2434" s="7" t="str">
        <x:v>Event Phases!M1112</x:v>
      </x:c>
      <x:c r="F2434" s="7" t="str">
        <x:f>'Event Phases'!M1112</x:f>
        <x:v>OPEN</x:v>
      </x:c>
    </x:row>
    <x:row r="2435">
      <x:c r="B2435" s="7" t="str">
        <x:v>PHY-2429</x:v>
      </x:c>
      <x:c r="C2435" s="7" t="str">
        <x:v>event phase</x:v>
      </x:c>
      <x:c r="D2435" s="7" t="str">
        <x:v>RAE-E-47-P03</x:v>
      </x:c>
      <x:c r="E2435" s="7" t="str">
        <x:v>Event Phases!M1113</x:v>
      </x:c>
      <x:c r="F2435" s="7" t="str">
        <x:f>'Event Phases'!M1113</x:f>
        <x:v>OPEN</x:v>
      </x:c>
    </x:row>
    <x:row r="2436">
      <x:c r="B2436" s="7" t="str">
        <x:v>PHY-2430</x:v>
      </x:c>
      <x:c r="C2436" s="7" t="str">
        <x:v>event phase</x:v>
      </x:c>
      <x:c r="D2436" s="7" t="str">
        <x:v>RAE-E-47-P04</x:v>
      </x:c>
      <x:c r="E2436" s="7" t="str">
        <x:v>Event Phases!M1114</x:v>
      </x:c>
      <x:c r="F2436" s="7" t="str">
        <x:f>'Event Phases'!M1114</x:f>
        <x:v>OPEN</x:v>
      </x:c>
    </x:row>
    <x:row r="2437">
      <x:c r="B2437" s="7" t="str">
        <x:v>PHY-2431</x:v>
      </x:c>
      <x:c r="C2437" s="7" t="str">
        <x:v>event phase</x:v>
      </x:c>
      <x:c r="D2437" s="7" t="str">
        <x:v>RAE-E-47-P05</x:v>
      </x:c>
      <x:c r="E2437" s="7" t="str">
        <x:v>Event Phases!M1115</x:v>
      </x:c>
      <x:c r="F2437" s="7" t="str">
        <x:f>'Event Phases'!M1115</x:f>
        <x:v>OPEN</x:v>
      </x:c>
    </x:row>
    <x:row r="2438">
      <x:c r="B2438" s="7" t="str">
        <x:v>PHY-2432</x:v>
      </x:c>
      <x:c r="C2438" s="7" t="str">
        <x:v>event phase</x:v>
      </x:c>
      <x:c r="D2438" s="7" t="str">
        <x:v>RAE-E-47-P06</x:v>
      </x:c>
      <x:c r="E2438" s="7" t="str">
        <x:v>Event Phases!M1116</x:v>
      </x:c>
      <x:c r="F2438" s="7" t="str">
        <x:f>'Event Phases'!M1116</x:f>
        <x:v>OPEN</x:v>
      </x:c>
    </x:row>
    <x:row r="2439">
      <x:c r="B2439" s="7" t="str">
        <x:v>PHY-2433</x:v>
      </x:c>
      <x:c r="C2439" s="7" t="str">
        <x:v>event phase</x:v>
      </x:c>
      <x:c r="D2439" s="7" t="str">
        <x:v>RAE-E-47-P07</x:v>
      </x:c>
      <x:c r="E2439" s="7" t="str">
        <x:v>Event Phases!M1117</x:v>
      </x:c>
      <x:c r="F2439" s="7" t="str">
        <x:f>'Event Phases'!M1117</x:f>
        <x:v>OPEN</x:v>
      </x:c>
    </x:row>
    <x:row r="2440">
      <x:c r="B2440" s="7" t="str">
        <x:v>PHY-2434</x:v>
      </x:c>
      <x:c r="C2440" s="7" t="str">
        <x:v>event phase</x:v>
      </x:c>
      <x:c r="D2440" s="7" t="str">
        <x:v>RAE-E-47-P08</x:v>
      </x:c>
      <x:c r="E2440" s="7" t="str">
        <x:v>Event Phases!M1118</x:v>
      </x:c>
      <x:c r="F2440" s="7" t="str">
        <x:f>'Event Phases'!M1118</x:f>
        <x:v>OPEN</x:v>
      </x:c>
    </x:row>
    <x:row r="2441">
      <x:c r="B2441" s="7" t="str">
        <x:v>PHY-2435</x:v>
      </x:c>
      <x:c r="C2441" s="7" t="str">
        <x:v>event phase</x:v>
      </x:c>
      <x:c r="D2441" s="7" t="str">
        <x:v>RAE-E-47-P09</x:v>
      </x:c>
      <x:c r="E2441" s="7" t="str">
        <x:v>Event Phases!M1119</x:v>
      </x:c>
      <x:c r="F2441" s="7" t="str">
        <x:f>'Event Phases'!M1119</x:f>
        <x:v>OPEN</x:v>
      </x:c>
    </x:row>
    <x:row r="2442">
      <x:c r="B2442" s="7" t="str">
        <x:v>PHY-2436</x:v>
      </x:c>
      <x:c r="C2442" s="7" t="str">
        <x:v>event phase</x:v>
      </x:c>
      <x:c r="D2442" s="7" t="str">
        <x:v>RAE-E-47-P10</x:v>
      </x:c>
      <x:c r="E2442" s="7" t="str">
        <x:v>Event Phases!M1120</x:v>
      </x:c>
      <x:c r="F2442" s="7" t="str">
        <x:f>'Event Phases'!M1120</x:f>
        <x:v>OPEN</x:v>
      </x:c>
    </x:row>
    <x:row r="2443">
      <x:c r="B2443" s="7" t="str">
        <x:v>PHY-2437</x:v>
      </x:c>
      <x:c r="C2443" s="7" t="str">
        <x:v>event phase</x:v>
      </x:c>
      <x:c r="D2443" s="7" t="str">
        <x:v>RAE-E-47-P11</x:v>
      </x:c>
      <x:c r="E2443" s="7" t="str">
        <x:v>Event Phases!M1121</x:v>
      </x:c>
      <x:c r="F2443" s="7" t="str">
        <x:f>'Event Phases'!M1121</x:f>
        <x:v>OPEN</x:v>
      </x:c>
    </x:row>
    <x:row r="2444">
      <x:c r="B2444" s="7" t="str">
        <x:v>PHY-2438</x:v>
      </x:c>
      <x:c r="C2444" s="7" t="str">
        <x:v>event phase</x:v>
      </x:c>
      <x:c r="D2444" s="7" t="str">
        <x:v>RAE-E-47-P12</x:v>
      </x:c>
      <x:c r="E2444" s="7" t="str">
        <x:v>Event Phases!M1122</x:v>
      </x:c>
      <x:c r="F2444" s="7" t="str">
        <x:f>'Event Phases'!M1122</x:f>
        <x:v>OPEN</x:v>
      </x:c>
    </x:row>
    <x:row r="2445">
      <x:c r="B2445" s="7" t="str">
        <x:v>PHY-2439</x:v>
      </x:c>
      <x:c r="C2445" s="7" t="str">
        <x:v>event phase</x:v>
      </x:c>
      <x:c r="D2445" s="7" t="str">
        <x:v>RAE-E-47-P13</x:v>
      </x:c>
      <x:c r="E2445" s="7" t="str">
        <x:v>Event Phases!M1123</x:v>
      </x:c>
      <x:c r="F2445" s="7" t="str">
        <x:f>'Event Phases'!M1123</x:f>
        <x:v>OPEN</x:v>
      </x:c>
    </x:row>
    <x:row r="2446">
      <x:c r="B2446" s="7" t="str">
        <x:v>PHY-2440</x:v>
      </x:c>
      <x:c r="C2446" s="7" t="str">
        <x:v>event phase</x:v>
      </x:c>
      <x:c r="D2446" s="7" t="str">
        <x:v>RAE-E-47-P14</x:v>
      </x:c>
      <x:c r="E2446" s="7" t="str">
        <x:v>Event Phases!M1124</x:v>
      </x:c>
      <x:c r="F2446" s="7" t="str">
        <x:f>'Event Phases'!M1124</x:f>
        <x:v>OPEN</x:v>
      </x:c>
    </x:row>
    <x:row r="2447">
      <x:c r="B2447" s="7" t="str">
        <x:v>PHY-2441</x:v>
      </x:c>
      <x:c r="C2447" s="7" t="str">
        <x:v>event phase</x:v>
      </x:c>
      <x:c r="D2447" s="7" t="str">
        <x:v>RAE-E-47-P15</x:v>
      </x:c>
      <x:c r="E2447" s="7" t="str">
        <x:v>Event Phases!M1125</x:v>
      </x:c>
      <x:c r="F2447" s="7" t="str">
        <x:f>'Event Phases'!M1125</x:f>
        <x:v>OPEN</x:v>
      </x:c>
    </x:row>
    <x:row r="2448">
      <x:c r="B2448" s="7" t="str">
        <x:v>PHY-2442</x:v>
      </x:c>
      <x:c r="C2448" s="7" t="str">
        <x:v>event phase</x:v>
      </x:c>
      <x:c r="D2448" s="7" t="str">
        <x:v>RAE-E-47-P16</x:v>
      </x:c>
      <x:c r="E2448" s="7" t="str">
        <x:v>Event Phases!M1126</x:v>
      </x:c>
      <x:c r="F2448" s="7" t="str">
        <x:f>'Event Phases'!M1126</x:f>
        <x:v>OPEN</x:v>
      </x:c>
    </x:row>
    <x:row r="2449">
      <x:c r="B2449" s="7" t="str">
        <x:v>PHY-2443</x:v>
      </x:c>
      <x:c r="C2449" s="7" t="str">
        <x:v>event phase</x:v>
      </x:c>
      <x:c r="D2449" s="7" t="str">
        <x:v>RAE-E-47-P17</x:v>
      </x:c>
      <x:c r="E2449" s="7" t="str">
        <x:v>Event Phases!M1127</x:v>
      </x:c>
      <x:c r="F2449" s="7" t="str">
        <x:f>'Event Phases'!M1127</x:f>
        <x:v>OPEN</x:v>
      </x:c>
    </x:row>
    <x:row r="2450">
      <x:c r="B2450" s="7" t="str">
        <x:v>PHY-2444</x:v>
      </x:c>
      <x:c r="C2450" s="7" t="str">
        <x:v>event phase</x:v>
      </x:c>
      <x:c r="D2450" s="7" t="str">
        <x:v>RAE-E-47-P18</x:v>
      </x:c>
      <x:c r="E2450" s="7" t="str">
        <x:v>Event Phases!M1128</x:v>
      </x:c>
      <x:c r="F2450" s="7" t="str">
        <x:f>'Event Phases'!M1128</x:f>
        <x:v>OPEN</x:v>
      </x:c>
    </x:row>
    <x:row r="2451">
      <x:c r="B2451" s="7" t="str">
        <x:v>PHY-2445</x:v>
      </x:c>
      <x:c r="C2451" s="7" t="str">
        <x:v>event phase</x:v>
      </x:c>
      <x:c r="D2451" s="7" t="str">
        <x:v>RAE-E-47-P19</x:v>
      </x:c>
      <x:c r="E2451" s="7" t="str">
        <x:v>Event Phases!M1129</x:v>
      </x:c>
      <x:c r="F2451" s="7" t="str">
        <x:f>'Event Phases'!M1129</x:f>
        <x:v>OPEN</x:v>
      </x:c>
    </x:row>
    <x:row r="2452">
      <x:c r="B2452" s="7" t="str">
        <x:v>PHY-2446</x:v>
      </x:c>
      <x:c r="C2452" s="7" t="str">
        <x:v>event phase</x:v>
      </x:c>
      <x:c r="D2452" s="7" t="str">
        <x:v>RAE-E-47-P20</x:v>
      </x:c>
      <x:c r="E2452" s="7" t="str">
        <x:v>Event Phases!M1130</x:v>
      </x:c>
      <x:c r="F2452" s="7" t="str">
        <x:f>'Event Phases'!M1130</x:f>
        <x:v>OPEN</x:v>
      </x:c>
    </x:row>
    <x:row r="2453">
      <x:c r="B2453" s="7" t="str">
        <x:v>PHY-2447</x:v>
      </x:c>
      <x:c r="C2453" s="7" t="str">
        <x:v>event phase</x:v>
      </x:c>
      <x:c r="D2453" s="7" t="str">
        <x:v>RAE-E-47-P21</x:v>
      </x:c>
      <x:c r="E2453" s="7" t="str">
        <x:v>Event Phases!M1131</x:v>
      </x:c>
      <x:c r="F2453" s="7" t="str">
        <x:f>'Event Phases'!M1131</x:f>
        <x:v>OPEN</x:v>
      </x:c>
    </x:row>
    <x:row r="2454">
      <x:c r="B2454" s="7" t="str">
        <x:v>PHY-2448</x:v>
      </x:c>
      <x:c r="C2454" s="7" t="str">
        <x:v>event phase</x:v>
      </x:c>
      <x:c r="D2454" s="7" t="str">
        <x:v>RAE-E-47-P22</x:v>
      </x:c>
      <x:c r="E2454" s="7" t="str">
        <x:v>Event Phases!M1132</x:v>
      </x:c>
      <x:c r="F2454" s="7" t="str">
        <x:f>'Event Phases'!M1132</x:f>
        <x:v>OPEN</x:v>
      </x:c>
    </x:row>
    <x:row r="2455">
      <x:c r="B2455" s="7" t="str">
        <x:v>PHY-2449</x:v>
      </x:c>
      <x:c r="C2455" s="7" t="str">
        <x:v>event phase</x:v>
      </x:c>
      <x:c r="D2455" s="7" t="str">
        <x:v>RAE-E-47-P23</x:v>
      </x:c>
      <x:c r="E2455" s="7" t="str">
        <x:v>Event Phases!M1133</x:v>
      </x:c>
      <x:c r="F2455" s="7" t="str">
        <x:f>'Event Phases'!M1133</x:f>
        <x:v>OPEN</x:v>
      </x:c>
    </x:row>
    <x:row r="2456">
      <x:c r="B2456" s="7" t="str">
        <x:v>PHY-2450</x:v>
      </x:c>
      <x:c r="C2456" s="7" t="str">
        <x:v>event phase</x:v>
      </x:c>
      <x:c r="D2456" s="7" t="str">
        <x:v>RAE-E-47-P24</x:v>
      </x:c>
      <x:c r="E2456" s="7" t="str">
        <x:v>Event Phases!M1134</x:v>
      </x:c>
      <x:c r="F2456" s="7" t="str">
        <x:f>'Event Phases'!M1134</x:f>
        <x:v>OPEN</x:v>
      </x:c>
    </x:row>
    <x:row r="2457">
      <x:c r="B2457" s="7" t="str">
        <x:v>PHY-2451</x:v>
      </x:c>
      <x:c r="C2457" s="7" t="str">
        <x:v>event phase</x:v>
      </x:c>
      <x:c r="D2457" s="7" t="str">
        <x:v>RAE-E-48-P01</x:v>
      </x:c>
      <x:c r="E2457" s="7" t="str">
        <x:v>Event Phases!M1135</x:v>
      </x:c>
      <x:c r="F2457" s="7" t="str">
        <x:f>'Event Phases'!M1135</x:f>
        <x:v>OPEN</x:v>
      </x:c>
    </x:row>
    <x:row r="2458">
      <x:c r="B2458" s="7" t="str">
        <x:v>PHY-2452</x:v>
      </x:c>
      <x:c r="C2458" s="7" t="str">
        <x:v>event phase</x:v>
      </x:c>
      <x:c r="D2458" s="7" t="str">
        <x:v>RAE-E-48-P02</x:v>
      </x:c>
      <x:c r="E2458" s="7" t="str">
        <x:v>Event Phases!M1136</x:v>
      </x:c>
      <x:c r="F2458" s="7" t="str">
        <x:f>'Event Phases'!M1136</x:f>
        <x:v>OPEN</x:v>
      </x:c>
    </x:row>
    <x:row r="2459">
      <x:c r="B2459" s="7" t="str">
        <x:v>PHY-2453</x:v>
      </x:c>
      <x:c r="C2459" s="7" t="str">
        <x:v>event phase</x:v>
      </x:c>
      <x:c r="D2459" s="7" t="str">
        <x:v>RAE-E-48-P03</x:v>
      </x:c>
      <x:c r="E2459" s="7" t="str">
        <x:v>Event Phases!M1137</x:v>
      </x:c>
      <x:c r="F2459" s="7" t="str">
        <x:f>'Event Phases'!M1137</x:f>
        <x:v>OPEN</x:v>
      </x:c>
    </x:row>
    <x:row r="2460">
      <x:c r="B2460" s="7" t="str">
        <x:v>PHY-2454</x:v>
      </x:c>
      <x:c r="C2460" s="7" t="str">
        <x:v>event phase</x:v>
      </x:c>
      <x:c r="D2460" s="7" t="str">
        <x:v>RAE-E-48-P04</x:v>
      </x:c>
      <x:c r="E2460" s="7" t="str">
        <x:v>Event Phases!M1138</x:v>
      </x:c>
      <x:c r="F2460" s="7" t="str">
        <x:f>'Event Phases'!M1138</x:f>
        <x:v>OPEN</x:v>
      </x:c>
    </x:row>
    <x:row r="2461">
      <x:c r="B2461" s="7" t="str">
        <x:v>PHY-2455</x:v>
      </x:c>
      <x:c r="C2461" s="7" t="str">
        <x:v>event phase</x:v>
      </x:c>
      <x:c r="D2461" s="7" t="str">
        <x:v>RAE-E-48-P05</x:v>
      </x:c>
      <x:c r="E2461" s="7" t="str">
        <x:v>Event Phases!M1139</x:v>
      </x:c>
      <x:c r="F2461" s="7" t="str">
        <x:f>'Event Phases'!M1139</x:f>
        <x:v>OPEN</x:v>
      </x:c>
    </x:row>
    <x:row r="2462">
      <x:c r="B2462" s="7" t="str">
        <x:v>PHY-2456</x:v>
      </x:c>
      <x:c r="C2462" s="7" t="str">
        <x:v>event phase</x:v>
      </x:c>
      <x:c r="D2462" s="7" t="str">
        <x:v>RAE-E-48-P06</x:v>
      </x:c>
      <x:c r="E2462" s="7" t="str">
        <x:v>Event Phases!M1140</x:v>
      </x:c>
      <x:c r="F2462" s="7" t="str">
        <x:f>'Event Phases'!M1140</x:f>
        <x:v>OPEN</x:v>
      </x:c>
    </x:row>
    <x:row r="2463">
      <x:c r="B2463" s="7" t="str">
        <x:v>PHY-2457</x:v>
      </x:c>
      <x:c r="C2463" s="7" t="str">
        <x:v>event phase</x:v>
      </x:c>
      <x:c r="D2463" s="7" t="str">
        <x:v>RAE-E-48-P07</x:v>
      </x:c>
      <x:c r="E2463" s="7" t="str">
        <x:v>Event Phases!M1141</x:v>
      </x:c>
      <x:c r="F2463" s="7" t="str">
        <x:f>'Event Phases'!M1141</x:f>
        <x:v>OPEN</x:v>
      </x:c>
    </x:row>
    <x:row r="2464">
      <x:c r="B2464" s="7" t="str">
        <x:v>PHY-2458</x:v>
      </x:c>
      <x:c r="C2464" s="7" t="str">
        <x:v>event phase</x:v>
      </x:c>
      <x:c r="D2464" s="7" t="str">
        <x:v>RAE-E-48-P08</x:v>
      </x:c>
      <x:c r="E2464" s="7" t="str">
        <x:v>Event Phases!M1142</x:v>
      </x:c>
      <x:c r="F2464" s="7" t="str">
        <x:f>'Event Phases'!M1142</x:f>
        <x:v>OPEN</x:v>
      </x:c>
    </x:row>
    <x:row r="2465">
      <x:c r="B2465" s="7" t="str">
        <x:v>PHY-2459</x:v>
      </x:c>
      <x:c r="C2465" s="7" t="str">
        <x:v>event phase</x:v>
      </x:c>
      <x:c r="D2465" s="7" t="str">
        <x:v>RAE-E-48-P09</x:v>
      </x:c>
      <x:c r="E2465" s="7" t="str">
        <x:v>Event Phases!M1143</x:v>
      </x:c>
      <x:c r="F2465" s="7" t="str">
        <x:f>'Event Phases'!M1143</x:f>
        <x:v>OPEN</x:v>
      </x:c>
    </x:row>
    <x:row r="2466">
      <x:c r="B2466" s="7" t="str">
        <x:v>PHY-2460</x:v>
      </x:c>
      <x:c r="C2466" s="7" t="str">
        <x:v>event phase</x:v>
      </x:c>
      <x:c r="D2466" s="7" t="str">
        <x:v>RAE-E-48-P10</x:v>
      </x:c>
      <x:c r="E2466" s="7" t="str">
        <x:v>Event Phases!M1144</x:v>
      </x:c>
      <x:c r="F2466" s="7" t="str">
        <x:f>'Event Phases'!M1144</x:f>
        <x:v>OPEN</x:v>
      </x:c>
    </x:row>
    <x:row r="2467">
      <x:c r="B2467" s="7" t="str">
        <x:v>PHY-2461</x:v>
      </x:c>
      <x:c r="C2467" s="7" t="str">
        <x:v>event phase</x:v>
      </x:c>
      <x:c r="D2467" s="7" t="str">
        <x:v>RAE-E-48-P11</x:v>
      </x:c>
      <x:c r="E2467" s="7" t="str">
        <x:v>Event Phases!M1145</x:v>
      </x:c>
      <x:c r="F2467" s="7" t="str">
        <x:f>'Event Phases'!M1145</x:f>
        <x:v>OPEN</x:v>
      </x:c>
    </x:row>
    <x:row r="2468">
      <x:c r="B2468" s="7" t="str">
        <x:v>PHY-2462</x:v>
      </x:c>
      <x:c r="C2468" s="7" t="str">
        <x:v>event phase</x:v>
      </x:c>
      <x:c r="D2468" s="7" t="str">
        <x:v>RAE-E-48-P12</x:v>
      </x:c>
      <x:c r="E2468" s="7" t="str">
        <x:v>Event Phases!M1146</x:v>
      </x:c>
      <x:c r="F2468" s="7" t="str">
        <x:f>'Event Phases'!M1146</x:f>
        <x:v>OPEN</x:v>
      </x:c>
    </x:row>
    <x:row r="2469">
      <x:c r="B2469" s="7" t="str">
        <x:v>PHY-2463</x:v>
      </x:c>
      <x:c r="C2469" s="7" t="str">
        <x:v>event phase</x:v>
      </x:c>
      <x:c r="D2469" s="7" t="str">
        <x:v>RAE-E-48-P13</x:v>
      </x:c>
      <x:c r="E2469" s="7" t="str">
        <x:v>Event Phases!M1147</x:v>
      </x:c>
      <x:c r="F2469" s="7" t="str">
        <x:f>'Event Phases'!M1147</x:f>
        <x:v>OPEN</x:v>
      </x:c>
    </x:row>
    <x:row r="2470">
      <x:c r="B2470" s="7" t="str">
        <x:v>PHY-2464</x:v>
      </x:c>
      <x:c r="C2470" s="7" t="str">
        <x:v>event phase</x:v>
      </x:c>
      <x:c r="D2470" s="7" t="str">
        <x:v>RAE-E-48-P14</x:v>
      </x:c>
      <x:c r="E2470" s="7" t="str">
        <x:v>Event Phases!M1148</x:v>
      </x:c>
      <x:c r="F2470" s="7" t="str">
        <x:f>'Event Phases'!M1148</x:f>
        <x:v>OPEN</x:v>
      </x:c>
    </x:row>
    <x:row r="2471">
      <x:c r="B2471" s="7" t="str">
        <x:v>PHY-2465</x:v>
      </x:c>
      <x:c r="C2471" s="7" t="str">
        <x:v>event phase</x:v>
      </x:c>
      <x:c r="D2471" s="7" t="str">
        <x:v>RAE-E-48-P15</x:v>
      </x:c>
      <x:c r="E2471" s="7" t="str">
        <x:v>Event Phases!M1149</x:v>
      </x:c>
      <x:c r="F2471" s="7" t="str">
        <x:f>'Event Phases'!M1149</x:f>
        <x:v>OPEN</x:v>
      </x:c>
    </x:row>
    <x:row r="2472">
      <x:c r="B2472" s="7" t="str">
        <x:v>PHY-2466</x:v>
      </x:c>
      <x:c r="C2472" s="7" t="str">
        <x:v>event phase</x:v>
      </x:c>
      <x:c r="D2472" s="7" t="str">
        <x:v>RAE-E-48-P16</x:v>
      </x:c>
      <x:c r="E2472" s="7" t="str">
        <x:v>Event Phases!M1150</x:v>
      </x:c>
      <x:c r="F2472" s="7" t="str">
        <x:f>'Event Phases'!M1150</x:f>
        <x:v>OPEN</x:v>
      </x:c>
    </x:row>
    <x:row r="2473">
      <x:c r="B2473" s="7" t="str">
        <x:v>PHY-2467</x:v>
      </x:c>
      <x:c r="C2473" s="7" t="str">
        <x:v>event phase</x:v>
      </x:c>
      <x:c r="D2473" s="7" t="str">
        <x:v>RAE-E-48-P17</x:v>
      </x:c>
      <x:c r="E2473" s="7" t="str">
        <x:v>Event Phases!M1151</x:v>
      </x:c>
      <x:c r="F2473" s="7" t="str">
        <x:f>'Event Phases'!M1151</x:f>
        <x:v>OPEN</x:v>
      </x:c>
    </x:row>
    <x:row r="2474">
      <x:c r="B2474" s="7" t="str">
        <x:v>PHY-2468</x:v>
      </x:c>
      <x:c r="C2474" s="7" t="str">
        <x:v>event phase</x:v>
      </x:c>
      <x:c r="D2474" s="7" t="str">
        <x:v>RAE-E-48-P18</x:v>
      </x:c>
      <x:c r="E2474" s="7" t="str">
        <x:v>Event Phases!M1152</x:v>
      </x:c>
      <x:c r="F2474" s="7" t="str">
        <x:f>'Event Phases'!M1152</x:f>
        <x:v>OPEN</x:v>
      </x:c>
    </x:row>
    <x:row r="2475">
      <x:c r="B2475" s="7" t="str">
        <x:v>PHY-2469</x:v>
      </x:c>
      <x:c r="C2475" s="7" t="str">
        <x:v>event phase</x:v>
      </x:c>
      <x:c r="D2475" s="7" t="str">
        <x:v>RAE-E-48-P19</x:v>
      </x:c>
      <x:c r="E2475" s="7" t="str">
        <x:v>Event Phases!M1153</x:v>
      </x:c>
      <x:c r="F2475" s="7" t="str">
        <x:f>'Event Phases'!M1153</x:f>
        <x:v>OPEN</x:v>
      </x:c>
    </x:row>
    <x:row r="2476">
      <x:c r="B2476" s="7" t="str">
        <x:v>PHY-2470</x:v>
      </x:c>
      <x:c r="C2476" s="7" t="str">
        <x:v>event phase</x:v>
      </x:c>
      <x:c r="D2476" s="7" t="str">
        <x:v>RAE-E-48-P20</x:v>
      </x:c>
      <x:c r="E2476" s="7" t="str">
        <x:v>Event Phases!M1154</x:v>
      </x:c>
      <x:c r="F2476" s="7" t="str">
        <x:f>'Event Phases'!M1154</x:f>
        <x:v>OPEN</x:v>
      </x:c>
    </x:row>
    <x:row r="2477">
      <x:c r="B2477" s="7" t="str">
        <x:v>PHY-2471</x:v>
      </x:c>
      <x:c r="C2477" s="7" t="str">
        <x:v>event phase</x:v>
      </x:c>
      <x:c r="D2477" s="7" t="str">
        <x:v>RAE-E-48-P21</x:v>
      </x:c>
      <x:c r="E2477" s="7" t="str">
        <x:v>Event Phases!M1155</x:v>
      </x:c>
      <x:c r="F2477" s="7" t="str">
        <x:f>'Event Phases'!M1155</x:f>
        <x:v>OPEN</x:v>
      </x:c>
    </x:row>
    <x:row r="2478">
      <x:c r="B2478" s="7" t="str">
        <x:v>PHY-2472</x:v>
      </x:c>
      <x:c r="C2478" s="7" t="str">
        <x:v>event phase</x:v>
      </x:c>
      <x:c r="D2478" s="7" t="str">
        <x:v>RAE-E-48-P22</x:v>
      </x:c>
      <x:c r="E2478" s="7" t="str">
        <x:v>Event Phases!M1156</x:v>
      </x:c>
      <x:c r="F2478" s="7" t="str">
        <x:f>'Event Phases'!M1156</x:f>
        <x:v>OPEN</x:v>
      </x:c>
    </x:row>
    <x:row r="2479">
      <x:c r="B2479" s="7" t="str">
        <x:v>PHY-2473</x:v>
      </x:c>
      <x:c r="C2479" s="7" t="str">
        <x:v>event phase</x:v>
      </x:c>
      <x:c r="D2479" s="7" t="str">
        <x:v>RAE-E-48-P23</x:v>
      </x:c>
      <x:c r="E2479" s="7" t="str">
        <x:v>Event Phases!M1157</x:v>
      </x:c>
      <x:c r="F2479" s="7" t="str">
        <x:f>'Event Phases'!M1157</x:f>
        <x:v>OPEN</x:v>
      </x:c>
    </x:row>
    <x:row r="2480">
      <x:c r="B2480" s="7" t="str">
        <x:v>PHY-2474</x:v>
      </x:c>
      <x:c r="C2480" s="7" t="str">
        <x:v>event phase</x:v>
      </x:c>
      <x:c r="D2480" s="7" t="str">
        <x:v>RAE-E-48-P24</x:v>
      </x:c>
      <x:c r="E2480" s="7" t="str">
        <x:v>Event Phases!M1158</x:v>
      </x:c>
      <x:c r="F2480" s="7" t="str">
        <x:f>'Event Phases'!M1158</x:f>
        <x:v>OPEN</x:v>
      </x:c>
    </x:row>
    <x:row r="2481">
      <x:c r="B2481" s="7" t="str">
        <x:v>PHY-2475</x:v>
      </x:c>
      <x:c r="C2481" s="7" t="str">
        <x:v>hold record</x:v>
      </x:c>
      <x:c r="D2481" s="7" t="str">
        <x:v>RAE-E-01-HP-01</x:v>
      </x:c>
      <x:c r="E2481" s="7" t="str">
        <x:v>Hold Ledger!J7</x:v>
      </x:c>
      <x:c r="F2481" s="7" t="str">
        <x:f>'Hold Ledger'!J7</x:f>
        <x:v>OPEN</x:v>
      </x:c>
    </x:row>
    <x:row r="2482">
      <x:c r="B2482" s="7" t="str">
        <x:v>PHY-2476</x:v>
      </x:c>
      <x:c r="C2482" s="7" t="str">
        <x:v>hold record</x:v>
      </x:c>
      <x:c r="D2482" s="7" t="str">
        <x:v>RAE-E-01-HP-02</x:v>
      </x:c>
      <x:c r="E2482" s="7" t="str">
        <x:v>Hold Ledger!J8</x:v>
      </x:c>
      <x:c r="F2482" s="7" t="str">
        <x:f>'Hold Ledger'!J8</x:f>
        <x:v>OPEN</x:v>
      </x:c>
    </x:row>
    <x:row r="2483">
      <x:c r="B2483" s="7" t="str">
        <x:v>PHY-2477</x:v>
      </x:c>
      <x:c r="C2483" s="7" t="str">
        <x:v>hold record</x:v>
      </x:c>
      <x:c r="D2483" s="7" t="str">
        <x:v>RAE-E-01-HP-03</x:v>
      </x:c>
      <x:c r="E2483" s="7" t="str">
        <x:v>Hold Ledger!J9</x:v>
      </x:c>
      <x:c r="F2483" s="7" t="str">
        <x:f>'Hold Ledger'!J9</x:f>
        <x:v>OPEN</x:v>
      </x:c>
    </x:row>
    <x:row r="2484">
      <x:c r="B2484" s="7" t="str">
        <x:v>PHY-2478</x:v>
      </x:c>
      <x:c r="C2484" s="7" t="str">
        <x:v>hold record</x:v>
      </x:c>
      <x:c r="D2484" s="7" t="str">
        <x:v>RAE-E-01-HP-04</x:v>
      </x:c>
      <x:c r="E2484" s="7" t="str">
        <x:v>Hold Ledger!J10</x:v>
      </x:c>
      <x:c r="F2484" s="7" t="str">
        <x:f>'Hold Ledger'!J10</x:f>
        <x:v>OPEN</x:v>
      </x:c>
    </x:row>
    <x:row r="2485">
      <x:c r="B2485" s="7" t="str">
        <x:v>PHY-2479</x:v>
      </x:c>
      <x:c r="C2485" s="7" t="str">
        <x:v>hold record</x:v>
      </x:c>
      <x:c r="D2485" s="7" t="str">
        <x:v>RAE-E-01-HP-05</x:v>
      </x:c>
      <x:c r="E2485" s="7" t="str">
        <x:v>Hold Ledger!J11</x:v>
      </x:c>
      <x:c r="F2485" s="7" t="str">
        <x:f>'Hold Ledger'!J11</x:f>
        <x:v>OPEN</x:v>
      </x:c>
    </x:row>
    <x:row r="2486">
      <x:c r="B2486" s="7" t="str">
        <x:v>PHY-2480</x:v>
      </x:c>
      <x:c r="C2486" s="7" t="str">
        <x:v>hold record</x:v>
      </x:c>
      <x:c r="D2486" s="7" t="str">
        <x:v>RAE-E-01-HP-06</x:v>
      </x:c>
      <x:c r="E2486" s="7" t="str">
        <x:v>Hold Ledger!J12</x:v>
      </x:c>
      <x:c r="F2486" s="7" t="str">
        <x:f>'Hold Ledger'!J12</x:f>
        <x:v>OPEN</x:v>
      </x:c>
    </x:row>
    <x:row r="2487">
      <x:c r="B2487" s="7" t="str">
        <x:v>PHY-2481</x:v>
      </x:c>
      <x:c r="C2487" s="7" t="str">
        <x:v>hold record</x:v>
      </x:c>
      <x:c r="D2487" s="7" t="str">
        <x:v>RAE-E-01-HP-07</x:v>
      </x:c>
      <x:c r="E2487" s="7" t="str">
        <x:v>Hold Ledger!J13</x:v>
      </x:c>
      <x:c r="F2487" s="7" t="str">
        <x:f>'Hold Ledger'!J13</x:f>
        <x:v>OPEN</x:v>
      </x:c>
    </x:row>
    <x:row r="2488">
      <x:c r="B2488" s="7" t="str">
        <x:v>PHY-2482</x:v>
      </x:c>
      <x:c r="C2488" s="7" t="str">
        <x:v>hold record</x:v>
      </x:c>
      <x:c r="D2488" s="7" t="str">
        <x:v>RAE-E-01-HP-08</x:v>
      </x:c>
      <x:c r="E2488" s="7" t="str">
        <x:v>Hold Ledger!J14</x:v>
      </x:c>
      <x:c r="F2488" s="7" t="str">
        <x:f>'Hold Ledger'!J14</x:f>
        <x:v>OPEN</x:v>
      </x:c>
    </x:row>
    <x:row r="2489">
      <x:c r="B2489" s="7" t="str">
        <x:v>PHY-2483</x:v>
      </x:c>
      <x:c r="C2489" s="7" t="str">
        <x:v>hold record</x:v>
      </x:c>
      <x:c r="D2489" s="7" t="str">
        <x:v>RAE-E-01-HP-09</x:v>
      </x:c>
      <x:c r="E2489" s="7" t="str">
        <x:v>Hold Ledger!J15</x:v>
      </x:c>
      <x:c r="F2489" s="7" t="str">
        <x:f>'Hold Ledger'!J15</x:f>
        <x:v>OPEN</x:v>
      </x:c>
    </x:row>
    <x:row r="2490">
      <x:c r="B2490" s="7" t="str">
        <x:v>PHY-2484</x:v>
      </x:c>
      <x:c r="C2490" s="7" t="str">
        <x:v>hold record</x:v>
      </x:c>
      <x:c r="D2490" s="7" t="str">
        <x:v>RAE-E-01-HP-10</x:v>
      </x:c>
      <x:c r="E2490" s="7" t="str">
        <x:v>Hold Ledger!J16</x:v>
      </x:c>
      <x:c r="F2490" s="7" t="str">
        <x:f>'Hold Ledger'!J16</x:f>
        <x:v>OPEN</x:v>
      </x:c>
    </x:row>
    <x:row r="2491">
      <x:c r="B2491" s="7" t="str">
        <x:v>PHY-2485</x:v>
      </x:c>
      <x:c r="C2491" s="7" t="str">
        <x:v>hold record</x:v>
      </x:c>
      <x:c r="D2491" s="7" t="str">
        <x:v>RAE-E-01-HP-11</x:v>
      </x:c>
      <x:c r="E2491" s="7" t="str">
        <x:v>Hold Ledger!J17</x:v>
      </x:c>
      <x:c r="F2491" s="7" t="str">
        <x:f>'Hold Ledger'!J17</x:f>
        <x:v>OPEN</x:v>
      </x:c>
    </x:row>
    <x:row r="2492">
      <x:c r="B2492" s="7" t="str">
        <x:v>PHY-2486</x:v>
      </x:c>
      <x:c r="C2492" s="7" t="str">
        <x:v>hold record</x:v>
      </x:c>
      <x:c r="D2492" s="7" t="str">
        <x:v>RAE-E-01-HP-12</x:v>
      </x:c>
      <x:c r="E2492" s="7" t="str">
        <x:v>Hold Ledger!J18</x:v>
      </x:c>
      <x:c r="F2492" s="7" t="str">
        <x:f>'Hold Ledger'!J18</x:f>
        <x:v>OPEN</x:v>
      </x:c>
    </x:row>
    <x:row r="2493">
      <x:c r="B2493" s="7" t="str">
        <x:v>PHY-2487</x:v>
      </x:c>
      <x:c r="C2493" s="7" t="str">
        <x:v>hold record</x:v>
      </x:c>
      <x:c r="D2493" s="7" t="str">
        <x:v>RAE-E-01-HP-13</x:v>
      </x:c>
      <x:c r="E2493" s="7" t="str">
        <x:v>Hold Ledger!J19</x:v>
      </x:c>
      <x:c r="F2493" s="7" t="str">
        <x:f>'Hold Ledger'!J19</x:f>
        <x:v>OPEN</x:v>
      </x:c>
    </x:row>
    <x:row r="2494">
      <x:c r="B2494" s="7" t="str">
        <x:v>PHY-2488</x:v>
      </x:c>
      <x:c r="C2494" s="7" t="str">
        <x:v>hold record</x:v>
      </x:c>
      <x:c r="D2494" s="7" t="str">
        <x:v>RAE-E-01-HP-14</x:v>
      </x:c>
      <x:c r="E2494" s="7" t="str">
        <x:v>Hold Ledger!J20</x:v>
      </x:c>
      <x:c r="F2494" s="7" t="str">
        <x:f>'Hold Ledger'!J20</x:f>
        <x:v>OPEN</x:v>
      </x:c>
    </x:row>
    <x:row r="2495">
      <x:c r="B2495" s="7" t="str">
        <x:v>PHY-2489</x:v>
      </x:c>
      <x:c r="C2495" s="7" t="str">
        <x:v>hold record</x:v>
      </x:c>
      <x:c r="D2495" s="7" t="str">
        <x:v>RAE-E-01-HP-15</x:v>
      </x:c>
      <x:c r="E2495" s="7" t="str">
        <x:v>Hold Ledger!J21</x:v>
      </x:c>
      <x:c r="F2495" s="7" t="str">
        <x:f>'Hold Ledger'!J21</x:f>
        <x:v>OPEN</x:v>
      </x:c>
    </x:row>
    <x:row r="2496">
      <x:c r="B2496" s="7" t="str">
        <x:v>PHY-2490</x:v>
      </x:c>
      <x:c r="C2496" s="7" t="str">
        <x:v>hold record</x:v>
      </x:c>
      <x:c r="D2496" s="7" t="str">
        <x:v>RAE-E-01-HP-16</x:v>
      </x:c>
      <x:c r="E2496" s="7" t="str">
        <x:v>Hold Ledger!J22</x:v>
      </x:c>
      <x:c r="F2496" s="7" t="str">
        <x:f>'Hold Ledger'!J22</x:f>
        <x:v>OPEN</x:v>
      </x:c>
    </x:row>
    <x:row r="2497">
      <x:c r="B2497" s="7" t="str">
        <x:v>PHY-2491</x:v>
      </x:c>
      <x:c r="C2497" s="7" t="str">
        <x:v>hold record</x:v>
      </x:c>
      <x:c r="D2497" s="7" t="str">
        <x:v>RAE-E-01-HP-17</x:v>
      </x:c>
      <x:c r="E2497" s="7" t="str">
        <x:v>Hold Ledger!J23</x:v>
      </x:c>
      <x:c r="F2497" s="7" t="str">
        <x:f>'Hold Ledger'!J23</x:f>
        <x:v>OPEN</x:v>
      </x:c>
    </x:row>
    <x:row r="2498">
      <x:c r="B2498" s="7" t="str">
        <x:v>PHY-2492</x:v>
      </x:c>
      <x:c r="C2498" s="7" t="str">
        <x:v>hold record</x:v>
      </x:c>
      <x:c r="D2498" s="7" t="str">
        <x:v>RAE-E-01-HP-18</x:v>
      </x:c>
      <x:c r="E2498" s="7" t="str">
        <x:v>Hold Ledger!J24</x:v>
      </x:c>
      <x:c r="F2498" s="7" t="str">
        <x:f>'Hold Ledger'!J24</x:f>
        <x:v>OPEN</x:v>
      </x:c>
    </x:row>
    <x:row r="2499">
      <x:c r="B2499" s="7" t="str">
        <x:v>PHY-2493</x:v>
      </x:c>
      <x:c r="C2499" s="7" t="str">
        <x:v>hold record</x:v>
      </x:c>
      <x:c r="D2499" s="7" t="str">
        <x:v>RAE-E-01-HP-19</x:v>
      </x:c>
      <x:c r="E2499" s="7" t="str">
        <x:v>Hold Ledger!J25</x:v>
      </x:c>
      <x:c r="F2499" s="7" t="str">
        <x:f>'Hold Ledger'!J25</x:f>
        <x:v>OPEN</x:v>
      </x:c>
    </x:row>
    <x:row r="2500">
      <x:c r="B2500" s="7" t="str">
        <x:v>PHY-2494</x:v>
      </x:c>
      <x:c r="C2500" s="7" t="str">
        <x:v>hold record</x:v>
      </x:c>
      <x:c r="D2500" s="7" t="str">
        <x:v>RAE-E-01-HP-20</x:v>
      </x:c>
      <x:c r="E2500" s="7" t="str">
        <x:v>Hold Ledger!J26</x:v>
      </x:c>
      <x:c r="F2500" s="7" t="str">
        <x:f>'Hold Ledger'!J26</x:f>
        <x:v>OPEN</x:v>
      </x:c>
    </x:row>
    <x:row r="2501">
      <x:c r="B2501" s="7" t="str">
        <x:v>PHY-2495</x:v>
      </x:c>
      <x:c r="C2501" s="7" t="str">
        <x:v>hold record</x:v>
      </x:c>
      <x:c r="D2501" s="7" t="str">
        <x:v>RAE-E-01-HP-21</x:v>
      </x:c>
      <x:c r="E2501" s="7" t="str">
        <x:v>Hold Ledger!J27</x:v>
      </x:c>
      <x:c r="F2501" s="7" t="str">
        <x:f>'Hold Ledger'!J27</x:f>
        <x:v>OPEN</x:v>
      </x:c>
    </x:row>
    <x:row r="2502">
      <x:c r="B2502" s="7" t="str">
        <x:v>PHY-2496</x:v>
      </x:c>
      <x:c r="C2502" s="7" t="str">
        <x:v>hold record</x:v>
      </x:c>
      <x:c r="D2502" s="7" t="str">
        <x:v>RAE-E-01-HP-22</x:v>
      </x:c>
      <x:c r="E2502" s="7" t="str">
        <x:v>Hold Ledger!J28</x:v>
      </x:c>
      <x:c r="F2502" s="7" t="str">
        <x:f>'Hold Ledger'!J28</x:f>
        <x:v>OPEN</x:v>
      </x:c>
    </x:row>
    <x:row r="2503">
      <x:c r="B2503" s="7" t="str">
        <x:v>PHY-2497</x:v>
      </x:c>
      <x:c r="C2503" s="7" t="str">
        <x:v>hold record</x:v>
      </x:c>
      <x:c r="D2503" s="7" t="str">
        <x:v>RAE-E-01-HP-23</x:v>
      </x:c>
      <x:c r="E2503" s="7" t="str">
        <x:v>Hold Ledger!J29</x:v>
      </x:c>
      <x:c r="F2503" s="7" t="str">
        <x:f>'Hold Ledger'!J29</x:f>
        <x:v>OPEN</x:v>
      </x:c>
    </x:row>
    <x:row r="2504">
      <x:c r="B2504" s="7" t="str">
        <x:v>PHY-2498</x:v>
      </x:c>
      <x:c r="C2504" s="7" t="str">
        <x:v>hold record</x:v>
      </x:c>
      <x:c r="D2504" s="7" t="str">
        <x:v>RAE-E-01-HP-24</x:v>
      </x:c>
      <x:c r="E2504" s="7" t="str">
        <x:v>Hold Ledger!J30</x:v>
      </x:c>
      <x:c r="F2504" s="7" t="str">
        <x:f>'Hold Ledger'!J30</x:f>
        <x:v>OPEN</x:v>
      </x:c>
    </x:row>
    <x:row r="2505">
      <x:c r="B2505" s="7" t="str">
        <x:v>PHY-2499</x:v>
      </x:c>
      <x:c r="C2505" s="7" t="str">
        <x:v>hold record</x:v>
      </x:c>
      <x:c r="D2505" s="7" t="str">
        <x:v>RAE-E-01-HP-25</x:v>
      </x:c>
      <x:c r="E2505" s="7" t="str">
        <x:v>Hold Ledger!J31</x:v>
      </x:c>
      <x:c r="F2505" s="7" t="str">
        <x:f>'Hold Ledger'!J31</x:f>
        <x:v>OPEN</x:v>
      </x:c>
    </x:row>
    <x:row r="2506">
      <x:c r="B2506" s="7" t="str">
        <x:v>PHY-2500</x:v>
      </x:c>
      <x:c r="C2506" s="7" t="str">
        <x:v>hold record</x:v>
      </x:c>
      <x:c r="D2506" s="7" t="str">
        <x:v>RAE-E-01-HP-26</x:v>
      </x:c>
      <x:c r="E2506" s="7" t="str">
        <x:v>Hold Ledger!J32</x:v>
      </x:c>
      <x:c r="F2506" s="7" t="str">
        <x:f>'Hold Ledger'!J32</x:f>
        <x:v>OPEN</x:v>
      </x:c>
    </x:row>
    <x:row r="2507">
      <x:c r="B2507" s="7" t="str">
        <x:v>PHY-2501</x:v>
      </x:c>
      <x:c r="C2507" s="7" t="str">
        <x:v>hold record</x:v>
      </x:c>
      <x:c r="D2507" s="7" t="str">
        <x:v>RAE-E-01-HP-27</x:v>
      </x:c>
      <x:c r="E2507" s="7" t="str">
        <x:v>Hold Ledger!J33</x:v>
      </x:c>
      <x:c r="F2507" s="7" t="str">
        <x:f>'Hold Ledger'!J33</x:f>
        <x:v>OPEN</x:v>
      </x:c>
    </x:row>
    <x:row r="2508">
      <x:c r="B2508" s="7" t="str">
        <x:v>PHY-2502</x:v>
      </x:c>
      <x:c r="C2508" s="7" t="str">
        <x:v>hold record</x:v>
      </x:c>
      <x:c r="D2508" s="7" t="str">
        <x:v>RAE-E-01-HP-28</x:v>
      </x:c>
      <x:c r="E2508" s="7" t="str">
        <x:v>Hold Ledger!J34</x:v>
      </x:c>
      <x:c r="F2508" s="7" t="str">
        <x:f>'Hold Ledger'!J34</x:f>
        <x:v>OPEN</x:v>
      </x:c>
    </x:row>
    <x:row r="2509">
      <x:c r="B2509" s="7" t="str">
        <x:v>PHY-2503</x:v>
      </x:c>
      <x:c r="C2509" s="7" t="str">
        <x:v>hold record</x:v>
      </x:c>
      <x:c r="D2509" s="7" t="str">
        <x:v>RAE-E-01-HP-29</x:v>
      </x:c>
      <x:c r="E2509" s="7" t="str">
        <x:v>Hold Ledger!J35</x:v>
      </x:c>
      <x:c r="F2509" s="7" t="str">
        <x:f>'Hold Ledger'!J35</x:f>
        <x:v>OPEN</x:v>
      </x:c>
    </x:row>
    <x:row r="2510">
      <x:c r="B2510" s="7" t="str">
        <x:v>PHY-2504</x:v>
      </x:c>
      <x:c r="C2510" s="7" t="str">
        <x:v>hold record</x:v>
      </x:c>
      <x:c r="D2510" s="7" t="str">
        <x:v>RAE-E-01-HP-30</x:v>
      </x:c>
      <x:c r="E2510" s="7" t="str">
        <x:v>Hold Ledger!J36</x:v>
      </x:c>
      <x:c r="F2510" s="7" t="str">
        <x:f>'Hold Ledger'!J36</x:f>
        <x:v>OPEN</x:v>
      </x:c>
    </x:row>
    <x:row r="2511">
      <x:c r="B2511" s="7" t="str">
        <x:v>PHY-2505</x:v>
      </x:c>
      <x:c r="C2511" s="7" t="str">
        <x:v>hold record</x:v>
      </x:c>
      <x:c r="D2511" s="7" t="str">
        <x:v>RAE-E-01-HP-31</x:v>
      </x:c>
      <x:c r="E2511" s="7" t="str">
        <x:v>Hold Ledger!J37</x:v>
      </x:c>
      <x:c r="F2511" s="7" t="str">
        <x:f>'Hold Ledger'!J37</x:f>
        <x:v>OPEN</x:v>
      </x:c>
    </x:row>
    <x:row r="2512">
      <x:c r="B2512" s="7" t="str">
        <x:v>PHY-2506</x:v>
      </x:c>
      <x:c r="C2512" s="7" t="str">
        <x:v>hold record</x:v>
      </x:c>
      <x:c r="D2512" s="7" t="str">
        <x:v>RAE-E-01-HP-32</x:v>
      </x:c>
      <x:c r="E2512" s="7" t="str">
        <x:v>Hold Ledger!J38</x:v>
      </x:c>
      <x:c r="F2512" s="7" t="str">
        <x:f>'Hold Ledger'!J38</x:f>
        <x:v>OPEN</x:v>
      </x:c>
    </x:row>
    <x:row r="2513">
      <x:c r="B2513" s="7" t="str">
        <x:v>PHY-2507</x:v>
      </x:c>
      <x:c r="C2513" s="7" t="str">
        <x:v>hold record</x:v>
      </x:c>
      <x:c r="D2513" s="7" t="str">
        <x:v>RAE-E-02-HP-01</x:v>
      </x:c>
      <x:c r="E2513" s="7" t="str">
        <x:v>Hold Ledger!J39</x:v>
      </x:c>
      <x:c r="F2513" s="7" t="str">
        <x:f>'Hold Ledger'!J39</x:f>
        <x:v>OPEN</x:v>
      </x:c>
    </x:row>
    <x:row r="2514">
      <x:c r="B2514" s="7" t="str">
        <x:v>PHY-2508</x:v>
      </x:c>
      <x:c r="C2514" s="7" t="str">
        <x:v>hold record</x:v>
      </x:c>
      <x:c r="D2514" s="7" t="str">
        <x:v>RAE-E-02-HP-02</x:v>
      </x:c>
      <x:c r="E2514" s="7" t="str">
        <x:v>Hold Ledger!J40</x:v>
      </x:c>
      <x:c r="F2514" s="7" t="str">
        <x:f>'Hold Ledger'!J40</x:f>
        <x:v>OPEN</x:v>
      </x:c>
    </x:row>
    <x:row r="2515">
      <x:c r="B2515" s="7" t="str">
        <x:v>PHY-2509</x:v>
      </x:c>
      <x:c r="C2515" s="7" t="str">
        <x:v>hold record</x:v>
      </x:c>
      <x:c r="D2515" s="7" t="str">
        <x:v>RAE-E-02-HP-03</x:v>
      </x:c>
      <x:c r="E2515" s="7" t="str">
        <x:v>Hold Ledger!J41</x:v>
      </x:c>
      <x:c r="F2515" s="7" t="str">
        <x:f>'Hold Ledger'!J41</x:f>
        <x:v>OPEN</x:v>
      </x:c>
    </x:row>
    <x:row r="2516">
      <x:c r="B2516" s="7" t="str">
        <x:v>PHY-2510</x:v>
      </x:c>
      <x:c r="C2516" s="7" t="str">
        <x:v>hold record</x:v>
      </x:c>
      <x:c r="D2516" s="7" t="str">
        <x:v>RAE-E-02-HP-04</x:v>
      </x:c>
      <x:c r="E2516" s="7" t="str">
        <x:v>Hold Ledger!J42</x:v>
      </x:c>
      <x:c r="F2516" s="7" t="str">
        <x:f>'Hold Ledger'!J42</x:f>
        <x:v>OPEN</x:v>
      </x:c>
    </x:row>
    <x:row r="2517">
      <x:c r="B2517" s="7" t="str">
        <x:v>PHY-2511</x:v>
      </x:c>
      <x:c r="C2517" s="7" t="str">
        <x:v>hold record</x:v>
      </x:c>
      <x:c r="D2517" s="7" t="str">
        <x:v>RAE-E-02-HP-05</x:v>
      </x:c>
      <x:c r="E2517" s="7" t="str">
        <x:v>Hold Ledger!J43</x:v>
      </x:c>
      <x:c r="F2517" s="7" t="str">
        <x:f>'Hold Ledger'!J43</x:f>
        <x:v>OPEN</x:v>
      </x:c>
    </x:row>
    <x:row r="2518">
      <x:c r="B2518" s="7" t="str">
        <x:v>PHY-2512</x:v>
      </x:c>
      <x:c r="C2518" s="7" t="str">
        <x:v>hold record</x:v>
      </x:c>
      <x:c r="D2518" s="7" t="str">
        <x:v>RAE-E-02-HP-06</x:v>
      </x:c>
      <x:c r="E2518" s="7" t="str">
        <x:v>Hold Ledger!J44</x:v>
      </x:c>
      <x:c r="F2518" s="7" t="str">
        <x:f>'Hold Ledger'!J44</x:f>
        <x:v>OPEN</x:v>
      </x:c>
    </x:row>
    <x:row r="2519">
      <x:c r="B2519" s="7" t="str">
        <x:v>PHY-2513</x:v>
      </x:c>
      <x:c r="C2519" s="7" t="str">
        <x:v>hold record</x:v>
      </x:c>
      <x:c r="D2519" s="7" t="str">
        <x:v>RAE-E-02-HP-07</x:v>
      </x:c>
      <x:c r="E2519" s="7" t="str">
        <x:v>Hold Ledger!J45</x:v>
      </x:c>
      <x:c r="F2519" s="7" t="str">
        <x:f>'Hold Ledger'!J45</x:f>
        <x:v>OPEN</x:v>
      </x:c>
    </x:row>
    <x:row r="2520">
      <x:c r="B2520" s="7" t="str">
        <x:v>PHY-2514</x:v>
      </x:c>
      <x:c r="C2520" s="7" t="str">
        <x:v>hold record</x:v>
      </x:c>
      <x:c r="D2520" s="7" t="str">
        <x:v>RAE-E-02-HP-08</x:v>
      </x:c>
      <x:c r="E2520" s="7" t="str">
        <x:v>Hold Ledger!J46</x:v>
      </x:c>
      <x:c r="F2520" s="7" t="str">
        <x:f>'Hold Ledger'!J46</x:f>
        <x:v>OPEN</x:v>
      </x:c>
    </x:row>
    <x:row r="2521">
      <x:c r="B2521" s="7" t="str">
        <x:v>PHY-2515</x:v>
      </x:c>
      <x:c r="C2521" s="7" t="str">
        <x:v>hold record</x:v>
      </x:c>
      <x:c r="D2521" s="7" t="str">
        <x:v>RAE-E-02-HP-09</x:v>
      </x:c>
      <x:c r="E2521" s="7" t="str">
        <x:v>Hold Ledger!J47</x:v>
      </x:c>
      <x:c r="F2521" s="7" t="str">
        <x:f>'Hold Ledger'!J47</x:f>
        <x:v>OPEN</x:v>
      </x:c>
    </x:row>
    <x:row r="2522">
      <x:c r="B2522" s="7" t="str">
        <x:v>PHY-2516</x:v>
      </x:c>
      <x:c r="C2522" s="7" t="str">
        <x:v>hold record</x:v>
      </x:c>
      <x:c r="D2522" s="7" t="str">
        <x:v>RAE-E-02-HP-10</x:v>
      </x:c>
      <x:c r="E2522" s="7" t="str">
        <x:v>Hold Ledger!J48</x:v>
      </x:c>
      <x:c r="F2522" s="7" t="str">
        <x:f>'Hold Ledger'!J48</x:f>
        <x:v>OPEN</x:v>
      </x:c>
    </x:row>
    <x:row r="2523">
      <x:c r="B2523" s="7" t="str">
        <x:v>PHY-2517</x:v>
      </x:c>
      <x:c r="C2523" s="7" t="str">
        <x:v>hold record</x:v>
      </x:c>
      <x:c r="D2523" s="7" t="str">
        <x:v>RAE-E-02-HP-11</x:v>
      </x:c>
      <x:c r="E2523" s="7" t="str">
        <x:v>Hold Ledger!J49</x:v>
      </x:c>
      <x:c r="F2523" s="7" t="str">
        <x:f>'Hold Ledger'!J49</x:f>
        <x:v>OPEN</x:v>
      </x:c>
    </x:row>
    <x:row r="2524">
      <x:c r="B2524" s="7" t="str">
        <x:v>PHY-2518</x:v>
      </x:c>
      <x:c r="C2524" s="7" t="str">
        <x:v>hold record</x:v>
      </x:c>
      <x:c r="D2524" s="7" t="str">
        <x:v>RAE-E-02-HP-12</x:v>
      </x:c>
      <x:c r="E2524" s="7" t="str">
        <x:v>Hold Ledger!J50</x:v>
      </x:c>
      <x:c r="F2524" s="7" t="str">
        <x:f>'Hold Ledger'!J50</x:f>
        <x:v>OPEN</x:v>
      </x:c>
    </x:row>
    <x:row r="2525">
      <x:c r="B2525" s="7" t="str">
        <x:v>PHY-2519</x:v>
      </x:c>
      <x:c r="C2525" s="7" t="str">
        <x:v>hold record</x:v>
      </x:c>
      <x:c r="D2525" s="7" t="str">
        <x:v>RAE-E-02-HP-13</x:v>
      </x:c>
      <x:c r="E2525" s="7" t="str">
        <x:v>Hold Ledger!J51</x:v>
      </x:c>
      <x:c r="F2525" s="7" t="str">
        <x:f>'Hold Ledger'!J51</x:f>
        <x:v>OPEN</x:v>
      </x:c>
    </x:row>
    <x:row r="2526">
      <x:c r="B2526" s="7" t="str">
        <x:v>PHY-2520</x:v>
      </x:c>
      <x:c r="C2526" s="7" t="str">
        <x:v>hold record</x:v>
      </x:c>
      <x:c r="D2526" s="7" t="str">
        <x:v>RAE-E-02-HP-14</x:v>
      </x:c>
      <x:c r="E2526" s="7" t="str">
        <x:v>Hold Ledger!J52</x:v>
      </x:c>
      <x:c r="F2526" s="7" t="str">
        <x:f>'Hold Ledger'!J52</x:f>
        <x:v>OPEN</x:v>
      </x:c>
    </x:row>
    <x:row r="2527">
      <x:c r="B2527" s="7" t="str">
        <x:v>PHY-2521</x:v>
      </x:c>
      <x:c r="C2527" s="7" t="str">
        <x:v>hold record</x:v>
      </x:c>
      <x:c r="D2527" s="7" t="str">
        <x:v>RAE-E-02-HP-15</x:v>
      </x:c>
      <x:c r="E2527" s="7" t="str">
        <x:v>Hold Ledger!J53</x:v>
      </x:c>
      <x:c r="F2527" s="7" t="str">
        <x:f>'Hold Ledger'!J53</x:f>
        <x:v>OPEN</x:v>
      </x:c>
    </x:row>
    <x:row r="2528">
      <x:c r="B2528" s="7" t="str">
        <x:v>PHY-2522</x:v>
      </x:c>
      <x:c r="C2528" s="7" t="str">
        <x:v>hold record</x:v>
      </x:c>
      <x:c r="D2528" s="7" t="str">
        <x:v>RAE-E-02-HP-16</x:v>
      </x:c>
      <x:c r="E2528" s="7" t="str">
        <x:v>Hold Ledger!J54</x:v>
      </x:c>
      <x:c r="F2528" s="7" t="str">
        <x:f>'Hold Ledger'!J54</x:f>
        <x:v>OPEN</x:v>
      </x:c>
    </x:row>
    <x:row r="2529">
      <x:c r="B2529" s="7" t="str">
        <x:v>PHY-2523</x:v>
      </x:c>
      <x:c r="C2529" s="7" t="str">
        <x:v>hold record</x:v>
      </x:c>
      <x:c r="D2529" s="7" t="str">
        <x:v>RAE-E-02-HP-17</x:v>
      </x:c>
      <x:c r="E2529" s="7" t="str">
        <x:v>Hold Ledger!J55</x:v>
      </x:c>
      <x:c r="F2529" s="7" t="str">
        <x:f>'Hold Ledger'!J55</x:f>
        <x:v>OPEN</x:v>
      </x:c>
    </x:row>
    <x:row r="2530">
      <x:c r="B2530" s="7" t="str">
        <x:v>PHY-2524</x:v>
      </x:c>
      <x:c r="C2530" s="7" t="str">
        <x:v>hold record</x:v>
      </x:c>
      <x:c r="D2530" s="7" t="str">
        <x:v>RAE-E-02-HP-18</x:v>
      </x:c>
      <x:c r="E2530" s="7" t="str">
        <x:v>Hold Ledger!J56</x:v>
      </x:c>
      <x:c r="F2530" s="7" t="str">
        <x:f>'Hold Ledger'!J56</x:f>
        <x:v>OPEN</x:v>
      </x:c>
    </x:row>
    <x:row r="2531">
      <x:c r="B2531" s="7" t="str">
        <x:v>PHY-2525</x:v>
      </x:c>
      <x:c r="C2531" s="7" t="str">
        <x:v>hold record</x:v>
      </x:c>
      <x:c r="D2531" s="7" t="str">
        <x:v>RAE-E-02-HP-19</x:v>
      </x:c>
      <x:c r="E2531" s="7" t="str">
        <x:v>Hold Ledger!J57</x:v>
      </x:c>
      <x:c r="F2531" s="7" t="str">
        <x:f>'Hold Ledger'!J57</x:f>
        <x:v>OPEN</x:v>
      </x:c>
    </x:row>
    <x:row r="2532">
      <x:c r="B2532" s="7" t="str">
        <x:v>PHY-2526</x:v>
      </x:c>
      <x:c r="C2532" s="7" t="str">
        <x:v>hold record</x:v>
      </x:c>
      <x:c r="D2532" s="7" t="str">
        <x:v>RAE-E-02-HP-20</x:v>
      </x:c>
      <x:c r="E2532" s="7" t="str">
        <x:v>Hold Ledger!J58</x:v>
      </x:c>
      <x:c r="F2532" s="7" t="str">
        <x:f>'Hold Ledger'!J58</x:f>
        <x:v>OPEN</x:v>
      </x:c>
    </x:row>
    <x:row r="2533">
      <x:c r="B2533" s="7" t="str">
        <x:v>PHY-2527</x:v>
      </x:c>
      <x:c r="C2533" s="7" t="str">
        <x:v>hold record</x:v>
      </x:c>
      <x:c r="D2533" s="7" t="str">
        <x:v>RAE-E-02-HP-21</x:v>
      </x:c>
      <x:c r="E2533" s="7" t="str">
        <x:v>Hold Ledger!J59</x:v>
      </x:c>
      <x:c r="F2533" s="7" t="str">
        <x:f>'Hold Ledger'!J59</x:f>
        <x:v>OPEN</x:v>
      </x:c>
    </x:row>
    <x:row r="2534">
      <x:c r="B2534" s="7" t="str">
        <x:v>PHY-2528</x:v>
      </x:c>
      <x:c r="C2534" s="7" t="str">
        <x:v>hold record</x:v>
      </x:c>
      <x:c r="D2534" s="7" t="str">
        <x:v>RAE-E-02-HP-22</x:v>
      </x:c>
      <x:c r="E2534" s="7" t="str">
        <x:v>Hold Ledger!J60</x:v>
      </x:c>
      <x:c r="F2534" s="7" t="str">
        <x:f>'Hold Ledger'!J60</x:f>
        <x:v>OPEN</x:v>
      </x:c>
    </x:row>
    <x:row r="2535">
      <x:c r="B2535" s="7" t="str">
        <x:v>PHY-2529</x:v>
      </x:c>
      <x:c r="C2535" s="7" t="str">
        <x:v>hold record</x:v>
      </x:c>
      <x:c r="D2535" s="7" t="str">
        <x:v>RAE-E-02-HP-23</x:v>
      </x:c>
      <x:c r="E2535" s="7" t="str">
        <x:v>Hold Ledger!J61</x:v>
      </x:c>
      <x:c r="F2535" s="7" t="str">
        <x:f>'Hold Ledger'!J61</x:f>
        <x:v>OPEN</x:v>
      </x:c>
    </x:row>
    <x:row r="2536">
      <x:c r="B2536" s="7" t="str">
        <x:v>PHY-2530</x:v>
      </x:c>
      <x:c r="C2536" s="7" t="str">
        <x:v>hold record</x:v>
      </x:c>
      <x:c r="D2536" s="7" t="str">
        <x:v>RAE-E-02-HP-24</x:v>
      </x:c>
      <x:c r="E2536" s="7" t="str">
        <x:v>Hold Ledger!J62</x:v>
      </x:c>
      <x:c r="F2536" s="7" t="str">
        <x:f>'Hold Ledger'!J62</x:f>
        <x:v>OPEN</x:v>
      </x:c>
    </x:row>
    <x:row r="2537">
      <x:c r="B2537" s="7" t="str">
        <x:v>PHY-2531</x:v>
      </x:c>
      <x:c r="C2537" s="7" t="str">
        <x:v>hold record</x:v>
      </x:c>
      <x:c r="D2537" s="7" t="str">
        <x:v>RAE-E-02-HP-25</x:v>
      </x:c>
      <x:c r="E2537" s="7" t="str">
        <x:v>Hold Ledger!J63</x:v>
      </x:c>
      <x:c r="F2537" s="7" t="str">
        <x:f>'Hold Ledger'!J63</x:f>
        <x:v>OPEN</x:v>
      </x:c>
    </x:row>
    <x:row r="2538">
      <x:c r="B2538" s="7" t="str">
        <x:v>PHY-2532</x:v>
      </x:c>
      <x:c r="C2538" s="7" t="str">
        <x:v>hold record</x:v>
      </x:c>
      <x:c r="D2538" s="7" t="str">
        <x:v>RAE-E-02-HP-26</x:v>
      </x:c>
      <x:c r="E2538" s="7" t="str">
        <x:v>Hold Ledger!J64</x:v>
      </x:c>
      <x:c r="F2538" s="7" t="str">
        <x:f>'Hold Ledger'!J64</x:f>
        <x:v>OPEN</x:v>
      </x:c>
    </x:row>
    <x:row r="2539">
      <x:c r="B2539" s="7" t="str">
        <x:v>PHY-2533</x:v>
      </x:c>
      <x:c r="C2539" s="7" t="str">
        <x:v>hold record</x:v>
      </x:c>
      <x:c r="D2539" s="7" t="str">
        <x:v>RAE-E-02-HP-27</x:v>
      </x:c>
      <x:c r="E2539" s="7" t="str">
        <x:v>Hold Ledger!J65</x:v>
      </x:c>
      <x:c r="F2539" s="7" t="str">
        <x:f>'Hold Ledger'!J65</x:f>
        <x:v>OPEN</x:v>
      </x:c>
    </x:row>
    <x:row r="2540">
      <x:c r="B2540" s="7" t="str">
        <x:v>PHY-2534</x:v>
      </x:c>
      <x:c r="C2540" s="7" t="str">
        <x:v>hold record</x:v>
      </x:c>
      <x:c r="D2540" s="7" t="str">
        <x:v>RAE-E-02-HP-28</x:v>
      </x:c>
      <x:c r="E2540" s="7" t="str">
        <x:v>Hold Ledger!J66</x:v>
      </x:c>
      <x:c r="F2540" s="7" t="str">
        <x:f>'Hold Ledger'!J66</x:f>
        <x:v>OPEN</x:v>
      </x:c>
    </x:row>
    <x:row r="2541">
      <x:c r="B2541" s="7" t="str">
        <x:v>PHY-2535</x:v>
      </x:c>
      <x:c r="C2541" s="7" t="str">
        <x:v>hold record</x:v>
      </x:c>
      <x:c r="D2541" s="7" t="str">
        <x:v>RAE-E-02-HP-29</x:v>
      </x:c>
      <x:c r="E2541" s="7" t="str">
        <x:v>Hold Ledger!J67</x:v>
      </x:c>
      <x:c r="F2541" s="7" t="str">
        <x:f>'Hold Ledger'!J67</x:f>
        <x:v>OPEN</x:v>
      </x:c>
    </x:row>
    <x:row r="2542">
      <x:c r="B2542" s="7" t="str">
        <x:v>PHY-2536</x:v>
      </x:c>
      <x:c r="C2542" s="7" t="str">
        <x:v>hold record</x:v>
      </x:c>
      <x:c r="D2542" s="7" t="str">
        <x:v>RAE-E-02-HP-30</x:v>
      </x:c>
      <x:c r="E2542" s="7" t="str">
        <x:v>Hold Ledger!J68</x:v>
      </x:c>
      <x:c r="F2542" s="7" t="str">
        <x:f>'Hold Ledger'!J68</x:f>
        <x:v>OPEN</x:v>
      </x:c>
    </x:row>
    <x:row r="2543">
      <x:c r="B2543" s="7" t="str">
        <x:v>PHY-2537</x:v>
      </x:c>
      <x:c r="C2543" s="7" t="str">
        <x:v>hold record</x:v>
      </x:c>
      <x:c r="D2543" s="7" t="str">
        <x:v>RAE-E-02-HP-31</x:v>
      </x:c>
      <x:c r="E2543" s="7" t="str">
        <x:v>Hold Ledger!J69</x:v>
      </x:c>
      <x:c r="F2543" s="7" t="str">
        <x:f>'Hold Ledger'!J69</x:f>
        <x:v>OPEN</x:v>
      </x:c>
    </x:row>
    <x:row r="2544">
      <x:c r="B2544" s="7" t="str">
        <x:v>PHY-2538</x:v>
      </x:c>
      <x:c r="C2544" s="7" t="str">
        <x:v>hold record</x:v>
      </x:c>
      <x:c r="D2544" s="7" t="str">
        <x:v>RAE-E-02-HP-32</x:v>
      </x:c>
      <x:c r="E2544" s="7" t="str">
        <x:v>Hold Ledger!J70</x:v>
      </x:c>
      <x:c r="F2544" s="7" t="str">
        <x:f>'Hold Ledger'!J70</x:f>
        <x:v>OPEN</x:v>
      </x:c>
    </x:row>
    <x:row r="2545">
      <x:c r="B2545" s="7" t="str">
        <x:v>PHY-2539</x:v>
      </x:c>
      <x:c r="C2545" s="7" t="str">
        <x:v>hold record</x:v>
      </x:c>
      <x:c r="D2545" s="7" t="str">
        <x:v>RAE-E-03-HP-01</x:v>
      </x:c>
      <x:c r="E2545" s="7" t="str">
        <x:v>Hold Ledger!J71</x:v>
      </x:c>
      <x:c r="F2545" s="7" t="str">
        <x:f>'Hold Ledger'!J71</x:f>
        <x:v>OPEN</x:v>
      </x:c>
    </x:row>
    <x:row r="2546">
      <x:c r="B2546" s="7" t="str">
        <x:v>PHY-2540</x:v>
      </x:c>
      <x:c r="C2546" s="7" t="str">
        <x:v>hold record</x:v>
      </x:c>
      <x:c r="D2546" s="7" t="str">
        <x:v>RAE-E-03-HP-02</x:v>
      </x:c>
      <x:c r="E2546" s="7" t="str">
        <x:v>Hold Ledger!J72</x:v>
      </x:c>
      <x:c r="F2546" s="7" t="str">
        <x:f>'Hold Ledger'!J72</x:f>
        <x:v>OPEN</x:v>
      </x:c>
    </x:row>
    <x:row r="2547">
      <x:c r="B2547" s="7" t="str">
        <x:v>PHY-2541</x:v>
      </x:c>
      <x:c r="C2547" s="7" t="str">
        <x:v>hold record</x:v>
      </x:c>
      <x:c r="D2547" s="7" t="str">
        <x:v>RAE-E-03-HP-03</x:v>
      </x:c>
      <x:c r="E2547" s="7" t="str">
        <x:v>Hold Ledger!J73</x:v>
      </x:c>
      <x:c r="F2547" s="7" t="str">
        <x:f>'Hold Ledger'!J73</x:f>
        <x:v>OPEN</x:v>
      </x:c>
    </x:row>
    <x:row r="2548">
      <x:c r="B2548" s="7" t="str">
        <x:v>PHY-2542</x:v>
      </x:c>
      <x:c r="C2548" s="7" t="str">
        <x:v>hold record</x:v>
      </x:c>
      <x:c r="D2548" s="7" t="str">
        <x:v>RAE-E-03-HP-04</x:v>
      </x:c>
      <x:c r="E2548" s="7" t="str">
        <x:v>Hold Ledger!J74</x:v>
      </x:c>
      <x:c r="F2548" s="7" t="str">
        <x:f>'Hold Ledger'!J74</x:f>
        <x:v>OPEN</x:v>
      </x:c>
    </x:row>
    <x:row r="2549">
      <x:c r="B2549" s="7" t="str">
        <x:v>PHY-2543</x:v>
      </x:c>
      <x:c r="C2549" s="7" t="str">
        <x:v>hold record</x:v>
      </x:c>
      <x:c r="D2549" s="7" t="str">
        <x:v>RAE-E-03-HP-05</x:v>
      </x:c>
      <x:c r="E2549" s="7" t="str">
        <x:v>Hold Ledger!J75</x:v>
      </x:c>
      <x:c r="F2549" s="7" t="str">
        <x:f>'Hold Ledger'!J75</x:f>
        <x:v>OPEN</x:v>
      </x:c>
    </x:row>
    <x:row r="2550">
      <x:c r="B2550" s="7" t="str">
        <x:v>PHY-2544</x:v>
      </x:c>
      <x:c r="C2550" s="7" t="str">
        <x:v>hold record</x:v>
      </x:c>
      <x:c r="D2550" s="7" t="str">
        <x:v>RAE-E-03-HP-06</x:v>
      </x:c>
      <x:c r="E2550" s="7" t="str">
        <x:v>Hold Ledger!J76</x:v>
      </x:c>
      <x:c r="F2550" s="7" t="str">
        <x:f>'Hold Ledger'!J76</x:f>
        <x:v>OPEN</x:v>
      </x:c>
    </x:row>
    <x:row r="2551">
      <x:c r="B2551" s="7" t="str">
        <x:v>PHY-2545</x:v>
      </x:c>
      <x:c r="C2551" s="7" t="str">
        <x:v>hold record</x:v>
      </x:c>
      <x:c r="D2551" s="7" t="str">
        <x:v>RAE-E-03-HP-07</x:v>
      </x:c>
      <x:c r="E2551" s="7" t="str">
        <x:v>Hold Ledger!J77</x:v>
      </x:c>
      <x:c r="F2551" s="7" t="str">
        <x:f>'Hold Ledger'!J77</x:f>
        <x:v>OPEN</x:v>
      </x:c>
    </x:row>
    <x:row r="2552">
      <x:c r="B2552" s="7" t="str">
        <x:v>PHY-2546</x:v>
      </x:c>
      <x:c r="C2552" s="7" t="str">
        <x:v>hold record</x:v>
      </x:c>
      <x:c r="D2552" s="7" t="str">
        <x:v>RAE-E-03-HP-08</x:v>
      </x:c>
      <x:c r="E2552" s="7" t="str">
        <x:v>Hold Ledger!J78</x:v>
      </x:c>
      <x:c r="F2552" s="7" t="str">
        <x:f>'Hold Ledger'!J78</x:f>
        <x:v>OPEN</x:v>
      </x:c>
    </x:row>
    <x:row r="2553">
      <x:c r="B2553" s="7" t="str">
        <x:v>PHY-2547</x:v>
      </x:c>
      <x:c r="C2553" s="7" t="str">
        <x:v>hold record</x:v>
      </x:c>
      <x:c r="D2553" s="7" t="str">
        <x:v>RAE-E-03-HP-09</x:v>
      </x:c>
      <x:c r="E2553" s="7" t="str">
        <x:v>Hold Ledger!J79</x:v>
      </x:c>
      <x:c r="F2553" s="7" t="str">
        <x:f>'Hold Ledger'!J79</x:f>
        <x:v>OPEN</x:v>
      </x:c>
    </x:row>
    <x:row r="2554">
      <x:c r="B2554" s="7" t="str">
        <x:v>PHY-2548</x:v>
      </x:c>
      <x:c r="C2554" s="7" t="str">
        <x:v>hold record</x:v>
      </x:c>
      <x:c r="D2554" s="7" t="str">
        <x:v>RAE-E-03-HP-10</x:v>
      </x:c>
      <x:c r="E2554" s="7" t="str">
        <x:v>Hold Ledger!J80</x:v>
      </x:c>
      <x:c r="F2554" s="7" t="str">
        <x:f>'Hold Ledger'!J80</x:f>
        <x:v>OPEN</x:v>
      </x:c>
    </x:row>
    <x:row r="2555">
      <x:c r="B2555" s="7" t="str">
        <x:v>PHY-2549</x:v>
      </x:c>
      <x:c r="C2555" s="7" t="str">
        <x:v>hold record</x:v>
      </x:c>
      <x:c r="D2555" s="7" t="str">
        <x:v>RAE-E-03-HP-11</x:v>
      </x:c>
      <x:c r="E2555" s="7" t="str">
        <x:v>Hold Ledger!J81</x:v>
      </x:c>
      <x:c r="F2555" s="7" t="str">
        <x:f>'Hold Ledger'!J81</x:f>
        <x:v>OPEN</x:v>
      </x:c>
    </x:row>
    <x:row r="2556">
      <x:c r="B2556" s="7" t="str">
        <x:v>PHY-2550</x:v>
      </x:c>
      <x:c r="C2556" s="7" t="str">
        <x:v>hold record</x:v>
      </x:c>
      <x:c r="D2556" s="7" t="str">
        <x:v>RAE-E-03-HP-12</x:v>
      </x:c>
      <x:c r="E2556" s="7" t="str">
        <x:v>Hold Ledger!J82</x:v>
      </x:c>
      <x:c r="F2556" s="7" t="str">
        <x:f>'Hold Ledger'!J82</x:f>
        <x:v>OPEN</x:v>
      </x:c>
    </x:row>
    <x:row r="2557">
      <x:c r="B2557" s="7" t="str">
        <x:v>PHY-2551</x:v>
      </x:c>
      <x:c r="C2557" s="7" t="str">
        <x:v>hold record</x:v>
      </x:c>
      <x:c r="D2557" s="7" t="str">
        <x:v>RAE-E-03-HP-13</x:v>
      </x:c>
      <x:c r="E2557" s="7" t="str">
        <x:v>Hold Ledger!J83</x:v>
      </x:c>
      <x:c r="F2557" s="7" t="str">
        <x:f>'Hold Ledger'!J83</x:f>
        <x:v>OPEN</x:v>
      </x:c>
    </x:row>
    <x:row r="2558">
      <x:c r="B2558" s="7" t="str">
        <x:v>PHY-2552</x:v>
      </x:c>
      <x:c r="C2558" s="7" t="str">
        <x:v>hold record</x:v>
      </x:c>
      <x:c r="D2558" s="7" t="str">
        <x:v>RAE-E-03-HP-14</x:v>
      </x:c>
      <x:c r="E2558" s="7" t="str">
        <x:v>Hold Ledger!J84</x:v>
      </x:c>
      <x:c r="F2558" s="7" t="str">
        <x:f>'Hold Ledger'!J84</x:f>
        <x:v>OPEN</x:v>
      </x:c>
    </x:row>
    <x:row r="2559">
      <x:c r="B2559" s="7" t="str">
        <x:v>PHY-2553</x:v>
      </x:c>
      <x:c r="C2559" s="7" t="str">
        <x:v>hold record</x:v>
      </x:c>
      <x:c r="D2559" s="7" t="str">
        <x:v>RAE-E-03-HP-15</x:v>
      </x:c>
      <x:c r="E2559" s="7" t="str">
        <x:v>Hold Ledger!J85</x:v>
      </x:c>
      <x:c r="F2559" s="7" t="str">
        <x:f>'Hold Ledger'!J85</x:f>
        <x:v>OPEN</x:v>
      </x:c>
    </x:row>
    <x:row r="2560">
      <x:c r="B2560" s="7" t="str">
        <x:v>PHY-2554</x:v>
      </x:c>
      <x:c r="C2560" s="7" t="str">
        <x:v>hold record</x:v>
      </x:c>
      <x:c r="D2560" s="7" t="str">
        <x:v>RAE-E-03-HP-16</x:v>
      </x:c>
      <x:c r="E2560" s="7" t="str">
        <x:v>Hold Ledger!J86</x:v>
      </x:c>
      <x:c r="F2560" s="7" t="str">
        <x:f>'Hold Ledger'!J86</x:f>
        <x:v>OPEN</x:v>
      </x:c>
    </x:row>
    <x:row r="2561">
      <x:c r="B2561" s="7" t="str">
        <x:v>PHY-2555</x:v>
      </x:c>
      <x:c r="C2561" s="7" t="str">
        <x:v>hold record</x:v>
      </x:c>
      <x:c r="D2561" s="7" t="str">
        <x:v>RAE-E-03-HP-17</x:v>
      </x:c>
      <x:c r="E2561" s="7" t="str">
        <x:v>Hold Ledger!J87</x:v>
      </x:c>
      <x:c r="F2561" s="7" t="str">
        <x:f>'Hold Ledger'!J87</x:f>
        <x:v>OPEN</x:v>
      </x:c>
    </x:row>
    <x:row r="2562">
      <x:c r="B2562" s="7" t="str">
        <x:v>PHY-2556</x:v>
      </x:c>
      <x:c r="C2562" s="7" t="str">
        <x:v>hold record</x:v>
      </x:c>
      <x:c r="D2562" s="7" t="str">
        <x:v>RAE-E-03-HP-18</x:v>
      </x:c>
      <x:c r="E2562" s="7" t="str">
        <x:v>Hold Ledger!J88</x:v>
      </x:c>
      <x:c r="F2562" s="7" t="str">
        <x:f>'Hold Ledger'!J88</x:f>
        <x:v>OPEN</x:v>
      </x:c>
    </x:row>
    <x:row r="2563">
      <x:c r="B2563" s="7" t="str">
        <x:v>PHY-2557</x:v>
      </x:c>
      <x:c r="C2563" s="7" t="str">
        <x:v>hold record</x:v>
      </x:c>
      <x:c r="D2563" s="7" t="str">
        <x:v>RAE-E-03-HP-19</x:v>
      </x:c>
      <x:c r="E2563" s="7" t="str">
        <x:v>Hold Ledger!J89</x:v>
      </x:c>
      <x:c r="F2563" s="7" t="str">
        <x:f>'Hold Ledger'!J89</x:f>
        <x:v>OPEN</x:v>
      </x:c>
    </x:row>
    <x:row r="2564">
      <x:c r="B2564" s="7" t="str">
        <x:v>PHY-2558</x:v>
      </x:c>
      <x:c r="C2564" s="7" t="str">
        <x:v>hold record</x:v>
      </x:c>
      <x:c r="D2564" s="7" t="str">
        <x:v>RAE-E-03-HP-20</x:v>
      </x:c>
      <x:c r="E2564" s="7" t="str">
        <x:v>Hold Ledger!J90</x:v>
      </x:c>
      <x:c r="F2564" s="7" t="str">
        <x:f>'Hold Ledger'!J90</x:f>
        <x:v>OPEN</x:v>
      </x:c>
    </x:row>
    <x:row r="2565">
      <x:c r="B2565" s="7" t="str">
        <x:v>PHY-2559</x:v>
      </x:c>
      <x:c r="C2565" s="7" t="str">
        <x:v>hold record</x:v>
      </x:c>
      <x:c r="D2565" s="7" t="str">
        <x:v>RAE-E-03-HP-21</x:v>
      </x:c>
      <x:c r="E2565" s="7" t="str">
        <x:v>Hold Ledger!J91</x:v>
      </x:c>
      <x:c r="F2565" s="7" t="str">
        <x:f>'Hold Ledger'!J91</x:f>
        <x:v>OPEN</x:v>
      </x:c>
    </x:row>
    <x:row r="2566">
      <x:c r="B2566" s="7" t="str">
        <x:v>PHY-2560</x:v>
      </x:c>
      <x:c r="C2566" s="7" t="str">
        <x:v>hold record</x:v>
      </x:c>
      <x:c r="D2566" s="7" t="str">
        <x:v>RAE-E-03-HP-22</x:v>
      </x:c>
      <x:c r="E2566" s="7" t="str">
        <x:v>Hold Ledger!J92</x:v>
      </x:c>
      <x:c r="F2566" s="7" t="str">
        <x:f>'Hold Ledger'!J92</x:f>
        <x:v>OPEN</x:v>
      </x:c>
    </x:row>
    <x:row r="2567">
      <x:c r="B2567" s="7" t="str">
        <x:v>PHY-2561</x:v>
      </x:c>
      <x:c r="C2567" s="7" t="str">
        <x:v>hold record</x:v>
      </x:c>
      <x:c r="D2567" s="7" t="str">
        <x:v>RAE-E-03-HP-23</x:v>
      </x:c>
      <x:c r="E2567" s="7" t="str">
        <x:v>Hold Ledger!J93</x:v>
      </x:c>
      <x:c r="F2567" s="7" t="str">
        <x:f>'Hold Ledger'!J93</x:f>
        <x:v>OPEN</x:v>
      </x:c>
    </x:row>
    <x:row r="2568">
      <x:c r="B2568" s="7" t="str">
        <x:v>PHY-2562</x:v>
      </x:c>
      <x:c r="C2568" s="7" t="str">
        <x:v>hold record</x:v>
      </x:c>
      <x:c r="D2568" s="7" t="str">
        <x:v>RAE-E-03-HP-24</x:v>
      </x:c>
      <x:c r="E2568" s="7" t="str">
        <x:v>Hold Ledger!J94</x:v>
      </x:c>
      <x:c r="F2568" s="7" t="str">
        <x:f>'Hold Ledger'!J94</x:f>
        <x:v>OPEN</x:v>
      </x:c>
    </x:row>
    <x:row r="2569">
      <x:c r="B2569" s="7" t="str">
        <x:v>PHY-2563</x:v>
      </x:c>
      <x:c r="C2569" s="7" t="str">
        <x:v>hold record</x:v>
      </x:c>
      <x:c r="D2569" s="7" t="str">
        <x:v>RAE-E-03-HP-25</x:v>
      </x:c>
      <x:c r="E2569" s="7" t="str">
        <x:v>Hold Ledger!J95</x:v>
      </x:c>
      <x:c r="F2569" s="7" t="str">
        <x:f>'Hold Ledger'!J95</x:f>
        <x:v>OPEN</x:v>
      </x:c>
    </x:row>
    <x:row r="2570">
      <x:c r="B2570" s="7" t="str">
        <x:v>PHY-2564</x:v>
      </x:c>
      <x:c r="C2570" s="7" t="str">
        <x:v>hold record</x:v>
      </x:c>
      <x:c r="D2570" s="7" t="str">
        <x:v>RAE-E-03-HP-26</x:v>
      </x:c>
      <x:c r="E2570" s="7" t="str">
        <x:v>Hold Ledger!J96</x:v>
      </x:c>
      <x:c r="F2570" s="7" t="str">
        <x:f>'Hold Ledger'!J96</x:f>
        <x:v>OPEN</x:v>
      </x:c>
    </x:row>
    <x:row r="2571">
      <x:c r="B2571" s="7" t="str">
        <x:v>PHY-2565</x:v>
      </x:c>
      <x:c r="C2571" s="7" t="str">
        <x:v>hold record</x:v>
      </x:c>
      <x:c r="D2571" s="7" t="str">
        <x:v>RAE-E-03-HP-27</x:v>
      </x:c>
      <x:c r="E2571" s="7" t="str">
        <x:v>Hold Ledger!J97</x:v>
      </x:c>
      <x:c r="F2571" s="7" t="str">
        <x:f>'Hold Ledger'!J97</x:f>
        <x:v>OPEN</x:v>
      </x:c>
    </x:row>
    <x:row r="2572">
      <x:c r="B2572" s="7" t="str">
        <x:v>PHY-2566</x:v>
      </x:c>
      <x:c r="C2572" s="7" t="str">
        <x:v>hold record</x:v>
      </x:c>
      <x:c r="D2572" s="7" t="str">
        <x:v>RAE-E-03-HP-28</x:v>
      </x:c>
      <x:c r="E2572" s="7" t="str">
        <x:v>Hold Ledger!J98</x:v>
      </x:c>
      <x:c r="F2572" s="7" t="str">
        <x:f>'Hold Ledger'!J98</x:f>
        <x:v>OPEN</x:v>
      </x:c>
    </x:row>
    <x:row r="2573">
      <x:c r="B2573" s="7" t="str">
        <x:v>PHY-2567</x:v>
      </x:c>
      <x:c r="C2573" s="7" t="str">
        <x:v>hold record</x:v>
      </x:c>
      <x:c r="D2573" s="7" t="str">
        <x:v>RAE-E-03-HP-29</x:v>
      </x:c>
      <x:c r="E2573" s="7" t="str">
        <x:v>Hold Ledger!J99</x:v>
      </x:c>
      <x:c r="F2573" s="7" t="str">
        <x:f>'Hold Ledger'!J99</x:f>
        <x:v>OPEN</x:v>
      </x:c>
    </x:row>
    <x:row r="2574">
      <x:c r="B2574" s="7" t="str">
        <x:v>PHY-2568</x:v>
      </x:c>
      <x:c r="C2574" s="7" t="str">
        <x:v>hold record</x:v>
      </x:c>
      <x:c r="D2574" s="7" t="str">
        <x:v>RAE-E-03-HP-30</x:v>
      </x:c>
      <x:c r="E2574" s="7" t="str">
        <x:v>Hold Ledger!J100</x:v>
      </x:c>
      <x:c r="F2574" s="7" t="str">
        <x:f>'Hold Ledger'!J100</x:f>
        <x:v>OPEN</x:v>
      </x:c>
    </x:row>
    <x:row r="2575">
      <x:c r="B2575" s="7" t="str">
        <x:v>PHY-2569</x:v>
      </x:c>
      <x:c r="C2575" s="7" t="str">
        <x:v>hold record</x:v>
      </x:c>
      <x:c r="D2575" s="7" t="str">
        <x:v>RAE-E-03-HP-31</x:v>
      </x:c>
      <x:c r="E2575" s="7" t="str">
        <x:v>Hold Ledger!J101</x:v>
      </x:c>
      <x:c r="F2575" s="7" t="str">
        <x:f>'Hold Ledger'!J101</x:f>
        <x:v>OPEN</x:v>
      </x:c>
    </x:row>
    <x:row r="2576">
      <x:c r="B2576" s="7" t="str">
        <x:v>PHY-2570</x:v>
      </x:c>
      <x:c r="C2576" s="7" t="str">
        <x:v>hold record</x:v>
      </x:c>
      <x:c r="D2576" s="7" t="str">
        <x:v>RAE-E-03-HP-32</x:v>
      </x:c>
      <x:c r="E2576" s="7" t="str">
        <x:v>Hold Ledger!J102</x:v>
      </x:c>
      <x:c r="F2576" s="7" t="str">
        <x:f>'Hold Ledger'!J102</x:f>
        <x:v>OPEN</x:v>
      </x:c>
    </x:row>
    <x:row r="2577">
      <x:c r="B2577" s="7" t="str">
        <x:v>PHY-2571</x:v>
      </x:c>
      <x:c r="C2577" s="7" t="str">
        <x:v>hold record</x:v>
      </x:c>
      <x:c r="D2577" s="7" t="str">
        <x:v>RAE-E-04-HP-01</x:v>
      </x:c>
      <x:c r="E2577" s="7" t="str">
        <x:v>Hold Ledger!J103</x:v>
      </x:c>
      <x:c r="F2577" s="7" t="str">
        <x:f>'Hold Ledger'!J103</x:f>
        <x:v>OPEN</x:v>
      </x:c>
    </x:row>
    <x:row r="2578">
      <x:c r="B2578" s="7" t="str">
        <x:v>PHY-2572</x:v>
      </x:c>
      <x:c r="C2578" s="7" t="str">
        <x:v>hold record</x:v>
      </x:c>
      <x:c r="D2578" s="7" t="str">
        <x:v>RAE-E-04-HP-02</x:v>
      </x:c>
      <x:c r="E2578" s="7" t="str">
        <x:v>Hold Ledger!J104</x:v>
      </x:c>
      <x:c r="F2578" s="7" t="str">
        <x:f>'Hold Ledger'!J104</x:f>
        <x:v>OPEN</x:v>
      </x:c>
    </x:row>
    <x:row r="2579">
      <x:c r="B2579" s="7" t="str">
        <x:v>PHY-2573</x:v>
      </x:c>
      <x:c r="C2579" s="7" t="str">
        <x:v>hold record</x:v>
      </x:c>
      <x:c r="D2579" s="7" t="str">
        <x:v>RAE-E-04-HP-03</x:v>
      </x:c>
      <x:c r="E2579" s="7" t="str">
        <x:v>Hold Ledger!J105</x:v>
      </x:c>
      <x:c r="F2579" s="7" t="str">
        <x:f>'Hold Ledger'!J105</x:f>
        <x:v>OPEN</x:v>
      </x:c>
    </x:row>
    <x:row r="2580">
      <x:c r="B2580" s="7" t="str">
        <x:v>PHY-2574</x:v>
      </x:c>
      <x:c r="C2580" s="7" t="str">
        <x:v>hold record</x:v>
      </x:c>
      <x:c r="D2580" s="7" t="str">
        <x:v>RAE-E-04-HP-04</x:v>
      </x:c>
      <x:c r="E2580" s="7" t="str">
        <x:v>Hold Ledger!J106</x:v>
      </x:c>
      <x:c r="F2580" s="7" t="str">
        <x:f>'Hold Ledger'!J106</x:f>
        <x:v>OPEN</x:v>
      </x:c>
    </x:row>
    <x:row r="2581">
      <x:c r="B2581" s="7" t="str">
        <x:v>PHY-2575</x:v>
      </x:c>
      <x:c r="C2581" s="7" t="str">
        <x:v>hold record</x:v>
      </x:c>
      <x:c r="D2581" s="7" t="str">
        <x:v>RAE-E-04-HP-05</x:v>
      </x:c>
      <x:c r="E2581" s="7" t="str">
        <x:v>Hold Ledger!J107</x:v>
      </x:c>
      <x:c r="F2581" s="7" t="str">
        <x:f>'Hold Ledger'!J107</x:f>
        <x:v>OPEN</x:v>
      </x:c>
    </x:row>
    <x:row r="2582">
      <x:c r="B2582" s="7" t="str">
        <x:v>PHY-2576</x:v>
      </x:c>
      <x:c r="C2582" s="7" t="str">
        <x:v>hold record</x:v>
      </x:c>
      <x:c r="D2582" s="7" t="str">
        <x:v>RAE-E-04-HP-06</x:v>
      </x:c>
      <x:c r="E2582" s="7" t="str">
        <x:v>Hold Ledger!J108</x:v>
      </x:c>
      <x:c r="F2582" s="7" t="str">
        <x:f>'Hold Ledger'!J108</x:f>
        <x:v>OPEN</x:v>
      </x:c>
    </x:row>
    <x:row r="2583">
      <x:c r="B2583" s="7" t="str">
        <x:v>PHY-2577</x:v>
      </x:c>
      <x:c r="C2583" s="7" t="str">
        <x:v>hold record</x:v>
      </x:c>
      <x:c r="D2583" s="7" t="str">
        <x:v>RAE-E-04-HP-07</x:v>
      </x:c>
      <x:c r="E2583" s="7" t="str">
        <x:v>Hold Ledger!J109</x:v>
      </x:c>
      <x:c r="F2583" s="7" t="str">
        <x:f>'Hold Ledger'!J109</x:f>
        <x:v>OPEN</x:v>
      </x:c>
    </x:row>
    <x:row r="2584">
      <x:c r="B2584" s="7" t="str">
        <x:v>PHY-2578</x:v>
      </x:c>
      <x:c r="C2584" s="7" t="str">
        <x:v>hold record</x:v>
      </x:c>
      <x:c r="D2584" s="7" t="str">
        <x:v>RAE-E-04-HP-08</x:v>
      </x:c>
      <x:c r="E2584" s="7" t="str">
        <x:v>Hold Ledger!J110</x:v>
      </x:c>
      <x:c r="F2584" s="7" t="str">
        <x:f>'Hold Ledger'!J110</x:f>
        <x:v>OPEN</x:v>
      </x:c>
    </x:row>
    <x:row r="2585">
      <x:c r="B2585" s="7" t="str">
        <x:v>PHY-2579</x:v>
      </x:c>
      <x:c r="C2585" s="7" t="str">
        <x:v>hold record</x:v>
      </x:c>
      <x:c r="D2585" s="7" t="str">
        <x:v>RAE-E-04-HP-09</x:v>
      </x:c>
      <x:c r="E2585" s="7" t="str">
        <x:v>Hold Ledger!J111</x:v>
      </x:c>
      <x:c r="F2585" s="7" t="str">
        <x:f>'Hold Ledger'!J111</x:f>
        <x:v>OPEN</x:v>
      </x:c>
    </x:row>
    <x:row r="2586">
      <x:c r="B2586" s="7" t="str">
        <x:v>PHY-2580</x:v>
      </x:c>
      <x:c r="C2586" s="7" t="str">
        <x:v>hold record</x:v>
      </x:c>
      <x:c r="D2586" s="7" t="str">
        <x:v>RAE-E-04-HP-10</x:v>
      </x:c>
      <x:c r="E2586" s="7" t="str">
        <x:v>Hold Ledger!J112</x:v>
      </x:c>
      <x:c r="F2586" s="7" t="str">
        <x:f>'Hold Ledger'!J112</x:f>
        <x:v>OPEN</x:v>
      </x:c>
    </x:row>
    <x:row r="2587">
      <x:c r="B2587" s="7" t="str">
        <x:v>PHY-2581</x:v>
      </x:c>
      <x:c r="C2587" s="7" t="str">
        <x:v>hold record</x:v>
      </x:c>
      <x:c r="D2587" s="7" t="str">
        <x:v>RAE-E-04-HP-11</x:v>
      </x:c>
      <x:c r="E2587" s="7" t="str">
        <x:v>Hold Ledger!J113</x:v>
      </x:c>
      <x:c r="F2587" s="7" t="str">
        <x:f>'Hold Ledger'!J113</x:f>
        <x:v>OPEN</x:v>
      </x:c>
    </x:row>
    <x:row r="2588">
      <x:c r="B2588" s="7" t="str">
        <x:v>PHY-2582</x:v>
      </x:c>
      <x:c r="C2588" s="7" t="str">
        <x:v>hold record</x:v>
      </x:c>
      <x:c r="D2588" s="7" t="str">
        <x:v>RAE-E-04-HP-12</x:v>
      </x:c>
      <x:c r="E2588" s="7" t="str">
        <x:v>Hold Ledger!J114</x:v>
      </x:c>
      <x:c r="F2588" s="7" t="str">
        <x:f>'Hold Ledger'!J114</x:f>
        <x:v>OPEN</x:v>
      </x:c>
    </x:row>
    <x:row r="2589">
      <x:c r="B2589" s="7" t="str">
        <x:v>PHY-2583</x:v>
      </x:c>
      <x:c r="C2589" s="7" t="str">
        <x:v>hold record</x:v>
      </x:c>
      <x:c r="D2589" s="7" t="str">
        <x:v>RAE-E-04-HP-13</x:v>
      </x:c>
      <x:c r="E2589" s="7" t="str">
        <x:v>Hold Ledger!J115</x:v>
      </x:c>
      <x:c r="F2589" s="7" t="str">
        <x:f>'Hold Ledger'!J115</x:f>
        <x:v>OPEN</x:v>
      </x:c>
    </x:row>
    <x:row r="2590">
      <x:c r="B2590" s="7" t="str">
        <x:v>PHY-2584</x:v>
      </x:c>
      <x:c r="C2590" s="7" t="str">
        <x:v>hold record</x:v>
      </x:c>
      <x:c r="D2590" s="7" t="str">
        <x:v>RAE-E-04-HP-14</x:v>
      </x:c>
      <x:c r="E2590" s="7" t="str">
        <x:v>Hold Ledger!J116</x:v>
      </x:c>
      <x:c r="F2590" s="7" t="str">
        <x:f>'Hold Ledger'!J116</x:f>
        <x:v>OPEN</x:v>
      </x:c>
    </x:row>
    <x:row r="2591">
      <x:c r="B2591" s="7" t="str">
        <x:v>PHY-2585</x:v>
      </x:c>
      <x:c r="C2591" s="7" t="str">
        <x:v>hold record</x:v>
      </x:c>
      <x:c r="D2591" s="7" t="str">
        <x:v>RAE-E-04-HP-15</x:v>
      </x:c>
      <x:c r="E2591" s="7" t="str">
        <x:v>Hold Ledger!J117</x:v>
      </x:c>
      <x:c r="F2591" s="7" t="str">
        <x:f>'Hold Ledger'!J117</x:f>
        <x:v>OPEN</x:v>
      </x:c>
    </x:row>
    <x:row r="2592">
      <x:c r="B2592" s="7" t="str">
        <x:v>PHY-2586</x:v>
      </x:c>
      <x:c r="C2592" s="7" t="str">
        <x:v>hold record</x:v>
      </x:c>
      <x:c r="D2592" s="7" t="str">
        <x:v>RAE-E-04-HP-16</x:v>
      </x:c>
      <x:c r="E2592" s="7" t="str">
        <x:v>Hold Ledger!J118</x:v>
      </x:c>
      <x:c r="F2592" s="7" t="str">
        <x:f>'Hold Ledger'!J118</x:f>
        <x:v>OPEN</x:v>
      </x:c>
    </x:row>
    <x:row r="2593">
      <x:c r="B2593" s="7" t="str">
        <x:v>PHY-2587</x:v>
      </x:c>
      <x:c r="C2593" s="7" t="str">
        <x:v>hold record</x:v>
      </x:c>
      <x:c r="D2593" s="7" t="str">
        <x:v>RAE-E-04-HP-17</x:v>
      </x:c>
      <x:c r="E2593" s="7" t="str">
        <x:v>Hold Ledger!J119</x:v>
      </x:c>
      <x:c r="F2593" s="7" t="str">
        <x:f>'Hold Ledger'!J119</x:f>
        <x:v>OPEN</x:v>
      </x:c>
    </x:row>
    <x:row r="2594">
      <x:c r="B2594" s="7" t="str">
        <x:v>PHY-2588</x:v>
      </x:c>
      <x:c r="C2594" s="7" t="str">
        <x:v>hold record</x:v>
      </x:c>
      <x:c r="D2594" s="7" t="str">
        <x:v>RAE-E-04-HP-18</x:v>
      </x:c>
      <x:c r="E2594" s="7" t="str">
        <x:v>Hold Ledger!J120</x:v>
      </x:c>
      <x:c r="F2594" s="7" t="str">
        <x:f>'Hold Ledger'!J120</x:f>
        <x:v>OPEN</x:v>
      </x:c>
    </x:row>
    <x:row r="2595">
      <x:c r="B2595" s="7" t="str">
        <x:v>PHY-2589</x:v>
      </x:c>
      <x:c r="C2595" s="7" t="str">
        <x:v>hold record</x:v>
      </x:c>
      <x:c r="D2595" s="7" t="str">
        <x:v>RAE-E-04-HP-19</x:v>
      </x:c>
      <x:c r="E2595" s="7" t="str">
        <x:v>Hold Ledger!J121</x:v>
      </x:c>
      <x:c r="F2595" s="7" t="str">
        <x:f>'Hold Ledger'!J121</x:f>
        <x:v>OPEN</x:v>
      </x:c>
    </x:row>
    <x:row r="2596">
      <x:c r="B2596" s="7" t="str">
        <x:v>PHY-2590</x:v>
      </x:c>
      <x:c r="C2596" s="7" t="str">
        <x:v>hold record</x:v>
      </x:c>
      <x:c r="D2596" s="7" t="str">
        <x:v>RAE-E-04-HP-20</x:v>
      </x:c>
      <x:c r="E2596" s="7" t="str">
        <x:v>Hold Ledger!J122</x:v>
      </x:c>
      <x:c r="F2596" s="7" t="str">
        <x:f>'Hold Ledger'!J122</x:f>
        <x:v>OPEN</x:v>
      </x:c>
    </x:row>
    <x:row r="2597">
      <x:c r="B2597" s="7" t="str">
        <x:v>PHY-2591</x:v>
      </x:c>
      <x:c r="C2597" s="7" t="str">
        <x:v>hold record</x:v>
      </x:c>
      <x:c r="D2597" s="7" t="str">
        <x:v>RAE-E-04-HP-21</x:v>
      </x:c>
      <x:c r="E2597" s="7" t="str">
        <x:v>Hold Ledger!J123</x:v>
      </x:c>
      <x:c r="F2597" s="7" t="str">
        <x:f>'Hold Ledger'!J123</x:f>
        <x:v>OPEN</x:v>
      </x:c>
    </x:row>
    <x:row r="2598">
      <x:c r="B2598" s="7" t="str">
        <x:v>PHY-2592</x:v>
      </x:c>
      <x:c r="C2598" s="7" t="str">
        <x:v>hold record</x:v>
      </x:c>
      <x:c r="D2598" s="7" t="str">
        <x:v>RAE-E-04-HP-22</x:v>
      </x:c>
      <x:c r="E2598" s="7" t="str">
        <x:v>Hold Ledger!J124</x:v>
      </x:c>
      <x:c r="F2598" s="7" t="str">
        <x:f>'Hold Ledger'!J124</x:f>
        <x:v>OPEN</x:v>
      </x:c>
    </x:row>
    <x:row r="2599">
      <x:c r="B2599" s="7" t="str">
        <x:v>PHY-2593</x:v>
      </x:c>
      <x:c r="C2599" s="7" t="str">
        <x:v>hold record</x:v>
      </x:c>
      <x:c r="D2599" s="7" t="str">
        <x:v>RAE-E-04-HP-23</x:v>
      </x:c>
      <x:c r="E2599" s="7" t="str">
        <x:v>Hold Ledger!J125</x:v>
      </x:c>
      <x:c r="F2599" s="7" t="str">
        <x:f>'Hold Ledger'!J125</x:f>
        <x:v>OPEN</x:v>
      </x:c>
    </x:row>
    <x:row r="2600">
      <x:c r="B2600" s="7" t="str">
        <x:v>PHY-2594</x:v>
      </x:c>
      <x:c r="C2600" s="7" t="str">
        <x:v>hold record</x:v>
      </x:c>
      <x:c r="D2600" s="7" t="str">
        <x:v>RAE-E-04-HP-24</x:v>
      </x:c>
      <x:c r="E2600" s="7" t="str">
        <x:v>Hold Ledger!J126</x:v>
      </x:c>
      <x:c r="F2600" s="7" t="str">
        <x:f>'Hold Ledger'!J126</x:f>
        <x:v>OPEN</x:v>
      </x:c>
    </x:row>
    <x:row r="2601">
      <x:c r="B2601" s="7" t="str">
        <x:v>PHY-2595</x:v>
      </x:c>
      <x:c r="C2601" s="7" t="str">
        <x:v>hold record</x:v>
      </x:c>
      <x:c r="D2601" s="7" t="str">
        <x:v>RAE-E-04-HP-25</x:v>
      </x:c>
      <x:c r="E2601" s="7" t="str">
        <x:v>Hold Ledger!J127</x:v>
      </x:c>
      <x:c r="F2601" s="7" t="str">
        <x:f>'Hold Ledger'!J127</x:f>
        <x:v>OPEN</x:v>
      </x:c>
    </x:row>
    <x:row r="2602">
      <x:c r="B2602" s="7" t="str">
        <x:v>PHY-2596</x:v>
      </x:c>
      <x:c r="C2602" s="7" t="str">
        <x:v>hold record</x:v>
      </x:c>
      <x:c r="D2602" s="7" t="str">
        <x:v>RAE-E-04-HP-26</x:v>
      </x:c>
      <x:c r="E2602" s="7" t="str">
        <x:v>Hold Ledger!J128</x:v>
      </x:c>
      <x:c r="F2602" s="7" t="str">
        <x:f>'Hold Ledger'!J128</x:f>
        <x:v>OPEN</x:v>
      </x:c>
    </x:row>
    <x:row r="2603">
      <x:c r="B2603" s="7" t="str">
        <x:v>PHY-2597</x:v>
      </x:c>
      <x:c r="C2603" s="7" t="str">
        <x:v>hold record</x:v>
      </x:c>
      <x:c r="D2603" s="7" t="str">
        <x:v>RAE-E-04-HP-27</x:v>
      </x:c>
      <x:c r="E2603" s="7" t="str">
        <x:v>Hold Ledger!J129</x:v>
      </x:c>
      <x:c r="F2603" s="7" t="str">
        <x:f>'Hold Ledger'!J129</x:f>
        <x:v>OPEN</x:v>
      </x:c>
    </x:row>
    <x:row r="2604">
      <x:c r="B2604" s="7" t="str">
        <x:v>PHY-2598</x:v>
      </x:c>
      <x:c r="C2604" s="7" t="str">
        <x:v>hold record</x:v>
      </x:c>
      <x:c r="D2604" s="7" t="str">
        <x:v>RAE-E-04-HP-28</x:v>
      </x:c>
      <x:c r="E2604" s="7" t="str">
        <x:v>Hold Ledger!J130</x:v>
      </x:c>
      <x:c r="F2604" s="7" t="str">
        <x:f>'Hold Ledger'!J130</x:f>
        <x:v>OPEN</x:v>
      </x:c>
    </x:row>
    <x:row r="2605">
      <x:c r="B2605" s="7" t="str">
        <x:v>PHY-2599</x:v>
      </x:c>
      <x:c r="C2605" s="7" t="str">
        <x:v>hold record</x:v>
      </x:c>
      <x:c r="D2605" s="7" t="str">
        <x:v>RAE-E-04-HP-29</x:v>
      </x:c>
      <x:c r="E2605" s="7" t="str">
        <x:v>Hold Ledger!J131</x:v>
      </x:c>
      <x:c r="F2605" s="7" t="str">
        <x:f>'Hold Ledger'!J131</x:f>
        <x:v>OPEN</x:v>
      </x:c>
    </x:row>
    <x:row r="2606">
      <x:c r="B2606" s="7" t="str">
        <x:v>PHY-2600</x:v>
      </x:c>
      <x:c r="C2606" s="7" t="str">
        <x:v>hold record</x:v>
      </x:c>
      <x:c r="D2606" s="7" t="str">
        <x:v>RAE-E-04-HP-30</x:v>
      </x:c>
      <x:c r="E2606" s="7" t="str">
        <x:v>Hold Ledger!J132</x:v>
      </x:c>
      <x:c r="F2606" s="7" t="str">
        <x:f>'Hold Ledger'!J132</x:f>
        <x:v>OPEN</x:v>
      </x:c>
    </x:row>
    <x:row r="2607">
      <x:c r="B2607" s="7" t="str">
        <x:v>PHY-2601</x:v>
      </x:c>
      <x:c r="C2607" s="7" t="str">
        <x:v>hold record</x:v>
      </x:c>
      <x:c r="D2607" s="7" t="str">
        <x:v>RAE-E-04-HP-31</x:v>
      </x:c>
      <x:c r="E2607" s="7" t="str">
        <x:v>Hold Ledger!J133</x:v>
      </x:c>
      <x:c r="F2607" s="7" t="str">
        <x:f>'Hold Ledger'!J133</x:f>
        <x:v>OPEN</x:v>
      </x:c>
    </x:row>
    <x:row r="2608">
      <x:c r="B2608" s="7" t="str">
        <x:v>PHY-2602</x:v>
      </x:c>
      <x:c r="C2608" s="7" t="str">
        <x:v>hold record</x:v>
      </x:c>
      <x:c r="D2608" s="7" t="str">
        <x:v>RAE-E-04-HP-32</x:v>
      </x:c>
      <x:c r="E2608" s="7" t="str">
        <x:v>Hold Ledger!J134</x:v>
      </x:c>
      <x:c r="F2608" s="7" t="str">
        <x:f>'Hold Ledger'!J134</x:f>
        <x:v>OPEN</x:v>
      </x:c>
    </x:row>
    <x:row r="2609">
      <x:c r="B2609" s="7" t="str">
        <x:v>PHY-2603</x:v>
      </x:c>
      <x:c r="C2609" s="7" t="str">
        <x:v>hold record</x:v>
      </x:c>
      <x:c r="D2609" s="7" t="str">
        <x:v>RAE-E-05-HP-01</x:v>
      </x:c>
      <x:c r="E2609" s="7" t="str">
        <x:v>Hold Ledger!J135</x:v>
      </x:c>
      <x:c r="F2609" s="7" t="str">
        <x:f>'Hold Ledger'!J135</x:f>
        <x:v>OPEN</x:v>
      </x:c>
    </x:row>
    <x:row r="2610">
      <x:c r="B2610" s="7" t="str">
        <x:v>PHY-2604</x:v>
      </x:c>
      <x:c r="C2610" s="7" t="str">
        <x:v>hold record</x:v>
      </x:c>
      <x:c r="D2610" s="7" t="str">
        <x:v>RAE-E-05-HP-02</x:v>
      </x:c>
      <x:c r="E2610" s="7" t="str">
        <x:v>Hold Ledger!J136</x:v>
      </x:c>
      <x:c r="F2610" s="7" t="str">
        <x:f>'Hold Ledger'!J136</x:f>
        <x:v>OPEN</x:v>
      </x:c>
    </x:row>
    <x:row r="2611">
      <x:c r="B2611" s="7" t="str">
        <x:v>PHY-2605</x:v>
      </x:c>
      <x:c r="C2611" s="7" t="str">
        <x:v>hold record</x:v>
      </x:c>
      <x:c r="D2611" s="7" t="str">
        <x:v>RAE-E-05-HP-03</x:v>
      </x:c>
      <x:c r="E2611" s="7" t="str">
        <x:v>Hold Ledger!J137</x:v>
      </x:c>
      <x:c r="F2611" s="7" t="str">
        <x:f>'Hold Ledger'!J137</x:f>
        <x:v>OPEN</x:v>
      </x:c>
    </x:row>
    <x:row r="2612">
      <x:c r="B2612" s="7" t="str">
        <x:v>PHY-2606</x:v>
      </x:c>
      <x:c r="C2612" s="7" t="str">
        <x:v>hold record</x:v>
      </x:c>
      <x:c r="D2612" s="7" t="str">
        <x:v>RAE-E-05-HP-04</x:v>
      </x:c>
      <x:c r="E2612" s="7" t="str">
        <x:v>Hold Ledger!J138</x:v>
      </x:c>
      <x:c r="F2612" s="7" t="str">
        <x:f>'Hold Ledger'!J138</x:f>
        <x:v>OPEN</x:v>
      </x:c>
    </x:row>
    <x:row r="2613">
      <x:c r="B2613" s="7" t="str">
        <x:v>PHY-2607</x:v>
      </x:c>
      <x:c r="C2613" s="7" t="str">
        <x:v>hold record</x:v>
      </x:c>
      <x:c r="D2613" s="7" t="str">
        <x:v>RAE-E-05-HP-05</x:v>
      </x:c>
      <x:c r="E2613" s="7" t="str">
        <x:v>Hold Ledger!J139</x:v>
      </x:c>
      <x:c r="F2613" s="7" t="str">
        <x:f>'Hold Ledger'!J139</x:f>
        <x:v>OPEN</x:v>
      </x:c>
    </x:row>
    <x:row r="2614">
      <x:c r="B2614" s="7" t="str">
        <x:v>PHY-2608</x:v>
      </x:c>
      <x:c r="C2614" s="7" t="str">
        <x:v>hold record</x:v>
      </x:c>
      <x:c r="D2614" s="7" t="str">
        <x:v>RAE-E-05-HP-06</x:v>
      </x:c>
      <x:c r="E2614" s="7" t="str">
        <x:v>Hold Ledger!J140</x:v>
      </x:c>
      <x:c r="F2614" s="7" t="str">
        <x:f>'Hold Ledger'!J140</x:f>
        <x:v>OPEN</x:v>
      </x:c>
    </x:row>
    <x:row r="2615">
      <x:c r="B2615" s="7" t="str">
        <x:v>PHY-2609</x:v>
      </x:c>
      <x:c r="C2615" s="7" t="str">
        <x:v>hold record</x:v>
      </x:c>
      <x:c r="D2615" s="7" t="str">
        <x:v>RAE-E-05-HP-07</x:v>
      </x:c>
      <x:c r="E2615" s="7" t="str">
        <x:v>Hold Ledger!J141</x:v>
      </x:c>
      <x:c r="F2615" s="7" t="str">
        <x:f>'Hold Ledger'!J141</x:f>
        <x:v>OPEN</x:v>
      </x:c>
    </x:row>
    <x:row r="2616">
      <x:c r="B2616" s="7" t="str">
        <x:v>PHY-2610</x:v>
      </x:c>
      <x:c r="C2616" s="7" t="str">
        <x:v>hold record</x:v>
      </x:c>
      <x:c r="D2616" s="7" t="str">
        <x:v>RAE-E-05-HP-08</x:v>
      </x:c>
      <x:c r="E2616" s="7" t="str">
        <x:v>Hold Ledger!J142</x:v>
      </x:c>
      <x:c r="F2616" s="7" t="str">
        <x:f>'Hold Ledger'!J142</x:f>
        <x:v>OPEN</x:v>
      </x:c>
    </x:row>
    <x:row r="2617">
      <x:c r="B2617" s="7" t="str">
        <x:v>PHY-2611</x:v>
      </x:c>
      <x:c r="C2617" s="7" t="str">
        <x:v>hold record</x:v>
      </x:c>
      <x:c r="D2617" s="7" t="str">
        <x:v>RAE-E-05-HP-09</x:v>
      </x:c>
      <x:c r="E2617" s="7" t="str">
        <x:v>Hold Ledger!J143</x:v>
      </x:c>
      <x:c r="F2617" s="7" t="str">
        <x:f>'Hold Ledger'!J143</x:f>
        <x:v>OPEN</x:v>
      </x:c>
    </x:row>
    <x:row r="2618">
      <x:c r="B2618" s="7" t="str">
        <x:v>PHY-2612</x:v>
      </x:c>
      <x:c r="C2618" s="7" t="str">
        <x:v>hold record</x:v>
      </x:c>
      <x:c r="D2618" s="7" t="str">
        <x:v>RAE-E-05-HP-10</x:v>
      </x:c>
      <x:c r="E2618" s="7" t="str">
        <x:v>Hold Ledger!J144</x:v>
      </x:c>
      <x:c r="F2618" s="7" t="str">
        <x:f>'Hold Ledger'!J144</x:f>
        <x:v>OPEN</x:v>
      </x:c>
    </x:row>
    <x:row r="2619">
      <x:c r="B2619" s="7" t="str">
        <x:v>PHY-2613</x:v>
      </x:c>
      <x:c r="C2619" s="7" t="str">
        <x:v>hold record</x:v>
      </x:c>
      <x:c r="D2619" s="7" t="str">
        <x:v>RAE-E-05-HP-11</x:v>
      </x:c>
      <x:c r="E2619" s="7" t="str">
        <x:v>Hold Ledger!J145</x:v>
      </x:c>
      <x:c r="F2619" s="7" t="str">
        <x:f>'Hold Ledger'!J145</x:f>
        <x:v>OPEN</x:v>
      </x:c>
    </x:row>
    <x:row r="2620">
      <x:c r="B2620" s="7" t="str">
        <x:v>PHY-2614</x:v>
      </x:c>
      <x:c r="C2620" s="7" t="str">
        <x:v>hold record</x:v>
      </x:c>
      <x:c r="D2620" s="7" t="str">
        <x:v>RAE-E-05-HP-12</x:v>
      </x:c>
      <x:c r="E2620" s="7" t="str">
        <x:v>Hold Ledger!J146</x:v>
      </x:c>
      <x:c r="F2620" s="7" t="str">
        <x:f>'Hold Ledger'!J146</x:f>
        <x:v>OPEN</x:v>
      </x:c>
    </x:row>
    <x:row r="2621">
      <x:c r="B2621" s="7" t="str">
        <x:v>PHY-2615</x:v>
      </x:c>
      <x:c r="C2621" s="7" t="str">
        <x:v>hold record</x:v>
      </x:c>
      <x:c r="D2621" s="7" t="str">
        <x:v>RAE-E-05-HP-13</x:v>
      </x:c>
      <x:c r="E2621" s="7" t="str">
        <x:v>Hold Ledger!J147</x:v>
      </x:c>
      <x:c r="F2621" s="7" t="str">
        <x:f>'Hold Ledger'!J147</x:f>
        <x:v>OPEN</x:v>
      </x:c>
    </x:row>
    <x:row r="2622">
      <x:c r="B2622" s="7" t="str">
        <x:v>PHY-2616</x:v>
      </x:c>
      <x:c r="C2622" s="7" t="str">
        <x:v>hold record</x:v>
      </x:c>
      <x:c r="D2622" s="7" t="str">
        <x:v>RAE-E-05-HP-14</x:v>
      </x:c>
      <x:c r="E2622" s="7" t="str">
        <x:v>Hold Ledger!J148</x:v>
      </x:c>
      <x:c r="F2622" s="7" t="str">
        <x:f>'Hold Ledger'!J148</x:f>
        <x:v>OPEN</x:v>
      </x:c>
    </x:row>
    <x:row r="2623">
      <x:c r="B2623" s="7" t="str">
        <x:v>PHY-2617</x:v>
      </x:c>
      <x:c r="C2623" s="7" t="str">
        <x:v>hold record</x:v>
      </x:c>
      <x:c r="D2623" s="7" t="str">
        <x:v>RAE-E-05-HP-15</x:v>
      </x:c>
      <x:c r="E2623" s="7" t="str">
        <x:v>Hold Ledger!J149</x:v>
      </x:c>
      <x:c r="F2623" s="7" t="str">
        <x:f>'Hold Ledger'!J149</x:f>
        <x:v>OPEN</x:v>
      </x:c>
    </x:row>
    <x:row r="2624">
      <x:c r="B2624" s="7" t="str">
        <x:v>PHY-2618</x:v>
      </x:c>
      <x:c r="C2624" s="7" t="str">
        <x:v>hold record</x:v>
      </x:c>
      <x:c r="D2624" s="7" t="str">
        <x:v>RAE-E-05-HP-16</x:v>
      </x:c>
      <x:c r="E2624" s="7" t="str">
        <x:v>Hold Ledger!J150</x:v>
      </x:c>
      <x:c r="F2624" s="7" t="str">
        <x:f>'Hold Ledger'!J150</x:f>
        <x:v>OPEN</x:v>
      </x:c>
    </x:row>
    <x:row r="2625">
      <x:c r="B2625" s="7" t="str">
        <x:v>PHY-2619</x:v>
      </x:c>
      <x:c r="C2625" s="7" t="str">
        <x:v>hold record</x:v>
      </x:c>
      <x:c r="D2625" s="7" t="str">
        <x:v>RAE-E-05-HP-17</x:v>
      </x:c>
      <x:c r="E2625" s="7" t="str">
        <x:v>Hold Ledger!J151</x:v>
      </x:c>
      <x:c r="F2625" s="7" t="str">
        <x:f>'Hold Ledger'!J151</x:f>
        <x:v>OPEN</x:v>
      </x:c>
    </x:row>
    <x:row r="2626">
      <x:c r="B2626" s="7" t="str">
        <x:v>PHY-2620</x:v>
      </x:c>
      <x:c r="C2626" s="7" t="str">
        <x:v>hold record</x:v>
      </x:c>
      <x:c r="D2626" s="7" t="str">
        <x:v>RAE-E-05-HP-18</x:v>
      </x:c>
      <x:c r="E2626" s="7" t="str">
        <x:v>Hold Ledger!J152</x:v>
      </x:c>
      <x:c r="F2626" s="7" t="str">
        <x:f>'Hold Ledger'!J152</x:f>
        <x:v>OPEN</x:v>
      </x:c>
    </x:row>
    <x:row r="2627">
      <x:c r="B2627" s="7" t="str">
        <x:v>PHY-2621</x:v>
      </x:c>
      <x:c r="C2627" s="7" t="str">
        <x:v>hold record</x:v>
      </x:c>
      <x:c r="D2627" s="7" t="str">
        <x:v>RAE-E-05-HP-19</x:v>
      </x:c>
      <x:c r="E2627" s="7" t="str">
        <x:v>Hold Ledger!J153</x:v>
      </x:c>
      <x:c r="F2627" s="7" t="str">
        <x:f>'Hold Ledger'!J153</x:f>
        <x:v>OPEN</x:v>
      </x:c>
    </x:row>
    <x:row r="2628">
      <x:c r="B2628" s="7" t="str">
        <x:v>PHY-2622</x:v>
      </x:c>
      <x:c r="C2628" s="7" t="str">
        <x:v>hold record</x:v>
      </x:c>
      <x:c r="D2628" s="7" t="str">
        <x:v>RAE-E-05-HP-20</x:v>
      </x:c>
      <x:c r="E2628" s="7" t="str">
        <x:v>Hold Ledger!J154</x:v>
      </x:c>
      <x:c r="F2628" s="7" t="str">
        <x:f>'Hold Ledger'!J154</x:f>
        <x:v>OPEN</x:v>
      </x:c>
    </x:row>
    <x:row r="2629">
      <x:c r="B2629" s="7" t="str">
        <x:v>PHY-2623</x:v>
      </x:c>
      <x:c r="C2629" s="7" t="str">
        <x:v>hold record</x:v>
      </x:c>
      <x:c r="D2629" s="7" t="str">
        <x:v>RAE-E-05-HP-21</x:v>
      </x:c>
      <x:c r="E2629" s="7" t="str">
        <x:v>Hold Ledger!J155</x:v>
      </x:c>
      <x:c r="F2629" s="7" t="str">
        <x:f>'Hold Ledger'!J155</x:f>
        <x:v>OPEN</x:v>
      </x:c>
    </x:row>
    <x:row r="2630">
      <x:c r="B2630" s="7" t="str">
        <x:v>PHY-2624</x:v>
      </x:c>
      <x:c r="C2630" s="7" t="str">
        <x:v>hold record</x:v>
      </x:c>
      <x:c r="D2630" s="7" t="str">
        <x:v>RAE-E-05-HP-22</x:v>
      </x:c>
      <x:c r="E2630" s="7" t="str">
        <x:v>Hold Ledger!J156</x:v>
      </x:c>
      <x:c r="F2630" s="7" t="str">
        <x:f>'Hold Ledger'!J156</x:f>
        <x:v>OPEN</x:v>
      </x:c>
    </x:row>
    <x:row r="2631">
      <x:c r="B2631" s="7" t="str">
        <x:v>PHY-2625</x:v>
      </x:c>
      <x:c r="C2631" s="7" t="str">
        <x:v>hold record</x:v>
      </x:c>
      <x:c r="D2631" s="7" t="str">
        <x:v>RAE-E-05-HP-23</x:v>
      </x:c>
      <x:c r="E2631" s="7" t="str">
        <x:v>Hold Ledger!J157</x:v>
      </x:c>
      <x:c r="F2631" s="7" t="str">
        <x:f>'Hold Ledger'!J157</x:f>
        <x:v>OPEN</x:v>
      </x:c>
    </x:row>
    <x:row r="2632">
      <x:c r="B2632" s="7" t="str">
        <x:v>PHY-2626</x:v>
      </x:c>
      <x:c r="C2632" s="7" t="str">
        <x:v>hold record</x:v>
      </x:c>
      <x:c r="D2632" s="7" t="str">
        <x:v>RAE-E-05-HP-24</x:v>
      </x:c>
      <x:c r="E2632" s="7" t="str">
        <x:v>Hold Ledger!J158</x:v>
      </x:c>
      <x:c r="F2632" s="7" t="str">
        <x:f>'Hold Ledger'!J158</x:f>
        <x:v>OPEN</x:v>
      </x:c>
    </x:row>
    <x:row r="2633">
      <x:c r="B2633" s="7" t="str">
        <x:v>PHY-2627</x:v>
      </x:c>
      <x:c r="C2633" s="7" t="str">
        <x:v>hold record</x:v>
      </x:c>
      <x:c r="D2633" s="7" t="str">
        <x:v>RAE-E-05-HP-25</x:v>
      </x:c>
      <x:c r="E2633" s="7" t="str">
        <x:v>Hold Ledger!J159</x:v>
      </x:c>
      <x:c r="F2633" s="7" t="str">
        <x:f>'Hold Ledger'!J159</x:f>
        <x:v>OPEN</x:v>
      </x:c>
    </x:row>
    <x:row r="2634">
      <x:c r="B2634" s="7" t="str">
        <x:v>PHY-2628</x:v>
      </x:c>
      <x:c r="C2634" s="7" t="str">
        <x:v>hold record</x:v>
      </x:c>
      <x:c r="D2634" s="7" t="str">
        <x:v>RAE-E-05-HP-26</x:v>
      </x:c>
      <x:c r="E2634" s="7" t="str">
        <x:v>Hold Ledger!J160</x:v>
      </x:c>
      <x:c r="F2634" s="7" t="str">
        <x:f>'Hold Ledger'!J160</x:f>
        <x:v>OPEN</x:v>
      </x:c>
    </x:row>
    <x:row r="2635">
      <x:c r="B2635" s="7" t="str">
        <x:v>PHY-2629</x:v>
      </x:c>
      <x:c r="C2635" s="7" t="str">
        <x:v>hold record</x:v>
      </x:c>
      <x:c r="D2635" s="7" t="str">
        <x:v>RAE-E-05-HP-27</x:v>
      </x:c>
      <x:c r="E2635" s="7" t="str">
        <x:v>Hold Ledger!J161</x:v>
      </x:c>
      <x:c r="F2635" s="7" t="str">
        <x:f>'Hold Ledger'!J161</x:f>
        <x:v>OPEN</x:v>
      </x:c>
    </x:row>
    <x:row r="2636">
      <x:c r="B2636" s="7" t="str">
        <x:v>PHY-2630</x:v>
      </x:c>
      <x:c r="C2636" s="7" t="str">
        <x:v>hold record</x:v>
      </x:c>
      <x:c r="D2636" s="7" t="str">
        <x:v>RAE-E-05-HP-28</x:v>
      </x:c>
      <x:c r="E2636" s="7" t="str">
        <x:v>Hold Ledger!J162</x:v>
      </x:c>
      <x:c r="F2636" s="7" t="str">
        <x:f>'Hold Ledger'!J162</x:f>
        <x:v>OPEN</x:v>
      </x:c>
    </x:row>
    <x:row r="2637">
      <x:c r="B2637" s="7" t="str">
        <x:v>PHY-2631</x:v>
      </x:c>
      <x:c r="C2637" s="7" t="str">
        <x:v>hold record</x:v>
      </x:c>
      <x:c r="D2637" s="7" t="str">
        <x:v>RAE-E-05-HP-29</x:v>
      </x:c>
      <x:c r="E2637" s="7" t="str">
        <x:v>Hold Ledger!J163</x:v>
      </x:c>
      <x:c r="F2637" s="7" t="str">
        <x:f>'Hold Ledger'!J163</x:f>
        <x:v>OPEN</x:v>
      </x:c>
    </x:row>
    <x:row r="2638">
      <x:c r="B2638" s="7" t="str">
        <x:v>PHY-2632</x:v>
      </x:c>
      <x:c r="C2638" s="7" t="str">
        <x:v>hold record</x:v>
      </x:c>
      <x:c r="D2638" s="7" t="str">
        <x:v>RAE-E-05-HP-30</x:v>
      </x:c>
      <x:c r="E2638" s="7" t="str">
        <x:v>Hold Ledger!J164</x:v>
      </x:c>
      <x:c r="F2638" s="7" t="str">
        <x:f>'Hold Ledger'!J164</x:f>
        <x:v>OPEN</x:v>
      </x:c>
    </x:row>
    <x:row r="2639">
      <x:c r="B2639" s="7" t="str">
        <x:v>PHY-2633</x:v>
      </x:c>
      <x:c r="C2639" s="7" t="str">
        <x:v>hold record</x:v>
      </x:c>
      <x:c r="D2639" s="7" t="str">
        <x:v>RAE-E-05-HP-31</x:v>
      </x:c>
      <x:c r="E2639" s="7" t="str">
        <x:v>Hold Ledger!J165</x:v>
      </x:c>
      <x:c r="F2639" s="7" t="str">
        <x:f>'Hold Ledger'!J165</x:f>
        <x:v>OPEN</x:v>
      </x:c>
    </x:row>
    <x:row r="2640">
      <x:c r="B2640" s="7" t="str">
        <x:v>PHY-2634</x:v>
      </x:c>
      <x:c r="C2640" s="7" t="str">
        <x:v>hold record</x:v>
      </x:c>
      <x:c r="D2640" s="7" t="str">
        <x:v>RAE-E-05-HP-32</x:v>
      </x:c>
      <x:c r="E2640" s="7" t="str">
        <x:v>Hold Ledger!J166</x:v>
      </x:c>
      <x:c r="F2640" s="7" t="str">
        <x:f>'Hold Ledger'!J166</x:f>
        <x:v>OPEN</x:v>
      </x:c>
    </x:row>
    <x:row r="2641">
      <x:c r="B2641" s="7" t="str">
        <x:v>PHY-2635</x:v>
      </x:c>
      <x:c r="C2641" s="7" t="str">
        <x:v>hold record</x:v>
      </x:c>
      <x:c r="D2641" s="7" t="str">
        <x:v>RAE-E-06-HP-01</x:v>
      </x:c>
      <x:c r="E2641" s="7" t="str">
        <x:v>Hold Ledger!J167</x:v>
      </x:c>
      <x:c r="F2641" s="7" t="str">
        <x:f>'Hold Ledger'!J167</x:f>
        <x:v>OPEN</x:v>
      </x:c>
    </x:row>
    <x:row r="2642">
      <x:c r="B2642" s="7" t="str">
        <x:v>PHY-2636</x:v>
      </x:c>
      <x:c r="C2642" s="7" t="str">
        <x:v>hold record</x:v>
      </x:c>
      <x:c r="D2642" s="7" t="str">
        <x:v>RAE-E-06-HP-02</x:v>
      </x:c>
      <x:c r="E2642" s="7" t="str">
        <x:v>Hold Ledger!J168</x:v>
      </x:c>
      <x:c r="F2642" s="7" t="str">
        <x:f>'Hold Ledger'!J168</x:f>
        <x:v>OPEN</x:v>
      </x:c>
    </x:row>
    <x:row r="2643">
      <x:c r="B2643" s="7" t="str">
        <x:v>PHY-2637</x:v>
      </x:c>
      <x:c r="C2643" s="7" t="str">
        <x:v>hold record</x:v>
      </x:c>
      <x:c r="D2643" s="7" t="str">
        <x:v>RAE-E-06-HP-03</x:v>
      </x:c>
      <x:c r="E2643" s="7" t="str">
        <x:v>Hold Ledger!J169</x:v>
      </x:c>
      <x:c r="F2643" s="7" t="str">
        <x:f>'Hold Ledger'!J169</x:f>
        <x:v>OPEN</x:v>
      </x:c>
    </x:row>
    <x:row r="2644">
      <x:c r="B2644" s="7" t="str">
        <x:v>PHY-2638</x:v>
      </x:c>
      <x:c r="C2644" s="7" t="str">
        <x:v>hold record</x:v>
      </x:c>
      <x:c r="D2644" s="7" t="str">
        <x:v>RAE-E-06-HP-04</x:v>
      </x:c>
      <x:c r="E2644" s="7" t="str">
        <x:v>Hold Ledger!J170</x:v>
      </x:c>
      <x:c r="F2644" s="7" t="str">
        <x:f>'Hold Ledger'!J170</x:f>
        <x:v>OPEN</x:v>
      </x:c>
    </x:row>
    <x:row r="2645">
      <x:c r="B2645" s="7" t="str">
        <x:v>PHY-2639</x:v>
      </x:c>
      <x:c r="C2645" s="7" t="str">
        <x:v>hold record</x:v>
      </x:c>
      <x:c r="D2645" s="7" t="str">
        <x:v>RAE-E-06-HP-05</x:v>
      </x:c>
      <x:c r="E2645" s="7" t="str">
        <x:v>Hold Ledger!J171</x:v>
      </x:c>
      <x:c r="F2645" s="7" t="str">
        <x:f>'Hold Ledger'!J171</x:f>
        <x:v>OPEN</x:v>
      </x:c>
    </x:row>
    <x:row r="2646">
      <x:c r="B2646" s="7" t="str">
        <x:v>PHY-2640</x:v>
      </x:c>
      <x:c r="C2646" s="7" t="str">
        <x:v>hold record</x:v>
      </x:c>
      <x:c r="D2646" s="7" t="str">
        <x:v>RAE-E-06-HP-06</x:v>
      </x:c>
      <x:c r="E2646" s="7" t="str">
        <x:v>Hold Ledger!J172</x:v>
      </x:c>
      <x:c r="F2646" s="7" t="str">
        <x:f>'Hold Ledger'!J172</x:f>
        <x:v>OPEN</x:v>
      </x:c>
    </x:row>
    <x:row r="2647">
      <x:c r="B2647" s="7" t="str">
        <x:v>PHY-2641</x:v>
      </x:c>
      <x:c r="C2647" s="7" t="str">
        <x:v>hold record</x:v>
      </x:c>
      <x:c r="D2647" s="7" t="str">
        <x:v>RAE-E-06-HP-07</x:v>
      </x:c>
      <x:c r="E2647" s="7" t="str">
        <x:v>Hold Ledger!J173</x:v>
      </x:c>
      <x:c r="F2647" s="7" t="str">
        <x:f>'Hold Ledger'!J173</x:f>
        <x:v>OPEN</x:v>
      </x:c>
    </x:row>
    <x:row r="2648">
      <x:c r="B2648" s="7" t="str">
        <x:v>PHY-2642</x:v>
      </x:c>
      <x:c r="C2648" s="7" t="str">
        <x:v>hold record</x:v>
      </x:c>
      <x:c r="D2648" s="7" t="str">
        <x:v>RAE-E-06-HP-08</x:v>
      </x:c>
      <x:c r="E2648" s="7" t="str">
        <x:v>Hold Ledger!J174</x:v>
      </x:c>
      <x:c r="F2648" s="7" t="str">
        <x:f>'Hold Ledger'!J174</x:f>
        <x:v>OPEN</x:v>
      </x:c>
    </x:row>
    <x:row r="2649">
      <x:c r="B2649" s="7" t="str">
        <x:v>PHY-2643</x:v>
      </x:c>
      <x:c r="C2649" s="7" t="str">
        <x:v>hold record</x:v>
      </x:c>
      <x:c r="D2649" s="7" t="str">
        <x:v>RAE-E-06-HP-09</x:v>
      </x:c>
      <x:c r="E2649" s="7" t="str">
        <x:v>Hold Ledger!J175</x:v>
      </x:c>
      <x:c r="F2649" s="7" t="str">
        <x:f>'Hold Ledger'!J175</x:f>
        <x:v>OPEN</x:v>
      </x:c>
    </x:row>
    <x:row r="2650">
      <x:c r="B2650" s="7" t="str">
        <x:v>PHY-2644</x:v>
      </x:c>
      <x:c r="C2650" s="7" t="str">
        <x:v>hold record</x:v>
      </x:c>
      <x:c r="D2650" s="7" t="str">
        <x:v>RAE-E-06-HP-10</x:v>
      </x:c>
      <x:c r="E2650" s="7" t="str">
        <x:v>Hold Ledger!J176</x:v>
      </x:c>
      <x:c r="F2650" s="7" t="str">
        <x:f>'Hold Ledger'!J176</x:f>
        <x:v>OPEN</x:v>
      </x:c>
    </x:row>
    <x:row r="2651">
      <x:c r="B2651" s="7" t="str">
        <x:v>PHY-2645</x:v>
      </x:c>
      <x:c r="C2651" s="7" t="str">
        <x:v>hold record</x:v>
      </x:c>
      <x:c r="D2651" s="7" t="str">
        <x:v>RAE-E-06-HP-11</x:v>
      </x:c>
      <x:c r="E2651" s="7" t="str">
        <x:v>Hold Ledger!J177</x:v>
      </x:c>
      <x:c r="F2651" s="7" t="str">
        <x:f>'Hold Ledger'!J177</x:f>
        <x:v>OPEN</x:v>
      </x:c>
    </x:row>
    <x:row r="2652">
      <x:c r="B2652" s="7" t="str">
        <x:v>PHY-2646</x:v>
      </x:c>
      <x:c r="C2652" s="7" t="str">
        <x:v>hold record</x:v>
      </x:c>
      <x:c r="D2652" s="7" t="str">
        <x:v>RAE-E-06-HP-12</x:v>
      </x:c>
      <x:c r="E2652" s="7" t="str">
        <x:v>Hold Ledger!J178</x:v>
      </x:c>
      <x:c r="F2652" s="7" t="str">
        <x:f>'Hold Ledger'!J178</x:f>
        <x:v>OPEN</x:v>
      </x:c>
    </x:row>
    <x:row r="2653">
      <x:c r="B2653" s="7" t="str">
        <x:v>PHY-2647</x:v>
      </x:c>
      <x:c r="C2653" s="7" t="str">
        <x:v>hold record</x:v>
      </x:c>
      <x:c r="D2653" s="7" t="str">
        <x:v>RAE-E-06-HP-13</x:v>
      </x:c>
      <x:c r="E2653" s="7" t="str">
        <x:v>Hold Ledger!J179</x:v>
      </x:c>
      <x:c r="F2653" s="7" t="str">
        <x:f>'Hold Ledger'!J179</x:f>
        <x:v>OPEN</x:v>
      </x:c>
    </x:row>
    <x:row r="2654">
      <x:c r="B2654" s="7" t="str">
        <x:v>PHY-2648</x:v>
      </x:c>
      <x:c r="C2654" s="7" t="str">
        <x:v>hold record</x:v>
      </x:c>
      <x:c r="D2654" s="7" t="str">
        <x:v>RAE-E-06-HP-14</x:v>
      </x:c>
      <x:c r="E2654" s="7" t="str">
        <x:v>Hold Ledger!J180</x:v>
      </x:c>
      <x:c r="F2654" s="7" t="str">
        <x:f>'Hold Ledger'!J180</x:f>
        <x:v>OPEN</x:v>
      </x:c>
    </x:row>
    <x:row r="2655">
      <x:c r="B2655" s="7" t="str">
        <x:v>PHY-2649</x:v>
      </x:c>
      <x:c r="C2655" s="7" t="str">
        <x:v>hold record</x:v>
      </x:c>
      <x:c r="D2655" s="7" t="str">
        <x:v>RAE-E-06-HP-15</x:v>
      </x:c>
      <x:c r="E2655" s="7" t="str">
        <x:v>Hold Ledger!J181</x:v>
      </x:c>
      <x:c r="F2655" s="7" t="str">
        <x:f>'Hold Ledger'!J181</x:f>
        <x:v>OPEN</x:v>
      </x:c>
    </x:row>
    <x:row r="2656">
      <x:c r="B2656" s="7" t="str">
        <x:v>PHY-2650</x:v>
      </x:c>
      <x:c r="C2656" s="7" t="str">
        <x:v>hold record</x:v>
      </x:c>
      <x:c r="D2656" s="7" t="str">
        <x:v>RAE-E-06-HP-16</x:v>
      </x:c>
      <x:c r="E2656" s="7" t="str">
        <x:v>Hold Ledger!J182</x:v>
      </x:c>
      <x:c r="F2656" s="7" t="str">
        <x:f>'Hold Ledger'!J182</x:f>
        <x:v>OPEN</x:v>
      </x:c>
    </x:row>
    <x:row r="2657">
      <x:c r="B2657" s="7" t="str">
        <x:v>PHY-2651</x:v>
      </x:c>
      <x:c r="C2657" s="7" t="str">
        <x:v>hold record</x:v>
      </x:c>
      <x:c r="D2657" s="7" t="str">
        <x:v>RAE-E-06-HP-17</x:v>
      </x:c>
      <x:c r="E2657" s="7" t="str">
        <x:v>Hold Ledger!J183</x:v>
      </x:c>
      <x:c r="F2657" s="7" t="str">
        <x:f>'Hold Ledger'!J183</x:f>
        <x:v>OPEN</x:v>
      </x:c>
    </x:row>
    <x:row r="2658">
      <x:c r="B2658" s="7" t="str">
        <x:v>PHY-2652</x:v>
      </x:c>
      <x:c r="C2658" s="7" t="str">
        <x:v>hold record</x:v>
      </x:c>
      <x:c r="D2658" s="7" t="str">
        <x:v>RAE-E-06-HP-18</x:v>
      </x:c>
      <x:c r="E2658" s="7" t="str">
        <x:v>Hold Ledger!J184</x:v>
      </x:c>
      <x:c r="F2658" s="7" t="str">
        <x:f>'Hold Ledger'!J184</x:f>
        <x:v>OPEN</x:v>
      </x:c>
    </x:row>
    <x:row r="2659">
      <x:c r="B2659" s="7" t="str">
        <x:v>PHY-2653</x:v>
      </x:c>
      <x:c r="C2659" s="7" t="str">
        <x:v>hold record</x:v>
      </x:c>
      <x:c r="D2659" s="7" t="str">
        <x:v>RAE-E-06-HP-19</x:v>
      </x:c>
      <x:c r="E2659" s="7" t="str">
        <x:v>Hold Ledger!J185</x:v>
      </x:c>
      <x:c r="F2659" s="7" t="str">
        <x:f>'Hold Ledger'!J185</x:f>
        <x:v>OPEN</x:v>
      </x:c>
    </x:row>
    <x:row r="2660">
      <x:c r="B2660" s="7" t="str">
        <x:v>PHY-2654</x:v>
      </x:c>
      <x:c r="C2660" s="7" t="str">
        <x:v>hold record</x:v>
      </x:c>
      <x:c r="D2660" s="7" t="str">
        <x:v>RAE-E-06-HP-20</x:v>
      </x:c>
      <x:c r="E2660" s="7" t="str">
        <x:v>Hold Ledger!J186</x:v>
      </x:c>
      <x:c r="F2660" s="7" t="str">
        <x:f>'Hold Ledger'!J186</x:f>
        <x:v>OPEN</x:v>
      </x:c>
    </x:row>
    <x:row r="2661">
      <x:c r="B2661" s="7" t="str">
        <x:v>PHY-2655</x:v>
      </x:c>
      <x:c r="C2661" s="7" t="str">
        <x:v>hold record</x:v>
      </x:c>
      <x:c r="D2661" s="7" t="str">
        <x:v>RAE-E-06-HP-21</x:v>
      </x:c>
      <x:c r="E2661" s="7" t="str">
        <x:v>Hold Ledger!J187</x:v>
      </x:c>
      <x:c r="F2661" s="7" t="str">
        <x:f>'Hold Ledger'!J187</x:f>
        <x:v>OPEN</x:v>
      </x:c>
    </x:row>
    <x:row r="2662">
      <x:c r="B2662" s="7" t="str">
        <x:v>PHY-2656</x:v>
      </x:c>
      <x:c r="C2662" s="7" t="str">
        <x:v>hold record</x:v>
      </x:c>
      <x:c r="D2662" s="7" t="str">
        <x:v>RAE-E-06-HP-22</x:v>
      </x:c>
      <x:c r="E2662" s="7" t="str">
        <x:v>Hold Ledger!J188</x:v>
      </x:c>
      <x:c r="F2662" s="7" t="str">
        <x:f>'Hold Ledger'!J188</x:f>
        <x:v>OPEN</x:v>
      </x:c>
    </x:row>
    <x:row r="2663">
      <x:c r="B2663" s="7" t="str">
        <x:v>PHY-2657</x:v>
      </x:c>
      <x:c r="C2663" s="7" t="str">
        <x:v>hold record</x:v>
      </x:c>
      <x:c r="D2663" s="7" t="str">
        <x:v>RAE-E-06-HP-23</x:v>
      </x:c>
      <x:c r="E2663" s="7" t="str">
        <x:v>Hold Ledger!J189</x:v>
      </x:c>
      <x:c r="F2663" s="7" t="str">
        <x:f>'Hold Ledger'!J189</x:f>
        <x:v>OPEN</x:v>
      </x:c>
    </x:row>
    <x:row r="2664">
      <x:c r="B2664" s="7" t="str">
        <x:v>PHY-2658</x:v>
      </x:c>
      <x:c r="C2664" s="7" t="str">
        <x:v>hold record</x:v>
      </x:c>
      <x:c r="D2664" s="7" t="str">
        <x:v>RAE-E-06-HP-24</x:v>
      </x:c>
      <x:c r="E2664" s="7" t="str">
        <x:v>Hold Ledger!J190</x:v>
      </x:c>
      <x:c r="F2664" s="7" t="str">
        <x:f>'Hold Ledger'!J190</x:f>
        <x:v>OPEN</x:v>
      </x:c>
    </x:row>
    <x:row r="2665">
      <x:c r="B2665" s="7" t="str">
        <x:v>PHY-2659</x:v>
      </x:c>
      <x:c r="C2665" s="7" t="str">
        <x:v>hold record</x:v>
      </x:c>
      <x:c r="D2665" s="7" t="str">
        <x:v>RAE-E-06-HP-25</x:v>
      </x:c>
      <x:c r="E2665" s="7" t="str">
        <x:v>Hold Ledger!J191</x:v>
      </x:c>
      <x:c r="F2665" s="7" t="str">
        <x:f>'Hold Ledger'!J191</x:f>
        <x:v>OPEN</x:v>
      </x:c>
    </x:row>
    <x:row r="2666">
      <x:c r="B2666" s="7" t="str">
        <x:v>PHY-2660</x:v>
      </x:c>
      <x:c r="C2666" s="7" t="str">
        <x:v>hold record</x:v>
      </x:c>
      <x:c r="D2666" s="7" t="str">
        <x:v>RAE-E-06-HP-26</x:v>
      </x:c>
      <x:c r="E2666" s="7" t="str">
        <x:v>Hold Ledger!J192</x:v>
      </x:c>
      <x:c r="F2666" s="7" t="str">
        <x:f>'Hold Ledger'!J192</x:f>
        <x:v>OPEN</x:v>
      </x:c>
    </x:row>
    <x:row r="2667">
      <x:c r="B2667" s="7" t="str">
        <x:v>PHY-2661</x:v>
      </x:c>
      <x:c r="C2667" s="7" t="str">
        <x:v>hold record</x:v>
      </x:c>
      <x:c r="D2667" s="7" t="str">
        <x:v>RAE-E-06-HP-27</x:v>
      </x:c>
      <x:c r="E2667" s="7" t="str">
        <x:v>Hold Ledger!J193</x:v>
      </x:c>
      <x:c r="F2667" s="7" t="str">
        <x:f>'Hold Ledger'!J193</x:f>
        <x:v>OPEN</x:v>
      </x:c>
    </x:row>
    <x:row r="2668">
      <x:c r="B2668" s="7" t="str">
        <x:v>PHY-2662</x:v>
      </x:c>
      <x:c r="C2668" s="7" t="str">
        <x:v>hold record</x:v>
      </x:c>
      <x:c r="D2668" s="7" t="str">
        <x:v>RAE-E-06-HP-28</x:v>
      </x:c>
      <x:c r="E2668" s="7" t="str">
        <x:v>Hold Ledger!J194</x:v>
      </x:c>
      <x:c r="F2668" s="7" t="str">
        <x:f>'Hold Ledger'!J194</x:f>
        <x:v>OPEN</x:v>
      </x:c>
    </x:row>
    <x:row r="2669">
      <x:c r="B2669" s="7" t="str">
        <x:v>PHY-2663</x:v>
      </x:c>
      <x:c r="C2669" s="7" t="str">
        <x:v>hold record</x:v>
      </x:c>
      <x:c r="D2669" s="7" t="str">
        <x:v>RAE-E-06-HP-29</x:v>
      </x:c>
      <x:c r="E2669" s="7" t="str">
        <x:v>Hold Ledger!J195</x:v>
      </x:c>
      <x:c r="F2669" s="7" t="str">
        <x:f>'Hold Ledger'!J195</x:f>
        <x:v>OPEN</x:v>
      </x:c>
    </x:row>
    <x:row r="2670">
      <x:c r="B2670" s="7" t="str">
        <x:v>PHY-2664</x:v>
      </x:c>
      <x:c r="C2670" s="7" t="str">
        <x:v>hold record</x:v>
      </x:c>
      <x:c r="D2670" s="7" t="str">
        <x:v>RAE-E-06-HP-30</x:v>
      </x:c>
      <x:c r="E2670" s="7" t="str">
        <x:v>Hold Ledger!J196</x:v>
      </x:c>
      <x:c r="F2670" s="7" t="str">
        <x:f>'Hold Ledger'!J196</x:f>
        <x:v>OPEN</x:v>
      </x:c>
    </x:row>
    <x:row r="2671">
      <x:c r="B2671" s="7" t="str">
        <x:v>PHY-2665</x:v>
      </x:c>
      <x:c r="C2671" s="7" t="str">
        <x:v>hold record</x:v>
      </x:c>
      <x:c r="D2671" s="7" t="str">
        <x:v>RAE-E-06-HP-31</x:v>
      </x:c>
      <x:c r="E2671" s="7" t="str">
        <x:v>Hold Ledger!J197</x:v>
      </x:c>
      <x:c r="F2671" s="7" t="str">
        <x:f>'Hold Ledger'!J197</x:f>
        <x:v>OPEN</x:v>
      </x:c>
    </x:row>
    <x:row r="2672">
      <x:c r="B2672" s="7" t="str">
        <x:v>PHY-2666</x:v>
      </x:c>
      <x:c r="C2672" s="7" t="str">
        <x:v>hold record</x:v>
      </x:c>
      <x:c r="D2672" s="7" t="str">
        <x:v>RAE-E-06-HP-32</x:v>
      </x:c>
      <x:c r="E2672" s="7" t="str">
        <x:v>Hold Ledger!J198</x:v>
      </x:c>
      <x:c r="F2672" s="7" t="str">
        <x:f>'Hold Ledger'!J198</x:f>
        <x:v>OPEN</x:v>
      </x:c>
    </x:row>
    <x:row r="2673">
      <x:c r="B2673" s="7" t="str">
        <x:v>PHY-2667</x:v>
      </x:c>
      <x:c r="C2673" s="7" t="str">
        <x:v>hold record</x:v>
      </x:c>
      <x:c r="D2673" s="7" t="str">
        <x:v>RAE-E-07-HP-01</x:v>
      </x:c>
      <x:c r="E2673" s="7" t="str">
        <x:v>Hold Ledger!J199</x:v>
      </x:c>
      <x:c r="F2673" s="7" t="str">
        <x:f>'Hold Ledger'!J199</x:f>
        <x:v>OPEN</x:v>
      </x:c>
    </x:row>
    <x:row r="2674">
      <x:c r="B2674" s="7" t="str">
        <x:v>PHY-2668</x:v>
      </x:c>
      <x:c r="C2674" s="7" t="str">
        <x:v>hold record</x:v>
      </x:c>
      <x:c r="D2674" s="7" t="str">
        <x:v>RAE-E-07-HP-02</x:v>
      </x:c>
      <x:c r="E2674" s="7" t="str">
        <x:v>Hold Ledger!J200</x:v>
      </x:c>
      <x:c r="F2674" s="7" t="str">
        <x:f>'Hold Ledger'!J200</x:f>
        <x:v>OPEN</x:v>
      </x:c>
    </x:row>
    <x:row r="2675">
      <x:c r="B2675" s="7" t="str">
        <x:v>PHY-2669</x:v>
      </x:c>
      <x:c r="C2675" s="7" t="str">
        <x:v>hold record</x:v>
      </x:c>
      <x:c r="D2675" s="7" t="str">
        <x:v>RAE-E-07-HP-03</x:v>
      </x:c>
      <x:c r="E2675" s="7" t="str">
        <x:v>Hold Ledger!J201</x:v>
      </x:c>
      <x:c r="F2675" s="7" t="str">
        <x:f>'Hold Ledger'!J201</x:f>
        <x:v>OPEN</x:v>
      </x:c>
    </x:row>
    <x:row r="2676">
      <x:c r="B2676" s="7" t="str">
        <x:v>PHY-2670</x:v>
      </x:c>
      <x:c r="C2676" s="7" t="str">
        <x:v>hold record</x:v>
      </x:c>
      <x:c r="D2676" s="7" t="str">
        <x:v>RAE-E-07-HP-04</x:v>
      </x:c>
      <x:c r="E2676" s="7" t="str">
        <x:v>Hold Ledger!J202</x:v>
      </x:c>
      <x:c r="F2676" s="7" t="str">
        <x:f>'Hold Ledger'!J202</x:f>
        <x:v>OPEN</x:v>
      </x:c>
    </x:row>
    <x:row r="2677">
      <x:c r="B2677" s="7" t="str">
        <x:v>PHY-2671</x:v>
      </x:c>
      <x:c r="C2677" s="7" t="str">
        <x:v>hold record</x:v>
      </x:c>
      <x:c r="D2677" s="7" t="str">
        <x:v>RAE-E-07-HP-05</x:v>
      </x:c>
      <x:c r="E2677" s="7" t="str">
        <x:v>Hold Ledger!J203</x:v>
      </x:c>
      <x:c r="F2677" s="7" t="str">
        <x:f>'Hold Ledger'!J203</x:f>
        <x:v>OPEN</x:v>
      </x:c>
    </x:row>
    <x:row r="2678">
      <x:c r="B2678" s="7" t="str">
        <x:v>PHY-2672</x:v>
      </x:c>
      <x:c r="C2678" s="7" t="str">
        <x:v>hold record</x:v>
      </x:c>
      <x:c r="D2678" s="7" t="str">
        <x:v>RAE-E-07-HP-06</x:v>
      </x:c>
      <x:c r="E2678" s="7" t="str">
        <x:v>Hold Ledger!J204</x:v>
      </x:c>
      <x:c r="F2678" s="7" t="str">
        <x:f>'Hold Ledger'!J204</x:f>
        <x:v>OPEN</x:v>
      </x:c>
    </x:row>
    <x:row r="2679">
      <x:c r="B2679" s="7" t="str">
        <x:v>PHY-2673</x:v>
      </x:c>
      <x:c r="C2679" s="7" t="str">
        <x:v>hold record</x:v>
      </x:c>
      <x:c r="D2679" s="7" t="str">
        <x:v>RAE-E-07-HP-07</x:v>
      </x:c>
      <x:c r="E2679" s="7" t="str">
        <x:v>Hold Ledger!J205</x:v>
      </x:c>
      <x:c r="F2679" s="7" t="str">
        <x:f>'Hold Ledger'!J205</x:f>
        <x:v>OPEN</x:v>
      </x:c>
    </x:row>
    <x:row r="2680">
      <x:c r="B2680" s="7" t="str">
        <x:v>PHY-2674</x:v>
      </x:c>
      <x:c r="C2680" s="7" t="str">
        <x:v>hold record</x:v>
      </x:c>
      <x:c r="D2680" s="7" t="str">
        <x:v>RAE-E-07-HP-08</x:v>
      </x:c>
      <x:c r="E2680" s="7" t="str">
        <x:v>Hold Ledger!J206</x:v>
      </x:c>
      <x:c r="F2680" s="7" t="str">
        <x:f>'Hold Ledger'!J206</x:f>
        <x:v>OPEN</x:v>
      </x:c>
    </x:row>
    <x:row r="2681">
      <x:c r="B2681" s="7" t="str">
        <x:v>PHY-2675</x:v>
      </x:c>
      <x:c r="C2681" s="7" t="str">
        <x:v>hold record</x:v>
      </x:c>
      <x:c r="D2681" s="7" t="str">
        <x:v>RAE-E-07-HP-09</x:v>
      </x:c>
      <x:c r="E2681" s="7" t="str">
        <x:v>Hold Ledger!J207</x:v>
      </x:c>
      <x:c r="F2681" s="7" t="str">
        <x:f>'Hold Ledger'!J207</x:f>
        <x:v>OPEN</x:v>
      </x:c>
    </x:row>
    <x:row r="2682">
      <x:c r="B2682" s="7" t="str">
        <x:v>PHY-2676</x:v>
      </x:c>
      <x:c r="C2682" s="7" t="str">
        <x:v>hold record</x:v>
      </x:c>
      <x:c r="D2682" s="7" t="str">
        <x:v>RAE-E-07-HP-10</x:v>
      </x:c>
      <x:c r="E2682" s="7" t="str">
        <x:v>Hold Ledger!J208</x:v>
      </x:c>
      <x:c r="F2682" s="7" t="str">
        <x:f>'Hold Ledger'!J208</x:f>
        <x:v>OPEN</x:v>
      </x:c>
    </x:row>
    <x:row r="2683">
      <x:c r="B2683" s="7" t="str">
        <x:v>PHY-2677</x:v>
      </x:c>
      <x:c r="C2683" s="7" t="str">
        <x:v>hold record</x:v>
      </x:c>
      <x:c r="D2683" s="7" t="str">
        <x:v>RAE-E-07-HP-11</x:v>
      </x:c>
      <x:c r="E2683" s="7" t="str">
        <x:v>Hold Ledger!J209</x:v>
      </x:c>
      <x:c r="F2683" s="7" t="str">
        <x:f>'Hold Ledger'!J209</x:f>
        <x:v>OPEN</x:v>
      </x:c>
    </x:row>
    <x:row r="2684">
      <x:c r="B2684" s="7" t="str">
        <x:v>PHY-2678</x:v>
      </x:c>
      <x:c r="C2684" s="7" t="str">
        <x:v>hold record</x:v>
      </x:c>
      <x:c r="D2684" s="7" t="str">
        <x:v>RAE-E-07-HP-12</x:v>
      </x:c>
      <x:c r="E2684" s="7" t="str">
        <x:v>Hold Ledger!J210</x:v>
      </x:c>
      <x:c r="F2684" s="7" t="str">
        <x:f>'Hold Ledger'!J210</x:f>
        <x:v>OPEN</x:v>
      </x:c>
    </x:row>
    <x:row r="2685">
      <x:c r="B2685" s="7" t="str">
        <x:v>PHY-2679</x:v>
      </x:c>
      <x:c r="C2685" s="7" t="str">
        <x:v>hold record</x:v>
      </x:c>
      <x:c r="D2685" s="7" t="str">
        <x:v>RAE-E-07-HP-13</x:v>
      </x:c>
      <x:c r="E2685" s="7" t="str">
        <x:v>Hold Ledger!J211</x:v>
      </x:c>
      <x:c r="F2685" s="7" t="str">
        <x:f>'Hold Ledger'!J211</x:f>
        <x:v>OPEN</x:v>
      </x:c>
    </x:row>
    <x:row r="2686">
      <x:c r="B2686" s="7" t="str">
        <x:v>PHY-2680</x:v>
      </x:c>
      <x:c r="C2686" s="7" t="str">
        <x:v>hold record</x:v>
      </x:c>
      <x:c r="D2686" s="7" t="str">
        <x:v>RAE-E-07-HP-14</x:v>
      </x:c>
      <x:c r="E2686" s="7" t="str">
        <x:v>Hold Ledger!J212</x:v>
      </x:c>
      <x:c r="F2686" s="7" t="str">
        <x:f>'Hold Ledger'!J212</x:f>
        <x:v>OPEN</x:v>
      </x:c>
    </x:row>
    <x:row r="2687">
      <x:c r="B2687" s="7" t="str">
        <x:v>PHY-2681</x:v>
      </x:c>
      <x:c r="C2687" s="7" t="str">
        <x:v>hold record</x:v>
      </x:c>
      <x:c r="D2687" s="7" t="str">
        <x:v>RAE-E-07-HP-15</x:v>
      </x:c>
      <x:c r="E2687" s="7" t="str">
        <x:v>Hold Ledger!J213</x:v>
      </x:c>
      <x:c r="F2687" s="7" t="str">
        <x:f>'Hold Ledger'!J213</x:f>
        <x:v>OPEN</x:v>
      </x:c>
    </x:row>
    <x:row r="2688">
      <x:c r="B2688" s="7" t="str">
        <x:v>PHY-2682</x:v>
      </x:c>
      <x:c r="C2688" s="7" t="str">
        <x:v>hold record</x:v>
      </x:c>
      <x:c r="D2688" s="7" t="str">
        <x:v>RAE-E-07-HP-16</x:v>
      </x:c>
      <x:c r="E2688" s="7" t="str">
        <x:v>Hold Ledger!J214</x:v>
      </x:c>
      <x:c r="F2688" s="7" t="str">
        <x:f>'Hold Ledger'!J214</x:f>
        <x:v>OPEN</x:v>
      </x:c>
    </x:row>
    <x:row r="2689">
      <x:c r="B2689" s="7" t="str">
        <x:v>PHY-2683</x:v>
      </x:c>
      <x:c r="C2689" s="7" t="str">
        <x:v>hold record</x:v>
      </x:c>
      <x:c r="D2689" s="7" t="str">
        <x:v>RAE-E-07-HP-17</x:v>
      </x:c>
      <x:c r="E2689" s="7" t="str">
        <x:v>Hold Ledger!J215</x:v>
      </x:c>
      <x:c r="F2689" s="7" t="str">
        <x:f>'Hold Ledger'!J215</x:f>
        <x:v>OPEN</x:v>
      </x:c>
    </x:row>
    <x:row r="2690">
      <x:c r="B2690" s="7" t="str">
        <x:v>PHY-2684</x:v>
      </x:c>
      <x:c r="C2690" s="7" t="str">
        <x:v>hold record</x:v>
      </x:c>
      <x:c r="D2690" s="7" t="str">
        <x:v>RAE-E-07-HP-18</x:v>
      </x:c>
      <x:c r="E2690" s="7" t="str">
        <x:v>Hold Ledger!J216</x:v>
      </x:c>
      <x:c r="F2690" s="7" t="str">
        <x:f>'Hold Ledger'!J216</x:f>
        <x:v>OPEN</x:v>
      </x:c>
    </x:row>
    <x:row r="2691">
      <x:c r="B2691" s="7" t="str">
        <x:v>PHY-2685</x:v>
      </x:c>
      <x:c r="C2691" s="7" t="str">
        <x:v>hold record</x:v>
      </x:c>
      <x:c r="D2691" s="7" t="str">
        <x:v>RAE-E-07-HP-19</x:v>
      </x:c>
      <x:c r="E2691" s="7" t="str">
        <x:v>Hold Ledger!J217</x:v>
      </x:c>
      <x:c r="F2691" s="7" t="str">
        <x:f>'Hold Ledger'!J217</x:f>
        <x:v>OPEN</x:v>
      </x:c>
    </x:row>
    <x:row r="2692">
      <x:c r="B2692" s="7" t="str">
        <x:v>PHY-2686</x:v>
      </x:c>
      <x:c r="C2692" s="7" t="str">
        <x:v>hold record</x:v>
      </x:c>
      <x:c r="D2692" s="7" t="str">
        <x:v>RAE-E-07-HP-20</x:v>
      </x:c>
      <x:c r="E2692" s="7" t="str">
        <x:v>Hold Ledger!J218</x:v>
      </x:c>
      <x:c r="F2692" s="7" t="str">
        <x:f>'Hold Ledger'!J218</x:f>
        <x:v>OPEN</x:v>
      </x:c>
    </x:row>
    <x:row r="2693">
      <x:c r="B2693" s="7" t="str">
        <x:v>PHY-2687</x:v>
      </x:c>
      <x:c r="C2693" s="7" t="str">
        <x:v>hold record</x:v>
      </x:c>
      <x:c r="D2693" s="7" t="str">
        <x:v>RAE-E-07-HP-21</x:v>
      </x:c>
      <x:c r="E2693" s="7" t="str">
        <x:v>Hold Ledger!J219</x:v>
      </x:c>
      <x:c r="F2693" s="7" t="str">
        <x:f>'Hold Ledger'!J219</x:f>
        <x:v>OPEN</x:v>
      </x:c>
    </x:row>
    <x:row r="2694">
      <x:c r="B2694" s="7" t="str">
        <x:v>PHY-2688</x:v>
      </x:c>
      <x:c r="C2694" s="7" t="str">
        <x:v>hold record</x:v>
      </x:c>
      <x:c r="D2694" s="7" t="str">
        <x:v>RAE-E-07-HP-22</x:v>
      </x:c>
      <x:c r="E2694" s="7" t="str">
        <x:v>Hold Ledger!J220</x:v>
      </x:c>
      <x:c r="F2694" s="7" t="str">
        <x:f>'Hold Ledger'!J220</x:f>
        <x:v>OPEN</x:v>
      </x:c>
    </x:row>
    <x:row r="2695">
      <x:c r="B2695" s="7" t="str">
        <x:v>PHY-2689</x:v>
      </x:c>
      <x:c r="C2695" s="7" t="str">
        <x:v>hold record</x:v>
      </x:c>
      <x:c r="D2695" s="7" t="str">
        <x:v>RAE-E-07-HP-23</x:v>
      </x:c>
      <x:c r="E2695" s="7" t="str">
        <x:v>Hold Ledger!J221</x:v>
      </x:c>
      <x:c r="F2695" s="7" t="str">
        <x:f>'Hold Ledger'!J221</x:f>
        <x:v>OPEN</x:v>
      </x:c>
    </x:row>
    <x:row r="2696">
      <x:c r="B2696" s="7" t="str">
        <x:v>PHY-2690</x:v>
      </x:c>
      <x:c r="C2696" s="7" t="str">
        <x:v>hold record</x:v>
      </x:c>
      <x:c r="D2696" s="7" t="str">
        <x:v>RAE-E-07-HP-24</x:v>
      </x:c>
      <x:c r="E2696" s="7" t="str">
        <x:v>Hold Ledger!J222</x:v>
      </x:c>
      <x:c r="F2696" s="7" t="str">
        <x:f>'Hold Ledger'!J222</x:f>
        <x:v>OPEN</x:v>
      </x:c>
    </x:row>
    <x:row r="2697">
      <x:c r="B2697" s="7" t="str">
        <x:v>PHY-2691</x:v>
      </x:c>
      <x:c r="C2697" s="7" t="str">
        <x:v>hold record</x:v>
      </x:c>
      <x:c r="D2697" s="7" t="str">
        <x:v>RAE-E-07-HP-25</x:v>
      </x:c>
      <x:c r="E2697" s="7" t="str">
        <x:v>Hold Ledger!J223</x:v>
      </x:c>
      <x:c r="F2697" s="7" t="str">
        <x:f>'Hold Ledger'!J223</x:f>
        <x:v>OPEN</x:v>
      </x:c>
    </x:row>
    <x:row r="2698">
      <x:c r="B2698" s="7" t="str">
        <x:v>PHY-2692</x:v>
      </x:c>
      <x:c r="C2698" s="7" t="str">
        <x:v>hold record</x:v>
      </x:c>
      <x:c r="D2698" s="7" t="str">
        <x:v>RAE-E-07-HP-26</x:v>
      </x:c>
      <x:c r="E2698" s="7" t="str">
        <x:v>Hold Ledger!J224</x:v>
      </x:c>
      <x:c r="F2698" s="7" t="str">
        <x:f>'Hold Ledger'!J224</x:f>
        <x:v>OPEN</x:v>
      </x:c>
    </x:row>
    <x:row r="2699">
      <x:c r="B2699" s="7" t="str">
        <x:v>PHY-2693</x:v>
      </x:c>
      <x:c r="C2699" s="7" t="str">
        <x:v>hold record</x:v>
      </x:c>
      <x:c r="D2699" s="7" t="str">
        <x:v>RAE-E-07-HP-27</x:v>
      </x:c>
      <x:c r="E2699" s="7" t="str">
        <x:v>Hold Ledger!J225</x:v>
      </x:c>
      <x:c r="F2699" s="7" t="str">
        <x:f>'Hold Ledger'!J225</x:f>
        <x:v>OPEN</x:v>
      </x:c>
    </x:row>
    <x:row r="2700">
      <x:c r="B2700" s="7" t="str">
        <x:v>PHY-2694</x:v>
      </x:c>
      <x:c r="C2700" s="7" t="str">
        <x:v>hold record</x:v>
      </x:c>
      <x:c r="D2700" s="7" t="str">
        <x:v>RAE-E-07-HP-28</x:v>
      </x:c>
      <x:c r="E2700" s="7" t="str">
        <x:v>Hold Ledger!J226</x:v>
      </x:c>
      <x:c r="F2700" s="7" t="str">
        <x:f>'Hold Ledger'!J226</x:f>
        <x:v>OPEN</x:v>
      </x:c>
    </x:row>
    <x:row r="2701">
      <x:c r="B2701" s="7" t="str">
        <x:v>PHY-2695</x:v>
      </x:c>
      <x:c r="C2701" s="7" t="str">
        <x:v>hold record</x:v>
      </x:c>
      <x:c r="D2701" s="7" t="str">
        <x:v>RAE-E-07-HP-29</x:v>
      </x:c>
      <x:c r="E2701" s="7" t="str">
        <x:v>Hold Ledger!J227</x:v>
      </x:c>
      <x:c r="F2701" s="7" t="str">
        <x:f>'Hold Ledger'!J227</x:f>
        <x:v>OPEN</x:v>
      </x:c>
    </x:row>
    <x:row r="2702">
      <x:c r="B2702" s="7" t="str">
        <x:v>PHY-2696</x:v>
      </x:c>
      <x:c r="C2702" s="7" t="str">
        <x:v>hold record</x:v>
      </x:c>
      <x:c r="D2702" s="7" t="str">
        <x:v>RAE-E-07-HP-30</x:v>
      </x:c>
      <x:c r="E2702" s="7" t="str">
        <x:v>Hold Ledger!J228</x:v>
      </x:c>
      <x:c r="F2702" s="7" t="str">
        <x:f>'Hold Ledger'!J228</x:f>
        <x:v>OPEN</x:v>
      </x:c>
    </x:row>
    <x:row r="2703">
      <x:c r="B2703" s="7" t="str">
        <x:v>PHY-2697</x:v>
      </x:c>
      <x:c r="C2703" s="7" t="str">
        <x:v>hold record</x:v>
      </x:c>
      <x:c r="D2703" s="7" t="str">
        <x:v>RAE-E-07-HP-31</x:v>
      </x:c>
      <x:c r="E2703" s="7" t="str">
        <x:v>Hold Ledger!J229</x:v>
      </x:c>
      <x:c r="F2703" s="7" t="str">
        <x:f>'Hold Ledger'!J229</x:f>
        <x:v>OPEN</x:v>
      </x:c>
    </x:row>
    <x:row r="2704">
      <x:c r="B2704" s="7" t="str">
        <x:v>PHY-2698</x:v>
      </x:c>
      <x:c r="C2704" s="7" t="str">
        <x:v>hold record</x:v>
      </x:c>
      <x:c r="D2704" s="7" t="str">
        <x:v>RAE-E-07-HP-32</x:v>
      </x:c>
      <x:c r="E2704" s="7" t="str">
        <x:v>Hold Ledger!J230</x:v>
      </x:c>
      <x:c r="F2704" s="7" t="str">
        <x:f>'Hold Ledger'!J230</x:f>
        <x:v>OPEN</x:v>
      </x:c>
    </x:row>
    <x:row r="2705">
      <x:c r="B2705" s="7" t="str">
        <x:v>PHY-2699</x:v>
      </x:c>
      <x:c r="C2705" s="7" t="str">
        <x:v>hold record</x:v>
      </x:c>
      <x:c r="D2705" s="7" t="str">
        <x:v>RAE-E-08-HP-01</x:v>
      </x:c>
      <x:c r="E2705" s="7" t="str">
        <x:v>Hold Ledger!J231</x:v>
      </x:c>
      <x:c r="F2705" s="7" t="str">
        <x:f>'Hold Ledger'!J231</x:f>
        <x:v>OPEN</x:v>
      </x:c>
    </x:row>
    <x:row r="2706">
      <x:c r="B2706" s="7" t="str">
        <x:v>PHY-2700</x:v>
      </x:c>
      <x:c r="C2706" s="7" t="str">
        <x:v>hold record</x:v>
      </x:c>
      <x:c r="D2706" s="7" t="str">
        <x:v>RAE-E-08-HP-02</x:v>
      </x:c>
      <x:c r="E2706" s="7" t="str">
        <x:v>Hold Ledger!J232</x:v>
      </x:c>
      <x:c r="F2706" s="7" t="str">
        <x:f>'Hold Ledger'!J232</x:f>
        <x:v>OPEN</x:v>
      </x:c>
    </x:row>
    <x:row r="2707">
      <x:c r="B2707" s="7" t="str">
        <x:v>PHY-2701</x:v>
      </x:c>
      <x:c r="C2707" s="7" t="str">
        <x:v>hold record</x:v>
      </x:c>
      <x:c r="D2707" s="7" t="str">
        <x:v>RAE-E-08-HP-03</x:v>
      </x:c>
      <x:c r="E2707" s="7" t="str">
        <x:v>Hold Ledger!J233</x:v>
      </x:c>
      <x:c r="F2707" s="7" t="str">
        <x:f>'Hold Ledger'!J233</x:f>
        <x:v>OPEN</x:v>
      </x:c>
    </x:row>
    <x:row r="2708">
      <x:c r="B2708" s="7" t="str">
        <x:v>PHY-2702</x:v>
      </x:c>
      <x:c r="C2708" s="7" t="str">
        <x:v>hold record</x:v>
      </x:c>
      <x:c r="D2708" s="7" t="str">
        <x:v>RAE-E-08-HP-04</x:v>
      </x:c>
      <x:c r="E2708" s="7" t="str">
        <x:v>Hold Ledger!J234</x:v>
      </x:c>
      <x:c r="F2708" s="7" t="str">
        <x:f>'Hold Ledger'!J234</x:f>
        <x:v>OPEN</x:v>
      </x:c>
    </x:row>
    <x:row r="2709">
      <x:c r="B2709" s="7" t="str">
        <x:v>PHY-2703</x:v>
      </x:c>
      <x:c r="C2709" s="7" t="str">
        <x:v>hold record</x:v>
      </x:c>
      <x:c r="D2709" s="7" t="str">
        <x:v>RAE-E-08-HP-05</x:v>
      </x:c>
      <x:c r="E2709" s="7" t="str">
        <x:v>Hold Ledger!J235</x:v>
      </x:c>
      <x:c r="F2709" s="7" t="str">
        <x:f>'Hold Ledger'!J235</x:f>
        <x:v>OPEN</x:v>
      </x:c>
    </x:row>
    <x:row r="2710">
      <x:c r="B2710" s="7" t="str">
        <x:v>PHY-2704</x:v>
      </x:c>
      <x:c r="C2710" s="7" t="str">
        <x:v>hold record</x:v>
      </x:c>
      <x:c r="D2710" s="7" t="str">
        <x:v>RAE-E-08-HP-06</x:v>
      </x:c>
      <x:c r="E2710" s="7" t="str">
        <x:v>Hold Ledger!J236</x:v>
      </x:c>
      <x:c r="F2710" s="7" t="str">
        <x:f>'Hold Ledger'!J236</x:f>
        <x:v>OPEN</x:v>
      </x:c>
    </x:row>
    <x:row r="2711">
      <x:c r="B2711" s="7" t="str">
        <x:v>PHY-2705</x:v>
      </x:c>
      <x:c r="C2711" s="7" t="str">
        <x:v>hold record</x:v>
      </x:c>
      <x:c r="D2711" s="7" t="str">
        <x:v>RAE-E-08-HP-07</x:v>
      </x:c>
      <x:c r="E2711" s="7" t="str">
        <x:v>Hold Ledger!J237</x:v>
      </x:c>
      <x:c r="F2711" s="7" t="str">
        <x:f>'Hold Ledger'!J237</x:f>
        <x:v>OPEN</x:v>
      </x:c>
    </x:row>
    <x:row r="2712">
      <x:c r="B2712" s="7" t="str">
        <x:v>PHY-2706</x:v>
      </x:c>
      <x:c r="C2712" s="7" t="str">
        <x:v>hold record</x:v>
      </x:c>
      <x:c r="D2712" s="7" t="str">
        <x:v>RAE-E-08-HP-08</x:v>
      </x:c>
      <x:c r="E2712" s="7" t="str">
        <x:v>Hold Ledger!J238</x:v>
      </x:c>
      <x:c r="F2712" s="7" t="str">
        <x:f>'Hold Ledger'!J238</x:f>
        <x:v>OPEN</x:v>
      </x:c>
    </x:row>
    <x:row r="2713">
      <x:c r="B2713" s="7" t="str">
        <x:v>PHY-2707</x:v>
      </x:c>
      <x:c r="C2713" s="7" t="str">
        <x:v>hold record</x:v>
      </x:c>
      <x:c r="D2713" s="7" t="str">
        <x:v>RAE-E-08-HP-09</x:v>
      </x:c>
      <x:c r="E2713" s="7" t="str">
        <x:v>Hold Ledger!J239</x:v>
      </x:c>
      <x:c r="F2713" s="7" t="str">
        <x:f>'Hold Ledger'!J239</x:f>
        <x:v>OPEN</x:v>
      </x:c>
    </x:row>
    <x:row r="2714">
      <x:c r="B2714" s="7" t="str">
        <x:v>PHY-2708</x:v>
      </x:c>
      <x:c r="C2714" s="7" t="str">
        <x:v>hold record</x:v>
      </x:c>
      <x:c r="D2714" s="7" t="str">
        <x:v>RAE-E-08-HP-10</x:v>
      </x:c>
      <x:c r="E2714" s="7" t="str">
        <x:v>Hold Ledger!J240</x:v>
      </x:c>
      <x:c r="F2714" s="7" t="str">
        <x:f>'Hold Ledger'!J240</x:f>
        <x:v>OPEN</x:v>
      </x:c>
    </x:row>
    <x:row r="2715">
      <x:c r="B2715" s="7" t="str">
        <x:v>PHY-2709</x:v>
      </x:c>
      <x:c r="C2715" s="7" t="str">
        <x:v>hold record</x:v>
      </x:c>
      <x:c r="D2715" s="7" t="str">
        <x:v>RAE-E-08-HP-11</x:v>
      </x:c>
      <x:c r="E2715" s="7" t="str">
        <x:v>Hold Ledger!J241</x:v>
      </x:c>
      <x:c r="F2715" s="7" t="str">
        <x:f>'Hold Ledger'!J241</x:f>
        <x:v>OPEN</x:v>
      </x:c>
    </x:row>
    <x:row r="2716">
      <x:c r="B2716" s="7" t="str">
        <x:v>PHY-2710</x:v>
      </x:c>
      <x:c r="C2716" s="7" t="str">
        <x:v>hold record</x:v>
      </x:c>
      <x:c r="D2716" s="7" t="str">
        <x:v>RAE-E-08-HP-12</x:v>
      </x:c>
      <x:c r="E2716" s="7" t="str">
        <x:v>Hold Ledger!J242</x:v>
      </x:c>
      <x:c r="F2716" s="7" t="str">
        <x:f>'Hold Ledger'!J242</x:f>
        <x:v>OPEN</x:v>
      </x:c>
    </x:row>
    <x:row r="2717">
      <x:c r="B2717" s="7" t="str">
        <x:v>PHY-2711</x:v>
      </x:c>
      <x:c r="C2717" s="7" t="str">
        <x:v>hold record</x:v>
      </x:c>
      <x:c r="D2717" s="7" t="str">
        <x:v>RAE-E-08-HP-13</x:v>
      </x:c>
      <x:c r="E2717" s="7" t="str">
        <x:v>Hold Ledger!J243</x:v>
      </x:c>
      <x:c r="F2717" s="7" t="str">
        <x:f>'Hold Ledger'!J243</x:f>
        <x:v>OPEN</x:v>
      </x:c>
    </x:row>
    <x:row r="2718">
      <x:c r="B2718" s="7" t="str">
        <x:v>PHY-2712</x:v>
      </x:c>
      <x:c r="C2718" s="7" t="str">
        <x:v>hold record</x:v>
      </x:c>
      <x:c r="D2718" s="7" t="str">
        <x:v>RAE-E-08-HP-14</x:v>
      </x:c>
      <x:c r="E2718" s="7" t="str">
        <x:v>Hold Ledger!J244</x:v>
      </x:c>
      <x:c r="F2718" s="7" t="str">
        <x:f>'Hold Ledger'!J244</x:f>
        <x:v>OPEN</x:v>
      </x:c>
    </x:row>
    <x:row r="2719">
      <x:c r="B2719" s="7" t="str">
        <x:v>PHY-2713</x:v>
      </x:c>
      <x:c r="C2719" s="7" t="str">
        <x:v>hold record</x:v>
      </x:c>
      <x:c r="D2719" s="7" t="str">
        <x:v>RAE-E-08-HP-15</x:v>
      </x:c>
      <x:c r="E2719" s="7" t="str">
        <x:v>Hold Ledger!J245</x:v>
      </x:c>
      <x:c r="F2719" s="7" t="str">
        <x:f>'Hold Ledger'!J245</x:f>
        <x:v>OPEN</x:v>
      </x:c>
    </x:row>
    <x:row r="2720">
      <x:c r="B2720" s="7" t="str">
        <x:v>PHY-2714</x:v>
      </x:c>
      <x:c r="C2720" s="7" t="str">
        <x:v>hold record</x:v>
      </x:c>
      <x:c r="D2720" s="7" t="str">
        <x:v>RAE-E-08-HP-16</x:v>
      </x:c>
      <x:c r="E2720" s="7" t="str">
        <x:v>Hold Ledger!J246</x:v>
      </x:c>
      <x:c r="F2720" s="7" t="str">
        <x:f>'Hold Ledger'!J246</x:f>
        <x:v>OPEN</x:v>
      </x:c>
    </x:row>
    <x:row r="2721">
      <x:c r="B2721" s="7" t="str">
        <x:v>PHY-2715</x:v>
      </x:c>
      <x:c r="C2721" s="7" t="str">
        <x:v>hold record</x:v>
      </x:c>
      <x:c r="D2721" s="7" t="str">
        <x:v>RAE-E-08-HP-17</x:v>
      </x:c>
      <x:c r="E2721" s="7" t="str">
        <x:v>Hold Ledger!J247</x:v>
      </x:c>
      <x:c r="F2721" s="7" t="str">
        <x:f>'Hold Ledger'!J247</x:f>
        <x:v>OPEN</x:v>
      </x:c>
    </x:row>
    <x:row r="2722">
      <x:c r="B2722" s="7" t="str">
        <x:v>PHY-2716</x:v>
      </x:c>
      <x:c r="C2722" s="7" t="str">
        <x:v>hold record</x:v>
      </x:c>
      <x:c r="D2722" s="7" t="str">
        <x:v>RAE-E-08-HP-18</x:v>
      </x:c>
      <x:c r="E2722" s="7" t="str">
        <x:v>Hold Ledger!J248</x:v>
      </x:c>
      <x:c r="F2722" s="7" t="str">
        <x:f>'Hold Ledger'!J248</x:f>
        <x:v>OPEN</x:v>
      </x:c>
    </x:row>
    <x:row r="2723">
      <x:c r="B2723" s="7" t="str">
        <x:v>PHY-2717</x:v>
      </x:c>
      <x:c r="C2723" s="7" t="str">
        <x:v>hold record</x:v>
      </x:c>
      <x:c r="D2723" s="7" t="str">
        <x:v>RAE-E-08-HP-19</x:v>
      </x:c>
      <x:c r="E2723" s="7" t="str">
        <x:v>Hold Ledger!J249</x:v>
      </x:c>
      <x:c r="F2723" s="7" t="str">
        <x:f>'Hold Ledger'!J249</x:f>
        <x:v>OPEN</x:v>
      </x:c>
    </x:row>
    <x:row r="2724">
      <x:c r="B2724" s="7" t="str">
        <x:v>PHY-2718</x:v>
      </x:c>
      <x:c r="C2724" s="7" t="str">
        <x:v>hold record</x:v>
      </x:c>
      <x:c r="D2724" s="7" t="str">
        <x:v>RAE-E-08-HP-20</x:v>
      </x:c>
      <x:c r="E2724" s="7" t="str">
        <x:v>Hold Ledger!J250</x:v>
      </x:c>
      <x:c r="F2724" s="7" t="str">
        <x:f>'Hold Ledger'!J250</x:f>
        <x:v>OPEN</x:v>
      </x:c>
    </x:row>
    <x:row r="2725">
      <x:c r="B2725" s="7" t="str">
        <x:v>PHY-2719</x:v>
      </x:c>
      <x:c r="C2725" s="7" t="str">
        <x:v>hold record</x:v>
      </x:c>
      <x:c r="D2725" s="7" t="str">
        <x:v>RAE-E-08-HP-21</x:v>
      </x:c>
      <x:c r="E2725" s="7" t="str">
        <x:v>Hold Ledger!J251</x:v>
      </x:c>
      <x:c r="F2725" s="7" t="str">
        <x:f>'Hold Ledger'!J251</x:f>
        <x:v>OPEN</x:v>
      </x:c>
    </x:row>
    <x:row r="2726">
      <x:c r="B2726" s="7" t="str">
        <x:v>PHY-2720</x:v>
      </x:c>
      <x:c r="C2726" s="7" t="str">
        <x:v>hold record</x:v>
      </x:c>
      <x:c r="D2726" s="7" t="str">
        <x:v>RAE-E-08-HP-22</x:v>
      </x:c>
      <x:c r="E2726" s="7" t="str">
        <x:v>Hold Ledger!J252</x:v>
      </x:c>
      <x:c r="F2726" s="7" t="str">
        <x:f>'Hold Ledger'!J252</x:f>
        <x:v>OPEN</x:v>
      </x:c>
    </x:row>
    <x:row r="2727">
      <x:c r="B2727" s="7" t="str">
        <x:v>PHY-2721</x:v>
      </x:c>
      <x:c r="C2727" s="7" t="str">
        <x:v>hold record</x:v>
      </x:c>
      <x:c r="D2727" s="7" t="str">
        <x:v>RAE-E-08-HP-23</x:v>
      </x:c>
      <x:c r="E2727" s="7" t="str">
        <x:v>Hold Ledger!J253</x:v>
      </x:c>
      <x:c r="F2727" s="7" t="str">
        <x:f>'Hold Ledger'!J253</x:f>
        <x:v>OPEN</x:v>
      </x:c>
    </x:row>
    <x:row r="2728">
      <x:c r="B2728" s="7" t="str">
        <x:v>PHY-2722</x:v>
      </x:c>
      <x:c r="C2728" s="7" t="str">
        <x:v>hold record</x:v>
      </x:c>
      <x:c r="D2728" s="7" t="str">
        <x:v>RAE-E-08-HP-24</x:v>
      </x:c>
      <x:c r="E2728" s="7" t="str">
        <x:v>Hold Ledger!J254</x:v>
      </x:c>
      <x:c r="F2728" s="7" t="str">
        <x:f>'Hold Ledger'!J254</x:f>
        <x:v>OPEN</x:v>
      </x:c>
    </x:row>
    <x:row r="2729">
      <x:c r="B2729" s="7" t="str">
        <x:v>PHY-2723</x:v>
      </x:c>
      <x:c r="C2729" s="7" t="str">
        <x:v>hold record</x:v>
      </x:c>
      <x:c r="D2729" s="7" t="str">
        <x:v>RAE-E-08-HP-25</x:v>
      </x:c>
      <x:c r="E2729" s="7" t="str">
        <x:v>Hold Ledger!J255</x:v>
      </x:c>
      <x:c r="F2729" s="7" t="str">
        <x:f>'Hold Ledger'!J255</x:f>
        <x:v>OPEN</x:v>
      </x:c>
    </x:row>
    <x:row r="2730">
      <x:c r="B2730" s="7" t="str">
        <x:v>PHY-2724</x:v>
      </x:c>
      <x:c r="C2730" s="7" t="str">
        <x:v>hold record</x:v>
      </x:c>
      <x:c r="D2730" s="7" t="str">
        <x:v>RAE-E-08-HP-26</x:v>
      </x:c>
      <x:c r="E2730" s="7" t="str">
        <x:v>Hold Ledger!J256</x:v>
      </x:c>
      <x:c r="F2730" s="7" t="str">
        <x:f>'Hold Ledger'!J256</x:f>
        <x:v>OPEN</x:v>
      </x:c>
    </x:row>
    <x:row r="2731">
      <x:c r="B2731" s="7" t="str">
        <x:v>PHY-2725</x:v>
      </x:c>
      <x:c r="C2731" s="7" t="str">
        <x:v>hold record</x:v>
      </x:c>
      <x:c r="D2731" s="7" t="str">
        <x:v>RAE-E-08-HP-27</x:v>
      </x:c>
      <x:c r="E2731" s="7" t="str">
        <x:v>Hold Ledger!J257</x:v>
      </x:c>
      <x:c r="F2731" s="7" t="str">
        <x:f>'Hold Ledger'!J257</x:f>
        <x:v>OPEN</x:v>
      </x:c>
    </x:row>
    <x:row r="2732">
      <x:c r="B2732" s="7" t="str">
        <x:v>PHY-2726</x:v>
      </x:c>
      <x:c r="C2732" s="7" t="str">
        <x:v>hold record</x:v>
      </x:c>
      <x:c r="D2732" s="7" t="str">
        <x:v>RAE-E-08-HP-28</x:v>
      </x:c>
      <x:c r="E2732" s="7" t="str">
        <x:v>Hold Ledger!J258</x:v>
      </x:c>
      <x:c r="F2732" s="7" t="str">
        <x:f>'Hold Ledger'!J258</x:f>
        <x:v>OPEN</x:v>
      </x:c>
    </x:row>
    <x:row r="2733">
      <x:c r="B2733" s="7" t="str">
        <x:v>PHY-2727</x:v>
      </x:c>
      <x:c r="C2733" s="7" t="str">
        <x:v>hold record</x:v>
      </x:c>
      <x:c r="D2733" s="7" t="str">
        <x:v>RAE-E-08-HP-29</x:v>
      </x:c>
      <x:c r="E2733" s="7" t="str">
        <x:v>Hold Ledger!J259</x:v>
      </x:c>
      <x:c r="F2733" s="7" t="str">
        <x:f>'Hold Ledger'!J259</x:f>
        <x:v>OPEN</x:v>
      </x:c>
    </x:row>
    <x:row r="2734">
      <x:c r="B2734" s="7" t="str">
        <x:v>PHY-2728</x:v>
      </x:c>
      <x:c r="C2734" s="7" t="str">
        <x:v>hold record</x:v>
      </x:c>
      <x:c r="D2734" s="7" t="str">
        <x:v>RAE-E-08-HP-30</x:v>
      </x:c>
      <x:c r="E2734" s="7" t="str">
        <x:v>Hold Ledger!J260</x:v>
      </x:c>
      <x:c r="F2734" s="7" t="str">
        <x:f>'Hold Ledger'!J260</x:f>
        <x:v>OPEN</x:v>
      </x:c>
    </x:row>
    <x:row r="2735">
      <x:c r="B2735" s="7" t="str">
        <x:v>PHY-2729</x:v>
      </x:c>
      <x:c r="C2735" s="7" t="str">
        <x:v>hold record</x:v>
      </x:c>
      <x:c r="D2735" s="7" t="str">
        <x:v>RAE-E-08-HP-31</x:v>
      </x:c>
      <x:c r="E2735" s="7" t="str">
        <x:v>Hold Ledger!J261</x:v>
      </x:c>
      <x:c r="F2735" s="7" t="str">
        <x:f>'Hold Ledger'!J261</x:f>
        <x:v>OPEN</x:v>
      </x:c>
    </x:row>
    <x:row r="2736">
      <x:c r="B2736" s="7" t="str">
        <x:v>PHY-2730</x:v>
      </x:c>
      <x:c r="C2736" s="7" t="str">
        <x:v>hold record</x:v>
      </x:c>
      <x:c r="D2736" s="7" t="str">
        <x:v>RAE-E-08-HP-32</x:v>
      </x:c>
      <x:c r="E2736" s="7" t="str">
        <x:v>Hold Ledger!J262</x:v>
      </x:c>
      <x:c r="F2736" s="7" t="str">
        <x:f>'Hold Ledger'!J262</x:f>
        <x:v>OPEN</x:v>
      </x:c>
    </x:row>
    <x:row r="2737">
      <x:c r="B2737" s="7" t="str">
        <x:v>PHY-2731</x:v>
      </x:c>
      <x:c r="C2737" s="7" t="str">
        <x:v>hold record</x:v>
      </x:c>
      <x:c r="D2737" s="7" t="str">
        <x:v>RAE-E-09-HP-01</x:v>
      </x:c>
      <x:c r="E2737" s="7" t="str">
        <x:v>Hold Ledger!J263</x:v>
      </x:c>
      <x:c r="F2737" s="7" t="str">
        <x:f>'Hold Ledger'!J263</x:f>
        <x:v>OPEN</x:v>
      </x:c>
    </x:row>
    <x:row r="2738">
      <x:c r="B2738" s="7" t="str">
        <x:v>PHY-2732</x:v>
      </x:c>
      <x:c r="C2738" s="7" t="str">
        <x:v>hold record</x:v>
      </x:c>
      <x:c r="D2738" s="7" t="str">
        <x:v>RAE-E-09-HP-02</x:v>
      </x:c>
      <x:c r="E2738" s="7" t="str">
        <x:v>Hold Ledger!J264</x:v>
      </x:c>
      <x:c r="F2738" s="7" t="str">
        <x:f>'Hold Ledger'!J264</x:f>
        <x:v>OPEN</x:v>
      </x:c>
    </x:row>
    <x:row r="2739">
      <x:c r="B2739" s="7" t="str">
        <x:v>PHY-2733</x:v>
      </x:c>
      <x:c r="C2739" s="7" t="str">
        <x:v>hold record</x:v>
      </x:c>
      <x:c r="D2739" s="7" t="str">
        <x:v>RAE-E-09-HP-03</x:v>
      </x:c>
      <x:c r="E2739" s="7" t="str">
        <x:v>Hold Ledger!J265</x:v>
      </x:c>
      <x:c r="F2739" s="7" t="str">
        <x:f>'Hold Ledger'!J265</x:f>
        <x:v>OPEN</x:v>
      </x:c>
    </x:row>
    <x:row r="2740">
      <x:c r="B2740" s="7" t="str">
        <x:v>PHY-2734</x:v>
      </x:c>
      <x:c r="C2740" s="7" t="str">
        <x:v>hold record</x:v>
      </x:c>
      <x:c r="D2740" s="7" t="str">
        <x:v>RAE-E-09-HP-04</x:v>
      </x:c>
      <x:c r="E2740" s="7" t="str">
        <x:v>Hold Ledger!J266</x:v>
      </x:c>
      <x:c r="F2740" s="7" t="str">
        <x:f>'Hold Ledger'!J266</x:f>
        <x:v>OPEN</x:v>
      </x:c>
    </x:row>
    <x:row r="2741">
      <x:c r="B2741" s="7" t="str">
        <x:v>PHY-2735</x:v>
      </x:c>
      <x:c r="C2741" s="7" t="str">
        <x:v>hold record</x:v>
      </x:c>
      <x:c r="D2741" s="7" t="str">
        <x:v>RAE-E-09-HP-05</x:v>
      </x:c>
      <x:c r="E2741" s="7" t="str">
        <x:v>Hold Ledger!J267</x:v>
      </x:c>
      <x:c r="F2741" s="7" t="str">
        <x:f>'Hold Ledger'!J267</x:f>
        <x:v>OPEN</x:v>
      </x:c>
    </x:row>
    <x:row r="2742">
      <x:c r="B2742" s="7" t="str">
        <x:v>PHY-2736</x:v>
      </x:c>
      <x:c r="C2742" s="7" t="str">
        <x:v>hold record</x:v>
      </x:c>
      <x:c r="D2742" s="7" t="str">
        <x:v>RAE-E-09-HP-06</x:v>
      </x:c>
      <x:c r="E2742" s="7" t="str">
        <x:v>Hold Ledger!J268</x:v>
      </x:c>
      <x:c r="F2742" s="7" t="str">
        <x:f>'Hold Ledger'!J268</x:f>
        <x:v>OPEN</x:v>
      </x:c>
    </x:row>
    <x:row r="2743">
      <x:c r="B2743" s="7" t="str">
        <x:v>PHY-2737</x:v>
      </x:c>
      <x:c r="C2743" s="7" t="str">
        <x:v>hold record</x:v>
      </x:c>
      <x:c r="D2743" s="7" t="str">
        <x:v>RAE-E-09-HP-07</x:v>
      </x:c>
      <x:c r="E2743" s="7" t="str">
        <x:v>Hold Ledger!J269</x:v>
      </x:c>
      <x:c r="F2743" s="7" t="str">
        <x:f>'Hold Ledger'!J269</x:f>
        <x:v>OPEN</x:v>
      </x:c>
    </x:row>
    <x:row r="2744">
      <x:c r="B2744" s="7" t="str">
        <x:v>PHY-2738</x:v>
      </x:c>
      <x:c r="C2744" s="7" t="str">
        <x:v>hold record</x:v>
      </x:c>
      <x:c r="D2744" s="7" t="str">
        <x:v>RAE-E-09-HP-08</x:v>
      </x:c>
      <x:c r="E2744" s="7" t="str">
        <x:v>Hold Ledger!J270</x:v>
      </x:c>
      <x:c r="F2744" s="7" t="str">
        <x:f>'Hold Ledger'!J270</x:f>
        <x:v>OPEN</x:v>
      </x:c>
    </x:row>
    <x:row r="2745">
      <x:c r="B2745" s="7" t="str">
        <x:v>PHY-2739</x:v>
      </x:c>
      <x:c r="C2745" s="7" t="str">
        <x:v>hold record</x:v>
      </x:c>
      <x:c r="D2745" s="7" t="str">
        <x:v>RAE-E-09-HP-09</x:v>
      </x:c>
      <x:c r="E2745" s="7" t="str">
        <x:v>Hold Ledger!J271</x:v>
      </x:c>
      <x:c r="F2745" s="7" t="str">
        <x:f>'Hold Ledger'!J271</x:f>
        <x:v>OPEN</x:v>
      </x:c>
    </x:row>
    <x:row r="2746">
      <x:c r="B2746" s="7" t="str">
        <x:v>PHY-2740</x:v>
      </x:c>
      <x:c r="C2746" s="7" t="str">
        <x:v>hold record</x:v>
      </x:c>
      <x:c r="D2746" s="7" t="str">
        <x:v>RAE-E-09-HP-10</x:v>
      </x:c>
      <x:c r="E2746" s="7" t="str">
        <x:v>Hold Ledger!J272</x:v>
      </x:c>
      <x:c r="F2746" s="7" t="str">
        <x:f>'Hold Ledger'!J272</x:f>
        <x:v>OPEN</x:v>
      </x:c>
    </x:row>
    <x:row r="2747">
      <x:c r="B2747" s="7" t="str">
        <x:v>PHY-2741</x:v>
      </x:c>
      <x:c r="C2747" s="7" t="str">
        <x:v>hold record</x:v>
      </x:c>
      <x:c r="D2747" s="7" t="str">
        <x:v>RAE-E-09-HP-11</x:v>
      </x:c>
      <x:c r="E2747" s="7" t="str">
        <x:v>Hold Ledger!J273</x:v>
      </x:c>
      <x:c r="F2747" s="7" t="str">
        <x:f>'Hold Ledger'!J273</x:f>
        <x:v>OPEN</x:v>
      </x:c>
    </x:row>
    <x:row r="2748">
      <x:c r="B2748" s="7" t="str">
        <x:v>PHY-2742</x:v>
      </x:c>
      <x:c r="C2748" s="7" t="str">
        <x:v>hold record</x:v>
      </x:c>
      <x:c r="D2748" s="7" t="str">
        <x:v>RAE-E-09-HP-12</x:v>
      </x:c>
      <x:c r="E2748" s="7" t="str">
        <x:v>Hold Ledger!J274</x:v>
      </x:c>
      <x:c r="F2748" s="7" t="str">
        <x:f>'Hold Ledger'!J274</x:f>
        <x:v>OPEN</x:v>
      </x:c>
    </x:row>
    <x:row r="2749">
      <x:c r="B2749" s="7" t="str">
        <x:v>PHY-2743</x:v>
      </x:c>
      <x:c r="C2749" s="7" t="str">
        <x:v>hold record</x:v>
      </x:c>
      <x:c r="D2749" s="7" t="str">
        <x:v>RAE-E-09-HP-13</x:v>
      </x:c>
      <x:c r="E2749" s="7" t="str">
        <x:v>Hold Ledger!J275</x:v>
      </x:c>
      <x:c r="F2749" s="7" t="str">
        <x:f>'Hold Ledger'!J275</x:f>
        <x:v>OPEN</x:v>
      </x:c>
    </x:row>
    <x:row r="2750">
      <x:c r="B2750" s="7" t="str">
        <x:v>PHY-2744</x:v>
      </x:c>
      <x:c r="C2750" s="7" t="str">
        <x:v>hold record</x:v>
      </x:c>
      <x:c r="D2750" s="7" t="str">
        <x:v>RAE-E-09-HP-14</x:v>
      </x:c>
      <x:c r="E2750" s="7" t="str">
        <x:v>Hold Ledger!J276</x:v>
      </x:c>
      <x:c r="F2750" s="7" t="str">
        <x:f>'Hold Ledger'!J276</x:f>
        <x:v>OPEN</x:v>
      </x:c>
    </x:row>
    <x:row r="2751">
      <x:c r="B2751" s="7" t="str">
        <x:v>PHY-2745</x:v>
      </x:c>
      <x:c r="C2751" s="7" t="str">
        <x:v>hold record</x:v>
      </x:c>
      <x:c r="D2751" s="7" t="str">
        <x:v>RAE-E-09-HP-15</x:v>
      </x:c>
      <x:c r="E2751" s="7" t="str">
        <x:v>Hold Ledger!J277</x:v>
      </x:c>
      <x:c r="F2751" s="7" t="str">
        <x:f>'Hold Ledger'!J277</x:f>
        <x:v>OPEN</x:v>
      </x:c>
    </x:row>
    <x:row r="2752">
      <x:c r="B2752" s="7" t="str">
        <x:v>PHY-2746</x:v>
      </x:c>
      <x:c r="C2752" s="7" t="str">
        <x:v>hold record</x:v>
      </x:c>
      <x:c r="D2752" s="7" t="str">
        <x:v>RAE-E-09-HP-16</x:v>
      </x:c>
      <x:c r="E2752" s="7" t="str">
        <x:v>Hold Ledger!J278</x:v>
      </x:c>
      <x:c r="F2752" s="7" t="str">
        <x:f>'Hold Ledger'!J278</x:f>
        <x:v>OPEN</x:v>
      </x:c>
    </x:row>
    <x:row r="2753">
      <x:c r="B2753" s="7" t="str">
        <x:v>PHY-2747</x:v>
      </x:c>
      <x:c r="C2753" s="7" t="str">
        <x:v>hold record</x:v>
      </x:c>
      <x:c r="D2753" s="7" t="str">
        <x:v>RAE-E-09-HP-17</x:v>
      </x:c>
      <x:c r="E2753" s="7" t="str">
        <x:v>Hold Ledger!J279</x:v>
      </x:c>
      <x:c r="F2753" s="7" t="str">
        <x:f>'Hold Ledger'!J279</x:f>
        <x:v>OPEN</x:v>
      </x:c>
    </x:row>
    <x:row r="2754">
      <x:c r="B2754" s="7" t="str">
        <x:v>PHY-2748</x:v>
      </x:c>
      <x:c r="C2754" s="7" t="str">
        <x:v>hold record</x:v>
      </x:c>
      <x:c r="D2754" s="7" t="str">
        <x:v>RAE-E-09-HP-18</x:v>
      </x:c>
      <x:c r="E2754" s="7" t="str">
        <x:v>Hold Ledger!J280</x:v>
      </x:c>
      <x:c r="F2754" s="7" t="str">
        <x:f>'Hold Ledger'!J280</x:f>
        <x:v>OPEN</x:v>
      </x:c>
    </x:row>
    <x:row r="2755">
      <x:c r="B2755" s="7" t="str">
        <x:v>PHY-2749</x:v>
      </x:c>
      <x:c r="C2755" s="7" t="str">
        <x:v>hold record</x:v>
      </x:c>
      <x:c r="D2755" s="7" t="str">
        <x:v>RAE-E-09-HP-19</x:v>
      </x:c>
      <x:c r="E2755" s="7" t="str">
        <x:v>Hold Ledger!J281</x:v>
      </x:c>
      <x:c r="F2755" s="7" t="str">
        <x:f>'Hold Ledger'!J281</x:f>
        <x:v>OPEN</x:v>
      </x:c>
    </x:row>
    <x:row r="2756">
      <x:c r="B2756" s="7" t="str">
        <x:v>PHY-2750</x:v>
      </x:c>
      <x:c r="C2756" s="7" t="str">
        <x:v>hold record</x:v>
      </x:c>
      <x:c r="D2756" s="7" t="str">
        <x:v>RAE-E-09-HP-20</x:v>
      </x:c>
      <x:c r="E2756" s="7" t="str">
        <x:v>Hold Ledger!J282</x:v>
      </x:c>
      <x:c r="F2756" s="7" t="str">
        <x:f>'Hold Ledger'!J282</x:f>
        <x:v>OPEN</x:v>
      </x:c>
    </x:row>
    <x:row r="2757">
      <x:c r="B2757" s="7" t="str">
        <x:v>PHY-2751</x:v>
      </x:c>
      <x:c r="C2757" s="7" t="str">
        <x:v>hold record</x:v>
      </x:c>
      <x:c r="D2757" s="7" t="str">
        <x:v>RAE-E-09-HP-21</x:v>
      </x:c>
      <x:c r="E2757" s="7" t="str">
        <x:v>Hold Ledger!J283</x:v>
      </x:c>
      <x:c r="F2757" s="7" t="str">
        <x:f>'Hold Ledger'!J283</x:f>
        <x:v>OPEN</x:v>
      </x:c>
    </x:row>
    <x:row r="2758">
      <x:c r="B2758" s="7" t="str">
        <x:v>PHY-2752</x:v>
      </x:c>
      <x:c r="C2758" s="7" t="str">
        <x:v>hold record</x:v>
      </x:c>
      <x:c r="D2758" s="7" t="str">
        <x:v>RAE-E-09-HP-22</x:v>
      </x:c>
      <x:c r="E2758" s="7" t="str">
        <x:v>Hold Ledger!J284</x:v>
      </x:c>
      <x:c r="F2758" s="7" t="str">
        <x:f>'Hold Ledger'!J284</x:f>
        <x:v>OPEN</x:v>
      </x:c>
    </x:row>
    <x:row r="2759">
      <x:c r="B2759" s="7" t="str">
        <x:v>PHY-2753</x:v>
      </x:c>
      <x:c r="C2759" s="7" t="str">
        <x:v>hold record</x:v>
      </x:c>
      <x:c r="D2759" s="7" t="str">
        <x:v>RAE-E-09-HP-23</x:v>
      </x:c>
      <x:c r="E2759" s="7" t="str">
        <x:v>Hold Ledger!J285</x:v>
      </x:c>
      <x:c r="F2759" s="7" t="str">
        <x:f>'Hold Ledger'!J285</x:f>
        <x:v>OPEN</x:v>
      </x:c>
    </x:row>
    <x:row r="2760">
      <x:c r="B2760" s="7" t="str">
        <x:v>PHY-2754</x:v>
      </x:c>
      <x:c r="C2760" s="7" t="str">
        <x:v>hold record</x:v>
      </x:c>
      <x:c r="D2760" s="7" t="str">
        <x:v>RAE-E-09-HP-24</x:v>
      </x:c>
      <x:c r="E2760" s="7" t="str">
        <x:v>Hold Ledger!J286</x:v>
      </x:c>
      <x:c r="F2760" s="7" t="str">
        <x:f>'Hold Ledger'!J286</x:f>
        <x:v>OPEN</x:v>
      </x:c>
    </x:row>
    <x:row r="2761">
      <x:c r="B2761" s="7" t="str">
        <x:v>PHY-2755</x:v>
      </x:c>
      <x:c r="C2761" s="7" t="str">
        <x:v>hold record</x:v>
      </x:c>
      <x:c r="D2761" s="7" t="str">
        <x:v>RAE-E-09-HP-25</x:v>
      </x:c>
      <x:c r="E2761" s="7" t="str">
        <x:v>Hold Ledger!J287</x:v>
      </x:c>
      <x:c r="F2761" s="7" t="str">
        <x:f>'Hold Ledger'!J287</x:f>
        <x:v>OPEN</x:v>
      </x:c>
    </x:row>
    <x:row r="2762">
      <x:c r="B2762" s="7" t="str">
        <x:v>PHY-2756</x:v>
      </x:c>
      <x:c r="C2762" s="7" t="str">
        <x:v>hold record</x:v>
      </x:c>
      <x:c r="D2762" s="7" t="str">
        <x:v>RAE-E-09-HP-26</x:v>
      </x:c>
      <x:c r="E2762" s="7" t="str">
        <x:v>Hold Ledger!J288</x:v>
      </x:c>
      <x:c r="F2762" s="7" t="str">
        <x:f>'Hold Ledger'!J288</x:f>
        <x:v>OPEN</x:v>
      </x:c>
    </x:row>
    <x:row r="2763">
      <x:c r="B2763" s="7" t="str">
        <x:v>PHY-2757</x:v>
      </x:c>
      <x:c r="C2763" s="7" t="str">
        <x:v>hold record</x:v>
      </x:c>
      <x:c r="D2763" s="7" t="str">
        <x:v>RAE-E-09-HP-27</x:v>
      </x:c>
      <x:c r="E2763" s="7" t="str">
        <x:v>Hold Ledger!J289</x:v>
      </x:c>
      <x:c r="F2763" s="7" t="str">
        <x:f>'Hold Ledger'!J289</x:f>
        <x:v>OPEN</x:v>
      </x:c>
    </x:row>
    <x:row r="2764">
      <x:c r="B2764" s="7" t="str">
        <x:v>PHY-2758</x:v>
      </x:c>
      <x:c r="C2764" s="7" t="str">
        <x:v>hold record</x:v>
      </x:c>
      <x:c r="D2764" s="7" t="str">
        <x:v>RAE-E-09-HP-28</x:v>
      </x:c>
      <x:c r="E2764" s="7" t="str">
        <x:v>Hold Ledger!J290</x:v>
      </x:c>
      <x:c r="F2764" s="7" t="str">
        <x:f>'Hold Ledger'!J290</x:f>
        <x:v>OPEN</x:v>
      </x:c>
    </x:row>
    <x:row r="2765">
      <x:c r="B2765" s="7" t="str">
        <x:v>PHY-2759</x:v>
      </x:c>
      <x:c r="C2765" s="7" t="str">
        <x:v>hold record</x:v>
      </x:c>
      <x:c r="D2765" s="7" t="str">
        <x:v>RAE-E-09-HP-29</x:v>
      </x:c>
      <x:c r="E2765" s="7" t="str">
        <x:v>Hold Ledger!J291</x:v>
      </x:c>
      <x:c r="F2765" s="7" t="str">
        <x:f>'Hold Ledger'!J291</x:f>
        <x:v>OPEN</x:v>
      </x:c>
    </x:row>
    <x:row r="2766">
      <x:c r="B2766" s="7" t="str">
        <x:v>PHY-2760</x:v>
      </x:c>
      <x:c r="C2766" s="7" t="str">
        <x:v>hold record</x:v>
      </x:c>
      <x:c r="D2766" s="7" t="str">
        <x:v>RAE-E-09-HP-30</x:v>
      </x:c>
      <x:c r="E2766" s="7" t="str">
        <x:v>Hold Ledger!J292</x:v>
      </x:c>
      <x:c r="F2766" s="7" t="str">
        <x:f>'Hold Ledger'!J292</x:f>
        <x:v>OPEN</x:v>
      </x:c>
    </x:row>
    <x:row r="2767">
      <x:c r="B2767" s="7" t="str">
        <x:v>PHY-2761</x:v>
      </x:c>
      <x:c r="C2767" s="7" t="str">
        <x:v>hold record</x:v>
      </x:c>
      <x:c r="D2767" s="7" t="str">
        <x:v>RAE-E-09-HP-31</x:v>
      </x:c>
      <x:c r="E2767" s="7" t="str">
        <x:v>Hold Ledger!J293</x:v>
      </x:c>
      <x:c r="F2767" s="7" t="str">
        <x:f>'Hold Ledger'!J293</x:f>
        <x:v>OPEN</x:v>
      </x:c>
    </x:row>
    <x:row r="2768">
      <x:c r="B2768" s="7" t="str">
        <x:v>PHY-2762</x:v>
      </x:c>
      <x:c r="C2768" s="7" t="str">
        <x:v>hold record</x:v>
      </x:c>
      <x:c r="D2768" s="7" t="str">
        <x:v>RAE-E-09-HP-32</x:v>
      </x:c>
      <x:c r="E2768" s="7" t="str">
        <x:v>Hold Ledger!J294</x:v>
      </x:c>
      <x:c r="F2768" s="7" t="str">
        <x:f>'Hold Ledger'!J294</x:f>
        <x:v>OPEN</x:v>
      </x:c>
    </x:row>
    <x:row r="2769">
      <x:c r="B2769" s="7" t="str">
        <x:v>PHY-2763</x:v>
      </x:c>
      <x:c r="C2769" s="7" t="str">
        <x:v>hold record</x:v>
      </x:c>
      <x:c r="D2769" s="7" t="str">
        <x:v>RAE-E-10-HP-01</x:v>
      </x:c>
      <x:c r="E2769" s="7" t="str">
        <x:v>Hold Ledger!J295</x:v>
      </x:c>
      <x:c r="F2769" s="7" t="str">
        <x:f>'Hold Ledger'!J295</x:f>
        <x:v>OPEN</x:v>
      </x:c>
    </x:row>
    <x:row r="2770">
      <x:c r="B2770" s="7" t="str">
        <x:v>PHY-2764</x:v>
      </x:c>
      <x:c r="C2770" s="7" t="str">
        <x:v>hold record</x:v>
      </x:c>
      <x:c r="D2770" s="7" t="str">
        <x:v>RAE-E-10-HP-02</x:v>
      </x:c>
      <x:c r="E2770" s="7" t="str">
        <x:v>Hold Ledger!J296</x:v>
      </x:c>
      <x:c r="F2770" s="7" t="str">
        <x:f>'Hold Ledger'!J296</x:f>
        <x:v>OPEN</x:v>
      </x:c>
    </x:row>
    <x:row r="2771">
      <x:c r="B2771" s="7" t="str">
        <x:v>PHY-2765</x:v>
      </x:c>
      <x:c r="C2771" s="7" t="str">
        <x:v>hold record</x:v>
      </x:c>
      <x:c r="D2771" s="7" t="str">
        <x:v>RAE-E-10-HP-03</x:v>
      </x:c>
      <x:c r="E2771" s="7" t="str">
        <x:v>Hold Ledger!J297</x:v>
      </x:c>
      <x:c r="F2771" s="7" t="str">
        <x:f>'Hold Ledger'!J297</x:f>
        <x:v>OPEN</x:v>
      </x:c>
    </x:row>
    <x:row r="2772">
      <x:c r="B2772" s="7" t="str">
        <x:v>PHY-2766</x:v>
      </x:c>
      <x:c r="C2772" s="7" t="str">
        <x:v>hold record</x:v>
      </x:c>
      <x:c r="D2772" s="7" t="str">
        <x:v>RAE-E-10-HP-04</x:v>
      </x:c>
      <x:c r="E2772" s="7" t="str">
        <x:v>Hold Ledger!J298</x:v>
      </x:c>
      <x:c r="F2772" s="7" t="str">
        <x:f>'Hold Ledger'!J298</x:f>
        <x:v>OPEN</x:v>
      </x:c>
    </x:row>
    <x:row r="2773">
      <x:c r="B2773" s="7" t="str">
        <x:v>PHY-2767</x:v>
      </x:c>
      <x:c r="C2773" s="7" t="str">
        <x:v>hold record</x:v>
      </x:c>
      <x:c r="D2773" s="7" t="str">
        <x:v>RAE-E-10-HP-05</x:v>
      </x:c>
      <x:c r="E2773" s="7" t="str">
        <x:v>Hold Ledger!J299</x:v>
      </x:c>
      <x:c r="F2773" s="7" t="str">
        <x:f>'Hold Ledger'!J299</x:f>
        <x:v>OPEN</x:v>
      </x:c>
    </x:row>
    <x:row r="2774">
      <x:c r="B2774" s="7" t="str">
        <x:v>PHY-2768</x:v>
      </x:c>
      <x:c r="C2774" s="7" t="str">
        <x:v>hold record</x:v>
      </x:c>
      <x:c r="D2774" s="7" t="str">
        <x:v>RAE-E-10-HP-06</x:v>
      </x:c>
      <x:c r="E2774" s="7" t="str">
        <x:v>Hold Ledger!J300</x:v>
      </x:c>
      <x:c r="F2774" s="7" t="str">
        <x:f>'Hold Ledger'!J300</x:f>
        <x:v>OPEN</x:v>
      </x:c>
    </x:row>
    <x:row r="2775">
      <x:c r="B2775" s="7" t="str">
        <x:v>PHY-2769</x:v>
      </x:c>
      <x:c r="C2775" s="7" t="str">
        <x:v>hold record</x:v>
      </x:c>
      <x:c r="D2775" s="7" t="str">
        <x:v>RAE-E-10-HP-07</x:v>
      </x:c>
      <x:c r="E2775" s="7" t="str">
        <x:v>Hold Ledger!J301</x:v>
      </x:c>
      <x:c r="F2775" s="7" t="str">
        <x:f>'Hold Ledger'!J301</x:f>
        <x:v>OPEN</x:v>
      </x:c>
    </x:row>
    <x:row r="2776">
      <x:c r="B2776" s="7" t="str">
        <x:v>PHY-2770</x:v>
      </x:c>
      <x:c r="C2776" s="7" t="str">
        <x:v>hold record</x:v>
      </x:c>
      <x:c r="D2776" s="7" t="str">
        <x:v>RAE-E-10-HP-08</x:v>
      </x:c>
      <x:c r="E2776" s="7" t="str">
        <x:v>Hold Ledger!J302</x:v>
      </x:c>
      <x:c r="F2776" s="7" t="str">
        <x:f>'Hold Ledger'!J302</x:f>
        <x:v>OPEN</x:v>
      </x:c>
    </x:row>
    <x:row r="2777">
      <x:c r="B2777" s="7" t="str">
        <x:v>PHY-2771</x:v>
      </x:c>
      <x:c r="C2777" s="7" t="str">
        <x:v>hold record</x:v>
      </x:c>
      <x:c r="D2777" s="7" t="str">
        <x:v>RAE-E-10-HP-09</x:v>
      </x:c>
      <x:c r="E2777" s="7" t="str">
        <x:v>Hold Ledger!J303</x:v>
      </x:c>
      <x:c r="F2777" s="7" t="str">
        <x:f>'Hold Ledger'!J303</x:f>
        <x:v>OPEN</x:v>
      </x:c>
    </x:row>
    <x:row r="2778">
      <x:c r="B2778" s="7" t="str">
        <x:v>PHY-2772</x:v>
      </x:c>
      <x:c r="C2778" s="7" t="str">
        <x:v>hold record</x:v>
      </x:c>
      <x:c r="D2778" s="7" t="str">
        <x:v>RAE-E-10-HP-10</x:v>
      </x:c>
      <x:c r="E2778" s="7" t="str">
        <x:v>Hold Ledger!J304</x:v>
      </x:c>
      <x:c r="F2778" s="7" t="str">
        <x:f>'Hold Ledger'!J304</x:f>
        <x:v>OPEN</x:v>
      </x:c>
    </x:row>
    <x:row r="2779">
      <x:c r="B2779" s="7" t="str">
        <x:v>PHY-2773</x:v>
      </x:c>
      <x:c r="C2779" s="7" t="str">
        <x:v>hold record</x:v>
      </x:c>
      <x:c r="D2779" s="7" t="str">
        <x:v>RAE-E-10-HP-11</x:v>
      </x:c>
      <x:c r="E2779" s="7" t="str">
        <x:v>Hold Ledger!J305</x:v>
      </x:c>
      <x:c r="F2779" s="7" t="str">
        <x:f>'Hold Ledger'!J305</x:f>
        <x:v>OPEN</x:v>
      </x:c>
    </x:row>
    <x:row r="2780">
      <x:c r="B2780" s="7" t="str">
        <x:v>PHY-2774</x:v>
      </x:c>
      <x:c r="C2780" s="7" t="str">
        <x:v>hold record</x:v>
      </x:c>
      <x:c r="D2780" s="7" t="str">
        <x:v>RAE-E-10-HP-12</x:v>
      </x:c>
      <x:c r="E2780" s="7" t="str">
        <x:v>Hold Ledger!J306</x:v>
      </x:c>
      <x:c r="F2780" s="7" t="str">
        <x:f>'Hold Ledger'!J306</x:f>
        <x:v>OPEN</x:v>
      </x:c>
    </x:row>
    <x:row r="2781">
      <x:c r="B2781" s="7" t="str">
        <x:v>PHY-2775</x:v>
      </x:c>
      <x:c r="C2781" s="7" t="str">
        <x:v>hold record</x:v>
      </x:c>
      <x:c r="D2781" s="7" t="str">
        <x:v>RAE-E-10-HP-13</x:v>
      </x:c>
      <x:c r="E2781" s="7" t="str">
        <x:v>Hold Ledger!J307</x:v>
      </x:c>
      <x:c r="F2781" s="7" t="str">
        <x:f>'Hold Ledger'!J307</x:f>
        <x:v>OPEN</x:v>
      </x:c>
    </x:row>
    <x:row r="2782">
      <x:c r="B2782" s="7" t="str">
        <x:v>PHY-2776</x:v>
      </x:c>
      <x:c r="C2782" s="7" t="str">
        <x:v>hold record</x:v>
      </x:c>
      <x:c r="D2782" s="7" t="str">
        <x:v>RAE-E-10-HP-14</x:v>
      </x:c>
      <x:c r="E2782" s="7" t="str">
        <x:v>Hold Ledger!J308</x:v>
      </x:c>
      <x:c r="F2782" s="7" t="str">
        <x:f>'Hold Ledger'!J308</x:f>
        <x:v>OPEN</x:v>
      </x:c>
    </x:row>
    <x:row r="2783">
      <x:c r="B2783" s="7" t="str">
        <x:v>PHY-2777</x:v>
      </x:c>
      <x:c r="C2783" s="7" t="str">
        <x:v>hold record</x:v>
      </x:c>
      <x:c r="D2783" s="7" t="str">
        <x:v>RAE-E-10-HP-15</x:v>
      </x:c>
      <x:c r="E2783" s="7" t="str">
        <x:v>Hold Ledger!J309</x:v>
      </x:c>
      <x:c r="F2783" s="7" t="str">
        <x:f>'Hold Ledger'!J309</x:f>
        <x:v>OPEN</x:v>
      </x:c>
    </x:row>
    <x:row r="2784">
      <x:c r="B2784" s="7" t="str">
        <x:v>PHY-2778</x:v>
      </x:c>
      <x:c r="C2784" s="7" t="str">
        <x:v>hold record</x:v>
      </x:c>
      <x:c r="D2784" s="7" t="str">
        <x:v>RAE-E-10-HP-16</x:v>
      </x:c>
      <x:c r="E2784" s="7" t="str">
        <x:v>Hold Ledger!J310</x:v>
      </x:c>
      <x:c r="F2784" s="7" t="str">
        <x:f>'Hold Ledger'!J310</x:f>
        <x:v>OPEN</x:v>
      </x:c>
    </x:row>
    <x:row r="2785">
      <x:c r="B2785" s="7" t="str">
        <x:v>PHY-2779</x:v>
      </x:c>
      <x:c r="C2785" s="7" t="str">
        <x:v>hold record</x:v>
      </x:c>
      <x:c r="D2785" s="7" t="str">
        <x:v>RAE-E-10-HP-17</x:v>
      </x:c>
      <x:c r="E2785" s="7" t="str">
        <x:v>Hold Ledger!J311</x:v>
      </x:c>
      <x:c r="F2785" s="7" t="str">
        <x:f>'Hold Ledger'!J311</x:f>
        <x:v>OPEN</x:v>
      </x:c>
    </x:row>
    <x:row r="2786">
      <x:c r="B2786" s="7" t="str">
        <x:v>PHY-2780</x:v>
      </x:c>
      <x:c r="C2786" s="7" t="str">
        <x:v>hold record</x:v>
      </x:c>
      <x:c r="D2786" s="7" t="str">
        <x:v>RAE-E-10-HP-18</x:v>
      </x:c>
      <x:c r="E2786" s="7" t="str">
        <x:v>Hold Ledger!J312</x:v>
      </x:c>
      <x:c r="F2786" s="7" t="str">
        <x:f>'Hold Ledger'!J312</x:f>
        <x:v>OPEN</x:v>
      </x:c>
    </x:row>
    <x:row r="2787">
      <x:c r="B2787" s="7" t="str">
        <x:v>PHY-2781</x:v>
      </x:c>
      <x:c r="C2787" s="7" t="str">
        <x:v>hold record</x:v>
      </x:c>
      <x:c r="D2787" s="7" t="str">
        <x:v>RAE-E-10-HP-19</x:v>
      </x:c>
      <x:c r="E2787" s="7" t="str">
        <x:v>Hold Ledger!J313</x:v>
      </x:c>
      <x:c r="F2787" s="7" t="str">
        <x:f>'Hold Ledger'!J313</x:f>
        <x:v>OPEN</x:v>
      </x:c>
    </x:row>
    <x:row r="2788">
      <x:c r="B2788" s="7" t="str">
        <x:v>PHY-2782</x:v>
      </x:c>
      <x:c r="C2788" s="7" t="str">
        <x:v>hold record</x:v>
      </x:c>
      <x:c r="D2788" s="7" t="str">
        <x:v>RAE-E-10-HP-20</x:v>
      </x:c>
      <x:c r="E2788" s="7" t="str">
        <x:v>Hold Ledger!J314</x:v>
      </x:c>
      <x:c r="F2788" s="7" t="str">
        <x:f>'Hold Ledger'!J314</x:f>
        <x:v>OPEN</x:v>
      </x:c>
    </x:row>
    <x:row r="2789">
      <x:c r="B2789" s="7" t="str">
        <x:v>PHY-2783</x:v>
      </x:c>
      <x:c r="C2789" s="7" t="str">
        <x:v>hold record</x:v>
      </x:c>
      <x:c r="D2789" s="7" t="str">
        <x:v>RAE-E-10-HP-21</x:v>
      </x:c>
      <x:c r="E2789" s="7" t="str">
        <x:v>Hold Ledger!J315</x:v>
      </x:c>
      <x:c r="F2789" s="7" t="str">
        <x:f>'Hold Ledger'!J315</x:f>
        <x:v>OPEN</x:v>
      </x:c>
    </x:row>
    <x:row r="2790">
      <x:c r="B2790" s="7" t="str">
        <x:v>PHY-2784</x:v>
      </x:c>
      <x:c r="C2790" s="7" t="str">
        <x:v>hold record</x:v>
      </x:c>
      <x:c r="D2790" s="7" t="str">
        <x:v>RAE-E-10-HP-22</x:v>
      </x:c>
      <x:c r="E2790" s="7" t="str">
        <x:v>Hold Ledger!J316</x:v>
      </x:c>
      <x:c r="F2790" s="7" t="str">
        <x:f>'Hold Ledger'!J316</x:f>
        <x:v>OPEN</x:v>
      </x:c>
    </x:row>
    <x:row r="2791">
      <x:c r="B2791" s="7" t="str">
        <x:v>PHY-2785</x:v>
      </x:c>
      <x:c r="C2791" s="7" t="str">
        <x:v>hold record</x:v>
      </x:c>
      <x:c r="D2791" s="7" t="str">
        <x:v>RAE-E-10-HP-23</x:v>
      </x:c>
      <x:c r="E2791" s="7" t="str">
        <x:v>Hold Ledger!J317</x:v>
      </x:c>
      <x:c r="F2791" s="7" t="str">
        <x:f>'Hold Ledger'!J317</x:f>
        <x:v>OPEN</x:v>
      </x:c>
    </x:row>
    <x:row r="2792">
      <x:c r="B2792" s="7" t="str">
        <x:v>PHY-2786</x:v>
      </x:c>
      <x:c r="C2792" s="7" t="str">
        <x:v>hold record</x:v>
      </x:c>
      <x:c r="D2792" s="7" t="str">
        <x:v>RAE-E-10-HP-24</x:v>
      </x:c>
      <x:c r="E2792" s="7" t="str">
        <x:v>Hold Ledger!J318</x:v>
      </x:c>
      <x:c r="F2792" s="7" t="str">
        <x:f>'Hold Ledger'!J318</x:f>
        <x:v>OPEN</x:v>
      </x:c>
    </x:row>
    <x:row r="2793">
      <x:c r="B2793" s="7" t="str">
        <x:v>PHY-2787</x:v>
      </x:c>
      <x:c r="C2793" s="7" t="str">
        <x:v>hold record</x:v>
      </x:c>
      <x:c r="D2793" s="7" t="str">
        <x:v>RAE-E-10-HP-25</x:v>
      </x:c>
      <x:c r="E2793" s="7" t="str">
        <x:v>Hold Ledger!J319</x:v>
      </x:c>
      <x:c r="F2793" s="7" t="str">
        <x:f>'Hold Ledger'!J319</x:f>
        <x:v>OPEN</x:v>
      </x:c>
    </x:row>
    <x:row r="2794">
      <x:c r="B2794" s="7" t="str">
        <x:v>PHY-2788</x:v>
      </x:c>
      <x:c r="C2794" s="7" t="str">
        <x:v>hold record</x:v>
      </x:c>
      <x:c r="D2794" s="7" t="str">
        <x:v>RAE-E-10-HP-26</x:v>
      </x:c>
      <x:c r="E2794" s="7" t="str">
        <x:v>Hold Ledger!J320</x:v>
      </x:c>
      <x:c r="F2794" s="7" t="str">
        <x:f>'Hold Ledger'!J320</x:f>
        <x:v>OPEN</x:v>
      </x:c>
    </x:row>
    <x:row r="2795">
      <x:c r="B2795" s="7" t="str">
        <x:v>PHY-2789</x:v>
      </x:c>
      <x:c r="C2795" s="7" t="str">
        <x:v>hold record</x:v>
      </x:c>
      <x:c r="D2795" s="7" t="str">
        <x:v>RAE-E-10-HP-27</x:v>
      </x:c>
      <x:c r="E2795" s="7" t="str">
        <x:v>Hold Ledger!J321</x:v>
      </x:c>
      <x:c r="F2795" s="7" t="str">
        <x:f>'Hold Ledger'!J321</x:f>
        <x:v>OPEN</x:v>
      </x:c>
    </x:row>
    <x:row r="2796">
      <x:c r="B2796" s="7" t="str">
        <x:v>PHY-2790</x:v>
      </x:c>
      <x:c r="C2796" s="7" t="str">
        <x:v>hold record</x:v>
      </x:c>
      <x:c r="D2796" s="7" t="str">
        <x:v>RAE-E-10-HP-28</x:v>
      </x:c>
      <x:c r="E2796" s="7" t="str">
        <x:v>Hold Ledger!J322</x:v>
      </x:c>
      <x:c r="F2796" s="7" t="str">
        <x:f>'Hold Ledger'!J322</x:f>
        <x:v>OPEN</x:v>
      </x:c>
    </x:row>
    <x:row r="2797">
      <x:c r="B2797" s="7" t="str">
        <x:v>PHY-2791</x:v>
      </x:c>
      <x:c r="C2797" s="7" t="str">
        <x:v>hold record</x:v>
      </x:c>
      <x:c r="D2797" s="7" t="str">
        <x:v>RAE-E-10-HP-29</x:v>
      </x:c>
      <x:c r="E2797" s="7" t="str">
        <x:v>Hold Ledger!J323</x:v>
      </x:c>
      <x:c r="F2797" s="7" t="str">
        <x:f>'Hold Ledger'!J323</x:f>
        <x:v>OPEN</x:v>
      </x:c>
    </x:row>
    <x:row r="2798">
      <x:c r="B2798" s="7" t="str">
        <x:v>PHY-2792</x:v>
      </x:c>
      <x:c r="C2798" s="7" t="str">
        <x:v>hold record</x:v>
      </x:c>
      <x:c r="D2798" s="7" t="str">
        <x:v>RAE-E-10-HP-30</x:v>
      </x:c>
      <x:c r="E2798" s="7" t="str">
        <x:v>Hold Ledger!J324</x:v>
      </x:c>
      <x:c r="F2798" s="7" t="str">
        <x:f>'Hold Ledger'!J324</x:f>
        <x:v>OPEN</x:v>
      </x:c>
    </x:row>
    <x:row r="2799">
      <x:c r="B2799" s="7" t="str">
        <x:v>PHY-2793</x:v>
      </x:c>
      <x:c r="C2799" s="7" t="str">
        <x:v>hold record</x:v>
      </x:c>
      <x:c r="D2799" s="7" t="str">
        <x:v>RAE-E-10-HP-31</x:v>
      </x:c>
      <x:c r="E2799" s="7" t="str">
        <x:v>Hold Ledger!J325</x:v>
      </x:c>
      <x:c r="F2799" s="7" t="str">
        <x:f>'Hold Ledger'!J325</x:f>
        <x:v>OPEN</x:v>
      </x:c>
    </x:row>
    <x:row r="2800">
      <x:c r="B2800" s="7" t="str">
        <x:v>PHY-2794</x:v>
      </x:c>
      <x:c r="C2800" s="7" t="str">
        <x:v>hold record</x:v>
      </x:c>
      <x:c r="D2800" s="7" t="str">
        <x:v>RAE-E-10-HP-32</x:v>
      </x:c>
      <x:c r="E2800" s="7" t="str">
        <x:v>Hold Ledger!J326</x:v>
      </x:c>
      <x:c r="F2800" s="7" t="str">
        <x:f>'Hold Ledger'!J326</x:f>
        <x:v>OPEN</x:v>
      </x:c>
    </x:row>
    <x:row r="2801">
      <x:c r="B2801" s="7" t="str">
        <x:v>PHY-2795</x:v>
      </x:c>
      <x:c r="C2801" s="7" t="str">
        <x:v>hold record</x:v>
      </x:c>
      <x:c r="D2801" s="7" t="str">
        <x:v>RAE-E-11-HP-01</x:v>
      </x:c>
      <x:c r="E2801" s="7" t="str">
        <x:v>Hold Ledger!J327</x:v>
      </x:c>
      <x:c r="F2801" s="7" t="str">
        <x:f>'Hold Ledger'!J327</x:f>
        <x:v>OPEN</x:v>
      </x:c>
    </x:row>
    <x:row r="2802">
      <x:c r="B2802" s="7" t="str">
        <x:v>PHY-2796</x:v>
      </x:c>
      <x:c r="C2802" s="7" t="str">
        <x:v>hold record</x:v>
      </x:c>
      <x:c r="D2802" s="7" t="str">
        <x:v>RAE-E-11-HP-02</x:v>
      </x:c>
      <x:c r="E2802" s="7" t="str">
        <x:v>Hold Ledger!J328</x:v>
      </x:c>
      <x:c r="F2802" s="7" t="str">
        <x:f>'Hold Ledger'!J328</x:f>
        <x:v>OPEN</x:v>
      </x:c>
    </x:row>
    <x:row r="2803">
      <x:c r="B2803" s="7" t="str">
        <x:v>PHY-2797</x:v>
      </x:c>
      <x:c r="C2803" s="7" t="str">
        <x:v>hold record</x:v>
      </x:c>
      <x:c r="D2803" s="7" t="str">
        <x:v>RAE-E-11-HP-03</x:v>
      </x:c>
      <x:c r="E2803" s="7" t="str">
        <x:v>Hold Ledger!J329</x:v>
      </x:c>
      <x:c r="F2803" s="7" t="str">
        <x:f>'Hold Ledger'!J329</x:f>
        <x:v>OPEN</x:v>
      </x:c>
    </x:row>
    <x:row r="2804">
      <x:c r="B2804" s="7" t="str">
        <x:v>PHY-2798</x:v>
      </x:c>
      <x:c r="C2804" s="7" t="str">
        <x:v>hold record</x:v>
      </x:c>
      <x:c r="D2804" s="7" t="str">
        <x:v>RAE-E-11-HP-04</x:v>
      </x:c>
      <x:c r="E2804" s="7" t="str">
        <x:v>Hold Ledger!J330</x:v>
      </x:c>
      <x:c r="F2804" s="7" t="str">
        <x:f>'Hold Ledger'!J330</x:f>
        <x:v>OPEN</x:v>
      </x:c>
    </x:row>
    <x:row r="2805">
      <x:c r="B2805" s="7" t="str">
        <x:v>PHY-2799</x:v>
      </x:c>
      <x:c r="C2805" s="7" t="str">
        <x:v>hold record</x:v>
      </x:c>
      <x:c r="D2805" s="7" t="str">
        <x:v>RAE-E-11-HP-05</x:v>
      </x:c>
      <x:c r="E2805" s="7" t="str">
        <x:v>Hold Ledger!J331</x:v>
      </x:c>
      <x:c r="F2805" s="7" t="str">
        <x:f>'Hold Ledger'!J331</x:f>
        <x:v>OPEN</x:v>
      </x:c>
    </x:row>
    <x:row r="2806">
      <x:c r="B2806" s="7" t="str">
        <x:v>PHY-2800</x:v>
      </x:c>
      <x:c r="C2806" s="7" t="str">
        <x:v>hold record</x:v>
      </x:c>
      <x:c r="D2806" s="7" t="str">
        <x:v>RAE-E-11-HP-06</x:v>
      </x:c>
      <x:c r="E2806" s="7" t="str">
        <x:v>Hold Ledger!J332</x:v>
      </x:c>
      <x:c r="F2806" s="7" t="str">
        <x:f>'Hold Ledger'!J332</x:f>
        <x:v>OPEN</x:v>
      </x:c>
    </x:row>
    <x:row r="2807">
      <x:c r="B2807" s="7" t="str">
        <x:v>PHY-2801</x:v>
      </x:c>
      <x:c r="C2807" s="7" t="str">
        <x:v>hold record</x:v>
      </x:c>
      <x:c r="D2807" s="7" t="str">
        <x:v>RAE-E-11-HP-07</x:v>
      </x:c>
      <x:c r="E2807" s="7" t="str">
        <x:v>Hold Ledger!J333</x:v>
      </x:c>
      <x:c r="F2807" s="7" t="str">
        <x:f>'Hold Ledger'!J333</x:f>
        <x:v>OPEN</x:v>
      </x:c>
    </x:row>
    <x:row r="2808">
      <x:c r="B2808" s="7" t="str">
        <x:v>PHY-2802</x:v>
      </x:c>
      <x:c r="C2808" s="7" t="str">
        <x:v>hold record</x:v>
      </x:c>
      <x:c r="D2808" s="7" t="str">
        <x:v>RAE-E-11-HP-08</x:v>
      </x:c>
      <x:c r="E2808" s="7" t="str">
        <x:v>Hold Ledger!J334</x:v>
      </x:c>
      <x:c r="F2808" s="7" t="str">
        <x:f>'Hold Ledger'!J334</x:f>
        <x:v>OPEN</x:v>
      </x:c>
    </x:row>
    <x:row r="2809">
      <x:c r="B2809" s="7" t="str">
        <x:v>PHY-2803</x:v>
      </x:c>
      <x:c r="C2809" s="7" t="str">
        <x:v>hold record</x:v>
      </x:c>
      <x:c r="D2809" s="7" t="str">
        <x:v>RAE-E-11-HP-09</x:v>
      </x:c>
      <x:c r="E2809" s="7" t="str">
        <x:v>Hold Ledger!J335</x:v>
      </x:c>
      <x:c r="F2809" s="7" t="str">
        <x:f>'Hold Ledger'!J335</x:f>
        <x:v>OPEN</x:v>
      </x:c>
    </x:row>
    <x:row r="2810">
      <x:c r="B2810" s="7" t="str">
        <x:v>PHY-2804</x:v>
      </x:c>
      <x:c r="C2810" s="7" t="str">
        <x:v>hold record</x:v>
      </x:c>
      <x:c r="D2810" s="7" t="str">
        <x:v>RAE-E-11-HP-10</x:v>
      </x:c>
      <x:c r="E2810" s="7" t="str">
        <x:v>Hold Ledger!J336</x:v>
      </x:c>
      <x:c r="F2810" s="7" t="str">
        <x:f>'Hold Ledger'!J336</x:f>
        <x:v>OPEN</x:v>
      </x:c>
    </x:row>
    <x:row r="2811">
      <x:c r="B2811" s="7" t="str">
        <x:v>PHY-2805</x:v>
      </x:c>
      <x:c r="C2811" s="7" t="str">
        <x:v>hold record</x:v>
      </x:c>
      <x:c r="D2811" s="7" t="str">
        <x:v>RAE-E-11-HP-11</x:v>
      </x:c>
      <x:c r="E2811" s="7" t="str">
        <x:v>Hold Ledger!J337</x:v>
      </x:c>
      <x:c r="F2811" s="7" t="str">
        <x:f>'Hold Ledger'!J337</x:f>
        <x:v>OPEN</x:v>
      </x:c>
    </x:row>
    <x:row r="2812">
      <x:c r="B2812" s="7" t="str">
        <x:v>PHY-2806</x:v>
      </x:c>
      <x:c r="C2812" s="7" t="str">
        <x:v>hold record</x:v>
      </x:c>
      <x:c r="D2812" s="7" t="str">
        <x:v>RAE-E-11-HP-12</x:v>
      </x:c>
      <x:c r="E2812" s="7" t="str">
        <x:v>Hold Ledger!J338</x:v>
      </x:c>
      <x:c r="F2812" s="7" t="str">
        <x:f>'Hold Ledger'!J338</x:f>
        <x:v>OPEN</x:v>
      </x:c>
    </x:row>
    <x:row r="2813">
      <x:c r="B2813" s="7" t="str">
        <x:v>PHY-2807</x:v>
      </x:c>
      <x:c r="C2813" s="7" t="str">
        <x:v>hold record</x:v>
      </x:c>
      <x:c r="D2813" s="7" t="str">
        <x:v>RAE-E-11-HP-13</x:v>
      </x:c>
      <x:c r="E2813" s="7" t="str">
        <x:v>Hold Ledger!J339</x:v>
      </x:c>
      <x:c r="F2813" s="7" t="str">
        <x:f>'Hold Ledger'!J339</x:f>
        <x:v>OPEN</x:v>
      </x:c>
    </x:row>
    <x:row r="2814">
      <x:c r="B2814" s="7" t="str">
        <x:v>PHY-2808</x:v>
      </x:c>
      <x:c r="C2814" s="7" t="str">
        <x:v>hold record</x:v>
      </x:c>
      <x:c r="D2814" s="7" t="str">
        <x:v>RAE-E-11-HP-14</x:v>
      </x:c>
      <x:c r="E2814" s="7" t="str">
        <x:v>Hold Ledger!J340</x:v>
      </x:c>
      <x:c r="F2814" s="7" t="str">
        <x:f>'Hold Ledger'!J340</x:f>
        <x:v>OPEN</x:v>
      </x:c>
    </x:row>
    <x:row r="2815">
      <x:c r="B2815" s="7" t="str">
        <x:v>PHY-2809</x:v>
      </x:c>
      <x:c r="C2815" s="7" t="str">
        <x:v>hold record</x:v>
      </x:c>
      <x:c r="D2815" s="7" t="str">
        <x:v>RAE-E-11-HP-15</x:v>
      </x:c>
      <x:c r="E2815" s="7" t="str">
        <x:v>Hold Ledger!J341</x:v>
      </x:c>
      <x:c r="F2815" s="7" t="str">
        <x:f>'Hold Ledger'!J341</x:f>
        <x:v>OPEN</x:v>
      </x:c>
    </x:row>
    <x:row r="2816">
      <x:c r="B2816" s="7" t="str">
        <x:v>PHY-2810</x:v>
      </x:c>
      <x:c r="C2816" s="7" t="str">
        <x:v>hold record</x:v>
      </x:c>
      <x:c r="D2816" s="7" t="str">
        <x:v>RAE-E-11-HP-16</x:v>
      </x:c>
      <x:c r="E2816" s="7" t="str">
        <x:v>Hold Ledger!J342</x:v>
      </x:c>
      <x:c r="F2816" s="7" t="str">
        <x:f>'Hold Ledger'!J342</x:f>
        <x:v>OPEN</x:v>
      </x:c>
    </x:row>
    <x:row r="2817">
      <x:c r="B2817" s="7" t="str">
        <x:v>PHY-2811</x:v>
      </x:c>
      <x:c r="C2817" s="7" t="str">
        <x:v>hold record</x:v>
      </x:c>
      <x:c r="D2817" s="7" t="str">
        <x:v>RAE-E-11-HP-17</x:v>
      </x:c>
      <x:c r="E2817" s="7" t="str">
        <x:v>Hold Ledger!J343</x:v>
      </x:c>
      <x:c r="F2817" s="7" t="str">
        <x:f>'Hold Ledger'!J343</x:f>
        <x:v>OPEN</x:v>
      </x:c>
    </x:row>
    <x:row r="2818">
      <x:c r="B2818" s="7" t="str">
        <x:v>PHY-2812</x:v>
      </x:c>
      <x:c r="C2818" s="7" t="str">
        <x:v>hold record</x:v>
      </x:c>
      <x:c r="D2818" s="7" t="str">
        <x:v>RAE-E-11-HP-18</x:v>
      </x:c>
      <x:c r="E2818" s="7" t="str">
        <x:v>Hold Ledger!J344</x:v>
      </x:c>
      <x:c r="F2818" s="7" t="str">
        <x:f>'Hold Ledger'!J344</x:f>
        <x:v>OPEN</x:v>
      </x:c>
    </x:row>
    <x:row r="2819">
      <x:c r="B2819" s="7" t="str">
        <x:v>PHY-2813</x:v>
      </x:c>
      <x:c r="C2819" s="7" t="str">
        <x:v>hold record</x:v>
      </x:c>
      <x:c r="D2819" s="7" t="str">
        <x:v>RAE-E-11-HP-19</x:v>
      </x:c>
      <x:c r="E2819" s="7" t="str">
        <x:v>Hold Ledger!J345</x:v>
      </x:c>
      <x:c r="F2819" s="7" t="str">
        <x:f>'Hold Ledger'!J345</x:f>
        <x:v>OPEN</x:v>
      </x:c>
    </x:row>
    <x:row r="2820">
      <x:c r="B2820" s="7" t="str">
        <x:v>PHY-2814</x:v>
      </x:c>
      <x:c r="C2820" s="7" t="str">
        <x:v>hold record</x:v>
      </x:c>
      <x:c r="D2820" s="7" t="str">
        <x:v>RAE-E-11-HP-20</x:v>
      </x:c>
      <x:c r="E2820" s="7" t="str">
        <x:v>Hold Ledger!J346</x:v>
      </x:c>
      <x:c r="F2820" s="7" t="str">
        <x:f>'Hold Ledger'!J346</x:f>
        <x:v>OPEN</x:v>
      </x:c>
    </x:row>
    <x:row r="2821">
      <x:c r="B2821" s="7" t="str">
        <x:v>PHY-2815</x:v>
      </x:c>
      <x:c r="C2821" s="7" t="str">
        <x:v>hold record</x:v>
      </x:c>
      <x:c r="D2821" s="7" t="str">
        <x:v>RAE-E-11-HP-21</x:v>
      </x:c>
      <x:c r="E2821" s="7" t="str">
        <x:v>Hold Ledger!J347</x:v>
      </x:c>
      <x:c r="F2821" s="7" t="str">
        <x:f>'Hold Ledger'!J347</x:f>
        <x:v>OPEN</x:v>
      </x:c>
    </x:row>
    <x:row r="2822">
      <x:c r="B2822" s="7" t="str">
        <x:v>PHY-2816</x:v>
      </x:c>
      <x:c r="C2822" s="7" t="str">
        <x:v>hold record</x:v>
      </x:c>
      <x:c r="D2822" s="7" t="str">
        <x:v>RAE-E-11-HP-22</x:v>
      </x:c>
      <x:c r="E2822" s="7" t="str">
        <x:v>Hold Ledger!J348</x:v>
      </x:c>
      <x:c r="F2822" s="7" t="str">
        <x:f>'Hold Ledger'!J348</x:f>
        <x:v>OPEN</x:v>
      </x:c>
    </x:row>
    <x:row r="2823">
      <x:c r="B2823" s="7" t="str">
        <x:v>PHY-2817</x:v>
      </x:c>
      <x:c r="C2823" s="7" t="str">
        <x:v>hold record</x:v>
      </x:c>
      <x:c r="D2823" s="7" t="str">
        <x:v>RAE-E-11-HP-23</x:v>
      </x:c>
      <x:c r="E2823" s="7" t="str">
        <x:v>Hold Ledger!J349</x:v>
      </x:c>
      <x:c r="F2823" s="7" t="str">
        <x:f>'Hold Ledger'!J349</x:f>
        <x:v>OPEN</x:v>
      </x:c>
    </x:row>
    <x:row r="2824">
      <x:c r="B2824" s="7" t="str">
        <x:v>PHY-2818</x:v>
      </x:c>
      <x:c r="C2824" s="7" t="str">
        <x:v>hold record</x:v>
      </x:c>
      <x:c r="D2824" s="7" t="str">
        <x:v>RAE-E-11-HP-24</x:v>
      </x:c>
      <x:c r="E2824" s="7" t="str">
        <x:v>Hold Ledger!J350</x:v>
      </x:c>
      <x:c r="F2824" s="7" t="str">
        <x:f>'Hold Ledger'!J350</x:f>
        <x:v>OPEN</x:v>
      </x:c>
    </x:row>
    <x:row r="2825">
      <x:c r="B2825" s="7" t="str">
        <x:v>PHY-2819</x:v>
      </x:c>
      <x:c r="C2825" s="7" t="str">
        <x:v>hold record</x:v>
      </x:c>
      <x:c r="D2825" s="7" t="str">
        <x:v>RAE-E-11-HP-25</x:v>
      </x:c>
      <x:c r="E2825" s="7" t="str">
        <x:v>Hold Ledger!J351</x:v>
      </x:c>
      <x:c r="F2825" s="7" t="str">
        <x:f>'Hold Ledger'!J351</x:f>
        <x:v>OPEN</x:v>
      </x:c>
    </x:row>
    <x:row r="2826">
      <x:c r="B2826" s="7" t="str">
        <x:v>PHY-2820</x:v>
      </x:c>
      <x:c r="C2826" s="7" t="str">
        <x:v>hold record</x:v>
      </x:c>
      <x:c r="D2826" s="7" t="str">
        <x:v>RAE-E-11-HP-26</x:v>
      </x:c>
      <x:c r="E2826" s="7" t="str">
        <x:v>Hold Ledger!J352</x:v>
      </x:c>
      <x:c r="F2826" s="7" t="str">
        <x:f>'Hold Ledger'!J352</x:f>
        <x:v>OPEN</x:v>
      </x:c>
    </x:row>
    <x:row r="2827">
      <x:c r="B2827" s="7" t="str">
        <x:v>PHY-2821</x:v>
      </x:c>
      <x:c r="C2827" s="7" t="str">
        <x:v>hold record</x:v>
      </x:c>
      <x:c r="D2827" s="7" t="str">
        <x:v>RAE-E-11-HP-27</x:v>
      </x:c>
      <x:c r="E2827" s="7" t="str">
        <x:v>Hold Ledger!J353</x:v>
      </x:c>
      <x:c r="F2827" s="7" t="str">
        <x:f>'Hold Ledger'!J353</x:f>
        <x:v>OPEN</x:v>
      </x:c>
    </x:row>
    <x:row r="2828">
      <x:c r="B2828" s="7" t="str">
        <x:v>PHY-2822</x:v>
      </x:c>
      <x:c r="C2828" s="7" t="str">
        <x:v>hold record</x:v>
      </x:c>
      <x:c r="D2828" s="7" t="str">
        <x:v>RAE-E-11-HP-28</x:v>
      </x:c>
      <x:c r="E2828" s="7" t="str">
        <x:v>Hold Ledger!J354</x:v>
      </x:c>
      <x:c r="F2828" s="7" t="str">
        <x:f>'Hold Ledger'!J354</x:f>
        <x:v>OPEN</x:v>
      </x:c>
    </x:row>
    <x:row r="2829">
      <x:c r="B2829" s="7" t="str">
        <x:v>PHY-2823</x:v>
      </x:c>
      <x:c r="C2829" s="7" t="str">
        <x:v>hold record</x:v>
      </x:c>
      <x:c r="D2829" s="7" t="str">
        <x:v>RAE-E-11-HP-29</x:v>
      </x:c>
      <x:c r="E2829" s="7" t="str">
        <x:v>Hold Ledger!J355</x:v>
      </x:c>
      <x:c r="F2829" s="7" t="str">
        <x:f>'Hold Ledger'!J355</x:f>
        <x:v>OPEN</x:v>
      </x:c>
    </x:row>
    <x:row r="2830">
      <x:c r="B2830" s="7" t="str">
        <x:v>PHY-2824</x:v>
      </x:c>
      <x:c r="C2830" s="7" t="str">
        <x:v>hold record</x:v>
      </x:c>
      <x:c r="D2830" s="7" t="str">
        <x:v>RAE-E-11-HP-30</x:v>
      </x:c>
      <x:c r="E2830" s="7" t="str">
        <x:v>Hold Ledger!J356</x:v>
      </x:c>
      <x:c r="F2830" s="7" t="str">
        <x:f>'Hold Ledger'!J356</x:f>
        <x:v>OPEN</x:v>
      </x:c>
    </x:row>
    <x:row r="2831">
      <x:c r="B2831" s="7" t="str">
        <x:v>PHY-2825</x:v>
      </x:c>
      <x:c r="C2831" s="7" t="str">
        <x:v>hold record</x:v>
      </x:c>
      <x:c r="D2831" s="7" t="str">
        <x:v>RAE-E-11-HP-31</x:v>
      </x:c>
      <x:c r="E2831" s="7" t="str">
        <x:v>Hold Ledger!J357</x:v>
      </x:c>
      <x:c r="F2831" s="7" t="str">
        <x:f>'Hold Ledger'!J357</x:f>
        <x:v>OPEN</x:v>
      </x:c>
    </x:row>
    <x:row r="2832">
      <x:c r="B2832" s="7" t="str">
        <x:v>PHY-2826</x:v>
      </x:c>
      <x:c r="C2832" s="7" t="str">
        <x:v>hold record</x:v>
      </x:c>
      <x:c r="D2832" s="7" t="str">
        <x:v>RAE-E-11-HP-32</x:v>
      </x:c>
      <x:c r="E2832" s="7" t="str">
        <x:v>Hold Ledger!J358</x:v>
      </x:c>
      <x:c r="F2832" s="7" t="str">
        <x:f>'Hold Ledger'!J358</x:f>
        <x:v>OPEN</x:v>
      </x:c>
    </x:row>
    <x:row r="2833">
      <x:c r="B2833" s="7" t="str">
        <x:v>PHY-2827</x:v>
      </x:c>
      <x:c r="C2833" s="7" t="str">
        <x:v>hold record</x:v>
      </x:c>
      <x:c r="D2833" s="7" t="str">
        <x:v>RAE-E-12-HP-01</x:v>
      </x:c>
      <x:c r="E2833" s="7" t="str">
        <x:v>Hold Ledger!J359</x:v>
      </x:c>
      <x:c r="F2833" s="7" t="str">
        <x:f>'Hold Ledger'!J359</x:f>
        <x:v>OPEN</x:v>
      </x:c>
    </x:row>
    <x:row r="2834">
      <x:c r="B2834" s="7" t="str">
        <x:v>PHY-2828</x:v>
      </x:c>
      <x:c r="C2834" s="7" t="str">
        <x:v>hold record</x:v>
      </x:c>
      <x:c r="D2834" s="7" t="str">
        <x:v>RAE-E-12-HP-02</x:v>
      </x:c>
      <x:c r="E2834" s="7" t="str">
        <x:v>Hold Ledger!J360</x:v>
      </x:c>
      <x:c r="F2834" s="7" t="str">
        <x:f>'Hold Ledger'!J360</x:f>
        <x:v>OPEN</x:v>
      </x:c>
    </x:row>
    <x:row r="2835">
      <x:c r="B2835" s="7" t="str">
        <x:v>PHY-2829</x:v>
      </x:c>
      <x:c r="C2835" s="7" t="str">
        <x:v>hold record</x:v>
      </x:c>
      <x:c r="D2835" s="7" t="str">
        <x:v>RAE-E-12-HP-03</x:v>
      </x:c>
      <x:c r="E2835" s="7" t="str">
        <x:v>Hold Ledger!J361</x:v>
      </x:c>
      <x:c r="F2835" s="7" t="str">
        <x:f>'Hold Ledger'!J361</x:f>
        <x:v>OPEN</x:v>
      </x:c>
    </x:row>
    <x:row r="2836">
      <x:c r="B2836" s="7" t="str">
        <x:v>PHY-2830</x:v>
      </x:c>
      <x:c r="C2836" s="7" t="str">
        <x:v>hold record</x:v>
      </x:c>
      <x:c r="D2836" s="7" t="str">
        <x:v>RAE-E-12-HP-04</x:v>
      </x:c>
      <x:c r="E2836" s="7" t="str">
        <x:v>Hold Ledger!J362</x:v>
      </x:c>
      <x:c r="F2836" s="7" t="str">
        <x:f>'Hold Ledger'!J362</x:f>
        <x:v>OPEN</x:v>
      </x:c>
    </x:row>
    <x:row r="2837">
      <x:c r="B2837" s="7" t="str">
        <x:v>PHY-2831</x:v>
      </x:c>
      <x:c r="C2837" s="7" t="str">
        <x:v>hold record</x:v>
      </x:c>
      <x:c r="D2837" s="7" t="str">
        <x:v>RAE-E-12-HP-05</x:v>
      </x:c>
      <x:c r="E2837" s="7" t="str">
        <x:v>Hold Ledger!J363</x:v>
      </x:c>
      <x:c r="F2837" s="7" t="str">
        <x:f>'Hold Ledger'!J363</x:f>
        <x:v>OPEN</x:v>
      </x:c>
    </x:row>
    <x:row r="2838">
      <x:c r="B2838" s="7" t="str">
        <x:v>PHY-2832</x:v>
      </x:c>
      <x:c r="C2838" s="7" t="str">
        <x:v>hold record</x:v>
      </x:c>
      <x:c r="D2838" s="7" t="str">
        <x:v>RAE-E-12-HP-06</x:v>
      </x:c>
      <x:c r="E2838" s="7" t="str">
        <x:v>Hold Ledger!J364</x:v>
      </x:c>
      <x:c r="F2838" s="7" t="str">
        <x:f>'Hold Ledger'!J364</x:f>
        <x:v>OPEN</x:v>
      </x:c>
    </x:row>
    <x:row r="2839">
      <x:c r="B2839" s="7" t="str">
        <x:v>PHY-2833</x:v>
      </x:c>
      <x:c r="C2839" s="7" t="str">
        <x:v>hold record</x:v>
      </x:c>
      <x:c r="D2839" s="7" t="str">
        <x:v>RAE-E-12-HP-07</x:v>
      </x:c>
      <x:c r="E2839" s="7" t="str">
        <x:v>Hold Ledger!J365</x:v>
      </x:c>
      <x:c r="F2839" s="7" t="str">
        <x:f>'Hold Ledger'!J365</x:f>
        <x:v>OPEN</x:v>
      </x:c>
    </x:row>
    <x:row r="2840">
      <x:c r="B2840" s="7" t="str">
        <x:v>PHY-2834</x:v>
      </x:c>
      <x:c r="C2840" s="7" t="str">
        <x:v>hold record</x:v>
      </x:c>
      <x:c r="D2840" s="7" t="str">
        <x:v>RAE-E-12-HP-08</x:v>
      </x:c>
      <x:c r="E2840" s="7" t="str">
        <x:v>Hold Ledger!J366</x:v>
      </x:c>
      <x:c r="F2840" s="7" t="str">
        <x:f>'Hold Ledger'!J366</x:f>
        <x:v>OPEN</x:v>
      </x:c>
    </x:row>
    <x:row r="2841">
      <x:c r="B2841" s="7" t="str">
        <x:v>PHY-2835</x:v>
      </x:c>
      <x:c r="C2841" s="7" t="str">
        <x:v>hold record</x:v>
      </x:c>
      <x:c r="D2841" s="7" t="str">
        <x:v>RAE-E-12-HP-09</x:v>
      </x:c>
      <x:c r="E2841" s="7" t="str">
        <x:v>Hold Ledger!J367</x:v>
      </x:c>
      <x:c r="F2841" s="7" t="str">
        <x:f>'Hold Ledger'!J367</x:f>
        <x:v>OPEN</x:v>
      </x:c>
    </x:row>
    <x:row r="2842">
      <x:c r="B2842" s="7" t="str">
        <x:v>PHY-2836</x:v>
      </x:c>
      <x:c r="C2842" s="7" t="str">
        <x:v>hold record</x:v>
      </x:c>
      <x:c r="D2842" s="7" t="str">
        <x:v>RAE-E-12-HP-10</x:v>
      </x:c>
      <x:c r="E2842" s="7" t="str">
        <x:v>Hold Ledger!J368</x:v>
      </x:c>
      <x:c r="F2842" s="7" t="str">
        <x:f>'Hold Ledger'!J368</x:f>
        <x:v>OPEN</x:v>
      </x:c>
    </x:row>
    <x:row r="2843">
      <x:c r="B2843" s="7" t="str">
        <x:v>PHY-2837</x:v>
      </x:c>
      <x:c r="C2843" s="7" t="str">
        <x:v>hold record</x:v>
      </x:c>
      <x:c r="D2843" s="7" t="str">
        <x:v>RAE-E-12-HP-11</x:v>
      </x:c>
      <x:c r="E2843" s="7" t="str">
        <x:v>Hold Ledger!J369</x:v>
      </x:c>
      <x:c r="F2843" s="7" t="str">
        <x:f>'Hold Ledger'!J369</x:f>
        <x:v>OPEN</x:v>
      </x:c>
    </x:row>
    <x:row r="2844">
      <x:c r="B2844" s="7" t="str">
        <x:v>PHY-2838</x:v>
      </x:c>
      <x:c r="C2844" s="7" t="str">
        <x:v>hold record</x:v>
      </x:c>
      <x:c r="D2844" s="7" t="str">
        <x:v>RAE-E-12-HP-12</x:v>
      </x:c>
      <x:c r="E2844" s="7" t="str">
        <x:v>Hold Ledger!J370</x:v>
      </x:c>
      <x:c r="F2844" s="7" t="str">
        <x:f>'Hold Ledger'!J370</x:f>
        <x:v>OPEN</x:v>
      </x:c>
    </x:row>
    <x:row r="2845">
      <x:c r="B2845" s="7" t="str">
        <x:v>PHY-2839</x:v>
      </x:c>
      <x:c r="C2845" s="7" t="str">
        <x:v>hold record</x:v>
      </x:c>
      <x:c r="D2845" s="7" t="str">
        <x:v>RAE-E-12-HP-13</x:v>
      </x:c>
      <x:c r="E2845" s="7" t="str">
        <x:v>Hold Ledger!J371</x:v>
      </x:c>
      <x:c r="F2845" s="7" t="str">
        <x:f>'Hold Ledger'!J371</x:f>
        <x:v>OPEN</x:v>
      </x:c>
    </x:row>
    <x:row r="2846">
      <x:c r="B2846" s="7" t="str">
        <x:v>PHY-2840</x:v>
      </x:c>
      <x:c r="C2846" s="7" t="str">
        <x:v>hold record</x:v>
      </x:c>
      <x:c r="D2846" s="7" t="str">
        <x:v>RAE-E-12-HP-14</x:v>
      </x:c>
      <x:c r="E2846" s="7" t="str">
        <x:v>Hold Ledger!J372</x:v>
      </x:c>
      <x:c r="F2846" s="7" t="str">
        <x:f>'Hold Ledger'!J372</x:f>
        <x:v>OPEN</x:v>
      </x:c>
    </x:row>
    <x:row r="2847">
      <x:c r="B2847" s="7" t="str">
        <x:v>PHY-2841</x:v>
      </x:c>
      <x:c r="C2847" s="7" t="str">
        <x:v>hold record</x:v>
      </x:c>
      <x:c r="D2847" s="7" t="str">
        <x:v>RAE-E-12-HP-15</x:v>
      </x:c>
      <x:c r="E2847" s="7" t="str">
        <x:v>Hold Ledger!J373</x:v>
      </x:c>
      <x:c r="F2847" s="7" t="str">
        <x:f>'Hold Ledger'!J373</x:f>
        <x:v>OPEN</x:v>
      </x:c>
    </x:row>
    <x:row r="2848">
      <x:c r="B2848" s="7" t="str">
        <x:v>PHY-2842</x:v>
      </x:c>
      <x:c r="C2848" s="7" t="str">
        <x:v>hold record</x:v>
      </x:c>
      <x:c r="D2848" s="7" t="str">
        <x:v>RAE-E-12-HP-16</x:v>
      </x:c>
      <x:c r="E2848" s="7" t="str">
        <x:v>Hold Ledger!J374</x:v>
      </x:c>
      <x:c r="F2848" s="7" t="str">
        <x:f>'Hold Ledger'!J374</x:f>
        <x:v>OPEN</x:v>
      </x:c>
    </x:row>
    <x:row r="2849">
      <x:c r="B2849" s="7" t="str">
        <x:v>PHY-2843</x:v>
      </x:c>
      <x:c r="C2849" s="7" t="str">
        <x:v>hold record</x:v>
      </x:c>
      <x:c r="D2849" s="7" t="str">
        <x:v>RAE-E-12-HP-17</x:v>
      </x:c>
      <x:c r="E2849" s="7" t="str">
        <x:v>Hold Ledger!J375</x:v>
      </x:c>
      <x:c r="F2849" s="7" t="str">
        <x:f>'Hold Ledger'!J375</x:f>
        <x:v>OPEN</x:v>
      </x:c>
    </x:row>
    <x:row r="2850">
      <x:c r="B2850" s="7" t="str">
        <x:v>PHY-2844</x:v>
      </x:c>
      <x:c r="C2850" s="7" t="str">
        <x:v>hold record</x:v>
      </x:c>
      <x:c r="D2850" s="7" t="str">
        <x:v>RAE-E-12-HP-18</x:v>
      </x:c>
      <x:c r="E2850" s="7" t="str">
        <x:v>Hold Ledger!J376</x:v>
      </x:c>
      <x:c r="F2850" s="7" t="str">
        <x:f>'Hold Ledger'!J376</x:f>
        <x:v>OPEN</x:v>
      </x:c>
    </x:row>
    <x:row r="2851">
      <x:c r="B2851" s="7" t="str">
        <x:v>PHY-2845</x:v>
      </x:c>
      <x:c r="C2851" s="7" t="str">
        <x:v>hold record</x:v>
      </x:c>
      <x:c r="D2851" s="7" t="str">
        <x:v>RAE-E-12-HP-19</x:v>
      </x:c>
      <x:c r="E2851" s="7" t="str">
        <x:v>Hold Ledger!J377</x:v>
      </x:c>
      <x:c r="F2851" s="7" t="str">
        <x:f>'Hold Ledger'!J377</x:f>
        <x:v>OPEN</x:v>
      </x:c>
    </x:row>
    <x:row r="2852">
      <x:c r="B2852" s="7" t="str">
        <x:v>PHY-2846</x:v>
      </x:c>
      <x:c r="C2852" s="7" t="str">
        <x:v>hold record</x:v>
      </x:c>
      <x:c r="D2852" s="7" t="str">
        <x:v>RAE-E-12-HP-20</x:v>
      </x:c>
      <x:c r="E2852" s="7" t="str">
        <x:v>Hold Ledger!J378</x:v>
      </x:c>
      <x:c r="F2852" s="7" t="str">
        <x:f>'Hold Ledger'!J378</x:f>
        <x:v>OPEN</x:v>
      </x:c>
    </x:row>
    <x:row r="2853">
      <x:c r="B2853" s="7" t="str">
        <x:v>PHY-2847</x:v>
      </x:c>
      <x:c r="C2853" s="7" t="str">
        <x:v>hold record</x:v>
      </x:c>
      <x:c r="D2853" s="7" t="str">
        <x:v>RAE-E-12-HP-21</x:v>
      </x:c>
      <x:c r="E2853" s="7" t="str">
        <x:v>Hold Ledger!J379</x:v>
      </x:c>
      <x:c r="F2853" s="7" t="str">
        <x:f>'Hold Ledger'!J379</x:f>
        <x:v>OPEN</x:v>
      </x:c>
    </x:row>
    <x:row r="2854">
      <x:c r="B2854" s="7" t="str">
        <x:v>PHY-2848</x:v>
      </x:c>
      <x:c r="C2854" s="7" t="str">
        <x:v>hold record</x:v>
      </x:c>
      <x:c r="D2854" s="7" t="str">
        <x:v>RAE-E-12-HP-22</x:v>
      </x:c>
      <x:c r="E2854" s="7" t="str">
        <x:v>Hold Ledger!J380</x:v>
      </x:c>
      <x:c r="F2854" s="7" t="str">
        <x:f>'Hold Ledger'!J380</x:f>
        <x:v>OPEN</x:v>
      </x:c>
    </x:row>
    <x:row r="2855">
      <x:c r="B2855" s="7" t="str">
        <x:v>PHY-2849</x:v>
      </x:c>
      <x:c r="C2855" s="7" t="str">
        <x:v>hold record</x:v>
      </x:c>
      <x:c r="D2855" s="7" t="str">
        <x:v>RAE-E-12-HP-23</x:v>
      </x:c>
      <x:c r="E2855" s="7" t="str">
        <x:v>Hold Ledger!J381</x:v>
      </x:c>
      <x:c r="F2855" s="7" t="str">
        <x:f>'Hold Ledger'!J381</x:f>
        <x:v>OPEN</x:v>
      </x:c>
    </x:row>
    <x:row r="2856">
      <x:c r="B2856" s="7" t="str">
        <x:v>PHY-2850</x:v>
      </x:c>
      <x:c r="C2856" s="7" t="str">
        <x:v>hold record</x:v>
      </x:c>
      <x:c r="D2856" s="7" t="str">
        <x:v>RAE-E-12-HP-24</x:v>
      </x:c>
      <x:c r="E2856" s="7" t="str">
        <x:v>Hold Ledger!J382</x:v>
      </x:c>
      <x:c r="F2856" s="7" t="str">
        <x:f>'Hold Ledger'!J382</x:f>
        <x:v>OPEN</x:v>
      </x:c>
    </x:row>
    <x:row r="2857">
      <x:c r="B2857" s="7" t="str">
        <x:v>PHY-2851</x:v>
      </x:c>
      <x:c r="C2857" s="7" t="str">
        <x:v>hold record</x:v>
      </x:c>
      <x:c r="D2857" s="7" t="str">
        <x:v>RAE-E-12-HP-25</x:v>
      </x:c>
      <x:c r="E2857" s="7" t="str">
        <x:v>Hold Ledger!J383</x:v>
      </x:c>
      <x:c r="F2857" s="7" t="str">
        <x:f>'Hold Ledger'!J383</x:f>
        <x:v>OPEN</x:v>
      </x:c>
    </x:row>
    <x:row r="2858">
      <x:c r="B2858" s="7" t="str">
        <x:v>PHY-2852</x:v>
      </x:c>
      <x:c r="C2858" s="7" t="str">
        <x:v>hold record</x:v>
      </x:c>
      <x:c r="D2858" s="7" t="str">
        <x:v>RAE-E-12-HP-26</x:v>
      </x:c>
      <x:c r="E2858" s="7" t="str">
        <x:v>Hold Ledger!J384</x:v>
      </x:c>
      <x:c r="F2858" s="7" t="str">
        <x:f>'Hold Ledger'!J384</x:f>
        <x:v>OPEN</x:v>
      </x:c>
    </x:row>
    <x:row r="2859">
      <x:c r="B2859" s="7" t="str">
        <x:v>PHY-2853</x:v>
      </x:c>
      <x:c r="C2859" s="7" t="str">
        <x:v>hold record</x:v>
      </x:c>
      <x:c r="D2859" s="7" t="str">
        <x:v>RAE-E-12-HP-27</x:v>
      </x:c>
      <x:c r="E2859" s="7" t="str">
        <x:v>Hold Ledger!J385</x:v>
      </x:c>
      <x:c r="F2859" s="7" t="str">
        <x:f>'Hold Ledger'!J385</x:f>
        <x:v>OPEN</x:v>
      </x:c>
    </x:row>
    <x:row r="2860">
      <x:c r="B2860" s="7" t="str">
        <x:v>PHY-2854</x:v>
      </x:c>
      <x:c r="C2860" s="7" t="str">
        <x:v>hold record</x:v>
      </x:c>
      <x:c r="D2860" s="7" t="str">
        <x:v>RAE-E-12-HP-28</x:v>
      </x:c>
      <x:c r="E2860" s="7" t="str">
        <x:v>Hold Ledger!J386</x:v>
      </x:c>
      <x:c r="F2860" s="7" t="str">
        <x:f>'Hold Ledger'!J386</x:f>
        <x:v>OPEN</x:v>
      </x:c>
    </x:row>
    <x:row r="2861">
      <x:c r="B2861" s="7" t="str">
        <x:v>PHY-2855</x:v>
      </x:c>
      <x:c r="C2861" s="7" t="str">
        <x:v>hold record</x:v>
      </x:c>
      <x:c r="D2861" s="7" t="str">
        <x:v>RAE-E-12-HP-29</x:v>
      </x:c>
      <x:c r="E2861" s="7" t="str">
        <x:v>Hold Ledger!J387</x:v>
      </x:c>
      <x:c r="F2861" s="7" t="str">
        <x:f>'Hold Ledger'!J387</x:f>
        <x:v>OPEN</x:v>
      </x:c>
    </x:row>
    <x:row r="2862">
      <x:c r="B2862" s="7" t="str">
        <x:v>PHY-2856</x:v>
      </x:c>
      <x:c r="C2862" s="7" t="str">
        <x:v>hold record</x:v>
      </x:c>
      <x:c r="D2862" s="7" t="str">
        <x:v>RAE-E-12-HP-30</x:v>
      </x:c>
      <x:c r="E2862" s="7" t="str">
        <x:v>Hold Ledger!J388</x:v>
      </x:c>
      <x:c r="F2862" s="7" t="str">
        <x:f>'Hold Ledger'!J388</x:f>
        <x:v>OPEN</x:v>
      </x:c>
    </x:row>
    <x:row r="2863">
      <x:c r="B2863" s="7" t="str">
        <x:v>PHY-2857</x:v>
      </x:c>
      <x:c r="C2863" s="7" t="str">
        <x:v>hold record</x:v>
      </x:c>
      <x:c r="D2863" s="7" t="str">
        <x:v>RAE-E-12-HP-31</x:v>
      </x:c>
      <x:c r="E2863" s="7" t="str">
        <x:v>Hold Ledger!J389</x:v>
      </x:c>
      <x:c r="F2863" s="7" t="str">
        <x:f>'Hold Ledger'!J389</x:f>
        <x:v>OPEN</x:v>
      </x:c>
    </x:row>
    <x:row r="2864">
      <x:c r="B2864" s="7" t="str">
        <x:v>PHY-2858</x:v>
      </x:c>
      <x:c r="C2864" s="7" t="str">
        <x:v>hold record</x:v>
      </x:c>
      <x:c r="D2864" s="7" t="str">
        <x:v>RAE-E-12-HP-32</x:v>
      </x:c>
      <x:c r="E2864" s="7" t="str">
        <x:v>Hold Ledger!J390</x:v>
      </x:c>
      <x:c r="F2864" s="7" t="str">
        <x:f>'Hold Ledger'!J390</x:f>
        <x:v>OPEN</x:v>
      </x:c>
    </x:row>
    <x:row r="2865">
      <x:c r="B2865" s="7" t="str">
        <x:v>PHY-2859</x:v>
      </x:c>
      <x:c r="C2865" s="7" t="str">
        <x:v>hold record</x:v>
      </x:c>
      <x:c r="D2865" s="7" t="str">
        <x:v>RAE-E-13-HP-01</x:v>
      </x:c>
      <x:c r="E2865" s="7" t="str">
        <x:v>Hold Ledger!J391</x:v>
      </x:c>
      <x:c r="F2865" s="7" t="str">
        <x:f>'Hold Ledger'!J391</x:f>
        <x:v>OPEN</x:v>
      </x:c>
    </x:row>
    <x:row r="2866">
      <x:c r="B2866" s="7" t="str">
        <x:v>PHY-2860</x:v>
      </x:c>
      <x:c r="C2866" s="7" t="str">
        <x:v>hold record</x:v>
      </x:c>
      <x:c r="D2866" s="7" t="str">
        <x:v>RAE-E-13-HP-02</x:v>
      </x:c>
      <x:c r="E2866" s="7" t="str">
        <x:v>Hold Ledger!J392</x:v>
      </x:c>
      <x:c r="F2866" s="7" t="str">
        <x:f>'Hold Ledger'!J392</x:f>
        <x:v>OPEN</x:v>
      </x:c>
    </x:row>
    <x:row r="2867">
      <x:c r="B2867" s="7" t="str">
        <x:v>PHY-2861</x:v>
      </x:c>
      <x:c r="C2867" s="7" t="str">
        <x:v>hold record</x:v>
      </x:c>
      <x:c r="D2867" s="7" t="str">
        <x:v>RAE-E-13-HP-03</x:v>
      </x:c>
      <x:c r="E2867" s="7" t="str">
        <x:v>Hold Ledger!J393</x:v>
      </x:c>
      <x:c r="F2867" s="7" t="str">
        <x:f>'Hold Ledger'!J393</x:f>
        <x:v>OPEN</x:v>
      </x:c>
    </x:row>
    <x:row r="2868">
      <x:c r="B2868" s="7" t="str">
        <x:v>PHY-2862</x:v>
      </x:c>
      <x:c r="C2868" s="7" t="str">
        <x:v>hold record</x:v>
      </x:c>
      <x:c r="D2868" s="7" t="str">
        <x:v>RAE-E-13-HP-04</x:v>
      </x:c>
      <x:c r="E2868" s="7" t="str">
        <x:v>Hold Ledger!J394</x:v>
      </x:c>
      <x:c r="F2868" s="7" t="str">
        <x:f>'Hold Ledger'!J394</x:f>
        <x:v>OPEN</x:v>
      </x:c>
    </x:row>
    <x:row r="2869">
      <x:c r="B2869" s="7" t="str">
        <x:v>PHY-2863</x:v>
      </x:c>
      <x:c r="C2869" s="7" t="str">
        <x:v>hold record</x:v>
      </x:c>
      <x:c r="D2869" s="7" t="str">
        <x:v>RAE-E-13-HP-05</x:v>
      </x:c>
      <x:c r="E2869" s="7" t="str">
        <x:v>Hold Ledger!J395</x:v>
      </x:c>
      <x:c r="F2869" s="7" t="str">
        <x:f>'Hold Ledger'!J395</x:f>
        <x:v>OPEN</x:v>
      </x:c>
    </x:row>
    <x:row r="2870">
      <x:c r="B2870" s="7" t="str">
        <x:v>PHY-2864</x:v>
      </x:c>
      <x:c r="C2870" s="7" t="str">
        <x:v>hold record</x:v>
      </x:c>
      <x:c r="D2870" s="7" t="str">
        <x:v>RAE-E-13-HP-06</x:v>
      </x:c>
      <x:c r="E2870" s="7" t="str">
        <x:v>Hold Ledger!J396</x:v>
      </x:c>
      <x:c r="F2870" s="7" t="str">
        <x:f>'Hold Ledger'!J396</x:f>
        <x:v>OPEN</x:v>
      </x:c>
    </x:row>
    <x:row r="2871">
      <x:c r="B2871" s="7" t="str">
        <x:v>PHY-2865</x:v>
      </x:c>
      <x:c r="C2871" s="7" t="str">
        <x:v>hold record</x:v>
      </x:c>
      <x:c r="D2871" s="7" t="str">
        <x:v>RAE-E-13-HP-07</x:v>
      </x:c>
      <x:c r="E2871" s="7" t="str">
        <x:v>Hold Ledger!J397</x:v>
      </x:c>
      <x:c r="F2871" s="7" t="str">
        <x:f>'Hold Ledger'!J397</x:f>
        <x:v>OPEN</x:v>
      </x:c>
    </x:row>
    <x:row r="2872">
      <x:c r="B2872" s="7" t="str">
        <x:v>PHY-2866</x:v>
      </x:c>
      <x:c r="C2872" s="7" t="str">
        <x:v>hold record</x:v>
      </x:c>
      <x:c r="D2872" s="7" t="str">
        <x:v>RAE-E-13-HP-08</x:v>
      </x:c>
      <x:c r="E2872" s="7" t="str">
        <x:v>Hold Ledger!J398</x:v>
      </x:c>
      <x:c r="F2872" s="7" t="str">
        <x:f>'Hold Ledger'!J398</x:f>
        <x:v>OPEN</x:v>
      </x:c>
    </x:row>
    <x:row r="2873">
      <x:c r="B2873" s="7" t="str">
        <x:v>PHY-2867</x:v>
      </x:c>
      <x:c r="C2873" s="7" t="str">
        <x:v>hold record</x:v>
      </x:c>
      <x:c r="D2873" s="7" t="str">
        <x:v>RAE-E-13-HP-09</x:v>
      </x:c>
      <x:c r="E2873" s="7" t="str">
        <x:v>Hold Ledger!J399</x:v>
      </x:c>
      <x:c r="F2873" s="7" t="str">
        <x:f>'Hold Ledger'!J399</x:f>
        <x:v>OPEN</x:v>
      </x:c>
    </x:row>
    <x:row r="2874">
      <x:c r="B2874" s="7" t="str">
        <x:v>PHY-2868</x:v>
      </x:c>
      <x:c r="C2874" s="7" t="str">
        <x:v>hold record</x:v>
      </x:c>
      <x:c r="D2874" s="7" t="str">
        <x:v>RAE-E-13-HP-10</x:v>
      </x:c>
      <x:c r="E2874" s="7" t="str">
        <x:v>Hold Ledger!J400</x:v>
      </x:c>
      <x:c r="F2874" s="7" t="str">
        <x:f>'Hold Ledger'!J400</x:f>
        <x:v>OPEN</x:v>
      </x:c>
    </x:row>
    <x:row r="2875">
      <x:c r="B2875" s="7" t="str">
        <x:v>PHY-2869</x:v>
      </x:c>
      <x:c r="C2875" s="7" t="str">
        <x:v>hold record</x:v>
      </x:c>
      <x:c r="D2875" s="7" t="str">
        <x:v>RAE-E-13-HP-11</x:v>
      </x:c>
      <x:c r="E2875" s="7" t="str">
        <x:v>Hold Ledger!J401</x:v>
      </x:c>
      <x:c r="F2875" s="7" t="str">
        <x:f>'Hold Ledger'!J401</x:f>
        <x:v>OPEN</x:v>
      </x:c>
    </x:row>
    <x:row r="2876">
      <x:c r="B2876" s="7" t="str">
        <x:v>PHY-2870</x:v>
      </x:c>
      <x:c r="C2876" s="7" t="str">
        <x:v>hold record</x:v>
      </x:c>
      <x:c r="D2876" s="7" t="str">
        <x:v>RAE-E-13-HP-12</x:v>
      </x:c>
      <x:c r="E2876" s="7" t="str">
        <x:v>Hold Ledger!J402</x:v>
      </x:c>
      <x:c r="F2876" s="7" t="str">
        <x:f>'Hold Ledger'!J402</x:f>
        <x:v>OPEN</x:v>
      </x:c>
    </x:row>
    <x:row r="2877">
      <x:c r="B2877" s="7" t="str">
        <x:v>PHY-2871</x:v>
      </x:c>
      <x:c r="C2877" s="7" t="str">
        <x:v>hold record</x:v>
      </x:c>
      <x:c r="D2877" s="7" t="str">
        <x:v>RAE-E-13-HP-13</x:v>
      </x:c>
      <x:c r="E2877" s="7" t="str">
        <x:v>Hold Ledger!J403</x:v>
      </x:c>
      <x:c r="F2877" s="7" t="str">
        <x:f>'Hold Ledger'!J403</x:f>
        <x:v>OPEN</x:v>
      </x:c>
    </x:row>
    <x:row r="2878">
      <x:c r="B2878" s="7" t="str">
        <x:v>PHY-2872</x:v>
      </x:c>
      <x:c r="C2878" s="7" t="str">
        <x:v>hold record</x:v>
      </x:c>
      <x:c r="D2878" s="7" t="str">
        <x:v>RAE-E-13-HP-14</x:v>
      </x:c>
      <x:c r="E2878" s="7" t="str">
        <x:v>Hold Ledger!J404</x:v>
      </x:c>
      <x:c r="F2878" s="7" t="str">
        <x:f>'Hold Ledger'!J404</x:f>
        <x:v>OPEN</x:v>
      </x:c>
    </x:row>
    <x:row r="2879">
      <x:c r="B2879" s="7" t="str">
        <x:v>PHY-2873</x:v>
      </x:c>
      <x:c r="C2879" s="7" t="str">
        <x:v>hold record</x:v>
      </x:c>
      <x:c r="D2879" s="7" t="str">
        <x:v>RAE-E-13-HP-15</x:v>
      </x:c>
      <x:c r="E2879" s="7" t="str">
        <x:v>Hold Ledger!J405</x:v>
      </x:c>
      <x:c r="F2879" s="7" t="str">
        <x:f>'Hold Ledger'!J405</x:f>
        <x:v>OPEN</x:v>
      </x:c>
    </x:row>
    <x:row r="2880">
      <x:c r="B2880" s="7" t="str">
        <x:v>PHY-2874</x:v>
      </x:c>
      <x:c r="C2880" s="7" t="str">
        <x:v>hold record</x:v>
      </x:c>
      <x:c r="D2880" s="7" t="str">
        <x:v>RAE-E-13-HP-16</x:v>
      </x:c>
      <x:c r="E2880" s="7" t="str">
        <x:v>Hold Ledger!J406</x:v>
      </x:c>
      <x:c r="F2880" s="7" t="str">
        <x:f>'Hold Ledger'!J406</x:f>
        <x:v>OPEN</x:v>
      </x:c>
    </x:row>
    <x:row r="2881">
      <x:c r="B2881" s="7" t="str">
        <x:v>PHY-2875</x:v>
      </x:c>
      <x:c r="C2881" s="7" t="str">
        <x:v>hold record</x:v>
      </x:c>
      <x:c r="D2881" s="7" t="str">
        <x:v>RAE-E-13-HP-17</x:v>
      </x:c>
      <x:c r="E2881" s="7" t="str">
        <x:v>Hold Ledger!J407</x:v>
      </x:c>
      <x:c r="F2881" s="7" t="str">
        <x:f>'Hold Ledger'!J407</x:f>
        <x:v>OPEN</x:v>
      </x:c>
    </x:row>
    <x:row r="2882">
      <x:c r="B2882" s="7" t="str">
        <x:v>PHY-2876</x:v>
      </x:c>
      <x:c r="C2882" s="7" t="str">
        <x:v>hold record</x:v>
      </x:c>
      <x:c r="D2882" s="7" t="str">
        <x:v>RAE-E-13-HP-18</x:v>
      </x:c>
      <x:c r="E2882" s="7" t="str">
        <x:v>Hold Ledger!J408</x:v>
      </x:c>
      <x:c r="F2882" s="7" t="str">
        <x:f>'Hold Ledger'!J408</x:f>
        <x:v>OPEN</x:v>
      </x:c>
    </x:row>
    <x:row r="2883">
      <x:c r="B2883" s="7" t="str">
        <x:v>PHY-2877</x:v>
      </x:c>
      <x:c r="C2883" s="7" t="str">
        <x:v>hold record</x:v>
      </x:c>
      <x:c r="D2883" s="7" t="str">
        <x:v>RAE-E-13-HP-19</x:v>
      </x:c>
      <x:c r="E2883" s="7" t="str">
        <x:v>Hold Ledger!J409</x:v>
      </x:c>
      <x:c r="F2883" s="7" t="str">
        <x:f>'Hold Ledger'!J409</x:f>
        <x:v>OPEN</x:v>
      </x:c>
    </x:row>
    <x:row r="2884">
      <x:c r="B2884" s="7" t="str">
        <x:v>PHY-2878</x:v>
      </x:c>
      <x:c r="C2884" s="7" t="str">
        <x:v>hold record</x:v>
      </x:c>
      <x:c r="D2884" s="7" t="str">
        <x:v>RAE-E-13-HP-20</x:v>
      </x:c>
      <x:c r="E2884" s="7" t="str">
        <x:v>Hold Ledger!J410</x:v>
      </x:c>
      <x:c r="F2884" s="7" t="str">
        <x:f>'Hold Ledger'!J410</x:f>
        <x:v>OPEN</x:v>
      </x:c>
    </x:row>
    <x:row r="2885">
      <x:c r="B2885" s="7" t="str">
        <x:v>PHY-2879</x:v>
      </x:c>
      <x:c r="C2885" s="7" t="str">
        <x:v>hold record</x:v>
      </x:c>
      <x:c r="D2885" s="7" t="str">
        <x:v>RAE-E-13-HP-21</x:v>
      </x:c>
      <x:c r="E2885" s="7" t="str">
        <x:v>Hold Ledger!J411</x:v>
      </x:c>
      <x:c r="F2885" s="7" t="str">
        <x:f>'Hold Ledger'!J411</x:f>
        <x:v>OPEN</x:v>
      </x:c>
    </x:row>
    <x:row r="2886">
      <x:c r="B2886" s="7" t="str">
        <x:v>PHY-2880</x:v>
      </x:c>
      <x:c r="C2886" s="7" t="str">
        <x:v>hold record</x:v>
      </x:c>
      <x:c r="D2886" s="7" t="str">
        <x:v>RAE-E-13-HP-22</x:v>
      </x:c>
      <x:c r="E2886" s="7" t="str">
        <x:v>Hold Ledger!J412</x:v>
      </x:c>
      <x:c r="F2886" s="7" t="str">
        <x:f>'Hold Ledger'!J412</x:f>
        <x:v>OPEN</x:v>
      </x:c>
    </x:row>
    <x:row r="2887">
      <x:c r="B2887" s="7" t="str">
        <x:v>PHY-2881</x:v>
      </x:c>
      <x:c r="C2887" s="7" t="str">
        <x:v>hold record</x:v>
      </x:c>
      <x:c r="D2887" s="7" t="str">
        <x:v>RAE-E-13-HP-23</x:v>
      </x:c>
      <x:c r="E2887" s="7" t="str">
        <x:v>Hold Ledger!J413</x:v>
      </x:c>
      <x:c r="F2887" s="7" t="str">
        <x:f>'Hold Ledger'!J413</x:f>
        <x:v>OPEN</x:v>
      </x:c>
    </x:row>
    <x:row r="2888">
      <x:c r="B2888" s="7" t="str">
        <x:v>PHY-2882</x:v>
      </x:c>
      <x:c r="C2888" s="7" t="str">
        <x:v>hold record</x:v>
      </x:c>
      <x:c r="D2888" s="7" t="str">
        <x:v>RAE-E-13-HP-24</x:v>
      </x:c>
      <x:c r="E2888" s="7" t="str">
        <x:v>Hold Ledger!J414</x:v>
      </x:c>
      <x:c r="F2888" s="7" t="str">
        <x:f>'Hold Ledger'!J414</x:f>
        <x:v>OPEN</x:v>
      </x:c>
    </x:row>
    <x:row r="2889">
      <x:c r="B2889" s="7" t="str">
        <x:v>PHY-2883</x:v>
      </x:c>
      <x:c r="C2889" s="7" t="str">
        <x:v>hold record</x:v>
      </x:c>
      <x:c r="D2889" s="7" t="str">
        <x:v>RAE-E-13-HP-25</x:v>
      </x:c>
      <x:c r="E2889" s="7" t="str">
        <x:v>Hold Ledger!J415</x:v>
      </x:c>
      <x:c r="F2889" s="7" t="str">
        <x:f>'Hold Ledger'!J415</x:f>
        <x:v>OPEN</x:v>
      </x:c>
    </x:row>
    <x:row r="2890">
      <x:c r="B2890" s="7" t="str">
        <x:v>PHY-2884</x:v>
      </x:c>
      <x:c r="C2890" s="7" t="str">
        <x:v>hold record</x:v>
      </x:c>
      <x:c r="D2890" s="7" t="str">
        <x:v>RAE-E-13-HP-26</x:v>
      </x:c>
      <x:c r="E2890" s="7" t="str">
        <x:v>Hold Ledger!J416</x:v>
      </x:c>
      <x:c r="F2890" s="7" t="str">
        <x:f>'Hold Ledger'!J416</x:f>
        <x:v>OPEN</x:v>
      </x:c>
    </x:row>
    <x:row r="2891">
      <x:c r="B2891" s="7" t="str">
        <x:v>PHY-2885</x:v>
      </x:c>
      <x:c r="C2891" s="7" t="str">
        <x:v>hold record</x:v>
      </x:c>
      <x:c r="D2891" s="7" t="str">
        <x:v>RAE-E-13-HP-27</x:v>
      </x:c>
      <x:c r="E2891" s="7" t="str">
        <x:v>Hold Ledger!J417</x:v>
      </x:c>
      <x:c r="F2891" s="7" t="str">
        <x:f>'Hold Ledger'!J417</x:f>
        <x:v>OPEN</x:v>
      </x:c>
    </x:row>
    <x:row r="2892">
      <x:c r="B2892" s="7" t="str">
        <x:v>PHY-2886</x:v>
      </x:c>
      <x:c r="C2892" s="7" t="str">
        <x:v>hold record</x:v>
      </x:c>
      <x:c r="D2892" s="7" t="str">
        <x:v>RAE-E-13-HP-28</x:v>
      </x:c>
      <x:c r="E2892" s="7" t="str">
        <x:v>Hold Ledger!J418</x:v>
      </x:c>
      <x:c r="F2892" s="7" t="str">
        <x:f>'Hold Ledger'!J418</x:f>
        <x:v>OPEN</x:v>
      </x:c>
    </x:row>
    <x:row r="2893">
      <x:c r="B2893" s="7" t="str">
        <x:v>PHY-2887</x:v>
      </x:c>
      <x:c r="C2893" s="7" t="str">
        <x:v>hold record</x:v>
      </x:c>
      <x:c r="D2893" s="7" t="str">
        <x:v>RAE-E-13-HP-29</x:v>
      </x:c>
      <x:c r="E2893" s="7" t="str">
        <x:v>Hold Ledger!J419</x:v>
      </x:c>
      <x:c r="F2893" s="7" t="str">
        <x:f>'Hold Ledger'!J419</x:f>
        <x:v>OPEN</x:v>
      </x:c>
    </x:row>
    <x:row r="2894">
      <x:c r="B2894" s="7" t="str">
        <x:v>PHY-2888</x:v>
      </x:c>
      <x:c r="C2894" s="7" t="str">
        <x:v>hold record</x:v>
      </x:c>
      <x:c r="D2894" s="7" t="str">
        <x:v>RAE-E-13-HP-30</x:v>
      </x:c>
      <x:c r="E2894" s="7" t="str">
        <x:v>Hold Ledger!J420</x:v>
      </x:c>
      <x:c r="F2894" s="7" t="str">
        <x:f>'Hold Ledger'!J420</x:f>
        <x:v>OPEN</x:v>
      </x:c>
    </x:row>
    <x:row r="2895">
      <x:c r="B2895" s="7" t="str">
        <x:v>PHY-2889</x:v>
      </x:c>
      <x:c r="C2895" s="7" t="str">
        <x:v>hold record</x:v>
      </x:c>
      <x:c r="D2895" s="7" t="str">
        <x:v>RAE-E-13-HP-31</x:v>
      </x:c>
      <x:c r="E2895" s="7" t="str">
        <x:v>Hold Ledger!J421</x:v>
      </x:c>
      <x:c r="F2895" s="7" t="str">
        <x:f>'Hold Ledger'!J421</x:f>
        <x:v>OPEN</x:v>
      </x:c>
    </x:row>
    <x:row r="2896">
      <x:c r="B2896" s="7" t="str">
        <x:v>PHY-2890</x:v>
      </x:c>
      <x:c r="C2896" s="7" t="str">
        <x:v>hold record</x:v>
      </x:c>
      <x:c r="D2896" s="7" t="str">
        <x:v>RAE-E-13-HP-32</x:v>
      </x:c>
      <x:c r="E2896" s="7" t="str">
        <x:v>Hold Ledger!J422</x:v>
      </x:c>
      <x:c r="F2896" s="7" t="str">
        <x:f>'Hold Ledger'!J422</x:f>
        <x:v>OPEN</x:v>
      </x:c>
    </x:row>
    <x:row r="2897">
      <x:c r="B2897" s="7" t="str">
        <x:v>PHY-2891</x:v>
      </x:c>
      <x:c r="C2897" s="7" t="str">
        <x:v>hold record</x:v>
      </x:c>
      <x:c r="D2897" s="7" t="str">
        <x:v>RAE-E-14-HP-01</x:v>
      </x:c>
      <x:c r="E2897" s="7" t="str">
        <x:v>Hold Ledger!J423</x:v>
      </x:c>
      <x:c r="F2897" s="7" t="str">
        <x:f>'Hold Ledger'!J423</x:f>
        <x:v>OPEN</x:v>
      </x:c>
    </x:row>
    <x:row r="2898">
      <x:c r="B2898" s="7" t="str">
        <x:v>PHY-2892</x:v>
      </x:c>
      <x:c r="C2898" s="7" t="str">
        <x:v>hold record</x:v>
      </x:c>
      <x:c r="D2898" s="7" t="str">
        <x:v>RAE-E-14-HP-02</x:v>
      </x:c>
      <x:c r="E2898" s="7" t="str">
        <x:v>Hold Ledger!J424</x:v>
      </x:c>
      <x:c r="F2898" s="7" t="str">
        <x:f>'Hold Ledger'!J424</x:f>
        <x:v>OPEN</x:v>
      </x:c>
    </x:row>
    <x:row r="2899">
      <x:c r="B2899" s="7" t="str">
        <x:v>PHY-2893</x:v>
      </x:c>
      <x:c r="C2899" s="7" t="str">
        <x:v>hold record</x:v>
      </x:c>
      <x:c r="D2899" s="7" t="str">
        <x:v>RAE-E-14-HP-03</x:v>
      </x:c>
      <x:c r="E2899" s="7" t="str">
        <x:v>Hold Ledger!J425</x:v>
      </x:c>
      <x:c r="F2899" s="7" t="str">
        <x:f>'Hold Ledger'!J425</x:f>
        <x:v>OPEN</x:v>
      </x:c>
    </x:row>
    <x:row r="2900">
      <x:c r="B2900" s="7" t="str">
        <x:v>PHY-2894</x:v>
      </x:c>
      <x:c r="C2900" s="7" t="str">
        <x:v>hold record</x:v>
      </x:c>
      <x:c r="D2900" s="7" t="str">
        <x:v>RAE-E-14-HP-04</x:v>
      </x:c>
      <x:c r="E2900" s="7" t="str">
        <x:v>Hold Ledger!J426</x:v>
      </x:c>
      <x:c r="F2900" s="7" t="str">
        <x:f>'Hold Ledger'!J426</x:f>
        <x:v>OPEN</x:v>
      </x:c>
    </x:row>
    <x:row r="2901">
      <x:c r="B2901" s="7" t="str">
        <x:v>PHY-2895</x:v>
      </x:c>
      <x:c r="C2901" s="7" t="str">
        <x:v>hold record</x:v>
      </x:c>
      <x:c r="D2901" s="7" t="str">
        <x:v>RAE-E-14-HP-05</x:v>
      </x:c>
      <x:c r="E2901" s="7" t="str">
        <x:v>Hold Ledger!J427</x:v>
      </x:c>
      <x:c r="F2901" s="7" t="str">
        <x:f>'Hold Ledger'!J427</x:f>
        <x:v>OPEN</x:v>
      </x:c>
    </x:row>
    <x:row r="2902">
      <x:c r="B2902" s="7" t="str">
        <x:v>PHY-2896</x:v>
      </x:c>
      <x:c r="C2902" s="7" t="str">
        <x:v>hold record</x:v>
      </x:c>
      <x:c r="D2902" s="7" t="str">
        <x:v>RAE-E-14-HP-06</x:v>
      </x:c>
      <x:c r="E2902" s="7" t="str">
        <x:v>Hold Ledger!J428</x:v>
      </x:c>
      <x:c r="F2902" s="7" t="str">
        <x:f>'Hold Ledger'!J428</x:f>
        <x:v>OPEN</x:v>
      </x:c>
    </x:row>
    <x:row r="2903">
      <x:c r="B2903" s="7" t="str">
        <x:v>PHY-2897</x:v>
      </x:c>
      <x:c r="C2903" s="7" t="str">
        <x:v>hold record</x:v>
      </x:c>
      <x:c r="D2903" s="7" t="str">
        <x:v>RAE-E-14-HP-07</x:v>
      </x:c>
      <x:c r="E2903" s="7" t="str">
        <x:v>Hold Ledger!J429</x:v>
      </x:c>
      <x:c r="F2903" s="7" t="str">
        <x:f>'Hold Ledger'!J429</x:f>
        <x:v>OPEN</x:v>
      </x:c>
    </x:row>
    <x:row r="2904">
      <x:c r="B2904" s="7" t="str">
        <x:v>PHY-2898</x:v>
      </x:c>
      <x:c r="C2904" s="7" t="str">
        <x:v>hold record</x:v>
      </x:c>
      <x:c r="D2904" s="7" t="str">
        <x:v>RAE-E-14-HP-08</x:v>
      </x:c>
      <x:c r="E2904" s="7" t="str">
        <x:v>Hold Ledger!J430</x:v>
      </x:c>
      <x:c r="F2904" s="7" t="str">
        <x:f>'Hold Ledger'!J430</x:f>
        <x:v>OPEN</x:v>
      </x:c>
    </x:row>
    <x:row r="2905">
      <x:c r="B2905" s="7" t="str">
        <x:v>PHY-2899</x:v>
      </x:c>
      <x:c r="C2905" s="7" t="str">
        <x:v>hold record</x:v>
      </x:c>
      <x:c r="D2905" s="7" t="str">
        <x:v>RAE-E-14-HP-09</x:v>
      </x:c>
      <x:c r="E2905" s="7" t="str">
        <x:v>Hold Ledger!J431</x:v>
      </x:c>
      <x:c r="F2905" s="7" t="str">
        <x:f>'Hold Ledger'!J431</x:f>
        <x:v>OPEN</x:v>
      </x:c>
    </x:row>
    <x:row r="2906">
      <x:c r="B2906" s="7" t="str">
        <x:v>PHY-2900</x:v>
      </x:c>
      <x:c r="C2906" s="7" t="str">
        <x:v>hold record</x:v>
      </x:c>
      <x:c r="D2906" s="7" t="str">
        <x:v>RAE-E-14-HP-10</x:v>
      </x:c>
      <x:c r="E2906" s="7" t="str">
        <x:v>Hold Ledger!J432</x:v>
      </x:c>
      <x:c r="F2906" s="7" t="str">
        <x:f>'Hold Ledger'!J432</x:f>
        <x:v>OPEN</x:v>
      </x:c>
    </x:row>
    <x:row r="2907">
      <x:c r="B2907" s="7" t="str">
        <x:v>PHY-2901</x:v>
      </x:c>
      <x:c r="C2907" s="7" t="str">
        <x:v>hold record</x:v>
      </x:c>
      <x:c r="D2907" s="7" t="str">
        <x:v>RAE-E-14-HP-11</x:v>
      </x:c>
      <x:c r="E2907" s="7" t="str">
        <x:v>Hold Ledger!J433</x:v>
      </x:c>
      <x:c r="F2907" s="7" t="str">
        <x:f>'Hold Ledger'!J433</x:f>
        <x:v>OPEN</x:v>
      </x:c>
    </x:row>
    <x:row r="2908">
      <x:c r="B2908" s="7" t="str">
        <x:v>PHY-2902</x:v>
      </x:c>
      <x:c r="C2908" s="7" t="str">
        <x:v>hold record</x:v>
      </x:c>
      <x:c r="D2908" s="7" t="str">
        <x:v>RAE-E-14-HP-12</x:v>
      </x:c>
      <x:c r="E2908" s="7" t="str">
        <x:v>Hold Ledger!J434</x:v>
      </x:c>
      <x:c r="F2908" s="7" t="str">
        <x:f>'Hold Ledger'!J434</x:f>
        <x:v>OPEN</x:v>
      </x:c>
    </x:row>
    <x:row r="2909">
      <x:c r="B2909" s="7" t="str">
        <x:v>PHY-2903</x:v>
      </x:c>
      <x:c r="C2909" s="7" t="str">
        <x:v>hold record</x:v>
      </x:c>
      <x:c r="D2909" s="7" t="str">
        <x:v>RAE-E-14-HP-13</x:v>
      </x:c>
      <x:c r="E2909" s="7" t="str">
        <x:v>Hold Ledger!J435</x:v>
      </x:c>
      <x:c r="F2909" s="7" t="str">
        <x:f>'Hold Ledger'!J435</x:f>
        <x:v>OPEN</x:v>
      </x:c>
    </x:row>
    <x:row r="2910">
      <x:c r="B2910" s="7" t="str">
        <x:v>PHY-2904</x:v>
      </x:c>
      <x:c r="C2910" s="7" t="str">
        <x:v>hold record</x:v>
      </x:c>
      <x:c r="D2910" s="7" t="str">
        <x:v>RAE-E-14-HP-14</x:v>
      </x:c>
      <x:c r="E2910" s="7" t="str">
        <x:v>Hold Ledger!J436</x:v>
      </x:c>
      <x:c r="F2910" s="7" t="str">
        <x:f>'Hold Ledger'!J436</x:f>
        <x:v>OPEN</x:v>
      </x:c>
    </x:row>
    <x:row r="2911">
      <x:c r="B2911" s="7" t="str">
        <x:v>PHY-2905</x:v>
      </x:c>
      <x:c r="C2911" s="7" t="str">
        <x:v>hold record</x:v>
      </x:c>
      <x:c r="D2911" s="7" t="str">
        <x:v>RAE-E-14-HP-15</x:v>
      </x:c>
      <x:c r="E2911" s="7" t="str">
        <x:v>Hold Ledger!J437</x:v>
      </x:c>
      <x:c r="F2911" s="7" t="str">
        <x:f>'Hold Ledger'!J437</x:f>
        <x:v>OPEN</x:v>
      </x:c>
    </x:row>
    <x:row r="2912">
      <x:c r="B2912" s="7" t="str">
        <x:v>PHY-2906</x:v>
      </x:c>
      <x:c r="C2912" s="7" t="str">
        <x:v>hold record</x:v>
      </x:c>
      <x:c r="D2912" s="7" t="str">
        <x:v>RAE-E-14-HP-16</x:v>
      </x:c>
      <x:c r="E2912" s="7" t="str">
        <x:v>Hold Ledger!J438</x:v>
      </x:c>
      <x:c r="F2912" s="7" t="str">
        <x:f>'Hold Ledger'!J438</x:f>
        <x:v>OPEN</x:v>
      </x:c>
    </x:row>
    <x:row r="2913">
      <x:c r="B2913" s="7" t="str">
        <x:v>PHY-2907</x:v>
      </x:c>
      <x:c r="C2913" s="7" t="str">
        <x:v>hold record</x:v>
      </x:c>
      <x:c r="D2913" s="7" t="str">
        <x:v>RAE-E-14-HP-17</x:v>
      </x:c>
      <x:c r="E2913" s="7" t="str">
        <x:v>Hold Ledger!J439</x:v>
      </x:c>
      <x:c r="F2913" s="7" t="str">
        <x:f>'Hold Ledger'!J439</x:f>
        <x:v>OPEN</x:v>
      </x:c>
    </x:row>
    <x:row r="2914">
      <x:c r="B2914" s="7" t="str">
        <x:v>PHY-2908</x:v>
      </x:c>
      <x:c r="C2914" s="7" t="str">
        <x:v>hold record</x:v>
      </x:c>
      <x:c r="D2914" s="7" t="str">
        <x:v>RAE-E-14-HP-18</x:v>
      </x:c>
      <x:c r="E2914" s="7" t="str">
        <x:v>Hold Ledger!J440</x:v>
      </x:c>
      <x:c r="F2914" s="7" t="str">
        <x:f>'Hold Ledger'!J440</x:f>
        <x:v>OPEN</x:v>
      </x:c>
    </x:row>
    <x:row r="2915">
      <x:c r="B2915" s="7" t="str">
        <x:v>PHY-2909</x:v>
      </x:c>
      <x:c r="C2915" s="7" t="str">
        <x:v>hold record</x:v>
      </x:c>
      <x:c r="D2915" s="7" t="str">
        <x:v>RAE-E-14-HP-19</x:v>
      </x:c>
      <x:c r="E2915" s="7" t="str">
        <x:v>Hold Ledger!J441</x:v>
      </x:c>
      <x:c r="F2915" s="7" t="str">
        <x:f>'Hold Ledger'!J441</x:f>
        <x:v>OPEN</x:v>
      </x:c>
    </x:row>
    <x:row r="2916">
      <x:c r="B2916" s="7" t="str">
        <x:v>PHY-2910</x:v>
      </x:c>
      <x:c r="C2916" s="7" t="str">
        <x:v>hold record</x:v>
      </x:c>
      <x:c r="D2916" s="7" t="str">
        <x:v>RAE-E-14-HP-20</x:v>
      </x:c>
      <x:c r="E2916" s="7" t="str">
        <x:v>Hold Ledger!J442</x:v>
      </x:c>
      <x:c r="F2916" s="7" t="str">
        <x:f>'Hold Ledger'!J442</x:f>
        <x:v>OPEN</x:v>
      </x:c>
    </x:row>
    <x:row r="2917">
      <x:c r="B2917" s="7" t="str">
        <x:v>PHY-2911</x:v>
      </x:c>
      <x:c r="C2917" s="7" t="str">
        <x:v>hold record</x:v>
      </x:c>
      <x:c r="D2917" s="7" t="str">
        <x:v>RAE-E-14-HP-21</x:v>
      </x:c>
      <x:c r="E2917" s="7" t="str">
        <x:v>Hold Ledger!J443</x:v>
      </x:c>
      <x:c r="F2917" s="7" t="str">
        <x:f>'Hold Ledger'!J443</x:f>
        <x:v>OPEN</x:v>
      </x:c>
    </x:row>
    <x:row r="2918">
      <x:c r="B2918" s="7" t="str">
        <x:v>PHY-2912</x:v>
      </x:c>
      <x:c r="C2918" s="7" t="str">
        <x:v>hold record</x:v>
      </x:c>
      <x:c r="D2918" s="7" t="str">
        <x:v>RAE-E-14-HP-22</x:v>
      </x:c>
      <x:c r="E2918" s="7" t="str">
        <x:v>Hold Ledger!J444</x:v>
      </x:c>
      <x:c r="F2918" s="7" t="str">
        <x:f>'Hold Ledger'!J444</x:f>
        <x:v>OPEN</x:v>
      </x:c>
    </x:row>
    <x:row r="2919">
      <x:c r="B2919" s="7" t="str">
        <x:v>PHY-2913</x:v>
      </x:c>
      <x:c r="C2919" s="7" t="str">
        <x:v>hold record</x:v>
      </x:c>
      <x:c r="D2919" s="7" t="str">
        <x:v>RAE-E-14-HP-23</x:v>
      </x:c>
      <x:c r="E2919" s="7" t="str">
        <x:v>Hold Ledger!J445</x:v>
      </x:c>
      <x:c r="F2919" s="7" t="str">
        <x:f>'Hold Ledger'!J445</x:f>
        <x:v>OPEN</x:v>
      </x:c>
    </x:row>
    <x:row r="2920">
      <x:c r="B2920" s="7" t="str">
        <x:v>PHY-2914</x:v>
      </x:c>
      <x:c r="C2920" s="7" t="str">
        <x:v>hold record</x:v>
      </x:c>
      <x:c r="D2920" s="7" t="str">
        <x:v>RAE-E-14-HP-24</x:v>
      </x:c>
      <x:c r="E2920" s="7" t="str">
        <x:v>Hold Ledger!J446</x:v>
      </x:c>
      <x:c r="F2920" s="7" t="str">
        <x:f>'Hold Ledger'!J446</x:f>
        <x:v>OPEN</x:v>
      </x:c>
    </x:row>
    <x:row r="2921">
      <x:c r="B2921" s="7" t="str">
        <x:v>PHY-2915</x:v>
      </x:c>
      <x:c r="C2921" s="7" t="str">
        <x:v>hold record</x:v>
      </x:c>
      <x:c r="D2921" s="7" t="str">
        <x:v>RAE-E-14-HP-25</x:v>
      </x:c>
      <x:c r="E2921" s="7" t="str">
        <x:v>Hold Ledger!J447</x:v>
      </x:c>
      <x:c r="F2921" s="7" t="str">
        <x:f>'Hold Ledger'!J447</x:f>
        <x:v>OPEN</x:v>
      </x:c>
    </x:row>
    <x:row r="2922">
      <x:c r="B2922" s="7" t="str">
        <x:v>PHY-2916</x:v>
      </x:c>
      <x:c r="C2922" s="7" t="str">
        <x:v>hold record</x:v>
      </x:c>
      <x:c r="D2922" s="7" t="str">
        <x:v>RAE-E-14-HP-26</x:v>
      </x:c>
      <x:c r="E2922" s="7" t="str">
        <x:v>Hold Ledger!J448</x:v>
      </x:c>
      <x:c r="F2922" s="7" t="str">
        <x:f>'Hold Ledger'!J448</x:f>
        <x:v>OPEN</x:v>
      </x:c>
    </x:row>
    <x:row r="2923">
      <x:c r="B2923" s="7" t="str">
        <x:v>PHY-2917</x:v>
      </x:c>
      <x:c r="C2923" s="7" t="str">
        <x:v>hold record</x:v>
      </x:c>
      <x:c r="D2923" s="7" t="str">
        <x:v>RAE-E-14-HP-27</x:v>
      </x:c>
      <x:c r="E2923" s="7" t="str">
        <x:v>Hold Ledger!J449</x:v>
      </x:c>
      <x:c r="F2923" s="7" t="str">
        <x:f>'Hold Ledger'!J449</x:f>
        <x:v>OPEN</x:v>
      </x:c>
    </x:row>
    <x:row r="2924">
      <x:c r="B2924" s="7" t="str">
        <x:v>PHY-2918</x:v>
      </x:c>
      <x:c r="C2924" s="7" t="str">
        <x:v>hold record</x:v>
      </x:c>
      <x:c r="D2924" s="7" t="str">
        <x:v>RAE-E-14-HP-28</x:v>
      </x:c>
      <x:c r="E2924" s="7" t="str">
        <x:v>Hold Ledger!J450</x:v>
      </x:c>
      <x:c r="F2924" s="7" t="str">
        <x:f>'Hold Ledger'!J450</x:f>
        <x:v>OPEN</x:v>
      </x:c>
    </x:row>
    <x:row r="2925">
      <x:c r="B2925" s="7" t="str">
        <x:v>PHY-2919</x:v>
      </x:c>
      <x:c r="C2925" s="7" t="str">
        <x:v>hold record</x:v>
      </x:c>
      <x:c r="D2925" s="7" t="str">
        <x:v>RAE-E-14-HP-29</x:v>
      </x:c>
      <x:c r="E2925" s="7" t="str">
        <x:v>Hold Ledger!J451</x:v>
      </x:c>
      <x:c r="F2925" s="7" t="str">
        <x:f>'Hold Ledger'!J451</x:f>
        <x:v>OPEN</x:v>
      </x:c>
    </x:row>
    <x:row r="2926">
      <x:c r="B2926" s="7" t="str">
        <x:v>PHY-2920</x:v>
      </x:c>
      <x:c r="C2926" s="7" t="str">
        <x:v>hold record</x:v>
      </x:c>
      <x:c r="D2926" s="7" t="str">
        <x:v>RAE-E-14-HP-30</x:v>
      </x:c>
      <x:c r="E2926" s="7" t="str">
        <x:v>Hold Ledger!J452</x:v>
      </x:c>
      <x:c r="F2926" s="7" t="str">
        <x:f>'Hold Ledger'!J452</x:f>
        <x:v>OPEN</x:v>
      </x:c>
    </x:row>
    <x:row r="2927">
      <x:c r="B2927" s="7" t="str">
        <x:v>PHY-2921</x:v>
      </x:c>
      <x:c r="C2927" s="7" t="str">
        <x:v>hold record</x:v>
      </x:c>
      <x:c r="D2927" s="7" t="str">
        <x:v>RAE-E-14-HP-31</x:v>
      </x:c>
      <x:c r="E2927" s="7" t="str">
        <x:v>Hold Ledger!J453</x:v>
      </x:c>
      <x:c r="F2927" s="7" t="str">
        <x:f>'Hold Ledger'!J453</x:f>
        <x:v>OPEN</x:v>
      </x:c>
    </x:row>
    <x:row r="2928">
      <x:c r="B2928" s="7" t="str">
        <x:v>PHY-2922</x:v>
      </x:c>
      <x:c r="C2928" s="7" t="str">
        <x:v>hold record</x:v>
      </x:c>
      <x:c r="D2928" s="7" t="str">
        <x:v>RAE-E-14-HP-32</x:v>
      </x:c>
      <x:c r="E2928" s="7" t="str">
        <x:v>Hold Ledger!J454</x:v>
      </x:c>
      <x:c r="F2928" s="7" t="str">
        <x:f>'Hold Ledger'!J454</x:f>
        <x:v>OPEN</x:v>
      </x:c>
    </x:row>
    <x:row r="2929">
      <x:c r="B2929" s="7" t="str">
        <x:v>PHY-2923</x:v>
      </x:c>
      <x:c r="C2929" s="7" t="str">
        <x:v>hold record</x:v>
      </x:c>
      <x:c r="D2929" s="7" t="str">
        <x:v>RAE-E-15-HP-01</x:v>
      </x:c>
      <x:c r="E2929" s="7" t="str">
        <x:v>Hold Ledger!J455</x:v>
      </x:c>
      <x:c r="F2929" s="7" t="str">
        <x:f>'Hold Ledger'!J455</x:f>
        <x:v>OPEN</x:v>
      </x:c>
    </x:row>
    <x:row r="2930">
      <x:c r="B2930" s="7" t="str">
        <x:v>PHY-2924</x:v>
      </x:c>
      <x:c r="C2930" s="7" t="str">
        <x:v>hold record</x:v>
      </x:c>
      <x:c r="D2930" s="7" t="str">
        <x:v>RAE-E-15-HP-02</x:v>
      </x:c>
      <x:c r="E2930" s="7" t="str">
        <x:v>Hold Ledger!J456</x:v>
      </x:c>
      <x:c r="F2930" s="7" t="str">
        <x:f>'Hold Ledger'!J456</x:f>
        <x:v>OPEN</x:v>
      </x:c>
    </x:row>
    <x:row r="2931">
      <x:c r="B2931" s="7" t="str">
        <x:v>PHY-2925</x:v>
      </x:c>
      <x:c r="C2931" s="7" t="str">
        <x:v>hold record</x:v>
      </x:c>
      <x:c r="D2931" s="7" t="str">
        <x:v>RAE-E-15-HP-03</x:v>
      </x:c>
      <x:c r="E2931" s="7" t="str">
        <x:v>Hold Ledger!J457</x:v>
      </x:c>
      <x:c r="F2931" s="7" t="str">
        <x:f>'Hold Ledger'!J457</x:f>
        <x:v>OPEN</x:v>
      </x:c>
    </x:row>
    <x:row r="2932">
      <x:c r="B2932" s="7" t="str">
        <x:v>PHY-2926</x:v>
      </x:c>
      <x:c r="C2932" s="7" t="str">
        <x:v>hold record</x:v>
      </x:c>
      <x:c r="D2932" s="7" t="str">
        <x:v>RAE-E-15-HP-04</x:v>
      </x:c>
      <x:c r="E2932" s="7" t="str">
        <x:v>Hold Ledger!J458</x:v>
      </x:c>
      <x:c r="F2932" s="7" t="str">
        <x:f>'Hold Ledger'!J458</x:f>
        <x:v>OPEN</x:v>
      </x:c>
    </x:row>
    <x:row r="2933">
      <x:c r="B2933" s="7" t="str">
        <x:v>PHY-2927</x:v>
      </x:c>
      <x:c r="C2933" s="7" t="str">
        <x:v>hold record</x:v>
      </x:c>
      <x:c r="D2933" s="7" t="str">
        <x:v>RAE-E-15-HP-05</x:v>
      </x:c>
      <x:c r="E2933" s="7" t="str">
        <x:v>Hold Ledger!J459</x:v>
      </x:c>
      <x:c r="F2933" s="7" t="str">
        <x:f>'Hold Ledger'!J459</x:f>
        <x:v>OPEN</x:v>
      </x:c>
    </x:row>
    <x:row r="2934">
      <x:c r="B2934" s="7" t="str">
        <x:v>PHY-2928</x:v>
      </x:c>
      <x:c r="C2934" s="7" t="str">
        <x:v>hold record</x:v>
      </x:c>
      <x:c r="D2934" s="7" t="str">
        <x:v>RAE-E-15-HP-06</x:v>
      </x:c>
      <x:c r="E2934" s="7" t="str">
        <x:v>Hold Ledger!J460</x:v>
      </x:c>
      <x:c r="F2934" s="7" t="str">
        <x:f>'Hold Ledger'!J460</x:f>
        <x:v>OPEN</x:v>
      </x:c>
    </x:row>
    <x:row r="2935">
      <x:c r="B2935" s="7" t="str">
        <x:v>PHY-2929</x:v>
      </x:c>
      <x:c r="C2935" s="7" t="str">
        <x:v>hold record</x:v>
      </x:c>
      <x:c r="D2935" s="7" t="str">
        <x:v>RAE-E-15-HP-07</x:v>
      </x:c>
      <x:c r="E2935" s="7" t="str">
        <x:v>Hold Ledger!J461</x:v>
      </x:c>
      <x:c r="F2935" s="7" t="str">
        <x:f>'Hold Ledger'!J461</x:f>
        <x:v>OPEN</x:v>
      </x:c>
    </x:row>
    <x:row r="2936">
      <x:c r="B2936" s="7" t="str">
        <x:v>PHY-2930</x:v>
      </x:c>
      <x:c r="C2936" s="7" t="str">
        <x:v>hold record</x:v>
      </x:c>
      <x:c r="D2936" s="7" t="str">
        <x:v>RAE-E-15-HP-08</x:v>
      </x:c>
      <x:c r="E2936" s="7" t="str">
        <x:v>Hold Ledger!J462</x:v>
      </x:c>
      <x:c r="F2936" s="7" t="str">
        <x:f>'Hold Ledger'!J462</x:f>
        <x:v>OPEN</x:v>
      </x:c>
    </x:row>
    <x:row r="2937">
      <x:c r="B2937" s="7" t="str">
        <x:v>PHY-2931</x:v>
      </x:c>
      <x:c r="C2937" s="7" t="str">
        <x:v>hold record</x:v>
      </x:c>
      <x:c r="D2937" s="7" t="str">
        <x:v>RAE-E-15-HP-09</x:v>
      </x:c>
      <x:c r="E2937" s="7" t="str">
        <x:v>Hold Ledger!J463</x:v>
      </x:c>
      <x:c r="F2937" s="7" t="str">
        <x:f>'Hold Ledger'!J463</x:f>
        <x:v>OPEN</x:v>
      </x:c>
    </x:row>
    <x:row r="2938">
      <x:c r="B2938" s="7" t="str">
        <x:v>PHY-2932</x:v>
      </x:c>
      <x:c r="C2938" s="7" t="str">
        <x:v>hold record</x:v>
      </x:c>
      <x:c r="D2938" s="7" t="str">
        <x:v>RAE-E-15-HP-10</x:v>
      </x:c>
      <x:c r="E2938" s="7" t="str">
        <x:v>Hold Ledger!J464</x:v>
      </x:c>
      <x:c r="F2938" s="7" t="str">
        <x:f>'Hold Ledger'!J464</x:f>
        <x:v>OPEN</x:v>
      </x:c>
    </x:row>
    <x:row r="2939">
      <x:c r="B2939" s="7" t="str">
        <x:v>PHY-2933</x:v>
      </x:c>
      <x:c r="C2939" s="7" t="str">
        <x:v>hold record</x:v>
      </x:c>
      <x:c r="D2939" s="7" t="str">
        <x:v>RAE-E-15-HP-11</x:v>
      </x:c>
      <x:c r="E2939" s="7" t="str">
        <x:v>Hold Ledger!J465</x:v>
      </x:c>
      <x:c r="F2939" s="7" t="str">
        <x:f>'Hold Ledger'!J465</x:f>
        <x:v>OPEN</x:v>
      </x:c>
    </x:row>
    <x:row r="2940">
      <x:c r="B2940" s="7" t="str">
        <x:v>PHY-2934</x:v>
      </x:c>
      <x:c r="C2940" s="7" t="str">
        <x:v>hold record</x:v>
      </x:c>
      <x:c r="D2940" s="7" t="str">
        <x:v>RAE-E-15-HP-12</x:v>
      </x:c>
      <x:c r="E2940" s="7" t="str">
        <x:v>Hold Ledger!J466</x:v>
      </x:c>
      <x:c r="F2940" s="7" t="str">
        <x:f>'Hold Ledger'!J466</x:f>
        <x:v>OPEN</x:v>
      </x:c>
    </x:row>
    <x:row r="2941">
      <x:c r="B2941" s="7" t="str">
        <x:v>PHY-2935</x:v>
      </x:c>
      <x:c r="C2941" s="7" t="str">
        <x:v>hold record</x:v>
      </x:c>
      <x:c r="D2941" s="7" t="str">
        <x:v>RAE-E-15-HP-13</x:v>
      </x:c>
      <x:c r="E2941" s="7" t="str">
        <x:v>Hold Ledger!J467</x:v>
      </x:c>
      <x:c r="F2941" s="7" t="str">
        <x:f>'Hold Ledger'!J467</x:f>
        <x:v>OPEN</x:v>
      </x:c>
    </x:row>
    <x:row r="2942">
      <x:c r="B2942" s="7" t="str">
        <x:v>PHY-2936</x:v>
      </x:c>
      <x:c r="C2942" s="7" t="str">
        <x:v>hold record</x:v>
      </x:c>
      <x:c r="D2942" s="7" t="str">
        <x:v>RAE-E-15-HP-14</x:v>
      </x:c>
      <x:c r="E2942" s="7" t="str">
        <x:v>Hold Ledger!J468</x:v>
      </x:c>
      <x:c r="F2942" s="7" t="str">
        <x:f>'Hold Ledger'!J468</x:f>
        <x:v>OPEN</x:v>
      </x:c>
    </x:row>
    <x:row r="2943">
      <x:c r="B2943" s="7" t="str">
        <x:v>PHY-2937</x:v>
      </x:c>
      <x:c r="C2943" s="7" t="str">
        <x:v>hold record</x:v>
      </x:c>
      <x:c r="D2943" s="7" t="str">
        <x:v>RAE-E-15-HP-15</x:v>
      </x:c>
      <x:c r="E2943" s="7" t="str">
        <x:v>Hold Ledger!J469</x:v>
      </x:c>
      <x:c r="F2943" s="7" t="str">
        <x:f>'Hold Ledger'!J469</x:f>
        <x:v>OPEN</x:v>
      </x:c>
    </x:row>
    <x:row r="2944">
      <x:c r="B2944" s="7" t="str">
        <x:v>PHY-2938</x:v>
      </x:c>
      <x:c r="C2944" s="7" t="str">
        <x:v>hold record</x:v>
      </x:c>
      <x:c r="D2944" s="7" t="str">
        <x:v>RAE-E-15-HP-16</x:v>
      </x:c>
      <x:c r="E2944" s="7" t="str">
        <x:v>Hold Ledger!J470</x:v>
      </x:c>
      <x:c r="F2944" s="7" t="str">
        <x:f>'Hold Ledger'!J470</x:f>
        <x:v>OPEN</x:v>
      </x:c>
    </x:row>
    <x:row r="2945">
      <x:c r="B2945" s="7" t="str">
        <x:v>PHY-2939</x:v>
      </x:c>
      <x:c r="C2945" s="7" t="str">
        <x:v>hold record</x:v>
      </x:c>
      <x:c r="D2945" s="7" t="str">
        <x:v>RAE-E-15-HP-17</x:v>
      </x:c>
      <x:c r="E2945" s="7" t="str">
        <x:v>Hold Ledger!J471</x:v>
      </x:c>
      <x:c r="F2945" s="7" t="str">
        <x:f>'Hold Ledger'!J471</x:f>
        <x:v>OPEN</x:v>
      </x:c>
    </x:row>
    <x:row r="2946">
      <x:c r="B2946" s="7" t="str">
        <x:v>PHY-2940</x:v>
      </x:c>
      <x:c r="C2946" s="7" t="str">
        <x:v>hold record</x:v>
      </x:c>
      <x:c r="D2946" s="7" t="str">
        <x:v>RAE-E-15-HP-18</x:v>
      </x:c>
      <x:c r="E2946" s="7" t="str">
        <x:v>Hold Ledger!J472</x:v>
      </x:c>
      <x:c r="F2946" s="7" t="str">
        <x:f>'Hold Ledger'!J472</x:f>
        <x:v>OPEN</x:v>
      </x:c>
    </x:row>
    <x:row r="2947">
      <x:c r="B2947" s="7" t="str">
        <x:v>PHY-2941</x:v>
      </x:c>
      <x:c r="C2947" s="7" t="str">
        <x:v>hold record</x:v>
      </x:c>
      <x:c r="D2947" s="7" t="str">
        <x:v>RAE-E-15-HP-19</x:v>
      </x:c>
      <x:c r="E2947" s="7" t="str">
        <x:v>Hold Ledger!J473</x:v>
      </x:c>
      <x:c r="F2947" s="7" t="str">
        <x:f>'Hold Ledger'!J473</x:f>
        <x:v>OPEN</x:v>
      </x:c>
    </x:row>
    <x:row r="2948">
      <x:c r="B2948" s="7" t="str">
        <x:v>PHY-2942</x:v>
      </x:c>
      <x:c r="C2948" s="7" t="str">
        <x:v>hold record</x:v>
      </x:c>
      <x:c r="D2948" s="7" t="str">
        <x:v>RAE-E-15-HP-20</x:v>
      </x:c>
      <x:c r="E2948" s="7" t="str">
        <x:v>Hold Ledger!J474</x:v>
      </x:c>
      <x:c r="F2948" s="7" t="str">
        <x:f>'Hold Ledger'!J474</x:f>
        <x:v>OPEN</x:v>
      </x:c>
    </x:row>
    <x:row r="2949">
      <x:c r="B2949" s="7" t="str">
        <x:v>PHY-2943</x:v>
      </x:c>
      <x:c r="C2949" s="7" t="str">
        <x:v>hold record</x:v>
      </x:c>
      <x:c r="D2949" s="7" t="str">
        <x:v>RAE-E-15-HP-21</x:v>
      </x:c>
      <x:c r="E2949" s="7" t="str">
        <x:v>Hold Ledger!J475</x:v>
      </x:c>
      <x:c r="F2949" s="7" t="str">
        <x:f>'Hold Ledger'!J475</x:f>
        <x:v>OPEN</x:v>
      </x:c>
    </x:row>
    <x:row r="2950">
      <x:c r="B2950" s="7" t="str">
        <x:v>PHY-2944</x:v>
      </x:c>
      <x:c r="C2950" s="7" t="str">
        <x:v>hold record</x:v>
      </x:c>
      <x:c r="D2950" s="7" t="str">
        <x:v>RAE-E-15-HP-22</x:v>
      </x:c>
      <x:c r="E2950" s="7" t="str">
        <x:v>Hold Ledger!J476</x:v>
      </x:c>
      <x:c r="F2950" s="7" t="str">
        <x:f>'Hold Ledger'!J476</x:f>
        <x:v>OPEN</x:v>
      </x:c>
    </x:row>
    <x:row r="2951">
      <x:c r="B2951" s="7" t="str">
        <x:v>PHY-2945</x:v>
      </x:c>
      <x:c r="C2951" s="7" t="str">
        <x:v>hold record</x:v>
      </x:c>
      <x:c r="D2951" s="7" t="str">
        <x:v>RAE-E-15-HP-23</x:v>
      </x:c>
      <x:c r="E2951" s="7" t="str">
        <x:v>Hold Ledger!J477</x:v>
      </x:c>
      <x:c r="F2951" s="7" t="str">
        <x:f>'Hold Ledger'!J477</x:f>
        <x:v>OPEN</x:v>
      </x:c>
    </x:row>
    <x:row r="2952">
      <x:c r="B2952" s="7" t="str">
        <x:v>PHY-2946</x:v>
      </x:c>
      <x:c r="C2952" s="7" t="str">
        <x:v>hold record</x:v>
      </x:c>
      <x:c r="D2952" s="7" t="str">
        <x:v>RAE-E-15-HP-24</x:v>
      </x:c>
      <x:c r="E2952" s="7" t="str">
        <x:v>Hold Ledger!J478</x:v>
      </x:c>
      <x:c r="F2952" s="7" t="str">
        <x:f>'Hold Ledger'!J478</x:f>
        <x:v>OPEN</x:v>
      </x:c>
    </x:row>
    <x:row r="2953">
      <x:c r="B2953" s="7" t="str">
        <x:v>PHY-2947</x:v>
      </x:c>
      <x:c r="C2953" s="7" t="str">
        <x:v>hold record</x:v>
      </x:c>
      <x:c r="D2953" s="7" t="str">
        <x:v>RAE-E-15-HP-25</x:v>
      </x:c>
      <x:c r="E2953" s="7" t="str">
        <x:v>Hold Ledger!J479</x:v>
      </x:c>
      <x:c r="F2953" s="7" t="str">
        <x:f>'Hold Ledger'!J479</x:f>
        <x:v>OPEN</x:v>
      </x:c>
    </x:row>
    <x:row r="2954">
      <x:c r="B2954" s="7" t="str">
        <x:v>PHY-2948</x:v>
      </x:c>
      <x:c r="C2954" s="7" t="str">
        <x:v>hold record</x:v>
      </x:c>
      <x:c r="D2954" s="7" t="str">
        <x:v>RAE-E-15-HP-26</x:v>
      </x:c>
      <x:c r="E2954" s="7" t="str">
        <x:v>Hold Ledger!J480</x:v>
      </x:c>
      <x:c r="F2954" s="7" t="str">
        <x:f>'Hold Ledger'!J480</x:f>
        <x:v>OPEN</x:v>
      </x:c>
    </x:row>
    <x:row r="2955">
      <x:c r="B2955" s="7" t="str">
        <x:v>PHY-2949</x:v>
      </x:c>
      <x:c r="C2955" s="7" t="str">
        <x:v>hold record</x:v>
      </x:c>
      <x:c r="D2955" s="7" t="str">
        <x:v>RAE-E-15-HP-27</x:v>
      </x:c>
      <x:c r="E2955" s="7" t="str">
        <x:v>Hold Ledger!J481</x:v>
      </x:c>
      <x:c r="F2955" s="7" t="str">
        <x:f>'Hold Ledger'!J481</x:f>
        <x:v>OPEN</x:v>
      </x:c>
    </x:row>
    <x:row r="2956">
      <x:c r="B2956" s="7" t="str">
        <x:v>PHY-2950</x:v>
      </x:c>
      <x:c r="C2956" s="7" t="str">
        <x:v>hold record</x:v>
      </x:c>
      <x:c r="D2956" s="7" t="str">
        <x:v>RAE-E-15-HP-28</x:v>
      </x:c>
      <x:c r="E2956" s="7" t="str">
        <x:v>Hold Ledger!J482</x:v>
      </x:c>
      <x:c r="F2956" s="7" t="str">
        <x:f>'Hold Ledger'!J482</x:f>
        <x:v>OPEN</x:v>
      </x:c>
    </x:row>
    <x:row r="2957">
      <x:c r="B2957" s="7" t="str">
        <x:v>PHY-2951</x:v>
      </x:c>
      <x:c r="C2957" s="7" t="str">
        <x:v>hold record</x:v>
      </x:c>
      <x:c r="D2957" s="7" t="str">
        <x:v>RAE-E-15-HP-29</x:v>
      </x:c>
      <x:c r="E2957" s="7" t="str">
        <x:v>Hold Ledger!J483</x:v>
      </x:c>
      <x:c r="F2957" s="7" t="str">
        <x:f>'Hold Ledger'!J483</x:f>
        <x:v>OPEN</x:v>
      </x:c>
    </x:row>
    <x:row r="2958">
      <x:c r="B2958" s="7" t="str">
        <x:v>PHY-2952</x:v>
      </x:c>
      <x:c r="C2958" s="7" t="str">
        <x:v>hold record</x:v>
      </x:c>
      <x:c r="D2958" s="7" t="str">
        <x:v>RAE-E-15-HP-30</x:v>
      </x:c>
      <x:c r="E2958" s="7" t="str">
        <x:v>Hold Ledger!J484</x:v>
      </x:c>
      <x:c r="F2958" s="7" t="str">
        <x:f>'Hold Ledger'!J484</x:f>
        <x:v>OPEN</x:v>
      </x:c>
    </x:row>
    <x:row r="2959">
      <x:c r="B2959" s="7" t="str">
        <x:v>PHY-2953</x:v>
      </x:c>
      <x:c r="C2959" s="7" t="str">
        <x:v>hold record</x:v>
      </x:c>
      <x:c r="D2959" s="7" t="str">
        <x:v>RAE-E-15-HP-31</x:v>
      </x:c>
      <x:c r="E2959" s="7" t="str">
        <x:v>Hold Ledger!J485</x:v>
      </x:c>
      <x:c r="F2959" s="7" t="str">
        <x:f>'Hold Ledger'!J485</x:f>
        <x:v>OPEN</x:v>
      </x:c>
    </x:row>
    <x:row r="2960">
      <x:c r="B2960" s="7" t="str">
        <x:v>PHY-2954</x:v>
      </x:c>
      <x:c r="C2960" s="7" t="str">
        <x:v>hold record</x:v>
      </x:c>
      <x:c r="D2960" s="7" t="str">
        <x:v>RAE-E-15-HP-32</x:v>
      </x:c>
      <x:c r="E2960" s="7" t="str">
        <x:v>Hold Ledger!J486</x:v>
      </x:c>
      <x:c r="F2960" s="7" t="str">
        <x:f>'Hold Ledger'!J486</x:f>
        <x:v>OPEN</x:v>
      </x:c>
    </x:row>
    <x:row r="2961">
      <x:c r="B2961" s="7" t="str">
        <x:v>PHY-2955</x:v>
      </x:c>
      <x:c r="C2961" s="7" t="str">
        <x:v>hold record</x:v>
      </x:c>
      <x:c r="D2961" s="7" t="str">
        <x:v>RAE-E-16-HP-01</x:v>
      </x:c>
      <x:c r="E2961" s="7" t="str">
        <x:v>Hold Ledger!J487</x:v>
      </x:c>
      <x:c r="F2961" s="7" t="str">
        <x:f>'Hold Ledger'!J487</x:f>
        <x:v>OPEN</x:v>
      </x:c>
    </x:row>
    <x:row r="2962">
      <x:c r="B2962" s="7" t="str">
        <x:v>PHY-2956</x:v>
      </x:c>
      <x:c r="C2962" s="7" t="str">
        <x:v>hold record</x:v>
      </x:c>
      <x:c r="D2962" s="7" t="str">
        <x:v>RAE-E-16-HP-02</x:v>
      </x:c>
      <x:c r="E2962" s="7" t="str">
        <x:v>Hold Ledger!J488</x:v>
      </x:c>
      <x:c r="F2962" s="7" t="str">
        <x:f>'Hold Ledger'!J488</x:f>
        <x:v>OPEN</x:v>
      </x:c>
    </x:row>
    <x:row r="2963">
      <x:c r="B2963" s="7" t="str">
        <x:v>PHY-2957</x:v>
      </x:c>
      <x:c r="C2963" s="7" t="str">
        <x:v>hold record</x:v>
      </x:c>
      <x:c r="D2963" s="7" t="str">
        <x:v>RAE-E-16-HP-03</x:v>
      </x:c>
      <x:c r="E2963" s="7" t="str">
        <x:v>Hold Ledger!J489</x:v>
      </x:c>
      <x:c r="F2963" s="7" t="str">
        <x:f>'Hold Ledger'!J489</x:f>
        <x:v>OPEN</x:v>
      </x:c>
    </x:row>
    <x:row r="2964">
      <x:c r="B2964" s="7" t="str">
        <x:v>PHY-2958</x:v>
      </x:c>
      <x:c r="C2964" s="7" t="str">
        <x:v>hold record</x:v>
      </x:c>
      <x:c r="D2964" s="7" t="str">
        <x:v>RAE-E-16-HP-04</x:v>
      </x:c>
      <x:c r="E2964" s="7" t="str">
        <x:v>Hold Ledger!J490</x:v>
      </x:c>
      <x:c r="F2964" s="7" t="str">
        <x:f>'Hold Ledger'!J490</x:f>
        <x:v>OPEN</x:v>
      </x:c>
    </x:row>
    <x:row r="2965">
      <x:c r="B2965" s="7" t="str">
        <x:v>PHY-2959</x:v>
      </x:c>
      <x:c r="C2965" s="7" t="str">
        <x:v>hold record</x:v>
      </x:c>
      <x:c r="D2965" s="7" t="str">
        <x:v>RAE-E-16-HP-05</x:v>
      </x:c>
      <x:c r="E2965" s="7" t="str">
        <x:v>Hold Ledger!J491</x:v>
      </x:c>
      <x:c r="F2965" s="7" t="str">
        <x:f>'Hold Ledger'!J491</x:f>
        <x:v>OPEN</x:v>
      </x:c>
    </x:row>
    <x:row r="2966">
      <x:c r="B2966" s="7" t="str">
        <x:v>PHY-2960</x:v>
      </x:c>
      <x:c r="C2966" s="7" t="str">
        <x:v>hold record</x:v>
      </x:c>
      <x:c r="D2966" s="7" t="str">
        <x:v>RAE-E-16-HP-06</x:v>
      </x:c>
      <x:c r="E2966" s="7" t="str">
        <x:v>Hold Ledger!J492</x:v>
      </x:c>
      <x:c r="F2966" s="7" t="str">
        <x:f>'Hold Ledger'!J492</x:f>
        <x:v>OPEN</x:v>
      </x:c>
    </x:row>
    <x:row r="2967">
      <x:c r="B2967" s="7" t="str">
        <x:v>PHY-2961</x:v>
      </x:c>
      <x:c r="C2967" s="7" t="str">
        <x:v>hold record</x:v>
      </x:c>
      <x:c r="D2967" s="7" t="str">
        <x:v>RAE-E-16-HP-07</x:v>
      </x:c>
      <x:c r="E2967" s="7" t="str">
        <x:v>Hold Ledger!J493</x:v>
      </x:c>
      <x:c r="F2967" s="7" t="str">
        <x:f>'Hold Ledger'!J493</x:f>
        <x:v>OPEN</x:v>
      </x:c>
    </x:row>
    <x:row r="2968">
      <x:c r="B2968" s="7" t="str">
        <x:v>PHY-2962</x:v>
      </x:c>
      <x:c r="C2968" s="7" t="str">
        <x:v>hold record</x:v>
      </x:c>
      <x:c r="D2968" s="7" t="str">
        <x:v>RAE-E-16-HP-08</x:v>
      </x:c>
      <x:c r="E2968" s="7" t="str">
        <x:v>Hold Ledger!J494</x:v>
      </x:c>
      <x:c r="F2968" s="7" t="str">
        <x:f>'Hold Ledger'!J494</x:f>
        <x:v>OPEN</x:v>
      </x:c>
    </x:row>
    <x:row r="2969">
      <x:c r="B2969" s="7" t="str">
        <x:v>PHY-2963</x:v>
      </x:c>
      <x:c r="C2969" s="7" t="str">
        <x:v>hold record</x:v>
      </x:c>
      <x:c r="D2969" s="7" t="str">
        <x:v>RAE-E-16-HP-09</x:v>
      </x:c>
      <x:c r="E2969" s="7" t="str">
        <x:v>Hold Ledger!J495</x:v>
      </x:c>
      <x:c r="F2969" s="7" t="str">
        <x:f>'Hold Ledger'!J495</x:f>
        <x:v>OPEN</x:v>
      </x:c>
    </x:row>
    <x:row r="2970">
      <x:c r="B2970" s="7" t="str">
        <x:v>PHY-2964</x:v>
      </x:c>
      <x:c r="C2970" s="7" t="str">
        <x:v>hold record</x:v>
      </x:c>
      <x:c r="D2970" s="7" t="str">
        <x:v>RAE-E-16-HP-10</x:v>
      </x:c>
      <x:c r="E2970" s="7" t="str">
        <x:v>Hold Ledger!J496</x:v>
      </x:c>
      <x:c r="F2970" s="7" t="str">
        <x:f>'Hold Ledger'!J496</x:f>
        <x:v>OPEN</x:v>
      </x:c>
    </x:row>
    <x:row r="2971">
      <x:c r="B2971" s="7" t="str">
        <x:v>PHY-2965</x:v>
      </x:c>
      <x:c r="C2971" s="7" t="str">
        <x:v>hold record</x:v>
      </x:c>
      <x:c r="D2971" s="7" t="str">
        <x:v>RAE-E-16-HP-11</x:v>
      </x:c>
      <x:c r="E2971" s="7" t="str">
        <x:v>Hold Ledger!J497</x:v>
      </x:c>
      <x:c r="F2971" s="7" t="str">
        <x:f>'Hold Ledger'!J497</x:f>
        <x:v>OPEN</x:v>
      </x:c>
    </x:row>
    <x:row r="2972">
      <x:c r="B2972" s="7" t="str">
        <x:v>PHY-2966</x:v>
      </x:c>
      <x:c r="C2972" s="7" t="str">
        <x:v>hold record</x:v>
      </x:c>
      <x:c r="D2972" s="7" t="str">
        <x:v>RAE-E-16-HP-12</x:v>
      </x:c>
      <x:c r="E2972" s="7" t="str">
        <x:v>Hold Ledger!J498</x:v>
      </x:c>
      <x:c r="F2972" s="7" t="str">
        <x:f>'Hold Ledger'!J498</x:f>
        <x:v>OPEN</x:v>
      </x:c>
    </x:row>
    <x:row r="2973">
      <x:c r="B2973" s="7" t="str">
        <x:v>PHY-2967</x:v>
      </x:c>
      <x:c r="C2973" s="7" t="str">
        <x:v>hold record</x:v>
      </x:c>
      <x:c r="D2973" s="7" t="str">
        <x:v>RAE-E-16-HP-13</x:v>
      </x:c>
      <x:c r="E2973" s="7" t="str">
        <x:v>Hold Ledger!J499</x:v>
      </x:c>
      <x:c r="F2973" s="7" t="str">
        <x:f>'Hold Ledger'!J499</x:f>
        <x:v>OPEN</x:v>
      </x:c>
    </x:row>
    <x:row r="2974">
      <x:c r="B2974" s="7" t="str">
        <x:v>PHY-2968</x:v>
      </x:c>
      <x:c r="C2974" s="7" t="str">
        <x:v>hold record</x:v>
      </x:c>
      <x:c r="D2974" s="7" t="str">
        <x:v>RAE-E-16-HP-14</x:v>
      </x:c>
      <x:c r="E2974" s="7" t="str">
        <x:v>Hold Ledger!J500</x:v>
      </x:c>
      <x:c r="F2974" s="7" t="str">
        <x:f>'Hold Ledger'!J500</x:f>
        <x:v>OPEN</x:v>
      </x:c>
    </x:row>
    <x:row r="2975">
      <x:c r="B2975" s="7" t="str">
        <x:v>PHY-2969</x:v>
      </x:c>
      <x:c r="C2975" s="7" t="str">
        <x:v>hold record</x:v>
      </x:c>
      <x:c r="D2975" s="7" t="str">
        <x:v>RAE-E-16-HP-15</x:v>
      </x:c>
      <x:c r="E2975" s="7" t="str">
        <x:v>Hold Ledger!J501</x:v>
      </x:c>
      <x:c r="F2975" s="7" t="str">
        <x:f>'Hold Ledger'!J501</x:f>
        <x:v>OPEN</x:v>
      </x:c>
    </x:row>
    <x:row r="2976">
      <x:c r="B2976" s="7" t="str">
        <x:v>PHY-2970</x:v>
      </x:c>
      <x:c r="C2976" s="7" t="str">
        <x:v>hold record</x:v>
      </x:c>
      <x:c r="D2976" s="7" t="str">
        <x:v>RAE-E-16-HP-16</x:v>
      </x:c>
      <x:c r="E2976" s="7" t="str">
        <x:v>Hold Ledger!J502</x:v>
      </x:c>
      <x:c r="F2976" s="7" t="str">
        <x:f>'Hold Ledger'!J502</x:f>
        <x:v>OPEN</x:v>
      </x:c>
    </x:row>
    <x:row r="2977">
      <x:c r="B2977" s="7" t="str">
        <x:v>PHY-2971</x:v>
      </x:c>
      <x:c r="C2977" s="7" t="str">
        <x:v>hold record</x:v>
      </x:c>
      <x:c r="D2977" s="7" t="str">
        <x:v>RAE-E-16-HP-17</x:v>
      </x:c>
      <x:c r="E2977" s="7" t="str">
        <x:v>Hold Ledger!J503</x:v>
      </x:c>
      <x:c r="F2977" s="7" t="str">
        <x:f>'Hold Ledger'!J503</x:f>
        <x:v>OPEN</x:v>
      </x:c>
    </x:row>
    <x:row r="2978">
      <x:c r="B2978" s="7" t="str">
        <x:v>PHY-2972</x:v>
      </x:c>
      <x:c r="C2978" s="7" t="str">
        <x:v>hold record</x:v>
      </x:c>
      <x:c r="D2978" s="7" t="str">
        <x:v>RAE-E-16-HP-18</x:v>
      </x:c>
      <x:c r="E2978" s="7" t="str">
        <x:v>Hold Ledger!J504</x:v>
      </x:c>
      <x:c r="F2978" s="7" t="str">
        <x:f>'Hold Ledger'!J504</x:f>
        <x:v>OPEN</x:v>
      </x:c>
    </x:row>
    <x:row r="2979">
      <x:c r="B2979" s="7" t="str">
        <x:v>PHY-2973</x:v>
      </x:c>
      <x:c r="C2979" s="7" t="str">
        <x:v>hold record</x:v>
      </x:c>
      <x:c r="D2979" s="7" t="str">
        <x:v>RAE-E-16-HP-19</x:v>
      </x:c>
      <x:c r="E2979" s="7" t="str">
        <x:v>Hold Ledger!J505</x:v>
      </x:c>
      <x:c r="F2979" s="7" t="str">
        <x:f>'Hold Ledger'!J505</x:f>
        <x:v>OPEN</x:v>
      </x:c>
    </x:row>
    <x:row r="2980">
      <x:c r="B2980" s="7" t="str">
        <x:v>PHY-2974</x:v>
      </x:c>
      <x:c r="C2980" s="7" t="str">
        <x:v>hold record</x:v>
      </x:c>
      <x:c r="D2980" s="7" t="str">
        <x:v>RAE-E-16-HP-20</x:v>
      </x:c>
      <x:c r="E2980" s="7" t="str">
        <x:v>Hold Ledger!J506</x:v>
      </x:c>
      <x:c r="F2980" s="7" t="str">
        <x:f>'Hold Ledger'!J506</x:f>
        <x:v>OPEN</x:v>
      </x:c>
    </x:row>
    <x:row r="2981">
      <x:c r="B2981" s="7" t="str">
        <x:v>PHY-2975</x:v>
      </x:c>
      <x:c r="C2981" s="7" t="str">
        <x:v>hold record</x:v>
      </x:c>
      <x:c r="D2981" s="7" t="str">
        <x:v>RAE-E-16-HP-21</x:v>
      </x:c>
      <x:c r="E2981" s="7" t="str">
        <x:v>Hold Ledger!J507</x:v>
      </x:c>
      <x:c r="F2981" s="7" t="str">
        <x:f>'Hold Ledger'!J507</x:f>
        <x:v>OPEN</x:v>
      </x:c>
    </x:row>
    <x:row r="2982">
      <x:c r="B2982" s="7" t="str">
        <x:v>PHY-2976</x:v>
      </x:c>
      <x:c r="C2982" s="7" t="str">
        <x:v>hold record</x:v>
      </x:c>
      <x:c r="D2982" s="7" t="str">
        <x:v>RAE-E-16-HP-22</x:v>
      </x:c>
      <x:c r="E2982" s="7" t="str">
        <x:v>Hold Ledger!J508</x:v>
      </x:c>
      <x:c r="F2982" s="7" t="str">
        <x:f>'Hold Ledger'!J508</x:f>
        <x:v>OPEN</x:v>
      </x:c>
    </x:row>
    <x:row r="2983">
      <x:c r="B2983" s="7" t="str">
        <x:v>PHY-2977</x:v>
      </x:c>
      <x:c r="C2983" s="7" t="str">
        <x:v>hold record</x:v>
      </x:c>
      <x:c r="D2983" s="7" t="str">
        <x:v>RAE-E-16-HP-23</x:v>
      </x:c>
      <x:c r="E2983" s="7" t="str">
        <x:v>Hold Ledger!J509</x:v>
      </x:c>
      <x:c r="F2983" s="7" t="str">
        <x:f>'Hold Ledger'!J509</x:f>
        <x:v>OPEN</x:v>
      </x:c>
    </x:row>
    <x:row r="2984">
      <x:c r="B2984" s="7" t="str">
        <x:v>PHY-2978</x:v>
      </x:c>
      <x:c r="C2984" s="7" t="str">
        <x:v>hold record</x:v>
      </x:c>
      <x:c r="D2984" s="7" t="str">
        <x:v>RAE-E-16-HP-24</x:v>
      </x:c>
      <x:c r="E2984" s="7" t="str">
        <x:v>Hold Ledger!J510</x:v>
      </x:c>
      <x:c r="F2984" s="7" t="str">
        <x:f>'Hold Ledger'!J510</x:f>
        <x:v>OPEN</x:v>
      </x:c>
    </x:row>
    <x:row r="2985">
      <x:c r="B2985" s="7" t="str">
        <x:v>PHY-2979</x:v>
      </x:c>
      <x:c r="C2985" s="7" t="str">
        <x:v>hold record</x:v>
      </x:c>
      <x:c r="D2985" s="7" t="str">
        <x:v>RAE-E-16-HP-25</x:v>
      </x:c>
      <x:c r="E2985" s="7" t="str">
        <x:v>Hold Ledger!J511</x:v>
      </x:c>
      <x:c r="F2985" s="7" t="str">
        <x:f>'Hold Ledger'!J511</x:f>
        <x:v>OPEN</x:v>
      </x:c>
    </x:row>
    <x:row r="2986">
      <x:c r="B2986" s="7" t="str">
        <x:v>PHY-2980</x:v>
      </x:c>
      <x:c r="C2986" s="7" t="str">
        <x:v>hold record</x:v>
      </x:c>
      <x:c r="D2986" s="7" t="str">
        <x:v>RAE-E-16-HP-26</x:v>
      </x:c>
      <x:c r="E2986" s="7" t="str">
        <x:v>Hold Ledger!J512</x:v>
      </x:c>
      <x:c r="F2986" s="7" t="str">
        <x:f>'Hold Ledger'!J512</x:f>
        <x:v>OPEN</x:v>
      </x:c>
    </x:row>
    <x:row r="2987">
      <x:c r="B2987" s="7" t="str">
        <x:v>PHY-2981</x:v>
      </x:c>
      <x:c r="C2987" s="7" t="str">
        <x:v>hold record</x:v>
      </x:c>
      <x:c r="D2987" s="7" t="str">
        <x:v>RAE-E-16-HP-27</x:v>
      </x:c>
      <x:c r="E2987" s="7" t="str">
        <x:v>Hold Ledger!J513</x:v>
      </x:c>
      <x:c r="F2987" s="7" t="str">
        <x:f>'Hold Ledger'!J513</x:f>
        <x:v>OPEN</x:v>
      </x:c>
    </x:row>
    <x:row r="2988">
      <x:c r="B2988" s="7" t="str">
        <x:v>PHY-2982</x:v>
      </x:c>
      <x:c r="C2988" s="7" t="str">
        <x:v>hold record</x:v>
      </x:c>
      <x:c r="D2988" s="7" t="str">
        <x:v>RAE-E-16-HP-28</x:v>
      </x:c>
      <x:c r="E2988" s="7" t="str">
        <x:v>Hold Ledger!J514</x:v>
      </x:c>
      <x:c r="F2988" s="7" t="str">
        <x:f>'Hold Ledger'!J514</x:f>
        <x:v>OPEN</x:v>
      </x:c>
    </x:row>
    <x:row r="2989">
      <x:c r="B2989" s="7" t="str">
        <x:v>PHY-2983</x:v>
      </x:c>
      <x:c r="C2989" s="7" t="str">
        <x:v>hold record</x:v>
      </x:c>
      <x:c r="D2989" s="7" t="str">
        <x:v>RAE-E-16-HP-29</x:v>
      </x:c>
      <x:c r="E2989" s="7" t="str">
        <x:v>Hold Ledger!J515</x:v>
      </x:c>
      <x:c r="F2989" s="7" t="str">
        <x:f>'Hold Ledger'!J515</x:f>
        <x:v>OPEN</x:v>
      </x:c>
    </x:row>
    <x:row r="2990">
      <x:c r="B2990" s="7" t="str">
        <x:v>PHY-2984</x:v>
      </x:c>
      <x:c r="C2990" s="7" t="str">
        <x:v>hold record</x:v>
      </x:c>
      <x:c r="D2990" s="7" t="str">
        <x:v>RAE-E-16-HP-30</x:v>
      </x:c>
      <x:c r="E2990" s="7" t="str">
        <x:v>Hold Ledger!J516</x:v>
      </x:c>
      <x:c r="F2990" s="7" t="str">
        <x:f>'Hold Ledger'!J516</x:f>
        <x:v>OPEN</x:v>
      </x:c>
    </x:row>
    <x:row r="2991">
      <x:c r="B2991" s="7" t="str">
        <x:v>PHY-2985</x:v>
      </x:c>
      <x:c r="C2991" s="7" t="str">
        <x:v>hold record</x:v>
      </x:c>
      <x:c r="D2991" s="7" t="str">
        <x:v>RAE-E-16-HP-31</x:v>
      </x:c>
      <x:c r="E2991" s="7" t="str">
        <x:v>Hold Ledger!J517</x:v>
      </x:c>
      <x:c r="F2991" s="7" t="str">
        <x:f>'Hold Ledger'!J517</x:f>
        <x:v>OPEN</x:v>
      </x:c>
    </x:row>
    <x:row r="2992">
      <x:c r="B2992" s="7" t="str">
        <x:v>PHY-2986</x:v>
      </x:c>
      <x:c r="C2992" s="7" t="str">
        <x:v>hold record</x:v>
      </x:c>
      <x:c r="D2992" s="7" t="str">
        <x:v>RAE-E-16-HP-32</x:v>
      </x:c>
      <x:c r="E2992" s="7" t="str">
        <x:v>Hold Ledger!J518</x:v>
      </x:c>
      <x:c r="F2992" s="7" t="str">
        <x:f>'Hold Ledger'!J518</x:f>
        <x:v>OPEN</x:v>
      </x:c>
    </x:row>
    <x:row r="2993">
      <x:c r="B2993" s="7" t="str">
        <x:v>PHY-2987</x:v>
      </x:c>
      <x:c r="C2993" s="7" t="str">
        <x:v>hold record</x:v>
      </x:c>
      <x:c r="D2993" s="7" t="str">
        <x:v>RAE-E-17-HP-01</x:v>
      </x:c>
      <x:c r="E2993" s="7" t="str">
        <x:v>Hold Ledger!J519</x:v>
      </x:c>
      <x:c r="F2993" s="7" t="str">
        <x:f>'Hold Ledger'!J519</x:f>
        <x:v>OPEN</x:v>
      </x:c>
    </x:row>
    <x:row r="2994">
      <x:c r="B2994" s="7" t="str">
        <x:v>PHY-2988</x:v>
      </x:c>
      <x:c r="C2994" s="7" t="str">
        <x:v>hold record</x:v>
      </x:c>
      <x:c r="D2994" s="7" t="str">
        <x:v>RAE-E-17-HP-02</x:v>
      </x:c>
      <x:c r="E2994" s="7" t="str">
        <x:v>Hold Ledger!J520</x:v>
      </x:c>
      <x:c r="F2994" s="7" t="str">
        <x:f>'Hold Ledger'!J520</x:f>
        <x:v>OPEN</x:v>
      </x:c>
    </x:row>
    <x:row r="2995">
      <x:c r="B2995" s="7" t="str">
        <x:v>PHY-2989</x:v>
      </x:c>
      <x:c r="C2995" s="7" t="str">
        <x:v>hold record</x:v>
      </x:c>
      <x:c r="D2995" s="7" t="str">
        <x:v>RAE-E-17-HP-03</x:v>
      </x:c>
      <x:c r="E2995" s="7" t="str">
        <x:v>Hold Ledger!J521</x:v>
      </x:c>
      <x:c r="F2995" s="7" t="str">
        <x:f>'Hold Ledger'!J521</x:f>
        <x:v>OPEN</x:v>
      </x:c>
    </x:row>
    <x:row r="2996">
      <x:c r="B2996" s="7" t="str">
        <x:v>PHY-2990</x:v>
      </x:c>
      <x:c r="C2996" s="7" t="str">
        <x:v>hold record</x:v>
      </x:c>
      <x:c r="D2996" s="7" t="str">
        <x:v>RAE-E-17-HP-04</x:v>
      </x:c>
      <x:c r="E2996" s="7" t="str">
        <x:v>Hold Ledger!J522</x:v>
      </x:c>
      <x:c r="F2996" s="7" t="str">
        <x:f>'Hold Ledger'!J522</x:f>
        <x:v>OPEN</x:v>
      </x:c>
    </x:row>
    <x:row r="2997">
      <x:c r="B2997" s="7" t="str">
        <x:v>PHY-2991</x:v>
      </x:c>
      <x:c r="C2997" s="7" t="str">
        <x:v>hold record</x:v>
      </x:c>
      <x:c r="D2997" s="7" t="str">
        <x:v>RAE-E-17-HP-05</x:v>
      </x:c>
      <x:c r="E2997" s="7" t="str">
        <x:v>Hold Ledger!J523</x:v>
      </x:c>
      <x:c r="F2997" s="7" t="str">
        <x:f>'Hold Ledger'!J523</x:f>
        <x:v>OPEN</x:v>
      </x:c>
    </x:row>
    <x:row r="2998">
      <x:c r="B2998" s="7" t="str">
        <x:v>PHY-2992</x:v>
      </x:c>
      <x:c r="C2998" s="7" t="str">
        <x:v>hold record</x:v>
      </x:c>
      <x:c r="D2998" s="7" t="str">
        <x:v>RAE-E-17-HP-06</x:v>
      </x:c>
      <x:c r="E2998" s="7" t="str">
        <x:v>Hold Ledger!J524</x:v>
      </x:c>
      <x:c r="F2998" s="7" t="str">
        <x:f>'Hold Ledger'!J524</x:f>
        <x:v>OPEN</x:v>
      </x:c>
    </x:row>
    <x:row r="2999">
      <x:c r="B2999" s="7" t="str">
        <x:v>PHY-2993</x:v>
      </x:c>
      <x:c r="C2999" s="7" t="str">
        <x:v>hold record</x:v>
      </x:c>
      <x:c r="D2999" s="7" t="str">
        <x:v>RAE-E-17-HP-07</x:v>
      </x:c>
      <x:c r="E2999" s="7" t="str">
        <x:v>Hold Ledger!J525</x:v>
      </x:c>
      <x:c r="F2999" s="7" t="str">
        <x:f>'Hold Ledger'!J525</x:f>
        <x:v>OPEN</x:v>
      </x:c>
    </x:row>
    <x:row r="3000">
      <x:c r="B3000" s="7" t="str">
        <x:v>PHY-2994</x:v>
      </x:c>
      <x:c r="C3000" s="7" t="str">
        <x:v>hold record</x:v>
      </x:c>
      <x:c r="D3000" s="7" t="str">
        <x:v>RAE-E-17-HP-08</x:v>
      </x:c>
      <x:c r="E3000" s="7" t="str">
        <x:v>Hold Ledger!J526</x:v>
      </x:c>
      <x:c r="F3000" s="7" t="str">
        <x:f>'Hold Ledger'!J526</x:f>
        <x:v>OPEN</x:v>
      </x:c>
    </x:row>
    <x:row r="3001">
      <x:c r="B3001" s="7" t="str">
        <x:v>PHY-2995</x:v>
      </x:c>
      <x:c r="C3001" s="7" t="str">
        <x:v>hold record</x:v>
      </x:c>
      <x:c r="D3001" s="7" t="str">
        <x:v>RAE-E-17-HP-09</x:v>
      </x:c>
      <x:c r="E3001" s="7" t="str">
        <x:v>Hold Ledger!J527</x:v>
      </x:c>
      <x:c r="F3001" s="7" t="str">
        <x:f>'Hold Ledger'!J527</x:f>
        <x:v>OPEN</x:v>
      </x:c>
    </x:row>
    <x:row r="3002">
      <x:c r="B3002" s="7" t="str">
        <x:v>PHY-2996</x:v>
      </x:c>
      <x:c r="C3002" s="7" t="str">
        <x:v>hold record</x:v>
      </x:c>
      <x:c r="D3002" s="7" t="str">
        <x:v>RAE-E-17-HP-10</x:v>
      </x:c>
      <x:c r="E3002" s="7" t="str">
        <x:v>Hold Ledger!J528</x:v>
      </x:c>
      <x:c r="F3002" s="7" t="str">
        <x:f>'Hold Ledger'!J528</x:f>
        <x:v>OPEN</x:v>
      </x:c>
    </x:row>
    <x:row r="3003">
      <x:c r="B3003" s="7" t="str">
        <x:v>PHY-2997</x:v>
      </x:c>
      <x:c r="C3003" s="7" t="str">
        <x:v>hold record</x:v>
      </x:c>
      <x:c r="D3003" s="7" t="str">
        <x:v>RAE-E-17-HP-11</x:v>
      </x:c>
      <x:c r="E3003" s="7" t="str">
        <x:v>Hold Ledger!J529</x:v>
      </x:c>
      <x:c r="F3003" s="7" t="str">
        <x:f>'Hold Ledger'!J529</x:f>
        <x:v>OPEN</x:v>
      </x:c>
    </x:row>
    <x:row r="3004">
      <x:c r="B3004" s="7" t="str">
        <x:v>PHY-2998</x:v>
      </x:c>
      <x:c r="C3004" s="7" t="str">
        <x:v>hold record</x:v>
      </x:c>
      <x:c r="D3004" s="7" t="str">
        <x:v>RAE-E-17-HP-12</x:v>
      </x:c>
      <x:c r="E3004" s="7" t="str">
        <x:v>Hold Ledger!J530</x:v>
      </x:c>
      <x:c r="F3004" s="7" t="str">
        <x:f>'Hold Ledger'!J530</x:f>
        <x:v>OPEN</x:v>
      </x:c>
    </x:row>
    <x:row r="3005">
      <x:c r="B3005" s="7" t="str">
        <x:v>PHY-2999</x:v>
      </x:c>
      <x:c r="C3005" s="7" t="str">
        <x:v>hold record</x:v>
      </x:c>
      <x:c r="D3005" s="7" t="str">
        <x:v>RAE-E-17-HP-13</x:v>
      </x:c>
      <x:c r="E3005" s="7" t="str">
        <x:v>Hold Ledger!J531</x:v>
      </x:c>
      <x:c r="F3005" s="7" t="str">
        <x:f>'Hold Ledger'!J531</x:f>
        <x:v>OPEN</x:v>
      </x:c>
    </x:row>
    <x:row r="3006">
      <x:c r="B3006" s="7" t="str">
        <x:v>PHY-3000</x:v>
      </x:c>
      <x:c r="C3006" s="7" t="str">
        <x:v>hold record</x:v>
      </x:c>
      <x:c r="D3006" s="7" t="str">
        <x:v>RAE-E-17-HP-14</x:v>
      </x:c>
      <x:c r="E3006" s="7" t="str">
        <x:v>Hold Ledger!J532</x:v>
      </x:c>
      <x:c r="F3006" s="7" t="str">
        <x:f>'Hold Ledger'!J532</x:f>
        <x:v>OPEN</x:v>
      </x:c>
    </x:row>
    <x:row r="3007">
      <x:c r="B3007" s="7" t="str">
        <x:v>PHY-3001</x:v>
      </x:c>
      <x:c r="C3007" s="7" t="str">
        <x:v>hold record</x:v>
      </x:c>
      <x:c r="D3007" s="7" t="str">
        <x:v>RAE-E-17-HP-15</x:v>
      </x:c>
      <x:c r="E3007" s="7" t="str">
        <x:v>Hold Ledger!J533</x:v>
      </x:c>
      <x:c r="F3007" s="7" t="str">
        <x:f>'Hold Ledger'!J533</x:f>
        <x:v>OPEN</x:v>
      </x:c>
    </x:row>
    <x:row r="3008">
      <x:c r="B3008" s="7" t="str">
        <x:v>PHY-3002</x:v>
      </x:c>
      <x:c r="C3008" s="7" t="str">
        <x:v>hold record</x:v>
      </x:c>
      <x:c r="D3008" s="7" t="str">
        <x:v>RAE-E-17-HP-16</x:v>
      </x:c>
      <x:c r="E3008" s="7" t="str">
        <x:v>Hold Ledger!J534</x:v>
      </x:c>
      <x:c r="F3008" s="7" t="str">
        <x:f>'Hold Ledger'!J534</x:f>
        <x:v>OPEN</x:v>
      </x:c>
    </x:row>
    <x:row r="3009">
      <x:c r="B3009" s="7" t="str">
        <x:v>PHY-3003</x:v>
      </x:c>
      <x:c r="C3009" s="7" t="str">
        <x:v>hold record</x:v>
      </x:c>
      <x:c r="D3009" s="7" t="str">
        <x:v>RAE-E-17-HP-17</x:v>
      </x:c>
      <x:c r="E3009" s="7" t="str">
        <x:v>Hold Ledger!J535</x:v>
      </x:c>
      <x:c r="F3009" s="7" t="str">
        <x:f>'Hold Ledger'!J535</x:f>
        <x:v>OPEN</x:v>
      </x:c>
    </x:row>
    <x:row r="3010">
      <x:c r="B3010" s="7" t="str">
        <x:v>PHY-3004</x:v>
      </x:c>
      <x:c r="C3010" s="7" t="str">
        <x:v>hold record</x:v>
      </x:c>
      <x:c r="D3010" s="7" t="str">
        <x:v>RAE-E-17-HP-18</x:v>
      </x:c>
      <x:c r="E3010" s="7" t="str">
        <x:v>Hold Ledger!J536</x:v>
      </x:c>
      <x:c r="F3010" s="7" t="str">
        <x:f>'Hold Ledger'!J536</x:f>
        <x:v>OPEN</x:v>
      </x:c>
    </x:row>
    <x:row r="3011">
      <x:c r="B3011" s="7" t="str">
        <x:v>PHY-3005</x:v>
      </x:c>
      <x:c r="C3011" s="7" t="str">
        <x:v>hold record</x:v>
      </x:c>
      <x:c r="D3011" s="7" t="str">
        <x:v>RAE-E-17-HP-19</x:v>
      </x:c>
      <x:c r="E3011" s="7" t="str">
        <x:v>Hold Ledger!J537</x:v>
      </x:c>
      <x:c r="F3011" s="7" t="str">
        <x:f>'Hold Ledger'!J537</x:f>
        <x:v>OPEN</x:v>
      </x:c>
    </x:row>
    <x:row r="3012">
      <x:c r="B3012" s="7" t="str">
        <x:v>PHY-3006</x:v>
      </x:c>
      <x:c r="C3012" s="7" t="str">
        <x:v>hold record</x:v>
      </x:c>
      <x:c r="D3012" s="7" t="str">
        <x:v>RAE-E-17-HP-20</x:v>
      </x:c>
      <x:c r="E3012" s="7" t="str">
        <x:v>Hold Ledger!J538</x:v>
      </x:c>
      <x:c r="F3012" s="7" t="str">
        <x:f>'Hold Ledger'!J538</x:f>
        <x:v>OPEN</x:v>
      </x:c>
    </x:row>
    <x:row r="3013">
      <x:c r="B3013" s="7" t="str">
        <x:v>PHY-3007</x:v>
      </x:c>
      <x:c r="C3013" s="7" t="str">
        <x:v>hold record</x:v>
      </x:c>
      <x:c r="D3013" s="7" t="str">
        <x:v>RAE-E-17-HP-21</x:v>
      </x:c>
      <x:c r="E3013" s="7" t="str">
        <x:v>Hold Ledger!J539</x:v>
      </x:c>
      <x:c r="F3013" s="7" t="str">
        <x:f>'Hold Ledger'!J539</x:f>
        <x:v>OPEN</x:v>
      </x:c>
    </x:row>
    <x:row r="3014">
      <x:c r="B3014" s="7" t="str">
        <x:v>PHY-3008</x:v>
      </x:c>
      <x:c r="C3014" s="7" t="str">
        <x:v>hold record</x:v>
      </x:c>
      <x:c r="D3014" s="7" t="str">
        <x:v>RAE-E-17-HP-22</x:v>
      </x:c>
      <x:c r="E3014" s="7" t="str">
        <x:v>Hold Ledger!J540</x:v>
      </x:c>
      <x:c r="F3014" s="7" t="str">
        <x:f>'Hold Ledger'!J540</x:f>
        <x:v>OPEN</x:v>
      </x:c>
    </x:row>
    <x:row r="3015">
      <x:c r="B3015" s="7" t="str">
        <x:v>PHY-3009</x:v>
      </x:c>
      <x:c r="C3015" s="7" t="str">
        <x:v>hold record</x:v>
      </x:c>
      <x:c r="D3015" s="7" t="str">
        <x:v>RAE-E-17-HP-23</x:v>
      </x:c>
      <x:c r="E3015" s="7" t="str">
        <x:v>Hold Ledger!J541</x:v>
      </x:c>
      <x:c r="F3015" s="7" t="str">
        <x:f>'Hold Ledger'!J541</x:f>
        <x:v>OPEN</x:v>
      </x:c>
    </x:row>
    <x:row r="3016">
      <x:c r="B3016" s="7" t="str">
        <x:v>PHY-3010</x:v>
      </x:c>
      <x:c r="C3016" s="7" t="str">
        <x:v>hold record</x:v>
      </x:c>
      <x:c r="D3016" s="7" t="str">
        <x:v>RAE-E-17-HP-24</x:v>
      </x:c>
      <x:c r="E3016" s="7" t="str">
        <x:v>Hold Ledger!J542</x:v>
      </x:c>
      <x:c r="F3016" s="7" t="str">
        <x:f>'Hold Ledger'!J542</x:f>
        <x:v>OPEN</x:v>
      </x:c>
    </x:row>
    <x:row r="3017">
      <x:c r="B3017" s="7" t="str">
        <x:v>PHY-3011</x:v>
      </x:c>
      <x:c r="C3017" s="7" t="str">
        <x:v>hold record</x:v>
      </x:c>
      <x:c r="D3017" s="7" t="str">
        <x:v>RAE-E-17-HP-25</x:v>
      </x:c>
      <x:c r="E3017" s="7" t="str">
        <x:v>Hold Ledger!J543</x:v>
      </x:c>
      <x:c r="F3017" s="7" t="str">
        <x:f>'Hold Ledger'!J543</x:f>
        <x:v>OPEN</x:v>
      </x:c>
    </x:row>
    <x:row r="3018">
      <x:c r="B3018" s="7" t="str">
        <x:v>PHY-3012</x:v>
      </x:c>
      <x:c r="C3018" s="7" t="str">
        <x:v>hold record</x:v>
      </x:c>
      <x:c r="D3018" s="7" t="str">
        <x:v>RAE-E-17-HP-26</x:v>
      </x:c>
      <x:c r="E3018" s="7" t="str">
        <x:v>Hold Ledger!J544</x:v>
      </x:c>
      <x:c r="F3018" s="7" t="str">
        <x:f>'Hold Ledger'!J544</x:f>
        <x:v>OPEN</x:v>
      </x:c>
    </x:row>
    <x:row r="3019">
      <x:c r="B3019" s="7" t="str">
        <x:v>PHY-3013</x:v>
      </x:c>
      <x:c r="C3019" s="7" t="str">
        <x:v>hold record</x:v>
      </x:c>
      <x:c r="D3019" s="7" t="str">
        <x:v>RAE-E-17-HP-27</x:v>
      </x:c>
      <x:c r="E3019" s="7" t="str">
        <x:v>Hold Ledger!J545</x:v>
      </x:c>
      <x:c r="F3019" s="7" t="str">
        <x:f>'Hold Ledger'!J545</x:f>
        <x:v>OPEN</x:v>
      </x:c>
    </x:row>
    <x:row r="3020">
      <x:c r="B3020" s="7" t="str">
        <x:v>PHY-3014</x:v>
      </x:c>
      <x:c r="C3020" s="7" t="str">
        <x:v>hold record</x:v>
      </x:c>
      <x:c r="D3020" s="7" t="str">
        <x:v>RAE-E-17-HP-28</x:v>
      </x:c>
      <x:c r="E3020" s="7" t="str">
        <x:v>Hold Ledger!J546</x:v>
      </x:c>
      <x:c r="F3020" s="7" t="str">
        <x:f>'Hold Ledger'!J546</x:f>
        <x:v>OPEN</x:v>
      </x:c>
    </x:row>
    <x:row r="3021">
      <x:c r="B3021" s="7" t="str">
        <x:v>PHY-3015</x:v>
      </x:c>
      <x:c r="C3021" s="7" t="str">
        <x:v>hold record</x:v>
      </x:c>
      <x:c r="D3021" s="7" t="str">
        <x:v>RAE-E-17-HP-29</x:v>
      </x:c>
      <x:c r="E3021" s="7" t="str">
        <x:v>Hold Ledger!J547</x:v>
      </x:c>
      <x:c r="F3021" s="7" t="str">
        <x:f>'Hold Ledger'!J547</x:f>
        <x:v>OPEN</x:v>
      </x:c>
    </x:row>
    <x:row r="3022">
      <x:c r="B3022" s="7" t="str">
        <x:v>PHY-3016</x:v>
      </x:c>
      <x:c r="C3022" s="7" t="str">
        <x:v>hold record</x:v>
      </x:c>
      <x:c r="D3022" s="7" t="str">
        <x:v>RAE-E-17-HP-30</x:v>
      </x:c>
      <x:c r="E3022" s="7" t="str">
        <x:v>Hold Ledger!J548</x:v>
      </x:c>
      <x:c r="F3022" s="7" t="str">
        <x:f>'Hold Ledger'!J548</x:f>
        <x:v>OPEN</x:v>
      </x:c>
    </x:row>
    <x:row r="3023">
      <x:c r="B3023" s="7" t="str">
        <x:v>PHY-3017</x:v>
      </x:c>
      <x:c r="C3023" s="7" t="str">
        <x:v>hold record</x:v>
      </x:c>
      <x:c r="D3023" s="7" t="str">
        <x:v>RAE-E-17-HP-31</x:v>
      </x:c>
      <x:c r="E3023" s="7" t="str">
        <x:v>Hold Ledger!J549</x:v>
      </x:c>
      <x:c r="F3023" s="7" t="str">
        <x:f>'Hold Ledger'!J549</x:f>
        <x:v>OPEN</x:v>
      </x:c>
    </x:row>
    <x:row r="3024">
      <x:c r="B3024" s="7" t="str">
        <x:v>PHY-3018</x:v>
      </x:c>
      <x:c r="C3024" s="7" t="str">
        <x:v>hold record</x:v>
      </x:c>
      <x:c r="D3024" s="7" t="str">
        <x:v>RAE-E-17-HP-32</x:v>
      </x:c>
      <x:c r="E3024" s="7" t="str">
        <x:v>Hold Ledger!J550</x:v>
      </x:c>
      <x:c r="F3024" s="7" t="str">
        <x:f>'Hold Ledger'!J550</x:f>
        <x:v>OPEN</x:v>
      </x:c>
    </x:row>
    <x:row r="3025">
      <x:c r="B3025" s="7" t="str">
        <x:v>PHY-3019</x:v>
      </x:c>
      <x:c r="C3025" s="7" t="str">
        <x:v>hold record</x:v>
      </x:c>
      <x:c r="D3025" s="7" t="str">
        <x:v>RAE-E-18-HP-01</x:v>
      </x:c>
      <x:c r="E3025" s="7" t="str">
        <x:v>Hold Ledger!J551</x:v>
      </x:c>
      <x:c r="F3025" s="7" t="str">
        <x:f>'Hold Ledger'!J551</x:f>
        <x:v>OPEN</x:v>
      </x:c>
    </x:row>
    <x:row r="3026">
      <x:c r="B3026" s="7" t="str">
        <x:v>PHY-3020</x:v>
      </x:c>
      <x:c r="C3026" s="7" t="str">
        <x:v>hold record</x:v>
      </x:c>
      <x:c r="D3026" s="7" t="str">
        <x:v>RAE-E-18-HP-02</x:v>
      </x:c>
      <x:c r="E3026" s="7" t="str">
        <x:v>Hold Ledger!J552</x:v>
      </x:c>
      <x:c r="F3026" s="7" t="str">
        <x:f>'Hold Ledger'!J552</x:f>
        <x:v>OPEN</x:v>
      </x:c>
    </x:row>
    <x:row r="3027">
      <x:c r="B3027" s="7" t="str">
        <x:v>PHY-3021</x:v>
      </x:c>
      <x:c r="C3027" s="7" t="str">
        <x:v>hold record</x:v>
      </x:c>
      <x:c r="D3027" s="7" t="str">
        <x:v>RAE-E-18-HP-03</x:v>
      </x:c>
      <x:c r="E3027" s="7" t="str">
        <x:v>Hold Ledger!J553</x:v>
      </x:c>
      <x:c r="F3027" s="7" t="str">
        <x:f>'Hold Ledger'!J553</x:f>
        <x:v>OPEN</x:v>
      </x:c>
    </x:row>
    <x:row r="3028">
      <x:c r="B3028" s="7" t="str">
        <x:v>PHY-3022</x:v>
      </x:c>
      <x:c r="C3028" s="7" t="str">
        <x:v>hold record</x:v>
      </x:c>
      <x:c r="D3028" s="7" t="str">
        <x:v>RAE-E-18-HP-04</x:v>
      </x:c>
      <x:c r="E3028" s="7" t="str">
        <x:v>Hold Ledger!J554</x:v>
      </x:c>
      <x:c r="F3028" s="7" t="str">
        <x:f>'Hold Ledger'!J554</x:f>
        <x:v>OPEN</x:v>
      </x:c>
    </x:row>
    <x:row r="3029">
      <x:c r="B3029" s="7" t="str">
        <x:v>PHY-3023</x:v>
      </x:c>
      <x:c r="C3029" s="7" t="str">
        <x:v>hold record</x:v>
      </x:c>
      <x:c r="D3029" s="7" t="str">
        <x:v>RAE-E-18-HP-05</x:v>
      </x:c>
      <x:c r="E3029" s="7" t="str">
        <x:v>Hold Ledger!J555</x:v>
      </x:c>
      <x:c r="F3029" s="7" t="str">
        <x:f>'Hold Ledger'!J555</x:f>
        <x:v>OPEN</x:v>
      </x:c>
    </x:row>
    <x:row r="3030">
      <x:c r="B3030" s="7" t="str">
        <x:v>PHY-3024</x:v>
      </x:c>
      <x:c r="C3030" s="7" t="str">
        <x:v>hold record</x:v>
      </x:c>
      <x:c r="D3030" s="7" t="str">
        <x:v>RAE-E-18-HP-06</x:v>
      </x:c>
      <x:c r="E3030" s="7" t="str">
        <x:v>Hold Ledger!J556</x:v>
      </x:c>
      <x:c r="F3030" s="7" t="str">
        <x:f>'Hold Ledger'!J556</x:f>
        <x:v>OPEN</x:v>
      </x:c>
    </x:row>
    <x:row r="3031">
      <x:c r="B3031" s="7" t="str">
        <x:v>PHY-3025</x:v>
      </x:c>
      <x:c r="C3031" s="7" t="str">
        <x:v>hold record</x:v>
      </x:c>
      <x:c r="D3031" s="7" t="str">
        <x:v>RAE-E-18-HP-07</x:v>
      </x:c>
      <x:c r="E3031" s="7" t="str">
        <x:v>Hold Ledger!J557</x:v>
      </x:c>
      <x:c r="F3031" s="7" t="str">
        <x:f>'Hold Ledger'!J557</x:f>
        <x:v>OPEN</x:v>
      </x:c>
    </x:row>
    <x:row r="3032">
      <x:c r="B3032" s="7" t="str">
        <x:v>PHY-3026</x:v>
      </x:c>
      <x:c r="C3032" s="7" t="str">
        <x:v>hold record</x:v>
      </x:c>
      <x:c r="D3032" s="7" t="str">
        <x:v>RAE-E-18-HP-08</x:v>
      </x:c>
      <x:c r="E3032" s="7" t="str">
        <x:v>Hold Ledger!J558</x:v>
      </x:c>
      <x:c r="F3032" s="7" t="str">
        <x:f>'Hold Ledger'!J558</x:f>
        <x:v>OPEN</x:v>
      </x:c>
    </x:row>
    <x:row r="3033">
      <x:c r="B3033" s="7" t="str">
        <x:v>PHY-3027</x:v>
      </x:c>
      <x:c r="C3033" s="7" t="str">
        <x:v>hold record</x:v>
      </x:c>
      <x:c r="D3033" s="7" t="str">
        <x:v>RAE-E-18-HP-09</x:v>
      </x:c>
      <x:c r="E3033" s="7" t="str">
        <x:v>Hold Ledger!J559</x:v>
      </x:c>
      <x:c r="F3033" s="7" t="str">
        <x:f>'Hold Ledger'!J559</x:f>
        <x:v>OPEN</x:v>
      </x:c>
    </x:row>
    <x:row r="3034">
      <x:c r="B3034" s="7" t="str">
        <x:v>PHY-3028</x:v>
      </x:c>
      <x:c r="C3034" s="7" t="str">
        <x:v>hold record</x:v>
      </x:c>
      <x:c r="D3034" s="7" t="str">
        <x:v>RAE-E-18-HP-10</x:v>
      </x:c>
      <x:c r="E3034" s="7" t="str">
        <x:v>Hold Ledger!J560</x:v>
      </x:c>
      <x:c r="F3034" s="7" t="str">
        <x:f>'Hold Ledger'!J560</x:f>
        <x:v>OPEN</x:v>
      </x:c>
    </x:row>
    <x:row r="3035">
      <x:c r="B3035" s="7" t="str">
        <x:v>PHY-3029</x:v>
      </x:c>
      <x:c r="C3035" s="7" t="str">
        <x:v>hold record</x:v>
      </x:c>
      <x:c r="D3035" s="7" t="str">
        <x:v>RAE-E-18-HP-11</x:v>
      </x:c>
      <x:c r="E3035" s="7" t="str">
        <x:v>Hold Ledger!J561</x:v>
      </x:c>
      <x:c r="F3035" s="7" t="str">
        <x:f>'Hold Ledger'!J561</x:f>
        <x:v>OPEN</x:v>
      </x:c>
    </x:row>
    <x:row r="3036">
      <x:c r="B3036" s="7" t="str">
        <x:v>PHY-3030</x:v>
      </x:c>
      <x:c r="C3036" s="7" t="str">
        <x:v>hold record</x:v>
      </x:c>
      <x:c r="D3036" s="7" t="str">
        <x:v>RAE-E-18-HP-12</x:v>
      </x:c>
      <x:c r="E3036" s="7" t="str">
        <x:v>Hold Ledger!J562</x:v>
      </x:c>
      <x:c r="F3036" s="7" t="str">
        <x:f>'Hold Ledger'!J562</x:f>
        <x:v>OPEN</x:v>
      </x:c>
    </x:row>
    <x:row r="3037">
      <x:c r="B3037" s="7" t="str">
        <x:v>PHY-3031</x:v>
      </x:c>
      <x:c r="C3037" s="7" t="str">
        <x:v>hold record</x:v>
      </x:c>
      <x:c r="D3037" s="7" t="str">
        <x:v>RAE-E-18-HP-13</x:v>
      </x:c>
      <x:c r="E3037" s="7" t="str">
        <x:v>Hold Ledger!J563</x:v>
      </x:c>
      <x:c r="F3037" s="7" t="str">
        <x:f>'Hold Ledger'!J563</x:f>
        <x:v>OPEN</x:v>
      </x:c>
    </x:row>
    <x:row r="3038">
      <x:c r="B3038" s="7" t="str">
        <x:v>PHY-3032</x:v>
      </x:c>
      <x:c r="C3038" s="7" t="str">
        <x:v>hold record</x:v>
      </x:c>
      <x:c r="D3038" s="7" t="str">
        <x:v>RAE-E-18-HP-14</x:v>
      </x:c>
      <x:c r="E3038" s="7" t="str">
        <x:v>Hold Ledger!J564</x:v>
      </x:c>
      <x:c r="F3038" s="7" t="str">
        <x:f>'Hold Ledger'!J564</x:f>
        <x:v>OPEN</x:v>
      </x:c>
    </x:row>
    <x:row r="3039">
      <x:c r="B3039" s="7" t="str">
        <x:v>PHY-3033</x:v>
      </x:c>
      <x:c r="C3039" s="7" t="str">
        <x:v>hold record</x:v>
      </x:c>
      <x:c r="D3039" s="7" t="str">
        <x:v>RAE-E-18-HP-15</x:v>
      </x:c>
      <x:c r="E3039" s="7" t="str">
        <x:v>Hold Ledger!J565</x:v>
      </x:c>
      <x:c r="F3039" s="7" t="str">
        <x:f>'Hold Ledger'!J565</x:f>
        <x:v>OPEN</x:v>
      </x:c>
    </x:row>
    <x:row r="3040">
      <x:c r="B3040" s="7" t="str">
        <x:v>PHY-3034</x:v>
      </x:c>
      <x:c r="C3040" s="7" t="str">
        <x:v>hold record</x:v>
      </x:c>
      <x:c r="D3040" s="7" t="str">
        <x:v>RAE-E-18-HP-16</x:v>
      </x:c>
      <x:c r="E3040" s="7" t="str">
        <x:v>Hold Ledger!J566</x:v>
      </x:c>
      <x:c r="F3040" s="7" t="str">
        <x:f>'Hold Ledger'!J566</x:f>
        <x:v>OPEN</x:v>
      </x:c>
    </x:row>
    <x:row r="3041">
      <x:c r="B3041" s="7" t="str">
        <x:v>PHY-3035</x:v>
      </x:c>
      <x:c r="C3041" s="7" t="str">
        <x:v>hold record</x:v>
      </x:c>
      <x:c r="D3041" s="7" t="str">
        <x:v>RAE-E-18-HP-17</x:v>
      </x:c>
      <x:c r="E3041" s="7" t="str">
        <x:v>Hold Ledger!J567</x:v>
      </x:c>
      <x:c r="F3041" s="7" t="str">
        <x:f>'Hold Ledger'!J567</x:f>
        <x:v>OPEN</x:v>
      </x:c>
    </x:row>
    <x:row r="3042">
      <x:c r="B3042" s="7" t="str">
        <x:v>PHY-3036</x:v>
      </x:c>
      <x:c r="C3042" s="7" t="str">
        <x:v>hold record</x:v>
      </x:c>
      <x:c r="D3042" s="7" t="str">
        <x:v>RAE-E-18-HP-18</x:v>
      </x:c>
      <x:c r="E3042" s="7" t="str">
        <x:v>Hold Ledger!J568</x:v>
      </x:c>
      <x:c r="F3042" s="7" t="str">
        <x:f>'Hold Ledger'!J568</x:f>
        <x:v>OPEN</x:v>
      </x:c>
    </x:row>
    <x:row r="3043">
      <x:c r="B3043" s="7" t="str">
        <x:v>PHY-3037</x:v>
      </x:c>
      <x:c r="C3043" s="7" t="str">
        <x:v>hold record</x:v>
      </x:c>
      <x:c r="D3043" s="7" t="str">
        <x:v>RAE-E-18-HP-19</x:v>
      </x:c>
      <x:c r="E3043" s="7" t="str">
        <x:v>Hold Ledger!J569</x:v>
      </x:c>
      <x:c r="F3043" s="7" t="str">
        <x:f>'Hold Ledger'!J569</x:f>
        <x:v>OPEN</x:v>
      </x:c>
    </x:row>
    <x:row r="3044">
      <x:c r="B3044" s="7" t="str">
        <x:v>PHY-3038</x:v>
      </x:c>
      <x:c r="C3044" s="7" t="str">
        <x:v>hold record</x:v>
      </x:c>
      <x:c r="D3044" s="7" t="str">
        <x:v>RAE-E-18-HP-20</x:v>
      </x:c>
      <x:c r="E3044" s="7" t="str">
        <x:v>Hold Ledger!J570</x:v>
      </x:c>
      <x:c r="F3044" s="7" t="str">
        <x:f>'Hold Ledger'!J570</x:f>
        <x:v>OPEN</x:v>
      </x:c>
    </x:row>
    <x:row r="3045">
      <x:c r="B3045" s="7" t="str">
        <x:v>PHY-3039</x:v>
      </x:c>
      <x:c r="C3045" s="7" t="str">
        <x:v>hold record</x:v>
      </x:c>
      <x:c r="D3045" s="7" t="str">
        <x:v>RAE-E-18-HP-21</x:v>
      </x:c>
      <x:c r="E3045" s="7" t="str">
        <x:v>Hold Ledger!J571</x:v>
      </x:c>
      <x:c r="F3045" s="7" t="str">
        <x:f>'Hold Ledger'!J571</x:f>
        <x:v>OPEN</x:v>
      </x:c>
    </x:row>
    <x:row r="3046">
      <x:c r="B3046" s="7" t="str">
        <x:v>PHY-3040</x:v>
      </x:c>
      <x:c r="C3046" s="7" t="str">
        <x:v>hold record</x:v>
      </x:c>
      <x:c r="D3046" s="7" t="str">
        <x:v>RAE-E-18-HP-22</x:v>
      </x:c>
      <x:c r="E3046" s="7" t="str">
        <x:v>Hold Ledger!J572</x:v>
      </x:c>
      <x:c r="F3046" s="7" t="str">
        <x:f>'Hold Ledger'!J572</x:f>
        <x:v>OPEN</x:v>
      </x:c>
    </x:row>
    <x:row r="3047">
      <x:c r="B3047" s="7" t="str">
        <x:v>PHY-3041</x:v>
      </x:c>
      <x:c r="C3047" s="7" t="str">
        <x:v>hold record</x:v>
      </x:c>
      <x:c r="D3047" s="7" t="str">
        <x:v>RAE-E-18-HP-23</x:v>
      </x:c>
      <x:c r="E3047" s="7" t="str">
        <x:v>Hold Ledger!J573</x:v>
      </x:c>
      <x:c r="F3047" s="7" t="str">
        <x:f>'Hold Ledger'!J573</x:f>
        <x:v>OPEN</x:v>
      </x:c>
    </x:row>
    <x:row r="3048">
      <x:c r="B3048" s="7" t="str">
        <x:v>PHY-3042</x:v>
      </x:c>
      <x:c r="C3048" s="7" t="str">
        <x:v>hold record</x:v>
      </x:c>
      <x:c r="D3048" s="7" t="str">
        <x:v>RAE-E-18-HP-24</x:v>
      </x:c>
      <x:c r="E3048" s="7" t="str">
        <x:v>Hold Ledger!J574</x:v>
      </x:c>
      <x:c r="F3048" s="7" t="str">
        <x:f>'Hold Ledger'!J574</x:f>
        <x:v>OPEN</x:v>
      </x:c>
    </x:row>
    <x:row r="3049">
      <x:c r="B3049" s="7" t="str">
        <x:v>PHY-3043</x:v>
      </x:c>
      <x:c r="C3049" s="7" t="str">
        <x:v>hold record</x:v>
      </x:c>
      <x:c r="D3049" s="7" t="str">
        <x:v>RAE-E-18-HP-25</x:v>
      </x:c>
      <x:c r="E3049" s="7" t="str">
        <x:v>Hold Ledger!J575</x:v>
      </x:c>
      <x:c r="F3049" s="7" t="str">
        <x:f>'Hold Ledger'!J575</x:f>
        <x:v>OPEN</x:v>
      </x:c>
    </x:row>
    <x:row r="3050">
      <x:c r="B3050" s="7" t="str">
        <x:v>PHY-3044</x:v>
      </x:c>
      <x:c r="C3050" s="7" t="str">
        <x:v>hold record</x:v>
      </x:c>
      <x:c r="D3050" s="7" t="str">
        <x:v>RAE-E-18-HP-26</x:v>
      </x:c>
      <x:c r="E3050" s="7" t="str">
        <x:v>Hold Ledger!J576</x:v>
      </x:c>
      <x:c r="F3050" s="7" t="str">
        <x:f>'Hold Ledger'!J576</x:f>
        <x:v>OPEN</x:v>
      </x:c>
    </x:row>
    <x:row r="3051">
      <x:c r="B3051" s="7" t="str">
        <x:v>PHY-3045</x:v>
      </x:c>
      <x:c r="C3051" s="7" t="str">
        <x:v>hold record</x:v>
      </x:c>
      <x:c r="D3051" s="7" t="str">
        <x:v>RAE-E-18-HP-27</x:v>
      </x:c>
      <x:c r="E3051" s="7" t="str">
        <x:v>Hold Ledger!J577</x:v>
      </x:c>
      <x:c r="F3051" s="7" t="str">
        <x:f>'Hold Ledger'!J577</x:f>
        <x:v>OPEN</x:v>
      </x:c>
    </x:row>
    <x:row r="3052">
      <x:c r="B3052" s="7" t="str">
        <x:v>PHY-3046</x:v>
      </x:c>
      <x:c r="C3052" s="7" t="str">
        <x:v>hold record</x:v>
      </x:c>
      <x:c r="D3052" s="7" t="str">
        <x:v>RAE-E-18-HP-28</x:v>
      </x:c>
      <x:c r="E3052" s="7" t="str">
        <x:v>Hold Ledger!J578</x:v>
      </x:c>
      <x:c r="F3052" s="7" t="str">
        <x:f>'Hold Ledger'!J578</x:f>
        <x:v>OPEN</x:v>
      </x:c>
    </x:row>
    <x:row r="3053">
      <x:c r="B3053" s="7" t="str">
        <x:v>PHY-3047</x:v>
      </x:c>
      <x:c r="C3053" s="7" t="str">
        <x:v>hold record</x:v>
      </x:c>
      <x:c r="D3053" s="7" t="str">
        <x:v>RAE-E-18-HP-29</x:v>
      </x:c>
      <x:c r="E3053" s="7" t="str">
        <x:v>Hold Ledger!J579</x:v>
      </x:c>
      <x:c r="F3053" s="7" t="str">
        <x:f>'Hold Ledger'!J579</x:f>
        <x:v>OPEN</x:v>
      </x:c>
    </x:row>
    <x:row r="3054">
      <x:c r="B3054" s="7" t="str">
        <x:v>PHY-3048</x:v>
      </x:c>
      <x:c r="C3054" s="7" t="str">
        <x:v>hold record</x:v>
      </x:c>
      <x:c r="D3054" s="7" t="str">
        <x:v>RAE-E-18-HP-30</x:v>
      </x:c>
      <x:c r="E3054" s="7" t="str">
        <x:v>Hold Ledger!J580</x:v>
      </x:c>
      <x:c r="F3054" s="7" t="str">
        <x:f>'Hold Ledger'!J580</x:f>
        <x:v>OPEN</x:v>
      </x:c>
    </x:row>
    <x:row r="3055">
      <x:c r="B3055" s="7" t="str">
        <x:v>PHY-3049</x:v>
      </x:c>
      <x:c r="C3055" s="7" t="str">
        <x:v>hold record</x:v>
      </x:c>
      <x:c r="D3055" s="7" t="str">
        <x:v>RAE-E-18-HP-31</x:v>
      </x:c>
      <x:c r="E3055" s="7" t="str">
        <x:v>Hold Ledger!J581</x:v>
      </x:c>
      <x:c r="F3055" s="7" t="str">
        <x:f>'Hold Ledger'!J581</x:f>
        <x:v>OPEN</x:v>
      </x:c>
    </x:row>
    <x:row r="3056">
      <x:c r="B3056" s="7" t="str">
        <x:v>PHY-3050</x:v>
      </x:c>
      <x:c r="C3056" s="7" t="str">
        <x:v>hold record</x:v>
      </x:c>
      <x:c r="D3056" s="7" t="str">
        <x:v>RAE-E-18-HP-32</x:v>
      </x:c>
      <x:c r="E3056" s="7" t="str">
        <x:v>Hold Ledger!J582</x:v>
      </x:c>
      <x:c r="F3056" s="7" t="str">
        <x:f>'Hold Ledger'!J582</x:f>
        <x:v>OPEN</x:v>
      </x:c>
    </x:row>
    <x:row r="3057">
      <x:c r="B3057" s="7" t="str">
        <x:v>PHY-3051</x:v>
      </x:c>
      <x:c r="C3057" s="7" t="str">
        <x:v>hold record</x:v>
      </x:c>
      <x:c r="D3057" s="7" t="str">
        <x:v>RAE-E-19-HP-01</x:v>
      </x:c>
      <x:c r="E3057" s="7" t="str">
        <x:v>Hold Ledger!J583</x:v>
      </x:c>
      <x:c r="F3057" s="7" t="str">
        <x:f>'Hold Ledger'!J583</x:f>
        <x:v>OPEN</x:v>
      </x:c>
    </x:row>
    <x:row r="3058">
      <x:c r="B3058" s="7" t="str">
        <x:v>PHY-3052</x:v>
      </x:c>
      <x:c r="C3058" s="7" t="str">
        <x:v>hold record</x:v>
      </x:c>
      <x:c r="D3058" s="7" t="str">
        <x:v>RAE-E-19-HP-02</x:v>
      </x:c>
      <x:c r="E3058" s="7" t="str">
        <x:v>Hold Ledger!J584</x:v>
      </x:c>
      <x:c r="F3058" s="7" t="str">
        <x:f>'Hold Ledger'!J584</x:f>
        <x:v>OPEN</x:v>
      </x:c>
    </x:row>
    <x:row r="3059">
      <x:c r="B3059" s="7" t="str">
        <x:v>PHY-3053</x:v>
      </x:c>
      <x:c r="C3059" s="7" t="str">
        <x:v>hold record</x:v>
      </x:c>
      <x:c r="D3059" s="7" t="str">
        <x:v>RAE-E-19-HP-03</x:v>
      </x:c>
      <x:c r="E3059" s="7" t="str">
        <x:v>Hold Ledger!J585</x:v>
      </x:c>
      <x:c r="F3059" s="7" t="str">
        <x:f>'Hold Ledger'!J585</x:f>
        <x:v>OPEN</x:v>
      </x:c>
    </x:row>
    <x:row r="3060">
      <x:c r="B3060" s="7" t="str">
        <x:v>PHY-3054</x:v>
      </x:c>
      <x:c r="C3060" s="7" t="str">
        <x:v>hold record</x:v>
      </x:c>
      <x:c r="D3060" s="7" t="str">
        <x:v>RAE-E-19-HP-04</x:v>
      </x:c>
      <x:c r="E3060" s="7" t="str">
        <x:v>Hold Ledger!J586</x:v>
      </x:c>
      <x:c r="F3060" s="7" t="str">
        <x:f>'Hold Ledger'!J586</x:f>
        <x:v>OPEN</x:v>
      </x:c>
    </x:row>
    <x:row r="3061">
      <x:c r="B3061" s="7" t="str">
        <x:v>PHY-3055</x:v>
      </x:c>
      <x:c r="C3061" s="7" t="str">
        <x:v>hold record</x:v>
      </x:c>
      <x:c r="D3061" s="7" t="str">
        <x:v>RAE-E-19-HP-05</x:v>
      </x:c>
      <x:c r="E3061" s="7" t="str">
        <x:v>Hold Ledger!J587</x:v>
      </x:c>
      <x:c r="F3061" s="7" t="str">
        <x:f>'Hold Ledger'!J587</x:f>
        <x:v>OPEN</x:v>
      </x:c>
    </x:row>
    <x:row r="3062">
      <x:c r="B3062" s="7" t="str">
        <x:v>PHY-3056</x:v>
      </x:c>
      <x:c r="C3062" s="7" t="str">
        <x:v>hold record</x:v>
      </x:c>
      <x:c r="D3062" s="7" t="str">
        <x:v>RAE-E-19-HP-06</x:v>
      </x:c>
      <x:c r="E3062" s="7" t="str">
        <x:v>Hold Ledger!J588</x:v>
      </x:c>
      <x:c r="F3062" s="7" t="str">
        <x:f>'Hold Ledger'!J588</x:f>
        <x:v>OPEN</x:v>
      </x:c>
    </x:row>
    <x:row r="3063">
      <x:c r="B3063" s="7" t="str">
        <x:v>PHY-3057</x:v>
      </x:c>
      <x:c r="C3063" s="7" t="str">
        <x:v>hold record</x:v>
      </x:c>
      <x:c r="D3063" s="7" t="str">
        <x:v>RAE-E-19-HP-07</x:v>
      </x:c>
      <x:c r="E3063" s="7" t="str">
        <x:v>Hold Ledger!J589</x:v>
      </x:c>
      <x:c r="F3063" s="7" t="str">
        <x:f>'Hold Ledger'!J589</x:f>
        <x:v>OPEN</x:v>
      </x:c>
    </x:row>
    <x:row r="3064">
      <x:c r="B3064" s="7" t="str">
        <x:v>PHY-3058</x:v>
      </x:c>
      <x:c r="C3064" s="7" t="str">
        <x:v>hold record</x:v>
      </x:c>
      <x:c r="D3064" s="7" t="str">
        <x:v>RAE-E-19-HP-08</x:v>
      </x:c>
      <x:c r="E3064" s="7" t="str">
        <x:v>Hold Ledger!J590</x:v>
      </x:c>
      <x:c r="F3064" s="7" t="str">
        <x:f>'Hold Ledger'!J590</x:f>
        <x:v>OPEN</x:v>
      </x:c>
    </x:row>
    <x:row r="3065">
      <x:c r="B3065" s="7" t="str">
        <x:v>PHY-3059</x:v>
      </x:c>
      <x:c r="C3065" s="7" t="str">
        <x:v>hold record</x:v>
      </x:c>
      <x:c r="D3065" s="7" t="str">
        <x:v>RAE-E-19-HP-09</x:v>
      </x:c>
      <x:c r="E3065" s="7" t="str">
        <x:v>Hold Ledger!J591</x:v>
      </x:c>
      <x:c r="F3065" s="7" t="str">
        <x:f>'Hold Ledger'!J591</x:f>
        <x:v>OPEN</x:v>
      </x:c>
    </x:row>
    <x:row r="3066">
      <x:c r="B3066" s="7" t="str">
        <x:v>PHY-3060</x:v>
      </x:c>
      <x:c r="C3066" s="7" t="str">
        <x:v>hold record</x:v>
      </x:c>
      <x:c r="D3066" s="7" t="str">
        <x:v>RAE-E-19-HP-10</x:v>
      </x:c>
      <x:c r="E3066" s="7" t="str">
        <x:v>Hold Ledger!J592</x:v>
      </x:c>
      <x:c r="F3066" s="7" t="str">
        <x:f>'Hold Ledger'!J592</x:f>
        <x:v>OPEN</x:v>
      </x:c>
    </x:row>
    <x:row r="3067">
      <x:c r="B3067" s="7" t="str">
        <x:v>PHY-3061</x:v>
      </x:c>
      <x:c r="C3067" s="7" t="str">
        <x:v>hold record</x:v>
      </x:c>
      <x:c r="D3067" s="7" t="str">
        <x:v>RAE-E-19-HP-11</x:v>
      </x:c>
      <x:c r="E3067" s="7" t="str">
        <x:v>Hold Ledger!J593</x:v>
      </x:c>
      <x:c r="F3067" s="7" t="str">
        <x:f>'Hold Ledger'!J593</x:f>
        <x:v>OPEN</x:v>
      </x:c>
    </x:row>
    <x:row r="3068">
      <x:c r="B3068" s="7" t="str">
        <x:v>PHY-3062</x:v>
      </x:c>
      <x:c r="C3068" s="7" t="str">
        <x:v>hold record</x:v>
      </x:c>
      <x:c r="D3068" s="7" t="str">
        <x:v>RAE-E-19-HP-12</x:v>
      </x:c>
      <x:c r="E3068" s="7" t="str">
        <x:v>Hold Ledger!J594</x:v>
      </x:c>
      <x:c r="F3068" s="7" t="str">
        <x:f>'Hold Ledger'!J594</x:f>
        <x:v>OPEN</x:v>
      </x:c>
    </x:row>
    <x:row r="3069">
      <x:c r="B3069" s="7" t="str">
        <x:v>PHY-3063</x:v>
      </x:c>
      <x:c r="C3069" s="7" t="str">
        <x:v>hold record</x:v>
      </x:c>
      <x:c r="D3069" s="7" t="str">
        <x:v>RAE-E-19-HP-13</x:v>
      </x:c>
      <x:c r="E3069" s="7" t="str">
        <x:v>Hold Ledger!J595</x:v>
      </x:c>
      <x:c r="F3069" s="7" t="str">
        <x:f>'Hold Ledger'!J595</x:f>
        <x:v>OPEN</x:v>
      </x:c>
    </x:row>
    <x:row r="3070">
      <x:c r="B3070" s="7" t="str">
        <x:v>PHY-3064</x:v>
      </x:c>
      <x:c r="C3070" s="7" t="str">
        <x:v>hold record</x:v>
      </x:c>
      <x:c r="D3070" s="7" t="str">
        <x:v>RAE-E-19-HP-14</x:v>
      </x:c>
      <x:c r="E3070" s="7" t="str">
        <x:v>Hold Ledger!J596</x:v>
      </x:c>
      <x:c r="F3070" s="7" t="str">
        <x:f>'Hold Ledger'!J596</x:f>
        <x:v>OPEN</x:v>
      </x:c>
    </x:row>
    <x:row r="3071">
      <x:c r="B3071" s="7" t="str">
        <x:v>PHY-3065</x:v>
      </x:c>
      <x:c r="C3071" s="7" t="str">
        <x:v>hold record</x:v>
      </x:c>
      <x:c r="D3071" s="7" t="str">
        <x:v>RAE-E-19-HP-15</x:v>
      </x:c>
      <x:c r="E3071" s="7" t="str">
        <x:v>Hold Ledger!J597</x:v>
      </x:c>
      <x:c r="F3071" s="7" t="str">
        <x:f>'Hold Ledger'!J597</x:f>
        <x:v>OPEN</x:v>
      </x:c>
    </x:row>
    <x:row r="3072">
      <x:c r="B3072" s="7" t="str">
        <x:v>PHY-3066</x:v>
      </x:c>
      <x:c r="C3072" s="7" t="str">
        <x:v>hold record</x:v>
      </x:c>
      <x:c r="D3072" s="7" t="str">
        <x:v>RAE-E-19-HP-16</x:v>
      </x:c>
      <x:c r="E3072" s="7" t="str">
        <x:v>Hold Ledger!J598</x:v>
      </x:c>
      <x:c r="F3072" s="7" t="str">
        <x:f>'Hold Ledger'!J598</x:f>
        <x:v>OPEN</x:v>
      </x:c>
    </x:row>
    <x:row r="3073">
      <x:c r="B3073" s="7" t="str">
        <x:v>PHY-3067</x:v>
      </x:c>
      <x:c r="C3073" s="7" t="str">
        <x:v>hold record</x:v>
      </x:c>
      <x:c r="D3073" s="7" t="str">
        <x:v>RAE-E-19-HP-17</x:v>
      </x:c>
      <x:c r="E3073" s="7" t="str">
        <x:v>Hold Ledger!J599</x:v>
      </x:c>
      <x:c r="F3073" s="7" t="str">
        <x:f>'Hold Ledger'!J599</x:f>
        <x:v>OPEN</x:v>
      </x:c>
    </x:row>
    <x:row r="3074">
      <x:c r="B3074" s="7" t="str">
        <x:v>PHY-3068</x:v>
      </x:c>
      <x:c r="C3074" s="7" t="str">
        <x:v>hold record</x:v>
      </x:c>
      <x:c r="D3074" s="7" t="str">
        <x:v>RAE-E-19-HP-18</x:v>
      </x:c>
      <x:c r="E3074" s="7" t="str">
        <x:v>Hold Ledger!J600</x:v>
      </x:c>
      <x:c r="F3074" s="7" t="str">
        <x:f>'Hold Ledger'!J600</x:f>
        <x:v>OPEN</x:v>
      </x:c>
    </x:row>
    <x:row r="3075">
      <x:c r="B3075" s="7" t="str">
        <x:v>PHY-3069</x:v>
      </x:c>
      <x:c r="C3075" s="7" t="str">
        <x:v>hold record</x:v>
      </x:c>
      <x:c r="D3075" s="7" t="str">
        <x:v>RAE-E-19-HP-19</x:v>
      </x:c>
      <x:c r="E3075" s="7" t="str">
        <x:v>Hold Ledger!J601</x:v>
      </x:c>
      <x:c r="F3075" s="7" t="str">
        <x:f>'Hold Ledger'!J601</x:f>
        <x:v>OPEN</x:v>
      </x:c>
    </x:row>
    <x:row r="3076">
      <x:c r="B3076" s="7" t="str">
        <x:v>PHY-3070</x:v>
      </x:c>
      <x:c r="C3076" s="7" t="str">
        <x:v>hold record</x:v>
      </x:c>
      <x:c r="D3076" s="7" t="str">
        <x:v>RAE-E-19-HP-20</x:v>
      </x:c>
      <x:c r="E3076" s="7" t="str">
        <x:v>Hold Ledger!J602</x:v>
      </x:c>
      <x:c r="F3076" s="7" t="str">
        <x:f>'Hold Ledger'!J602</x:f>
        <x:v>OPEN</x:v>
      </x:c>
    </x:row>
    <x:row r="3077">
      <x:c r="B3077" s="7" t="str">
        <x:v>PHY-3071</x:v>
      </x:c>
      <x:c r="C3077" s="7" t="str">
        <x:v>hold record</x:v>
      </x:c>
      <x:c r="D3077" s="7" t="str">
        <x:v>RAE-E-19-HP-21</x:v>
      </x:c>
      <x:c r="E3077" s="7" t="str">
        <x:v>Hold Ledger!J603</x:v>
      </x:c>
      <x:c r="F3077" s="7" t="str">
        <x:f>'Hold Ledger'!J603</x:f>
        <x:v>OPEN</x:v>
      </x:c>
    </x:row>
    <x:row r="3078">
      <x:c r="B3078" s="7" t="str">
        <x:v>PHY-3072</x:v>
      </x:c>
      <x:c r="C3078" s="7" t="str">
        <x:v>hold record</x:v>
      </x:c>
      <x:c r="D3078" s="7" t="str">
        <x:v>RAE-E-19-HP-22</x:v>
      </x:c>
      <x:c r="E3078" s="7" t="str">
        <x:v>Hold Ledger!J604</x:v>
      </x:c>
      <x:c r="F3078" s="7" t="str">
        <x:f>'Hold Ledger'!J604</x:f>
        <x:v>OPEN</x:v>
      </x:c>
    </x:row>
    <x:row r="3079">
      <x:c r="B3079" s="7" t="str">
        <x:v>PHY-3073</x:v>
      </x:c>
      <x:c r="C3079" s="7" t="str">
        <x:v>hold record</x:v>
      </x:c>
      <x:c r="D3079" s="7" t="str">
        <x:v>RAE-E-19-HP-23</x:v>
      </x:c>
      <x:c r="E3079" s="7" t="str">
        <x:v>Hold Ledger!J605</x:v>
      </x:c>
      <x:c r="F3079" s="7" t="str">
        <x:f>'Hold Ledger'!J605</x:f>
        <x:v>OPEN</x:v>
      </x:c>
    </x:row>
    <x:row r="3080">
      <x:c r="B3080" s="7" t="str">
        <x:v>PHY-3074</x:v>
      </x:c>
      <x:c r="C3080" s="7" t="str">
        <x:v>hold record</x:v>
      </x:c>
      <x:c r="D3080" s="7" t="str">
        <x:v>RAE-E-19-HP-24</x:v>
      </x:c>
      <x:c r="E3080" s="7" t="str">
        <x:v>Hold Ledger!J606</x:v>
      </x:c>
      <x:c r="F3080" s="7" t="str">
        <x:f>'Hold Ledger'!J606</x:f>
        <x:v>OPEN</x:v>
      </x:c>
    </x:row>
    <x:row r="3081">
      <x:c r="B3081" s="7" t="str">
        <x:v>PHY-3075</x:v>
      </x:c>
      <x:c r="C3081" s="7" t="str">
        <x:v>hold record</x:v>
      </x:c>
      <x:c r="D3081" s="7" t="str">
        <x:v>RAE-E-19-HP-25</x:v>
      </x:c>
      <x:c r="E3081" s="7" t="str">
        <x:v>Hold Ledger!J607</x:v>
      </x:c>
      <x:c r="F3081" s="7" t="str">
        <x:f>'Hold Ledger'!J607</x:f>
        <x:v>OPEN</x:v>
      </x:c>
    </x:row>
    <x:row r="3082">
      <x:c r="B3082" s="7" t="str">
        <x:v>PHY-3076</x:v>
      </x:c>
      <x:c r="C3082" s="7" t="str">
        <x:v>hold record</x:v>
      </x:c>
      <x:c r="D3082" s="7" t="str">
        <x:v>RAE-E-19-HP-26</x:v>
      </x:c>
      <x:c r="E3082" s="7" t="str">
        <x:v>Hold Ledger!J608</x:v>
      </x:c>
      <x:c r="F3082" s="7" t="str">
        <x:f>'Hold Ledger'!J608</x:f>
        <x:v>OPEN</x:v>
      </x:c>
    </x:row>
    <x:row r="3083">
      <x:c r="B3083" s="7" t="str">
        <x:v>PHY-3077</x:v>
      </x:c>
      <x:c r="C3083" s="7" t="str">
        <x:v>hold record</x:v>
      </x:c>
      <x:c r="D3083" s="7" t="str">
        <x:v>RAE-E-19-HP-27</x:v>
      </x:c>
      <x:c r="E3083" s="7" t="str">
        <x:v>Hold Ledger!J609</x:v>
      </x:c>
      <x:c r="F3083" s="7" t="str">
        <x:f>'Hold Ledger'!J609</x:f>
        <x:v>OPEN</x:v>
      </x:c>
    </x:row>
    <x:row r="3084">
      <x:c r="B3084" s="7" t="str">
        <x:v>PHY-3078</x:v>
      </x:c>
      <x:c r="C3084" s="7" t="str">
        <x:v>hold record</x:v>
      </x:c>
      <x:c r="D3084" s="7" t="str">
        <x:v>RAE-E-19-HP-28</x:v>
      </x:c>
      <x:c r="E3084" s="7" t="str">
        <x:v>Hold Ledger!J610</x:v>
      </x:c>
      <x:c r="F3084" s="7" t="str">
        <x:f>'Hold Ledger'!J610</x:f>
        <x:v>OPEN</x:v>
      </x:c>
    </x:row>
    <x:row r="3085">
      <x:c r="B3085" s="7" t="str">
        <x:v>PHY-3079</x:v>
      </x:c>
      <x:c r="C3085" s="7" t="str">
        <x:v>hold record</x:v>
      </x:c>
      <x:c r="D3085" s="7" t="str">
        <x:v>RAE-E-19-HP-29</x:v>
      </x:c>
      <x:c r="E3085" s="7" t="str">
        <x:v>Hold Ledger!J611</x:v>
      </x:c>
      <x:c r="F3085" s="7" t="str">
        <x:f>'Hold Ledger'!J611</x:f>
        <x:v>OPEN</x:v>
      </x:c>
    </x:row>
    <x:row r="3086">
      <x:c r="B3086" s="7" t="str">
        <x:v>PHY-3080</x:v>
      </x:c>
      <x:c r="C3086" s="7" t="str">
        <x:v>hold record</x:v>
      </x:c>
      <x:c r="D3086" s="7" t="str">
        <x:v>RAE-E-19-HP-30</x:v>
      </x:c>
      <x:c r="E3086" s="7" t="str">
        <x:v>Hold Ledger!J612</x:v>
      </x:c>
      <x:c r="F3086" s="7" t="str">
        <x:f>'Hold Ledger'!J612</x:f>
        <x:v>OPEN</x:v>
      </x:c>
    </x:row>
    <x:row r="3087">
      <x:c r="B3087" s="7" t="str">
        <x:v>PHY-3081</x:v>
      </x:c>
      <x:c r="C3087" s="7" t="str">
        <x:v>hold record</x:v>
      </x:c>
      <x:c r="D3087" s="7" t="str">
        <x:v>RAE-E-19-HP-31</x:v>
      </x:c>
      <x:c r="E3087" s="7" t="str">
        <x:v>Hold Ledger!J613</x:v>
      </x:c>
      <x:c r="F3087" s="7" t="str">
        <x:f>'Hold Ledger'!J613</x:f>
        <x:v>OPEN</x:v>
      </x:c>
    </x:row>
    <x:row r="3088">
      <x:c r="B3088" s="7" t="str">
        <x:v>PHY-3082</x:v>
      </x:c>
      <x:c r="C3088" s="7" t="str">
        <x:v>hold record</x:v>
      </x:c>
      <x:c r="D3088" s="7" t="str">
        <x:v>RAE-E-19-HP-32</x:v>
      </x:c>
      <x:c r="E3088" s="7" t="str">
        <x:v>Hold Ledger!J614</x:v>
      </x:c>
      <x:c r="F3088" s="7" t="str">
        <x:f>'Hold Ledger'!J614</x:f>
        <x:v>OPEN</x:v>
      </x:c>
    </x:row>
    <x:row r="3089">
      <x:c r="B3089" s="7" t="str">
        <x:v>PHY-3083</x:v>
      </x:c>
      <x:c r="C3089" s="7" t="str">
        <x:v>hold record</x:v>
      </x:c>
      <x:c r="D3089" s="7" t="str">
        <x:v>RAE-E-20-HP-01</x:v>
      </x:c>
      <x:c r="E3089" s="7" t="str">
        <x:v>Hold Ledger!J615</x:v>
      </x:c>
      <x:c r="F3089" s="7" t="str">
        <x:f>'Hold Ledger'!J615</x:f>
        <x:v>OPEN</x:v>
      </x:c>
    </x:row>
    <x:row r="3090">
      <x:c r="B3090" s="7" t="str">
        <x:v>PHY-3084</x:v>
      </x:c>
      <x:c r="C3090" s="7" t="str">
        <x:v>hold record</x:v>
      </x:c>
      <x:c r="D3090" s="7" t="str">
        <x:v>RAE-E-20-HP-02</x:v>
      </x:c>
      <x:c r="E3090" s="7" t="str">
        <x:v>Hold Ledger!J616</x:v>
      </x:c>
      <x:c r="F3090" s="7" t="str">
        <x:f>'Hold Ledger'!J616</x:f>
        <x:v>OPEN</x:v>
      </x:c>
    </x:row>
    <x:row r="3091">
      <x:c r="B3091" s="7" t="str">
        <x:v>PHY-3085</x:v>
      </x:c>
      <x:c r="C3091" s="7" t="str">
        <x:v>hold record</x:v>
      </x:c>
      <x:c r="D3091" s="7" t="str">
        <x:v>RAE-E-20-HP-03</x:v>
      </x:c>
      <x:c r="E3091" s="7" t="str">
        <x:v>Hold Ledger!J617</x:v>
      </x:c>
      <x:c r="F3091" s="7" t="str">
        <x:f>'Hold Ledger'!J617</x:f>
        <x:v>OPEN</x:v>
      </x:c>
    </x:row>
    <x:row r="3092">
      <x:c r="B3092" s="7" t="str">
        <x:v>PHY-3086</x:v>
      </x:c>
      <x:c r="C3092" s="7" t="str">
        <x:v>hold record</x:v>
      </x:c>
      <x:c r="D3092" s="7" t="str">
        <x:v>RAE-E-20-HP-04</x:v>
      </x:c>
      <x:c r="E3092" s="7" t="str">
        <x:v>Hold Ledger!J618</x:v>
      </x:c>
      <x:c r="F3092" s="7" t="str">
        <x:f>'Hold Ledger'!J618</x:f>
        <x:v>OPEN</x:v>
      </x:c>
    </x:row>
    <x:row r="3093">
      <x:c r="B3093" s="7" t="str">
        <x:v>PHY-3087</x:v>
      </x:c>
      <x:c r="C3093" s="7" t="str">
        <x:v>hold record</x:v>
      </x:c>
      <x:c r="D3093" s="7" t="str">
        <x:v>RAE-E-20-HP-05</x:v>
      </x:c>
      <x:c r="E3093" s="7" t="str">
        <x:v>Hold Ledger!J619</x:v>
      </x:c>
      <x:c r="F3093" s="7" t="str">
        <x:f>'Hold Ledger'!J619</x:f>
        <x:v>OPEN</x:v>
      </x:c>
    </x:row>
    <x:row r="3094">
      <x:c r="B3094" s="7" t="str">
        <x:v>PHY-3088</x:v>
      </x:c>
      <x:c r="C3094" s="7" t="str">
        <x:v>hold record</x:v>
      </x:c>
      <x:c r="D3094" s="7" t="str">
        <x:v>RAE-E-20-HP-06</x:v>
      </x:c>
      <x:c r="E3094" s="7" t="str">
        <x:v>Hold Ledger!J620</x:v>
      </x:c>
      <x:c r="F3094" s="7" t="str">
        <x:f>'Hold Ledger'!J620</x:f>
        <x:v>OPEN</x:v>
      </x:c>
    </x:row>
    <x:row r="3095">
      <x:c r="B3095" s="7" t="str">
        <x:v>PHY-3089</x:v>
      </x:c>
      <x:c r="C3095" s="7" t="str">
        <x:v>hold record</x:v>
      </x:c>
      <x:c r="D3095" s="7" t="str">
        <x:v>RAE-E-20-HP-07</x:v>
      </x:c>
      <x:c r="E3095" s="7" t="str">
        <x:v>Hold Ledger!J621</x:v>
      </x:c>
      <x:c r="F3095" s="7" t="str">
        <x:f>'Hold Ledger'!J621</x:f>
        <x:v>OPEN</x:v>
      </x:c>
    </x:row>
    <x:row r="3096">
      <x:c r="B3096" s="7" t="str">
        <x:v>PHY-3090</x:v>
      </x:c>
      <x:c r="C3096" s="7" t="str">
        <x:v>hold record</x:v>
      </x:c>
      <x:c r="D3096" s="7" t="str">
        <x:v>RAE-E-20-HP-08</x:v>
      </x:c>
      <x:c r="E3096" s="7" t="str">
        <x:v>Hold Ledger!J622</x:v>
      </x:c>
      <x:c r="F3096" s="7" t="str">
        <x:f>'Hold Ledger'!J622</x:f>
        <x:v>OPEN</x:v>
      </x:c>
    </x:row>
    <x:row r="3097">
      <x:c r="B3097" s="7" t="str">
        <x:v>PHY-3091</x:v>
      </x:c>
      <x:c r="C3097" s="7" t="str">
        <x:v>hold record</x:v>
      </x:c>
      <x:c r="D3097" s="7" t="str">
        <x:v>RAE-E-20-HP-09</x:v>
      </x:c>
      <x:c r="E3097" s="7" t="str">
        <x:v>Hold Ledger!J623</x:v>
      </x:c>
      <x:c r="F3097" s="7" t="str">
        <x:f>'Hold Ledger'!J623</x:f>
        <x:v>OPEN</x:v>
      </x:c>
    </x:row>
    <x:row r="3098">
      <x:c r="B3098" s="7" t="str">
        <x:v>PHY-3092</x:v>
      </x:c>
      <x:c r="C3098" s="7" t="str">
        <x:v>hold record</x:v>
      </x:c>
      <x:c r="D3098" s="7" t="str">
        <x:v>RAE-E-20-HP-10</x:v>
      </x:c>
      <x:c r="E3098" s="7" t="str">
        <x:v>Hold Ledger!J624</x:v>
      </x:c>
      <x:c r="F3098" s="7" t="str">
        <x:f>'Hold Ledger'!J624</x:f>
        <x:v>OPEN</x:v>
      </x:c>
    </x:row>
    <x:row r="3099">
      <x:c r="B3099" s="7" t="str">
        <x:v>PHY-3093</x:v>
      </x:c>
      <x:c r="C3099" s="7" t="str">
        <x:v>hold record</x:v>
      </x:c>
      <x:c r="D3099" s="7" t="str">
        <x:v>RAE-E-20-HP-11</x:v>
      </x:c>
      <x:c r="E3099" s="7" t="str">
        <x:v>Hold Ledger!J625</x:v>
      </x:c>
      <x:c r="F3099" s="7" t="str">
        <x:f>'Hold Ledger'!J625</x:f>
        <x:v>OPEN</x:v>
      </x:c>
    </x:row>
    <x:row r="3100">
      <x:c r="B3100" s="7" t="str">
        <x:v>PHY-3094</x:v>
      </x:c>
      <x:c r="C3100" s="7" t="str">
        <x:v>hold record</x:v>
      </x:c>
      <x:c r="D3100" s="7" t="str">
        <x:v>RAE-E-20-HP-12</x:v>
      </x:c>
      <x:c r="E3100" s="7" t="str">
        <x:v>Hold Ledger!J626</x:v>
      </x:c>
      <x:c r="F3100" s="7" t="str">
        <x:f>'Hold Ledger'!J626</x:f>
        <x:v>OPEN</x:v>
      </x:c>
    </x:row>
    <x:row r="3101">
      <x:c r="B3101" s="7" t="str">
        <x:v>PHY-3095</x:v>
      </x:c>
      <x:c r="C3101" s="7" t="str">
        <x:v>hold record</x:v>
      </x:c>
      <x:c r="D3101" s="7" t="str">
        <x:v>RAE-E-20-HP-13</x:v>
      </x:c>
      <x:c r="E3101" s="7" t="str">
        <x:v>Hold Ledger!J627</x:v>
      </x:c>
      <x:c r="F3101" s="7" t="str">
        <x:f>'Hold Ledger'!J627</x:f>
        <x:v>OPEN</x:v>
      </x:c>
    </x:row>
    <x:row r="3102">
      <x:c r="B3102" s="7" t="str">
        <x:v>PHY-3096</x:v>
      </x:c>
      <x:c r="C3102" s="7" t="str">
        <x:v>hold record</x:v>
      </x:c>
      <x:c r="D3102" s="7" t="str">
        <x:v>RAE-E-20-HP-14</x:v>
      </x:c>
      <x:c r="E3102" s="7" t="str">
        <x:v>Hold Ledger!J628</x:v>
      </x:c>
      <x:c r="F3102" s="7" t="str">
        <x:f>'Hold Ledger'!J628</x:f>
        <x:v>OPEN</x:v>
      </x:c>
    </x:row>
    <x:row r="3103">
      <x:c r="B3103" s="7" t="str">
        <x:v>PHY-3097</x:v>
      </x:c>
      <x:c r="C3103" s="7" t="str">
        <x:v>hold record</x:v>
      </x:c>
      <x:c r="D3103" s="7" t="str">
        <x:v>RAE-E-20-HP-15</x:v>
      </x:c>
      <x:c r="E3103" s="7" t="str">
        <x:v>Hold Ledger!J629</x:v>
      </x:c>
      <x:c r="F3103" s="7" t="str">
        <x:f>'Hold Ledger'!J629</x:f>
        <x:v>OPEN</x:v>
      </x:c>
    </x:row>
    <x:row r="3104">
      <x:c r="B3104" s="7" t="str">
        <x:v>PHY-3098</x:v>
      </x:c>
      <x:c r="C3104" s="7" t="str">
        <x:v>hold record</x:v>
      </x:c>
      <x:c r="D3104" s="7" t="str">
        <x:v>RAE-E-20-HP-16</x:v>
      </x:c>
      <x:c r="E3104" s="7" t="str">
        <x:v>Hold Ledger!J630</x:v>
      </x:c>
      <x:c r="F3104" s="7" t="str">
        <x:f>'Hold Ledger'!J630</x:f>
        <x:v>OPEN</x:v>
      </x:c>
    </x:row>
    <x:row r="3105">
      <x:c r="B3105" s="7" t="str">
        <x:v>PHY-3099</x:v>
      </x:c>
      <x:c r="C3105" s="7" t="str">
        <x:v>hold record</x:v>
      </x:c>
      <x:c r="D3105" s="7" t="str">
        <x:v>RAE-E-20-HP-17</x:v>
      </x:c>
      <x:c r="E3105" s="7" t="str">
        <x:v>Hold Ledger!J631</x:v>
      </x:c>
      <x:c r="F3105" s="7" t="str">
        <x:f>'Hold Ledger'!J631</x:f>
        <x:v>OPEN</x:v>
      </x:c>
    </x:row>
    <x:row r="3106">
      <x:c r="B3106" s="7" t="str">
        <x:v>PHY-3100</x:v>
      </x:c>
      <x:c r="C3106" s="7" t="str">
        <x:v>hold record</x:v>
      </x:c>
      <x:c r="D3106" s="7" t="str">
        <x:v>RAE-E-20-HP-18</x:v>
      </x:c>
      <x:c r="E3106" s="7" t="str">
        <x:v>Hold Ledger!J632</x:v>
      </x:c>
      <x:c r="F3106" s="7" t="str">
        <x:f>'Hold Ledger'!J632</x:f>
        <x:v>OPEN</x:v>
      </x:c>
    </x:row>
    <x:row r="3107">
      <x:c r="B3107" s="7" t="str">
        <x:v>PHY-3101</x:v>
      </x:c>
      <x:c r="C3107" s="7" t="str">
        <x:v>hold record</x:v>
      </x:c>
      <x:c r="D3107" s="7" t="str">
        <x:v>RAE-E-20-HP-19</x:v>
      </x:c>
      <x:c r="E3107" s="7" t="str">
        <x:v>Hold Ledger!J633</x:v>
      </x:c>
      <x:c r="F3107" s="7" t="str">
        <x:f>'Hold Ledger'!J633</x:f>
        <x:v>OPEN</x:v>
      </x:c>
    </x:row>
    <x:row r="3108">
      <x:c r="B3108" s="7" t="str">
        <x:v>PHY-3102</x:v>
      </x:c>
      <x:c r="C3108" s="7" t="str">
        <x:v>hold record</x:v>
      </x:c>
      <x:c r="D3108" s="7" t="str">
        <x:v>RAE-E-20-HP-20</x:v>
      </x:c>
      <x:c r="E3108" s="7" t="str">
        <x:v>Hold Ledger!J634</x:v>
      </x:c>
      <x:c r="F3108" s="7" t="str">
        <x:f>'Hold Ledger'!J634</x:f>
        <x:v>OPEN</x:v>
      </x:c>
    </x:row>
    <x:row r="3109">
      <x:c r="B3109" s="7" t="str">
        <x:v>PHY-3103</x:v>
      </x:c>
      <x:c r="C3109" s="7" t="str">
        <x:v>hold record</x:v>
      </x:c>
      <x:c r="D3109" s="7" t="str">
        <x:v>RAE-E-20-HP-21</x:v>
      </x:c>
      <x:c r="E3109" s="7" t="str">
        <x:v>Hold Ledger!J635</x:v>
      </x:c>
      <x:c r="F3109" s="7" t="str">
        <x:f>'Hold Ledger'!J635</x:f>
        <x:v>OPEN</x:v>
      </x:c>
    </x:row>
    <x:row r="3110">
      <x:c r="B3110" s="7" t="str">
        <x:v>PHY-3104</x:v>
      </x:c>
      <x:c r="C3110" s="7" t="str">
        <x:v>hold record</x:v>
      </x:c>
      <x:c r="D3110" s="7" t="str">
        <x:v>RAE-E-20-HP-22</x:v>
      </x:c>
      <x:c r="E3110" s="7" t="str">
        <x:v>Hold Ledger!J636</x:v>
      </x:c>
      <x:c r="F3110" s="7" t="str">
        <x:f>'Hold Ledger'!J636</x:f>
        <x:v>OPEN</x:v>
      </x:c>
    </x:row>
    <x:row r="3111">
      <x:c r="B3111" s="7" t="str">
        <x:v>PHY-3105</x:v>
      </x:c>
      <x:c r="C3111" s="7" t="str">
        <x:v>hold record</x:v>
      </x:c>
      <x:c r="D3111" s="7" t="str">
        <x:v>RAE-E-20-HP-23</x:v>
      </x:c>
      <x:c r="E3111" s="7" t="str">
        <x:v>Hold Ledger!J637</x:v>
      </x:c>
      <x:c r="F3111" s="7" t="str">
        <x:f>'Hold Ledger'!J637</x:f>
        <x:v>OPEN</x:v>
      </x:c>
    </x:row>
    <x:row r="3112">
      <x:c r="B3112" s="7" t="str">
        <x:v>PHY-3106</x:v>
      </x:c>
      <x:c r="C3112" s="7" t="str">
        <x:v>hold record</x:v>
      </x:c>
      <x:c r="D3112" s="7" t="str">
        <x:v>RAE-E-20-HP-24</x:v>
      </x:c>
      <x:c r="E3112" s="7" t="str">
        <x:v>Hold Ledger!J638</x:v>
      </x:c>
      <x:c r="F3112" s="7" t="str">
        <x:f>'Hold Ledger'!J638</x:f>
        <x:v>OPEN</x:v>
      </x:c>
    </x:row>
    <x:row r="3113">
      <x:c r="B3113" s="7" t="str">
        <x:v>PHY-3107</x:v>
      </x:c>
      <x:c r="C3113" s="7" t="str">
        <x:v>hold record</x:v>
      </x:c>
      <x:c r="D3113" s="7" t="str">
        <x:v>RAE-E-20-HP-25</x:v>
      </x:c>
      <x:c r="E3113" s="7" t="str">
        <x:v>Hold Ledger!J639</x:v>
      </x:c>
      <x:c r="F3113" s="7" t="str">
        <x:f>'Hold Ledger'!J639</x:f>
        <x:v>OPEN</x:v>
      </x:c>
    </x:row>
    <x:row r="3114">
      <x:c r="B3114" s="7" t="str">
        <x:v>PHY-3108</x:v>
      </x:c>
      <x:c r="C3114" s="7" t="str">
        <x:v>hold record</x:v>
      </x:c>
      <x:c r="D3114" s="7" t="str">
        <x:v>RAE-E-20-HP-26</x:v>
      </x:c>
      <x:c r="E3114" s="7" t="str">
        <x:v>Hold Ledger!J640</x:v>
      </x:c>
      <x:c r="F3114" s="7" t="str">
        <x:f>'Hold Ledger'!J640</x:f>
        <x:v>OPEN</x:v>
      </x:c>
    </x:row>
    <x:row r="3115">
      <x:c r="B3115" s="7" t="str">
        <x:v>PHY-3109</x:v>
      </x:c>
      <x:c r="C3115" s="7" t="str">
        <x:v>hold record</x:v>
      </x:c>
      <x:c r="D3115" s="7" t="str">
        <x:v>RAE-E-20-HP-27</x:v>
      </x:c>
      <x:c r="E3115" s="7" t="str">
        <x:v>Hold Ledger!J641</x:v>
      </x:c>
      <x:c r="F3115" s="7" t="str">
        <x:f>'Hold Ledger'!J641</x:f>
        <x:v>OPEN</x:v>
      </x:c>
    </x:row>
    <x:row r="3116">
      <x:c r="B3116" s="7" t="str">
        <x:v>PHY-3110</x:v>
      </x:c>
      <x:c r="C3116" s="7" t="str">
        <x:v>hold record</x:v>
      </x:c>
      <x:c r="D3116" s="7" t="str">
        <x:v>RAE-E-20-HP-28</x:v>
      </x:c>
      <x:c r="E3116" s="7" t="str">
        <x:v>Hold Ledger!J642</x:v>
      </x:c>
      <x:c r="F3116" s="7" t="str">
        <x:f>'Hold Ledger'!J642</x:f>
        <x:v>OPEN</x:v>
      </x:c>
    </x:row>
    <x:row r="3117">
      <x:c r="B3117" s="7" t="str">
        <x:v>PHY-3111</x:v>
      </x:c>
      <x:c r="C3117" s="7" t="str">
        <x:v>hold record</x:v>
      </x:c>
      <x:c r="D3117" s="7" t="str">
        <x:v>RAE-E-20-HP-29</x:v>
      </x:c>
      <x:c r="E3117" s="7" t="str">
        <x:v>Hold Ledger!J643</x:v>
      </x:c>
      <x:c r="F3117" s="7" t="str">
        <x:f>'Hold Ledger'!J643</x:f>
        <x:v>OPEN</x:v>
      </x:c>
    </x:row>
    <x:row r="3118">
      <x:c r="B3118" s="7" t="str">
        <x:v>PHY-3112</x:v>
      </x:c>
      <x:c r="C3118" s="7" t="str">
        <x:v>hold record</x:v>
      </x:c>
      <x:c r="D3118" s="7" t="str">
        <x:v>RAE-E-20-HP-30</x:v>
      </x:c>
      <x:c r="E3118" s="7" t="str">
        <x:v>Hold Ledger!J644</x:v>
      </x:c>
      <x:c r="F3118" s="7" t="str">
        <x:f>'Hold Ledger'!J644</x:f>
        <x:v>OPEN</x:v>
      </x:c>
    </x:row>
    <x:row r="3119">
      <x:c r="B3119" s="7" t="str">
        <x:v>PHY-3113</x:v>
      </x:c>
      <x:c r="C3119" s="7" t="str">
        <x:v>hold record</x:v>
      </x:c>
      <x:c r="D3119" s="7" t="str">
        <x:v>RAE-E-20-HP-31</x:v>
      </x:c>
      <x:c r="E3119" s="7" t="str">
        <x:v>Hold Ledger!J645</x:v>
      </x:c>
      <x:c r="F3119" s="7" t="str">
        <x:f>'Hold Ledger'!J645</x:f>
        <x:v>OPEN</x:v>
      </x:c>
    </x:row>
    <x:row r="3120">
      <x:c r="B3120" s="7" t="str">
        <x:v>PHY-3114</x:v>
      </x:c>
      <x:c r="C3120" s="7" t="str">
        <x:v>hold record</x:v>
      </x:c>
      <x:c r="D3120" s="7" t="str">
        <x:v>RAE-E-20-HP-32</x:v>
      </x:c>
      <x:c r="E3120" s="7" t="str">
        <x:v>Hold Ledger!J646</x:v>
      </x:c>
      <x:c r="F3120" s="7" t="str">
        <x:f>'Hold Ledger'!J646</x:f>
        <x:v>OPEN</x:v>
      </x:c>
    </x:row>
    <x:row r="3121">
      <x:c r="B3121" s="7" t="str">
        <x:v>PHY-3115</x:v>
      </x:c>
      <x:c r="C3121" s="7" t="str">
        <x:v>hold record</x:v>
      </x:c>
      <x:c r="D3121" s="7" t="str">
        <x:v>RAE-E-21-HP-01</x:v>
      </x:c>
      <x:c r="E3121" s="7" t="str">
        <x:v>Hold Ledger!J647</x:v>
      </x:c>
      <x:c r="F3121" s="7" t="str">
        <x:f>'Hold Ledger'!J647</x:f>
        <x:v>OPEN</x:v>
      </x:c>
    </x:row>
    <x:row r="3122">
      <x:c r="B3122" s="7" t="str">
        <x:v>PHY-3116</x:v>
      </x:c>
      <x:c r="C3122" s="7" t="str">
        <x:v>hold record</x:v>
      </x:c>
      <x:c r="D3122" s="7" t="str">
        <x:v>RAE-E-21-HP-02</x:v>
      </x:c>
      <x:c r="E3122" s="7" t="str">
        <x:v>Hold Ledger!J648</x:v>
      </x:c>
      <x:c r="F3122" s="7" t="str">
        <x:f>'Hold Ledger'!J648</x:f>
        <x:v>OPEN</x:v>
      </x:c>
    </x:row>
    <x:row r="3123">
      <x:c r="B3123" s="7" t="str">
        <x:v>PHY-3117</x:v>
      </x:c>
      <x:c r="C3123" s="7" t="str">
        <x:v>hold record</x:v>
      </x:c>
      <x:c r="D3123" s="7" t="str">
        <x:v>RAE-E-21-HP-03</x:v>
      </x:c>
      <x:c r="E3123" s="7" t="str">
        <x:v>Hold Ledger!J649</x:v>
      </x:c>
      <x:c r="F3123" s="7" t="str">
        <x:f>'Hold Ledger'!J649</x:f>
        <x:v>OPEN</x:v>
      </x:c>
    </x:row>
    <x:row r="3124">
      <x:c r="B3124" s="7" t="str">
        <x:v>PHY-3118</x:v>
      </x:c>
      <x:c r="C3124" s="7" t="str">
        <x:v>hold record</x:v>
      </x:c>
      <x:c r="D3124" s="7" t="str">
        <x:v>RAE-E-21-HP-04</x:v>
      </x:c>
      <x:c r="E3124" s="7" t="str">
        <x:v>Hold Ledger!J650</x:v>
      </x:c>
      <x:c r="F3124" s="7" t="str">
        <x:f>'Hold Ledger'!J650</x:f>
        <x:v>OPEN</x:v>
      </x:c>
    </x:row>
    <x:row r="3125">
      <x:c r="B3125" s="7" t="str">
        <x:v>PHY-3119</x:v>
      </x:c>
      <x:c r="C3125" s="7" t="str">
        <x:v>hold record</x:v>
      </x:c>
      <x:c r="D3125" s="7" t="str">
        <x:v>RAE-E-21-HP-05</x:v>
      </x:c>
      <x:c r="E3125" s="7" t="str">
        <x:v>Hold Ledger!J651</x:v>
      </x:c>
      <x:c r="F3125" s="7" t="str">
        <x:f>'Hold Ledger'!J651</x:f>
        <x:v>OPEN</x:v>
      </x:c>
    </x:row>
    <x:row r="3126">
      <x:c r="B3126" s="7" t="str">
        <x:v>PHY-3120</x:v>
      </x:c>
      <x:c r="C3126" s="7" t="str">
        <x:v>hold record</x:v>
      </x:c>
      <x:c r="D3126" s="7" t="str">
        <x:v>RAE-E-21-HP-06</x:v>
      </x:c>
      <x:c r="E3126" s="7" t="str">
        <x:v>Hold Ledger!J652</x:v>
      </x:c>
      <x:c r="F3126" s="7" t="str">
        <x:f>'Hold Ledger'!J652</x:f>
        <x:v>OPEN</x:v>
      </x:c>
    </x:row>
    <x:row r="3127">
      <x:c r="B3127" s="7" t="str">
        <x:v>PHY-3121</x:v>
      </x:c>
      <x:c r="C3127" s="7" t="str">
        <x:v>hold record</x:v>
      </x:c>
      <x:c r="D3127" s="7" t="str">
        <x:v>RAE-E-21-HP-07</x:v>
      </x:c>
      <x:c r="E3127" s="7" t="str">
        <x:v>Hold Ledger!J653</x:v>
      </x:c>
      <x:c r="F3127" s="7" t="str">
        <x:f>'Hold Ledger'!J653</x:f>
        <x:v>OPEN</x:v>
      </x:c>
    </x:row>
    <x:row r="3128">
      <x:c r="B3128" s="7" t="str">
        <x:v>PHY-3122</x:v>
      </x:c>
      <x:c r="C3128" s="7" t="str">
        <x:v>hold record</x:v>
      </x:c>
      <x:c r="D3128" s="7" t="str">
        <x:v>RAE-E-21-HP-08</x:v>
      </x:c>
      <x:c r="E3128" s="7" t="str">
        <x:v>Hold Ledger!J654</x:v>
      </x:c>
      <x:c r="F3128" s="7" t="str">
        <x:f>'Hold Ledger'!J654</x:f>
        <x:v>OPEN</x:v>
      </x:c>
    </x:row>
    <x:row r="3129">
      <x:c r="B3129" s="7" t="str">
        <x:v>PHY-3123</x:v>
      </x:c>
      <x:c r="C3129" s="7" t="str">
        <x:v>hold record</x:v>
      </x:c>
      <x:c r="D3129" s="7" t="str">
        <x:v>RAE-E-21-HP-09</x:v>
      </x:c>
      <x:c r="E3129" s="7" t="str">
        <x:v>Hold Ledger!J655</x:v>
      </x:c>
      <x:c r="F3129" s="7" t="str">
        <x:f>'Hold Ledger'!J655</x:f>
        <x:v>OPEN</x:v>
      </x:c>
    </x:row>
    <x:row r="3130">
      <x:c r="B3130" s="7" t="str">
        <x:v>PHY-3124</x:v>
      </x:c>
      <x:c r="C3130" s="7" t="str">
        <x:v>hold record</x:v>
      </x:c>
      <x:c r="D3130" s="7" t="str">
        <x:v>RAE-E-21-HP-10</x:v>
      </x:c>
      <x:c r="E3130" s="7" t="str">
        <x:v>Hold Ledger!J656</x:v>
      </x:c>
      <x:c r="F3130" s="7" t="str">
        <x:f>'Hold Ledger'!J656</x:f>
        <x:v>OPEN</x:v>
      </x:c>
    </x:row>
    <x:row r="3131">
      <x:c r="B3131" s="7" t="str">
        <x:v>PHY-3125</x:v>
      </x:c>
      <x:c r="C3131" s="7" t="str">
        <x:v>hold record</x:v>
      </x:c>
      <x:c r="D3131" s="7" t="str">
        <x:v>RAE-E-21-HP-11</x:v>
      </x:c>
      <x:c r="E3131" s="7" t="str">
        <x:v>Hold Ledger!J657</x:v>
      </x:c>
      <x:c r="F3131" s="7" t="str">
        <x:f>'Hold Ledger'!J657</x:f>
        <x:v>OPEN</x:v>
      </x:c>
    </x:row>
    <x:row r="3132">
      <x:c r="B3132" s="7" t="str">
        <x:v>PHY-3126</x:v>
      </x:c>
      <x:c r="C3132" s="7" t="str">
        <x:v>hold record</x:v>
      </x:c>
      <x:c r="D3132" s="7" t="str">
        <x:v>RAE-E-21-HP-12</x:v>
      </x:c>
      <x:c r="E3132" s="7" t="str">
        <x:v>Hold Ledger!J658</x:v>
      </x:c>
      <x:c r="F3132" s="7" t="str">
        <x:f>'Hold Ledger'!J658</x:f>
        <x:v>OPEN</x:v>
      </x:c>
    </x:row>
    <x:row r="3133">
      <x:c r="B3133" s="7" t="str">
        <x:v>PHY-3127</x:v>
      </x:c>
      <x:c r="C3133" s="7" t="str">
        <x:v>hold record</x:v>
      </x:c>
      <x:c r="D3133" s="7" t="str">
        <x:v>RAE-E-21-HP-13</x:v>
      </x:c>
      <x:c r="E3133" s="7" t="str">
        <x:v>Hold Ledger!J659</x:v>
      </x:c>
      <x:c r="F3133" s="7" t="str">
        <x:f>'Hold Ledger'!J659</x:f>
        <x:v>OPEN</x:v>
      </x:c>
    </x:row>
    <x:row r="3134">
      <x:c r="B3134" s="7" t="str">
        <x:v>PHY-3128</x:v>
      </x:c>
      <x:c r="C3134" s="7" t="str">
        <x:v>hold record</x:v>
      </x:c>
      <x:c r="D3134" s="7" t="str">
        <x:v>RAE-E-21-HP-14</x:v>
      </x:c>
      <x:c r="E3134" s="7" t="str">
        <x:v>Hold Ledger!J660</x:v>
      </x:c>
      <x:c r="F3134" s="7" t="str">
        <x:f>'Hold Ledger'!J660</x:f>
        <x:v>OPEN</x:v>
      </x:c>
    </x:row>
    <x:row r="3135">
      <x:c r="B3135" s="7" t="str">
        <x:v>PHY-3129</x:v>
      </x:c>
      <x:c r="C3135" s="7" t="str">
        <x:v>hold record</x:v>
      </x:c>
      <x:c r="D3135" s="7" t="str">
        <x:v>RAE-E-21-HP-15</x:v>
      </x:c>
      <x:c r="E3135" s="7" t="str">
        <x:v>Hold Ledger!J661</x:v>
      </x:c>
      <x:c r="F3135" s="7" t="str">
        <x:f>'Hold Ledger'!J661</x:f>
        <x:v>OPEN</x:v>
      </x:c>
    </x:row>
    <x:row r="3136">
      <x:c r="B3136" s="7" t="str">
        <x:v>PHY-3130</x:v>
      </x:c>
      <x:c r="C3136" s="7" t="str">
        <x:v>hold record</x:v>
      </x:c>
      <x:c r="D3136" s="7" t="str">
        <x:v>RAE-E-21-HP-16</x:v>
      </x:c>
      <x:c r="E3136" s="7" t="str">
        <x:v>Hold Ledger!J662</x:v>
      </x:c>
      <x:c r="F3136" s="7" t="str">
        <x:f>'Hold Ledger'!J662</x:f>
        <x:v>OPEN</x:v>
      </x:c>
    </x:row>
    <x:row r="3137">
      <x:c r="B3137" s="7" t="str">
        <x:v>PHY-3131</x:v>
      </x:c>
      <x:c r="C3137" s="7" t="str">
        <x:v>hold record</x:v>
      </x:c>
      <x:c r="D3137" s="7" t="str">
        <x:v>RAE-E-21-HP-17</x:v>
      </x:c>
      <x:c r="E3137" s="7" t="str">
        <x:v>Hold Ledger!J663</x:v>
      </x:c>
      <x:c r="F3137" s="7" t="str">
        <x:f>'Hold Ledger'!J663</x:f>
        <x:v>OPEN</x:v>
      </x:c>
    </x:row>
    <x:row r="3138">
      <x:c r="B3138" s="7" t="str">
        <x:v>PHY-3132</x:v>
      </x:c>
      <x:c r="C3138" s="7" t="str">
        <x:v>hold record</x:v>
      </x:c>
      <x:c r="D3138" s="7" t="str">
        <x:v>RAE-E-21-HP-18</x:v>
      </x:c>
      <x:c r="E3138" s="7" t="str">
        <x:v>Hold Ledger!J664</x:v>
      </x:c>
      <x:c r="F3138" s="7" t="str">
        <x:f>'Hold Ledger'!J664</x:f>
        <x:v>OPEN</x:v>
      </x:c>
    </x:row>
    <x:row r="3139">
      <x:c r="B3139" s="7" t="str">
        <x:v>PHY-3133</x:v>
      </x:c>
      <x:c r="C3139" s="7" t="str">
        <x:v>hold record</x:v>
      </x:c>
      <x:c r="D3139" s="7" t="str">
        <x:v>RAE-E-21-HP-19</x:v>
      </x:c>
      <x:c r="E3139" s="7" t="str">
        <x:v>Hold Ledger!J665</x:v>
      </x:c>
      <x:c r="F3139" s="7" t="str">
        <x:f>'Hold Ledger'!J665</x:f>
        <x:v>OPEN</x:v>
      </x:c>
    </x:row>
    <x:row r="3140">
      <x:c r="B3140" s="7" t="str">
        <x:v>PHY-3134</x:v>
      </x:c>
      <x:c r="C3140" s="7" t="str">
        <x:v>hold record</x:v>
      </x:c>
      <x:c r="D3140" s="7" t="str">
        <x:v>RAE-E-21-HP-20</x:v>
      </x:c>
      <x:c r="E3140" s="7" t="str">
        <x:v>Hold Ledger!J666</x:v>
      </x:c>
      <x:c r="F3140" s="7" t="str">
        <x:f>'Hold Ledger'!J666</x:f>
        <x:v>OPEN</x:v>
      </x:c>
    </x:row>
    <x:row r="3141">
      <x:c r="B3141" s="7" t="str">
        <x:v>PHY-3135</x:v>
      </x:c>
      <x:c r="C3141" s="7" t="str">
        <x:v>hold record</x:v>
      </x:c>
      <x:c r="D3141" s="7" t="str">
        <x:v>RAE-E-21-HP-21</x:v>
      </x:c>
      <x:c r="E3141" s="7" t="str">
        <x:v>Hold Ledger!J667</x:v>
      </x:c>
      <x:c r="F3141" s="7" t="str">
        <x:f>'Hold Ledger'!J667</x:f>
        <x:v>OPEN</x:v>
      </x:c>
    </x:row>
    <x:row r="3142">
      <x:c r="B3142" s="7" t="str">
        <x:v>PHY-3136</x:v>
      </x:c>
      <x:c r="C3142" s="7" t="str">
        <x:v>hold record</x:v>
      </x:c>
      <x:c r="D3142" s="7" t="str">
        <x:v>RAE-E-21-HP-22</x:v>
      </x:c>
      <x:c r="E3142" s="7" t="str">
        <x:v>Hold Ledger!J668</x:v>
      </x:c>
      <x:c r="F3142" s="7" t="str">
        <x:f>'Hold Ledger'!J668</x:f>
        <x:v>OPEN</x:v>
      </x:c>
    </x:row>
    <x:row r="3143">
      <x:c r="B3143" s="7" t="str">
        <x:v>PHY-3137</x:v>
      </x:c>
      <x:c r="C3143" s="7" t="str">
        <x:v>hold record</x:v>
      </x:c>
      <x:c r="D3143" s="7" t="str">
        <x:v>RAE-E-21-HP-23</x:v>
      </x:c>
      <x:c r="E3143" s="7" t="str">
        <x:v>Hold Ledger!J669</x:v>
      </x:c>
      <x:c r="F3143" s="7" t="str">
        <x:f>'Hold Ledger'!J669</x:f>
        <x:v>OPEN</x:v>
      </x:c>
    </x:row>
    <x:row r="3144">
      <x:c r="B3144" s="7" t="str">
        <x:v>PHY-3138</x:v>
      </x:c>
      <x:c r="C3144" s="7" t="str">
        <x:v>hold record</x:v>
      </x:c>
      <x:c r="D3144" s="7" t="str">
        <x:v>RAE-E-21-HP-24</x:v>
      </x:c>
      <x:c r="E3144" s="7" t="str">
        <x:v>Hold Ledger!J670</x:v>
      </x:c>
      <x:c r="F3144" s="7" t="str">
        <x:f>'Hold Ledger'!J670</x:f>
        <x:v>OPEN</x:v>
      </x:c>
    </x:row>
    <x:row r="3145">
      <x:c r="B3145" s="7" t="str">
        <x:v>PHY-3139</x:v>
      </x:c>
      <x:c r="C3145" s="7" t="str">
        <x:v>hold record</x:v>
      </x:c>
      <x:c r="D3145" s="7" t="str">
        <x:v>RAE-E-21-HP-25</x:v>
      </x:c>
      <x:c r="E3145" s="7" t="str">
        <x:v>Hold Ledger!J671</x:v>
      </x:c>
      <x:c r="F3145" s="7" t="str">
        <x:f>'Hold Ledger'!J671</x:f>
        <x:v>OPEN</x:v>
      </x:c>
    </x:row>
    <x:row r="3146">
      <x:c r="B3146" s="7" t="str">
        <x:v>PHY-3140</x:v>
      </x:c>
      <x:c r="C3146" s="7" t="str">
        <x:v>hold record</x:v>
      </x:c>
      <x:c r="D3146" s="7" t="str">
        <x:v>RAE-E-21-HP-26</x:v>
      </x:c>
      <x:c r="E3146" s="7" t="str">
        <x:v>Hold Ledger!J672</x:v>
      </x:c>
      <x:c r="F3146" s="7" t="str">
        <x:f>'Hold Ledger'!J672</x:f>
        <x:v>OPEN</x:v>
      </x:c>
    </x:row>
    <x:row r="3147">
      <x:c r="B3147" s="7" t="str">
        <x:v>PHY-3141</x:v>
      </x:c>
      <x:c r="C3147" s="7" t="str">
        <x:v>hold record</x:v>
      </x:c>
      <x:c r="D3147" s="7" t="str">
        <x:v>RAE-E-21-HP-27</x:v>
      </x:c>
      <x:c r="E3147" s="7" t="str">
        <x:v>Hold Ledger!J673</x:v>
      </x:c>
      <x:c r="F3147" s="7" t="str">
        <x:f>'Hold Ledger'!J673</x:f>
        <x:v>OPEN</x:v>
      </x:c>
    </x:row>
    <x:row r="3148">
      <x:c r="B3148" s="7" t="str">
        <x:v>PHY-3142</x:v>
      </x:c>
      <x:c r="C3148" s="7" t="str">
        <x:v>hold record</x:v>
      </x:c>
      <x:c r="D3148" s="7" t="str">
        <x:v>RAE-E-21-HP-28</x:v>
      </x:c>
      <x:c r="E3148" s="7" t="str">
        <x:v>Hold Ledger!J674</x:v>
      </x:c>
      <x:c r="F3148" s="7" t="str">
        <x:f>'Hold Ledger'!J674</x:f>
        <x:v>OPEN</x:v>
      </x:c>
    </x:row>
    <x:row r="3149">
      <x:c r="B3149" s="7" t="str">
        <x:v>PHY-3143</x:v>
      </x:c>
      <x:c r="C3149" s="7" t="str">
        <x:v>hold record</x:v>
      </x:c>
      <x:c r="D3149" s="7" t="str">
        <x:v>RAE-E-21-HP-29</x:v>
      </x:c>
      <x:c r="E3149" s="7" t="str">
        <x:v>Hold Ledger!J675</x:v>
      </x:c>
      <x:c r="F3149" s="7" t="str">
        <x:f>'Hold Ledger'!J675</x:f>
        <x:v>OPEN</x:v>
      </x:c>
    </x:row>
    <x:row r="3150">
      <x:c r="B3150" s="7" t="str">
        <x:v>PHY-3144</x:v>
      </x:c>
      <x:c r="C3150" s="7" t="str">
        <x:v>hold record</x:v>
      </x:c>
      <x:c r="D3150" s="7" t="str">
        <x:v>RAE-E-21-HP-30</x:v>
      </x:c>
      <x:c r="E3150" s="7" t="str">
        <x:v>Hold Ledger!J676</x:v>
      </x:c>
      <x:c r="F3150" s="7" t="str">
        <x:f>'Hold Ledger'!J676</x:f>
        <x:v>OPEN</x:v>
      </x:c>
    </x:row>
    <x:row r="3151">
      <x:c r="B3151" s="7" t="str">
        <x:v>PHY-3145</x:v>
      </x:c>
      <x:c r="C3151" s="7" t="str">
        <x:v>hold record</x:v>
      </x:c>
      <x:c r="D3151" s="7" t="str">
        <x:v>RAE-E-21-HP-31</x:v>
      </x:c>
      <x:c r="E3151" s="7" t="str">
        <x:v>Hold Ledger!J677</x:v>
      </x:c>
      <x:c r="F3151" s="7" t="str">
        <x:f>'Hold Ledger'!J677</x:f>
        <x:v>OPEN</x:v>
      </x:c>
    </x:row>
    <x:row r="3152">
      <x:c r="B3152" s="7" t="str">
        <x:v>PHY-3146</x:v>
      </x:c>
      <x:c r="C3152" s="7" t="str">
        <x:v>hold record</x:v>
      </x:c>
      <x:c r="D3152" s="7" t="str">
        <x:v>RAE-E-21-HP-32</x:v>
      </x:c>
      <x:c r="E3152" s="7" t="str">
        <x:v>Hold Ledger!J678</x:v>
      </x:c>
      <x:c r="F3152" s="7" t="str">
        <x:f>'Hold Ledger'!J678</x:f>
        <x:v>OPEN</x:v>
      </x:c>
    </x:row>
    <x:row r="3153">
      <x:c r="B3153" s="7" t="str">
        <x:v>PHY-3147</x:v>
      </x:c>
      <x:c r="C3153" s="7" t="str">
        <x:v>hold record</x:v>
      </x:c>
      <x:c r="D3153" s="7" t="str">
        <x:v>RAE-E-22-HP-01</x:v>
      </x:c>
      <x:c r="E3153" s="7" t="str">
        <x:v>Hold Ledger!J679</x:v>
      </x:c>
      <x:c r="F3153" s="7" t="str">
        <x:f>'Hold Ledger'!J679</x:f>
        <x:v>OPEN</x:v>
      </x:c>
    </x:row>
    <x:row r="3154">
      <x:c r="B3154" s="7" t="str">
        <x:v>PHY-3148</x:v>
      </x:c>
      <x:c r="C3154" s="7" t="str">
        <x:v>hold record</x:v>
      </x:c>
      <x:c r="D3154" s="7" t="str">
        <x:v>RAE-E-22-HP-02</x:v>
      </x:c>
      <x:c r="E3154" s="7" t="str">
        <x:v>Hold Ledger!J680</x:v>
      </x:c>
      <x:c r="F3154" s="7" t="str">
        <x:f>'Hold Ledger'!J680</x:f>
        <x:v>OPEN</x:v>
      </x:c>
    </x:row>
    <x:row r="3155">
      <x:c r="B3155" s="7" t="str">
        <x:v>PHY-3149</x:v>
      </x:c>
      <x:c r="C3155" s="7" t="str">
        <x:v>hold record</x:v>
      </x:c>
      <x:c r="D3155" s="7" t="str">
        <x:v>RAE-E-22-HP-03</x:v>
      </x:c>
      <x:c r="E3155" s="7" t="str">
        <x:v>Hold Ledger!J681</x:v>
      </x:c>
      <x:c r="F3155" s="7" t="str">
        <x:f>'Hold Ledger'!J681</x:f>
        <x:v>OPEN</x:v>
      </x:c>
    </x:row>
    <x:row r="3156">
      <x:c r="B3156" s="7" t="str">
        <x:v>PHY-3150</x:v>
      </x:c>
      <x:c r="C3156" s="7" t="str">
        <x:v>hold record</x:v>
      </x:c>
      <x:c r="D3156" s="7" t="str">
        <x:v>RAE-E-22-HP-04</x:v>
      </x:c>
      <x:c r="E3156" s="7" t="str">
        <x:v>Hold Ledger!J682</x:v>
      </x:c>
      <x:c r="F3156" s="7" t="str">
        <x:f>'Hold Ledger'!J682</x:f>
        <x:v>OPEN</x:v>
      </x:c>
    </x:row>
    <x:row r="3157">
      <x:c r="B3157" s="7" t="str">
        <x:v>PHY-3151</x:v>
      </x:c>
      <x:c r="C3157" s="7" t="str">
        <x:v>hold record</x:v>
      </x:c>
      <x:c r="D3157" s="7" t="str">
        <x:v>RAE-E-22-HP-05</x:v>
      </x:c>
      <x:c r="E3157" s="7" t="str">
        <x:v>Hold Ledger!J683</x:v>
      </x:c>
      <x:c r="F3157" s="7" t="str">
        <x:f>'Hold Ledger'!J683</x:f>
        <x:v>OPEN</x:v>
      </x:c>
    </x:row>
    <x:row r="3158">
      <x:c r="B3158" s="7" t="str">
        <x:v>PHY-3152</x:v>
      </x:c>
      <x:c r="C3158" s="7" t="str">
        <x:v>hold record</x:v>
      </x:c>
      <x:c r="D3158" s="7" t="str">
        <x:v>RAE-E-22-HP-06</x:v>
      </x:c>
      <x:c r="E3158" s="7" t="str">
        <x:v>Hold Ledger!J684</x:v>
      </x:c>
      <x:c r="F3158" s="7" t="str">
        <x:f>'Hold Ledger'!J684</x:f>
        <x:v>OPEN</x:v>
      </x:c>
    </x:row>
    <x:row r="3159">
      <x:c r="B3159" s="7" t="str">
        <x:v>PHY-3153</x:v>
      </x:c>
      <x:c r="C3159" s="7" t="str">
        <x:v>hold record</x:v>
      </x:c>
      <x:c r="D3159" s="7" t="str">
        <x:v>RAE-E-22-HP-07</x:v>
      </x:c>
      <x:c r="E3159" s="7" t="str">
        <x:v>Hold Ledger!J685</x:v>
      </x:c>
      <x:c r="F3159" s="7" t="str">
        <x:f>'Hold Ledger'!J685</x:f>
        <x:v>OPEN</x:v>
      </x:c>
    </x:row>
    <x:row r="3160">
      <x:c r="B3160" s="7" t="str">
        <x:v>PHY-3154</x:v>
      </x:c>
      <x:c r="C3160" s="7" t="str">
        <x:v>hold record</x:v>
      </x:c>
      <x:c r="D3160" s="7" t="str">
        <x:v>RAE-E-22-HP-08</x:v>
      </x:c>
      <x:c r="E3160" s="7" t="str">
        <x:v>Hold Ledger!J686</x:v>
      </x:c>
      <x:c r="F3160" s="7" t="str">
        <x:f>'Hold Ledger'!J686</x:f>
        <x:v>OPEN</x:v>
      </x:c>
    </x:row>
    <x:row r="3161">
      <x:c r="B3161" s="7" t="str">
        <x:v>PHY-3155</x:v>
      </x:c>
      <x:c r="C3161" s="7" t="str">
        <x:v>hold record</x:v>
      </x:c>
      <x:c r="D3161" s="7" t="str">
        <x:v>RAE-E-22-HP-09</x:v>
      </x:c>
      <x:c r="E3161" s="7" t="str">
        <x:v>Hold Ledger!J687</x:v>
      </x:c>
      <x:c r="F3161" s="7" t="str">
        <x:f>'Hold Ledger'!J687</x:f>
        <x:v>OPEN</x:v>
      </x:c>
    </x:row>
    <x:row r="3162">
      <x:c r="B3162" s="7" t="str">
        <x:v>PHY-3156</x:v>
      </x:c>
      <x:c r="C3162" s="7" t="str">
        <x:v>hold record</x:v>
      </x:c>
      <x:c r="D3162" s="7" t="str">
        <x:v>RAE-E-22-HP-10</x:v>
      </x:c>
      <x:c r="E3162" s="7" t="str">
        <x:v>Hold Ledger!J688</x:v>
      </x:c>
      <x:c r="F3162" s="7" t="str">
        <x:f>'Hold Ledger'!J688</x:f>
        <x:v>OPEN</x:v>
      </x:c>
    </x:row>
    <x:row r="3163">
      <x:c r="B3163" s="7" t="str">
        <x:v>PHY-3157</x:v>
      </x:c>
      <x:c r="C3163" s="7" t="str">
        <x:v>hold record</x:v>
      </x:c>
      <x:c r="D3163" s="7" t="str">
        <x:v>RAE-E-22-HP-11</x:v>
      </x:c>
      <x:c r="E3163" s="7" t="str">
        <x:v>Hold Ledger!J689</x:v>
      </x:c>
      <x:c r="F3163" s="7" t="str">
        <x:f>'Hold Ledger'!J689</x:f>
        <x:v>OPEN</x:v>
      </x:c>
    </x:row>
    <x:row r="3164">
      <x:c r="B3164" s="7" t="str">
        <x:v>PHY-3158</x:v>
      </x:c>
      <x:c r="C3164" s="7" t="str">
        <x:v>hold record</x:v>
      </x:c>
      <x:c r="D3164" s="7" t="str">
        <x:v>RAE-E-22-HP-12</x:v>
      </x:c>
      <x:c r="E3164" s="7" t="str">
        <x:v>Hold Ledger!J690</x:v>
      </x:c>
      <x:c r="F3164" s="7" t="str">
        <x:f>'Hold Ledger'!J690</x:f>
        <x:v>OPEN</x:v>
      </x:c>
    </x:row>
    <x:row r="3165">
      <x:c r="B3165" s="7" t="str">
        <x:v>PHY-3159</x:v>
      </x:c>
      <x:c r="C3165" s="7" t="str">
        <x:v>hold record</x:v>
      </x:c>
      <x:c r="D3165" s="7" t="str">
        <x:v>RAE-E-22-HP-13</x:v>
      </x:c>
      <x:c r="E3165" s="7" t="str">
        <x:v>Hold Ledger!J691</x:v>
      </x:c>
      <x:c r="F3165" s="7" t="str">
        <x:f>'Hold Ledger'!J691</x:f>
        <x:v>OPEN</x:v>
      </x:c>
    </x:row>
    <x:row r="3166">
      <x:c r="B3166" s="7" t="str">
        <x:v>PHY-3160</x:v>
      </x:c>
      <x:c r="C3166" s="7" t="str">
        <x:v>hold record</x:v>
      </x:c>
      <x:c r="D3166" s="7" t="str">
        <x:v>RAE-E-22-HP-14</x:v>
      </x:c>
      <x:c r="E3166" s="7" t="str">
        <x:v>Hold Ledger!J692</x:v>
      </x:c>
      <x:c r="F3166" s="7" t="str">
        <x:f>'Hold Ledger'!J692</x:f>
        <x:v>OPEN</x:v>
      </x:c>
    </x:row>
    <x:row r="3167">
      <x:c r="B3167" s="7" t="str">
        <x:v>PHY-3161</x:v>
      </x:c>
      <x:c r="C3167" s="7" t="str">
        <x:v>hold record</x:v>
      </x:c>
      <x:c r="D3167" s="7" t="str">
        <x:v>RAE-E-22-HP-15</x:v>
      </x:c>
      <x:c r="E3167" s="7" t="str">
        <x:v>Hold Ledger!J693</x:v>
      </x:c>
      <x:c r="F3167" s="7" t="str">
        <x:f>'Hold Ledger'!J693</x:f>
        <x:v>OPEN</x:v>
      </x:c>
    </x:row>
    <x:row r="3168">
      <x:c r="B3168" s="7" t="str">
        <x:v>PHY-3162</x:v>
      </x:c>
      <x:c r="C3168" s="7" t="str">
        <x:v>hold record</x:v>
      </x:c>
      <x:c r="D3168" s="7" t="str">
        <x:v>RAE-E-22-HP-16</x:v>
      </x:c>
      <x:c r="E3168" s="7" t="str">
        <x:v>Hold Ledger!J694</x:v>
      </x:c>
      <x:c r="F3168" s="7" t="str">
        <x:f>'Hold Ledger'!J694</x:f>
        <x:v>OPEN</x:v>
      </x:c>
    </x:row>
    <x:row r="3169">
      <x:c r="B3169" s="7" t="str">
        <x:v>PHY-3163</x:v>
      </x:c>
      <x:c r="C3169" s="7" t="str">
        <x:v>hold record</x:v>
      </x:c>
      <x:c r="D3169" s="7" t="str">
        <x:v>RAE-E-22-HP-17</x:v>
      </x:c>
      <x:c r="E3169" s="7" t="str">
        <x:v>Hold Ledger!J695</x:v>
      </x:c>
      <x:c r="F3169" s="7" t="str">
        <x:f>'Hold Ledger'!J695</x:f>
        <x:v>OPEN</x:v>
      </x:c>
    </x:row>
    <x:row r="3170">
      <x:c r="B3170" s="7" t="str">
        <x:v>PHY-3164</x:v>
      </x:c>
      <x:c r="C3170" s="7" t="str">
        <x:v>hold record</x:v>
      </x:c>
      <x:c r="D3170" s="7" t="str">
        <x:v>RAE-E-22-HP-18</x:v>
      </x:c>
      <x:c r="E3170" s="7" t="str">
        <x:v>Hold Ledger!J696</x:v>
      </x:c>
      <x:c r="F3170" s="7" t="str">
        <x:f>'Hold Ledger'!J696</x:f>
        <x:v>OPEN</x:v>
      </x:c>
    </x:row>
    <x:row r="3171">
      <x:c r="B3171" s="7" t="str">
        <x:v>PHY-3165</x:v>
      </x:c>
      <x:c r="C3171" s="7" t="str">
        <x:v>hold record</x:v>
      </x:c>
      <x:c r="D3171" s="7" t="str">
        <x:v>RAE-E-22-HP-19</x:v>
      </x:c>
      <x:c r="E3171" s="7" t="str">
        <x:v>Hold Ledger!J697</x:v>
      </x:c>
      <x:c r="F3171" s="7" t="str">
        <x:f>'Hold Ledger'!J697</x:f>
        <x:v>OPEN</x:v>
      </x:c>
    </x:row>
    <x:row r="3172">
      <x:c r="B3172" s="7" t="str">
        <x:v>PHY-3166</x:v>
      </x:c>
      <x:c r="C3172" s="7" t="str">
        <x:v>hold record</x:v>
      </x:c>
      <x:c r="D3172" s="7" t="str">
        <x:v>RAE-E-22-HP-20</x:v>
      </x:c>
      <x:c r="E3172" s="7" t="str">
        <x:v>Hold Ledger!J698</x:v>
      </x:c>
      <x:c r="F3172" s="7" t="str">
        <x:f>'Hold Ledger'!J698</x:f>
        <x:v>OPEN</x:v>
      </x:c>
    </x:row>
    <x:row r="3173">
      <x:c r="B3173" s="7" t="str">
        <x:v>PHY-3167</x:v>
      </x:c>
      <x:c r="C3173" s="7" t="str">
        <x:v>hold record</x:v>
      </x:c>
      <x:c r="D3173" s="7" t="str">
        <x:v>RAE-E-22-HP-21</x:v>
      </x:c>
      <x:c r="E3173" s="7" t="str">
        <x:v>Hold Ledger!J699</x:v>
      </x:c>
      <x:c r="F3173" s="7" t="str">
        <x:f>'Hold Ledger'!J699</x:f>
        <x:v>OPEN</x:v>
      </x:c>
    </x:row>
    <x:row r="3174">
      <x:c r="B3174" s="7" t="str">
        <x:v>PHY-3168</x:v>
      </x:c>
      <x:c r="C3174" s="7" t="str">
        <x:v>hold record</x:v>
      </x:c>
      <x:c r="D3174" s="7" t="str">
        <x:v>RAE-E-22-HP-22</x:v>
      </x:c>
      <x:c r="E3174" s="7" t="str">
        <x:v>Hold Ledger!J700</x:v>
      </x:c>
      <x:c r="F3174" s="7" t="str">
        <x:f>'Hold Ledger'!J700</x:f>
        <x:v>OPEN</x:v>
      </x:c>
    </x:row>
    <x:row r="3175">
      <x:c r="B3175" s="7" t="str">
        <x:v>PHY-3169</x:v>
      </x:c>
      <x:c r="C3175" s="7" t="str">
        <x:v>hold record</x:v>
      </x:c>
      <x:c r="D3175" s="7" t="str">
        <x:v>RAE-E-22-HP-23</x:v>
      </x:c>
      <x:c r="E3175" s="7" t="str">
        <x:v>Hold Ledger!J701</x:v>
      </x:c>
      <x:c r="F3175" s="7" t="str">
        <x:f>'Hold Ledger'!J701</x:f>
        <x:v>OPEN</x:v>
      </x:c>
    </x:row>
    <x:row r="3176">
      <x:c r="B3176" s="7" t="str">
        <x:v>PHY-3170</x:v>
      </x:c>
      <x:c r="C3176" s="7" t="str">
        <x:v>hold record</x:v>
      </x:c>
      <x:c r="D3176" s="7" t="str">
        <x:v>RAE-E-22-HP-24</x:v>
      </x:c>
      <x:c r="E3176" s="7" t="str">
        <x:v>Hold Ledger!J702</x:v>
      </x:c>
      <x:c r="F3176" s="7" t="str">
        <x:f>'Hold Ledger'!J702</x:f>
        <x:v>OPEN</x:v>
      </x:c>
    </x:row>
    <x:row r="3177">
      <x:c r="B3177" s="7" t="str">
        <x:v>PHY-3171</x:v>
      </x:c>
      <x:c r="C3177" s="7" t="str">
        <x:v>hold record</x:v>
      </x:c>
      <x:c r="D3177" s="7" t="str">
        <x:v>RAE-E-22-HP-25</x:v>
      </x:c>
      <x:c r="E3177" s="7" t="str">
        <x:v>Hold Ledger!J703</x:v>
      </x:c>
      <x:c r="F3177" s="7" t="str">
        <x:f>'Hold Ledger'!J703</x:f>
        <x:v>OPEN</x:v>
      </x:c>
    </x:row>
    <x:row r="3178">
      <x:c r="B3178" s="7" t="str">
        <x:v>PHY-3172</x:v>
      </x:c>
      <x:c r="C3178" s="7" t="str">
        <x:v>hold record</x:v>
      </x:c>
      <x:c r="D3178" s="7" t="str">
        <x:v>RAE-E-22-HP-26</x:v>
      </x:c>
      <x:c r="E3178" s="7" t="str">
        <x:v>Hold Ledger!J704</x:v>
      </x:c>
      <x:c r="F3178" s="7" t="str">
        <x:f>'Hold Ledger'!J704</x:f>
        <x:v>OPEN</x:v>
      </x:c>
    </x:row>
    <x:row r="3179">
      <x:c r="B3179" s="7" t="str">
        <x:v>PHY-3173</x:v>
      </x:c>
      <x:c r="C3179" s="7" t="str">
        <x:v>hold record</x:v>
      </x:c>
      <x:c r="D3179" s="7" t="str">
        <x:v>RAE-E-22-HP-27</x:v>
      </x:c>
      <x:c r="E3179" s="7" t="str">
        <x:v>Hold Ledger!J705</x:v>
      </x:c>
      <x:c r="F3179" s="7" t="str">
        <x:f>'Hold Ledger'!J705</x:f>
        <x:v>OPEN</x:v>
      </x:c>
    </x:row>
    <x:row r="3180">
      <x:c r="B3180" s="7" t="str">
        <x:v>PHY-3174</x:v>
      </x:c>
      <x:c r="C3180" s="7" t="str">
        <x:v>hold record</x:v>
      </x:c>
      <x:c r="D3180" s="7" t="str">
        <x:v>RAE-E-22-HP-28</x:v>
      </x:c>
      <x:c r="E3180" s="7" t="str">
        <x:v>Hold Ledger!J706</x:v>
      </x:c>
      <x:c r="F3180" s="7" t="str">
        <x:f>'Hold Ledger'!J706</x:f>
        <x:v>OPEN</x:v>
      </x:c>
    </x:row>
    <x:row r="3181">
      <x:c r="B3181" s="7" t="str">
        <x:v>PHY-3175</x:v>
      </x:c>
      <x:c r="C3181" s="7" t="str">
        <x:v>hold record</x:v>
      </x:c>
      <x:c r="D3181" s="7" t="str">
        <x:v>RAE-E-22-HP-29</x:v>
      </x:c>
      <x:c r="E3181" s="7" t="str">
        <x:v>Hold Ledger!J707</x:v>
      </x:c>
      <x:c r="F3181" s="7" t="str">
        <x:f>'Hold Ledger'!J707</x:f>
        <x:v>OPEN</x:v>
      </x:c>
    </x:row>
    <x:row r="3182">
      <x:c r="B3182" s="7" t="str">
        <x:v>PHY-3176</x:v>
      </x:c>
      <x:c r="C3182" s="7" t="str">
        <x:v>hold record</x:v>
      </x:c>
      <x:c r="D3182" s="7" t="str">
        <x:v>RAE-E-22-HP-30</x:v>
      </x:c>
      <x:c r="E3182" s="7" t="str">
        <x:v>Hold Ledger!J708</x:v>
      </x:c>
      <x:c r="F3182" s="7" t="str">
        <x:f>'Hold Ledger'!J708</x:f>
        <x:v>OPEN</x:v>
      </x:c>
    </x:row>
    <x:row r="3183">
      <x:c r="B3183" s="7" t="str">
        <x:v>PHY-3177</x:v>
      </x:c>
      <x:c r="C3183" s="7" t="str">
        <x:v>hold record</x:v>
      </x:c>
      <x:c r="D3183" s="7" t="str">
        <x:v>RAE-E-22-HP-31</x:v>
      </x:c>
      <x:c r="E3183" s="7" t="str">
        <x:v>Hold Ledger!J709</x:v>
      </x:c>
      <x:c r="F3183" s="7" t="str">
        <x:f>'Hold Ledger'!J709</x:f>
        <x:v>OPEN</x:v>
      </x:c>
    </x:row>
    <x:row r="3184">
      <x:c r="B3184" s="7" t="str">
        <x:v>PHY-3178</x:v>
      </x:c>
      <x:c r="C3184" s="7" t="str">
        <x:v>hold record</x:v>
      </x:c>
      <x:c r="D3184" s="7" t="str">
        <x:v>RAE-E-22-HP-32</x:v>
      </x:c>
      <x:c r="E3184" s="7" t="str">
        <x:v>Hold Ledger!J710</x:v>
      </x:c>
      <x:c r="F3184" s="7" t="str">
        <x:f>'Hold Ledger'!J710</x:f>
        <x:v>OPEN</x:v>
      </x:c>
    </x:row>
    <x:row r="3185">
      <x:c r="B3185" s="7" t="str">
        <x:v>PHY-3179</x:v>
      </x:c>
      <x:c r="C3185" s="7" t="str">
        <x:v>hold record</x:v>
      </x:c>
      <x:c r="D3185" s="7" t="str">
        <x:v>RAE-E-23-HP-01</x:v>
      </x:c>
      <x:c r="E3185" s="7" t="str">
        <x:v>Hold Ledger!J711</x:v>
      </x:c>
      <x:c r="F3185" s="7" t="str">
        <x:f>'Hold Ledger'!J711</x:f>
        <x:v>OPEN</x:v>
      </x:c>
    </x:row>
    <x:row r="3186">
      <x:c r="B3186" s="7" t="str">
        <x:v>PHY-3180</x:v>
      </x:c>
      <x:c r="C3186" s="7" t="str">
        <x:v>hold record</x:v>
      </x:c>
      <x:c r="D3186" s="7" t="str">
        <x:v>RAE-E-23-HP-02</x:v>
      </x:c>
      <x:c r="E3186" s="7" t="str">
        <x:v>Hold Ledger!J712</x:v>
      </x:c>
      <x:c r="F3186" s="7" t="str">
        <x:f>'Hold Ledger'!J712</x:f>
        <x:v>OPEN</x:v>
      </x:c>
    </x:row>
    <x:row r="3187">
      <x:c r="B3187" s="7" t="str">
        <x:v>PHY-3181</x:v>
      </x:c>
      <x:c r="C3187" s="7" t="str">
        <x:v>hold record</x:v>
      </x:c>
      <x:c r="D3187" s="7" t="str">
        <x:v>RAE-E-23-HP-03</x:v>
      </x:c>
      <x:c r="E3187" s="7" t="str">
        <x:v>Hold Ledger!J713</x:v>
      </x:c>
      <x:c r="F3187" s="7" t="str">
        <x:f>'Hold Ledger'!J713</x:f>
        <x:v>OPEN</x:v>
      </x:c>
    </x:row>
    <x:row r="3188">
      <x:c r="B3188" s="7" t="str">
        <x:v>PHY-3182</x:v>
      </x:c>
      <x:c r="C3188" s="7" t="str">
        <x:v>hold record</x:v>
      </x:c>
      <x:c r="D3188" s="7" t="str">
        <x:v>RAE-E-23-HP-04</x:v>
      </x:c>
      <x:c r="E3188" s="7" t="str">
        <x:v>Hold Ledger!J714</x:v>
      </x:c>
      <x:c r="F3188" s="7" t="str">
        <x:f>'Hold Ledger'!J714</x:f>
        <x:v>OPEN</x:v>
      </x:c>
    </x:row>
    <x:row r="3189">
      <x:c r="B3189" s="7" t="str">
        <x:v>PHY-3183</x:v>
      </x:c>
      <x:c r="C3189" s="7" t="str">
        <x:v>hold record</x:v>
      </x:c>
      <x:c r="D3189" s="7" t="str">
        <x:v>RAE-E-23-HP-05</x:v>
      </x:c>
      <x:c r="E3189" s="7" t="str">
        <x:v>Hold Ledger!J715</x:v>
      </x:c>
      <x:c r="F3189" s="7" t="str">
        <x:f>'Hold Ledger'!J715</x:f>
        <x:v>OPEN</x:v>
      </x:c>
    </x:row>
    <x:row r="3190">
      <x:c r="B3190" s="7" t="str">
        <x:v>PHY-3184</x:v>
      </x:c>
      <x:c r="C3190" s="7" t="str">
        <x:v>hold record</x:v>
      </x:c>
      <x:c r="D3190" s="7" t="str">
        <x:v>RAE-E-23-HP-06</x:v>
      </x:c>
      <x:c r="E3190" s="7" t="str">
        <x:v>Hold Ledger!J716</x:v>
      </x:c>
      <x:c r="F3190" s="7" t="str">
        <x:f>'Hold Ledger'!J716</x:f>
        <x:v>OPEN</x:v>
      </x:c>
    </x:row>
    <x:row r="3191">
      <x:c r="B3191" s="7" t="str">
        <x:v>PHY-3185</x:v>
      </x:c>
      <x:c r="C3191" s="7" t="str">
        <x:v>hold record</x:v>
      </x:c>
      <x:c r="D3191" s="7" t="str">
        <x:v>RAE-E-23-HP-07</x:v>
      </x:c>
      <x:c r="E3191" s="7" t="str">
        <x:v>Hold Ledger!J717</x:v>
      </x:c>
      <x:c r="F3191" s="7" t="str">
        <x:f>'Hold Ledger'!J717</x:f>
        <x:v>OPEN</x:v>
      </x:c>
    </x:row>
    <x:row r="3192">
      <x:c r="B3192" s="7" t="str">
        <x:v>PHY-3186</x:v>
      </x:c>
      <x:c r="C3192" s="7" t="str">
        <x:v>hold record</x:v>
      </x:c>
      <x:c r="D3192" s="7" t="str">
        <x:v>RAE-E-23-HP-08</x:v>
      </x:c>
      <x:c r="E3192" s="7" t="str">
        <x:v>Hold Ledger!J718</x:v>
      </x:c>
      <x:c r="F3192" s="7" t="str">
        <x:f>'Hold Ledger'!J718</x:f>
        <x:v>OPEN</x:v>
      </x:c>
    </x:row>
    <x:row r="3193">
      <x:c r="B3193" s="7" t="str">
        <x:v>PHY-3187</x:v>
      </x:c>
      <x:c r="C3193" s="7" t="str">
        <x:v>hold record</x:v>
      </x:c>
      <x:c r="D3193" s="7" t="str">
        <x:v>RAE-E-23-HP-09</x:v>
      </x:c>
      <x:c r="E3193" s="7" t="str">
        <x:v>Hold Ledger!J719</x:v>
      </x:c>
      <x:c r="F3193" s="7" t="str">
        <x:f>'Hold Ledger'!J719</x:f>
        <x:v>OPEN</x:v>
      </x:c>
    </x:row>
    <x:row r="3194">
      <x:c r="B3194" s="7" t="str">
        <x:v>PHY-3188</x:v>
      </x:c>
      <x:c r="C3194" s="7" t="str">
        <x:v>hold record</x:v>
      </x:c>
      <x:c r="D3194" s="7" t="str">
        <x:v>RAE-E-23-HP-10</x:v>
      </x:c>
      <x:c r="E3194" s="7" t="str">
        <x:v>Hold Ledger!J720</x:v>
      </x:c>
      <x:c r="F3194" s="7" t="str">
        <x:f>'Hold Ledger'!J720</x:f>
        <x:v>OPEN</x:v>
      </x:c>
    </x:row>
    <x:row r="3195">
      <x:c r="B3195" s="7" t="str">
        <x:v>PHY-3189</x:v>
      </x:c>
      <x:c r="C3195" s="7" t="str">
        <x:v>hold record</x:v>
      </x:c>
      <x:c r="D3195" s="7" t="str">
        <x:v>RAE-E-23-HP-11</x:v>
      </x:c>
      <x:c r="E3195" s="7" t="str">
        <x:v>Hold Ledger!J721</x:v>
      </x:c>
      <x:c r="F3195" s="7" t="str">
        <x:f>'Hold Ledger'!J721</x:f>
        <x:v>OPEN</x:v>
      </x:c>
    </x:row>
    <x:row r="3196">
      <x:c r="B3196" s="7" t="str">
        <x:v>PHY-3190</x:v>
      </x:c>
      <x:c r="C3196" s="7" t="str">
        <x:v>hold record</x:v>
      </x:c>
      <x:c r="D3196" s="7" t="str">
        <x:v>RAE-E-23-HP-12</x:v>
      </x:c>
      <x:c r="E3196" s="7" t="str">
        <x:v>Hold Ledger!J722</x:v>
      </x:c>
      <x:c r="F3196" s="7" t="str">
        <x:f>'Hold Ledger'!J722</x:f>
        <x:v>OPEN</x:v>
      </x:c>
    </x:row>
    <x:row r="3197">
      <x:c r="B3197" s="7" t="str">
        <x:v>PHY-3191</x:v>
      </x:c>
      <x:c r="C3197" s="7" t="str">
        <x:v>hold record</x:v>
      </x:c>
      <x:c r="D3197" s="7" t="str">
        <x:v>RAE-E-23-HP-13</x:v>
      </x:c>
      <x:c r="E3197" s="7" t="str">
        <x:v>Hold Ledger!J723</x:v>
      </x:c>
      <x:c r="F3197" s="7" t="str">
        <x:f>'Hold Ledger'!J723</x:f>
        <x:v>OPEN</x:v>
      </x:c>
    </x:row>
    <x:row r="3198">
      <x:c r="B3198" s="7" t="str">
        <x:v>PHY-3192</x:v>
      </x:c>
      <x:c r="C3198" s="7" t="str">
        <x:v>hold record</x:v>
      </x:c>
      <x:c r="D3198" s="7" t="str">
        <x:v>RAE-E-23-HP-14</x:v>
      </x:c>
      <x:c r="E3198" s="7" t="str">
        <x:v>Hold Ledger!J724</x:v>
      </x:c>
      <x:c r="F3198" s="7" t="str">
        <x:f>'Hold Ledger'!J724</x:f>
        <x:v>OPEN</x:v>
      </x:c>
    </x:row>
    <x:row r="3199">
      <x:c r="B3199" s="7" t="str">
        <x:v>PHY-3193</x:v>
      </x:c>
      <x:c r="C3199" s="7" t="str">
        <x:v>hold record</x:v>
      </x:c>
      <x:c r="D3199" s="7" t="str">
        <x:v>RAE-E-23-HP-15</x:v>
      </x:c>
      <x:c r="E3199" s="7" t="str">
        <x:v>Hold Ledger!J725</x:v>
      </x:c>
      <x:c r="F3199" s="7" t="str">
        <x:f>'Hold Ledger'!J725</x:f>
        <x:v>OPEN</x:v>
      </x:c>
    </x:row>
    <x:row r="3200">
      <x:c r="B3200" s="7" t="str">
        <x:v>PHY-3194</x:v>
      </x:c>
      <x:c r="C3200" s="7" t="str">
        <x:v>hold record</x:v>
      </x:c>
      <x:c r="D3200" s="7" t="str">
        <x:v>RAE-E-23-HP-16</x:v>
      </x:c>
      <x:c r="E3200" s="7" t="str">
        <x:v>Hold Ledger!J726</x:v>
      </x:c>
      <x:c r="F3200" s="7" t="str">
        <x:f>'Hold Ledger'!J726</x:f>
        <x:v>OPEN</x:v>
      </x:c>
    </x:row>
    <x:row r="3201">
      <x:c r="B3201" s="7" t="str">
        <x:v>PHY-3195</x:v>
      </x:c>
      <x:c r="C3201" s="7" t="str">
        <x:v>hold record</x:v>
      </x:c>
      <x:c r="D3201" s="7" t="str">
        <x:v>RAE-E-23-HP-17</x:v>
      </x:c>
      <x:c r="E3201" s="7" t="str">
        <x:v>Hold Ledger!J727</x:v>
      </x:c>
      <x:c r="F3201" s="7" t="str">
        <x:f>'Hold Ledger'!J727</x:f>
        <x:v>OPEN</x:v>
      </x:c>
    </x:row>
    <x:row r="3202">
      <x:c r="B3202" s="7" t="str">
        <x:v>PHY-3196</x:v>
      </x:c>
      <x:c r="C3202" s="7" t="str">
        <x:v>hold record</x:v>
      </x:c>
      <x:c r="D3202" s="7" t="str">
        <x:v>RAE-E-23-HP-18</x:v>
      </x:c>
      <x:c r="E3202" s="7" t="str">
        <x:v>Hold Ledger!J728</x:v>
      </x:c>
      <x:c r="F3202" s="7" t="str">
        <x:f>'Hold Ledger'!J728</x:f>
        <x:v>OPEN</x:v>
      </x:c>
    </x:row>
    <x:row r="3203">
      <x:c r="B3203" s="7" t="str">
        <x:v>PHY-3197</x:v>
      </x:c>
      <x:c r="C3203" s="7" t="str">
        <x:v>hold record</x:v>
      </x:c>
      <x:c r="D3203" s="7" t="str">
        <x:v>RAE-E-23-HP-19</x:v>
      </x:c>
      <x:c r="E3203" s="7" t="str">
        <x:v>Hold Ledger!J729</x:v>
      </x:c>
      <x:c r="F3203" s="7" t="str">
        <x:f>'Hold Ledger'!J729</x:f>
        <x:v>OPEN</x:v>
      </x:c>
    </x:row>
    <x:row r="3204">
      <x:c r="B3204" s="7" t="str">
        <x:v>PHY-3198</x:v>
      </x:c>
      <x:c r="C3204" s="7" t="str">
        <x:v>hold record</x:v>
      </x:c>
      <x:c r="D3204" s="7" t="str">
        <x:v>RAE-E-23-HP-20</x:v>
      </x:c>
      <x:c r="E3204" s="7" t="str">
        <x:v>Hold Ledger!J730</x:v>
      </x:c>
      <x:c r="F3204" s="7" t="str">
        <x:f>'Hold Ledger'!J730</x:f>
        <x:v>OPEN</x:v>
      </x:c>
    </x:row>
    <x:row r="3205">
      <x:c r="B3205" s="7" t="str">
        <x:v>PHY-3199</x:v>
      </x:c>
      <x:c r="C3205" s="7" t="str">
        <x:v>hold record</x:v>
      </x:c>
      <x:c r="D3205" s="7" t="str">
        <x:v>RAE-E-23-HP-21</x:v>
      </x:c>
      <x:c r="E3205" s="7" t="str">
        <x:v>Hold Ledger!J731</x:v>
      </x:c>
      <x:c r="F3205" s="7" t="str">
        <x:f>'Hold Ledger'!J731</x:f>
        <x:v>OPEN</x:v>
      </x:c>
    </x:row>
    <x:row r="3206">
      <x:c r="B3206" s="7" t="str">
        <x:v>PHY-3200</x:v>
      </x:c>
      <x:c r="C3206" s="7" t="str">
        <x:v>hold record</x:v>
      </x:c>
      <x:c r="D3206" s="7" t="str">
        <x:v>RAE-E-23-HP-22</x:v>
      </x:c>
      <x:c r="E3206" s="7" t="str">
        <x:v>Hold Ledger!J732</x:v>
      </x:c>
      <x:c r="F3206" s="7" t="str">
        <x:f>'Hold Ledger'!J732</x:f>
        <x:v>OPEN</x:v>
      </x:c>
    </x:row>
    <x:row r="3207">
      <x:c r="B3207" s="7" t="str">
        <x:v>PHY-3201</x:v>
      </x:c>
      <x:c r="C3207" s="7" t="str">
        <x:v>hold record</x:v>
      </x:c>
      <x:c r="D3207" s="7" t="str">
        <x:v>RAE-E-23-HP-23</x:v>
      </x:c>
      <x:c r="E3207" s="7" t="str">
        <x:v>Hold Ledger!J733</x:v>
      </x:c>
      <x:c r="F3207" s="7" t="str">
        <x:f>'Hold Ledger'!J733</x:f>
        <x:v>OPEN</x:v>
      </x:c>
    </x:row>
    <x:row r="3208">
      <x:c r="B3208" s="7" t="str">
        <x:v>PHY-3202</x:v>
      </x:c>
      <x:c r="C3208" s="7" t="str">
        <x:v>hold record</x:v>
      </x:c>
      <x:c r="D3208" s="7" t="str">
        <x:v>RAE-E-23-HP-24</x:v>
      </x:c>
      <x:c r="E3208" s="7" t="str">
        <x:v>Hold Ledger!J734</x:v>
      </x:c>
      <x:c r="F3208" s="7" t="str">
        <x:f>'Hold Ledger'!J734</x:f>
        <x:v>OPEN</x:v>
      </x:c>
    </x:row>
    <x:row r="3209">
      <x:c r="B3209" s="7" t="str">
        <x:v>PHY-3203</x:v>
      </x:c>
      <x:c r="C3209" s="7" t="str">
        <x:v>hold record</x:v>
      </x:c>
      <x:c r="D3209" s="7" t="str">
        <x:v>RAE-E-23-HP-25</x:v>
      </x:c>
      <x:c r="E3209" s="7" t="str">
        <x:v>Hold Ledger!J735</x:v>
      </x:c>
      <x:c r="F3209" s="7" t="str">
        <x:f>'Hold Ledger'!J735</x:f>
        <x:v>OPEN</x:v>
      </x:c>
    </x:row>
    <x:row r="3210">
      <x:c r="B3210" s="7" t="str">
        <x:v>PHY-3204</x:v>
      </x:c>
      <x:c r="C3210" s="7" t="str">
        <x:v>hold record</x:v>
      </x:c>
      <x:c r="D3210" s="7" t="str">
        <x:v>RAE-E-23-HP-26</x:v>
      </x:c>
      <x:c r="E3210" s="7" t="str">
        <x:v>Hold Ledger!J736</x:v>
      </x:c>
      <x:c r="F3210" s="7" t="str">
        <x:f>'Hold Ledger'!J736</x:f>
        <x:v>OPEN</x:v>
      </x:c>
    </x:row>
    <x:row r="3211">
      <x:c r="B3211" s="7" t="str">
        <x:v>PHY-3205</x:v>
      </x:c>
      <x:c r="C3211" s="7" t="str">
        <x:v>hold record</x:v>
      </x:c>
      <x:c r="D3211" s="7" t="str">
        <x:v>RAE-E-23-HP-27</x:v>
      </x:c>
      <x:c r="E3211" s="7" t="str">
        <x:v>Hold Ledger!J737</x:v>
      </x:c>
      <x:c r="F3211" s="7" t="str">
        <x:f>'Hold Ledger'!J737</x:f>
        <x:v>OPEN</x:v>
      </x:c>
    </x:row>
    <x:row r="3212">
      <x:c r="B3212" s="7" t="str">
        <x:v>PHY-3206</x:v>
      </x:c>
      <x:c r="C3212" s="7" t="str">
        <x:v>hold record</x:v>
      </x:c>
      <x:c r="D3212" s="7" t="str">
        <x:v>RAE-E-23-HP-28</x:v>
      </x:c>
      <x:c r="E3212" s="7" t="str">
        <x:v>Hold Ledger!J738</x:v>
      </x:c>
      <x:c r="F3212" s="7" t="str">
        <x:f>'Hold Ledger'!J738</x:f>
        <x:v>OPEN</x:v>
      </x:c>
    </x:row>
    <x:row r="3213">
      <x:c r="B3213" s="7" t="str">
        <x:v>PHY-3207</x:v>
      </x:c>
      <x:c r="C3213" s="7" t="str">
        <x:v>hold record</x:v>
      </x:c>
      <x:c r="D3213" s="7" t="str">
        <x:v>RAE-E-23-HP-29</x:v>
      </x:c>
      <x:c r="E3213" s="7" t="str">
        <x:v>Hold Ledger!J739</x:v>
      </x:c>
      <x:c r="F3213" s="7" t="str">
        <x:f>'Hold Ledger'!J739</x:f>
        <x:v>OPEN</x:v>
      </x:c>
    </x:row>
    <x:row r="3214">
      <x:c r="B3214" s="7" t="str">
        <x:v>PHY-3208</x:v>
      </x:c>
      <x:c r="C3214" s="7" t="str">
        <x:v>hold record</x:v>
      </x:c>
      <x:c r="D3214" s="7" t="str">
        <x:v>RAE-E-23-HP-30</x:v>
      </x:c>
      <x:c r="E3214" s="7" t="str">
        <x:v>Hold Ledger!J740</x:v>
      </x:c>
      <x:c r="F3214" s="7" t="str">
        <x:f>'Hold Ledger'!J740</x:f>
        <x:v>OPEN</x:v>
      </x:c>
    </x:row>
    <x:row r="3215">
      <x:c r="B3215" s="7" t="str">
        <x:v>PHY-3209</x:v>
      </x:c>
      <x:c r="C3215" s="7" t="str">
        <x:v>hold record</x:v>
      </x:c>
      <x:c r="D3215" s="7" t="str">
        <x:v>RAE-E-23-HP-31</x:v>
      </x:c>
      <x:c r="E3215" s="7" t="str">
        <x:v>Hold Ledger!J741</x:v>
      </x:c>
      <x:c r="F3215" s="7" t="str">
        <x:f>'Hold Ledger'!J741</x:f>
        <x:v>OPEN</x:v>
      </x:c>
    </x:row>
    <x:row r="3216">
      <x:c r="B3216" s="7" t="str">
        <x:v>PHY-3210</x:v>
      </x:c>
      <x:c r="C3216" s="7" t="str">
        <x:v>hold record</x:v>
      </x:c>
      <x:c r="D3216" s="7" t="str">
        <x:v>RAE-E-23-HP-32</x:v>
      </x:c>
      <x:c r="E3216" s="7" t="str">
        <x:v>Hold Ledger!J742</x:v>
      </x:c>
      <x:c r="F3216" s="7" t="str">
        <x:f>'Hold Ledger'!J742</x:f>
        <x:v>OPEN</x:v>
      </x:c>
    </x:row>
    <x:row r="3217">
      <x:c r="B3217" s="7" t="str">
        <x:v>PHY-3211</x:v>
      </x:c>
      <x:c r="C3217" s="7" t="str">
        <x:v>hold record</x:v>
      </x:c>
      <x:c r="D3217" s="7" t="str">
        <x:v>RAE-E-24-HP-01</x:v>
      </x:c>
      <x:c r="E3217" s="7" t="str">
        <x:v>Hold Ledger!J743</x:v>
      </x:c>
      <x:c r="F3217" s="7" t="str">
        <x:f>'Hold Ledger'!J743</x:f>
        <x:v>OPEN</x:v>
      </x:c>
    </x:row>
    <x:row r="3218">
      <x:c r="B3218" s="7" t="str">
        <x:v>PHY-3212</x:v>
      </x:c>
      <x:c r="C3218" s="7" t="str">
        <x:v>hold record</x:v>
      </x:c>
      <x:c r="D3218" s="7" t="str">
        <x:v>RAE-E-24-HP-02</x:v>
      </x:c>
      <x:c r="E3218" s="7" t="str">
        <x:v>Hold Ledger!J744</x:v>
      </x:c>
      <x:c r="F3218" s="7" t="str">
        <x:f>'Hold Ledger'!J744</x:f>
        <x:v>OPEN</x:v>
      </x:c>
    </x:row>
    <x:row r="3219">
      <x:c r="B3219" s="7" t="str">
        <x:v>PHY-3213</x:v>
      </x:c>
      <x:c r="C3219" s="7" t="str">
        <x:v>hold record</x:v>
      </x:c>
      <x:c r="D3219" s="7" t="str">
        <x:v>RAE-E-24-HP-03</x:v>
      </x:c>
      <x:c r="E3219" s="7" t="str">
        <x:v>Hold Ledger!J745</x:v>
      </x:c>
      <x:c r="F3219" s="7" t="str">
        <x:f>'Hold Ledger'!J745</x:f>
        <x:v>OPEN</x:v>
      </x:c>
    </x:row>
    <x:row r="3220">
      <x:c r="B3220" s="7" t="str">
        <x:v>PHY-3214</x:v>
      </x:c>
      <x:c r="C3220" s="7" t="str">
        <x:v>hold record</x:v>
      </x:c>
      <x:c r="D3220" s="7" t="str">
        <x:v>RAE-E-24-HP-04</x:v>
      </x:c>
      <x:c r="E3220" s="7" t="str">
        <x:v>Hold Ledger!J746</x:v>
      </x:c>
      <x:c r="F3220" s="7" t="str">
        <x:f>'Hold Ledger'!J746</x:f>
        <x:v>OPEN</x:v>
      </x:c>
    </x:row>
    <x:row r="3221">
      <x:c r="B3221" s="7" t="str">
        <x:v>PHY-3215</x:v>
      </x:c>
      <x:c r="C3221" s="7" t="str">
        <x:v>hold record</x:v>
      </x:c>
      <x:c r="D3221" s="7" t="str">
        <x:v>RAE-E-24-HP-05</x:v>
      </x:c>
      <x:c r="E3221" s="7" t="str">
        <x:v>Hold Ledger!J747</x:v>
      </x:c>
      <x:c r="F3221" s="7" t="str">
        <x:f>'Hold Ledger'!J747</x:f>
        <x:v>OPEN</x:v>
      </x:c>
    </x:row>
    <x:row r="3222">
      <x:c r="B3222" s="7" t="str">
        <x:v>PHY-3216</x:v>
      </x:c>
      <x:c r="C3222" s="7" t="str">
        <x:v>hold record</x:v>
      </x:c>
      <x:c r="D3222" s="7" t="str">
        <x:v>RAE-E-24-HP-06</x:v>
      </x:c>
      <x:c r="E3222" s="7" t="str">
        <x:v>Hold Ledger!J748</x:v>
      </x:c>
      <x:c r="F3222" s="7" t="str">
        <x:f>'Hold Ledger'!J748</x:f>
        <x:v>OPEN</x:v>
      </x:c>
    </x:row>
    <x:row r="3223">
      <x:c r="B3223" s="7" t="str">
        <x:v>PHY-3217</x:v>
      </x:c>
      <x:c r="C3223" s="7" t="str">
        <x:v>hold record</x:v>
      </x:c>
      <x:c r="D3223" s="7" t="str">
        <x:v>RAE-E-24-HP-07</x:v>
      </x:c>
      <x:c r="E3223" s="7" t="str">
        <x:v>Hold Ledger!J749</x:v>
      </x:c>
      <x:c r="F3223" s="7" t="str">
        <x:f>'Hold Ledger'!J749</x:f>
        <x:v>OPEN</x:v>
      </x:c>
    </x:row>
    <x:row r="3224">
      <x:c r="B3224" s="7" t="str">
        <x:v>PHY-3218</x:v>
      </x:c>
      <x:c r="C3224" s="7" t="str">
        <x:v>hold record</x:v>
      </x:c>
      <x:c r="D3224" s="7" t="str">
        <x:v>RAE-E-24-HP-08</x:v>
      </x:c>
      <x:c r="E3224" s="7" t="str">
        <x:v>Hold Ledger!J750</x:v>
      </x:c>
      <x:c r="F3224" s="7" t="str">
        <x:f>'Hold Ledger'!J750</x:f>
        <x:v>OPEN</x:v>
      </x:c>
    </x:row>
    <x:row r="3225">
      <x:c r="B3225" s="7" t="str">
        <x:v>PHY-3219</x:v>
      </x:c>
      <x:c r="C3225" s="7" t="str">
        <x:v>hold record</x:v>
      </x:c>
      <x:c r="D3225" s="7" t="str">
        <x:v>RAE-E-24-HP-09</x:v>
      </x:c>
      <x:c r="E3225" s="7" t="str">
        <x:v>Hold Ledger!J751</x:v>
      </x:c>
      <x:c r="F3225" s="7" t="str">
        <x:f>'Hold Ledger'!J751</x:f>
        <x:v>OPEN</x:v>
      </x:c>
    </x:row>
    <x:row r="3226">
      <x:c r="B3226" s="7" t="str">
        <x:v>PHY-3220</x:v>
      </x:c>
      <x:c r="C3226" s="7" t="str">
        <x:v>hold record</x:v>
      </x:c>
      <x:c r="D3226" s="7" t="str">
        <x:v>RAE-E-24-HP-10</x:v>
      </x:c>
      <x:c r="E3226" s="7" t="str">
        <x:v>Hold Ledger!J752</x:v>
      </x:c>
      <x:c r="F3226" s="7" t="str">
        <x:f>'Hold Ledger'!J752</x:f>
        <x:v>OPEN</x:v>
      </x:c>
    </x:row>
    <x:row r="3227">
      <x:c r="B3227" s="7" t="str">
        <x:v>PHY-3221</x:v>
      </x:c>
      <x:c r="C3227" s="7" t="str">
        <x:v>hold record</x:v>
      </x:c>
      <x:c r="D3227" s="7" t="str">
        <x:v>RAE-E-24-HP-11</x:v>
      </x:c>
      <x:c r="E3227" s="7" t="str">
        <x:v>Hold Ledger!J753</x:v>
      </x:c>
      <x:c r="F3227" s="7" t="str">
        <x:f>'Hold Ledger'!J753</x:f>
        <x:v>OPEN</x:v>
      </x:c>
    </x:row>
    <x:row r="3228">
      <x:c r="B3228" s="7" t="str">
        <x:v>PHY-3222</x:v>
      </x:c>
      <x:c r="C3228" s="7" t="str">
        <x:v>hold record</x:v>
      </x:c>
      <x:c r="D3228" s="7" t="str">
        <x:v>RAE-E-24-HP-12</x:v>
      </x:c>
      <x:c r="E3228" s="7" t="str">
        <x:v>Hold Ledger!J754</x:v>
      </x:c>
      <x:c r="F3228" s="7" t="str">
        <x:f>'Hold Ledger'!J754</x:f>
        <x:v>OPEN</x:v>
      </x:c>
    </x:row>
    <x:row r="3229">
      <x:c r="B3229" s="7" t="str">
        <x:v>PHY-3223</x:v>
      </x:c>
      <x:c r="C3229" s="7" t="str">
        <x:v>hold record</x:v>
      </x:c>
      <x:c r="D3229" s="7" t="str">
        <x:v>RAE-E-24-HP-13</x:v>
      </x:c>
      <x:c r="E3229" s="7" t="str">
        <x:v>Hold Ledger!J755</x:v>
      </x:c>
      <x:c r="F3229" s="7" t="str">
        <x:f>'Hold Ledger'!J755</x:f>
        <x:v>OPEN</x:v>
      </x:c>
    </x:row>
    <x:row r="3230">
      <x:c r="B3230" s="7" t="str">
        <x:v>PHY-3224</x:v>
      </x:c>
      <x:c r="C3230" s="7" t="str">
        <x:v>hold record</x:v>
      </x:c>
      <x:c r="D3230" s="7" t="str">
        <x:v>RAE-E-24-HP-14</x:v>
      </x:c>
      <x:c r="E3230" s="7" t="str">
        <x:v>Hold Ledger!J756</x:v>
      </x:c>
      <x:c r="F3230" s="7" t="str">
        <x:f>'Hold Ledger'!J756</x:f>
        <x:v>OPEN</x:v>
      </x:c>
    </x:row>
    <x:row r="3231">
      <x:c r="B3231" s="7" t="str">
        <x:v>PHY-3225</x:v>
      </x:c>
      <x:c r="C3231" s="7" t="str">
        <x:v>hold record</x:v>
      </x:c>
      <x:c r="D3231" s="7" t="str">
        <x:v>RAE-E-24-HP-15</x:v>
      </x:c>
      <x:c r="E3231" s="7" t="str">
        <x:v>Hold Ledger!J757</x:v>
      </x:c>
      <x:c r="F3231" s="7" t="str">
        <x:f>'Hold Ledger'!J757</x:f>
        <x:v>OPEN</x:v>
      </x:c>
    </x:row>
    <x:row r="3232">
      <x:c r="B3232" s="7" t="str">
        <x:v>PHY-3226</x:v>
      </x:c>
      <x:c r="C3232" s="7" t="str">
        <x:v>hold record</x:v>
      </x:c>
      <x:c r="D3232" s="7" t="str">
        <x:v>RAE-E-24-HP-16</x:v>
      </x:c>
      <x:c r="E3232" s="7" t="str">
        <x:v>Hold Ledger!J758</x:v>
      </x:c>
      <x:c r="F3232" s="7" t="str">
        <x:f>'Hold Ledger'!J758</x:f>
        <x:v>OPEN</x:v>
      </x:c>
    </x:row>
    <x:row r="3233">
      <x:c r="B3233" s="7" t="str">
        <x:v>PHY-3227</x:v>
      </x:c>
      <x:c r="C3233" s="7" t="str">
        <x:v>hold record</x:v>
      </x:c>
      <x:c r="D3233" s="7" t="str">
        <x:v>RAE-E-24-HP-17</x:v>
      </x:c>
      <x:c r="E3233" s="7" t="str">
        <x:v>Hold Ledger!J759</x:v>
      </x:c>
      <x:c r="F3233" s="7" t="str">
        <x:f>'Hold Ledger'!J759</x:f>
        <x:v>OPEN</x:v>
      </x:c>
    </x:row>
    <x:row r="3234">
      <x:c r="B3234" s="7" t="str">
        <x:v>PHY-3228</x:v>
      </x:c>
      <x:c r="C3234" s="7" t="str">
        <x:v>hold record</x:v>
      </x:c>
      <x:c r="D3234" s="7" t="str">
        <x:v>RAE-E-24-HP-18</x:v>
      </x:c>
      <x:c r="E3234" s="7" t="str">
        <x:v>Hold Ledger!J760</x:v>
      </x:c>
      <x:c r="F3234" s="7" t="str">
        <x:f>'Hold Ledger'!J760</x:f>
        <x:v>OPEN</x:v>
      </x:c>
    </x:row>
    <x:row r="3235">
      <x:c r="B3235" s="7" t="str">
        <x:v>PHY-3229</x:v>
      </x:c>
      <x:c r="C3235" s="7" t="str">
        <x:v>hold record</x:v>
      </x:c>
      <x:c r="D3235" s="7" t="str">
        <x:v>RAE-E-24-HP-19</x:v>
      </x:c>
      <x:c r="E3235" s="7" t="str">
        <x:v>Hold Ledger!J761</x:v>
      </x:c>
      <x:c r="F3235" s="7" t="str">
        <x:f>'Hold Ledger'!J761</x:f>
        <x:v>OPEN</x:v>
      </x:c>
    </x:row>
    <x:row r="3236">
      <x:c r="B3236" s="7" t="str">
        <x:v>PHY-3230</x:v>
      </x:c>
      <x:c r="C3236" s="7" t="str">
        <x:v>hold record</x:v>
      </x:c>
      <x:c r="D3236" s="7" t="str">
        <x:v>RAE-E-24-HP-20</x:v>
      </x:c>
      <x:c r="E3236" s="7" t="str">
        <x:v>Hold Ledger!J762</x:v>
      </x:c>
      <x:c r="F3236" s="7" t="str">
        <x:f>'Hold Ledger'!J762</x:f>
        <x:v>OPEN</x:v>
      </x:c>
    </x:row>
    <x:row r="3237">
      <x:c r="B3237" s="7" t="str">
        <x:v>PHY-3231</x:v>
      </x:c>
      <x:c r="C3237" s="7" t="str">
        <x:v>hold record</x:v>
      </x:c>
      <x:c r="D3237" s="7" t="str">
        <x:v>RAE-E-24-HP-21</x:v>
      </x:c>
      <x:c r="E3237" s="7" t="str">
        <x:v>Hold Ledger!J763</x:v>
      </x:c>
      <x:c r="F3237" s="7" t="str">
        <x:f>'Hold Ledger'!J763</x:f>
        <x:v>OPEN</x:v>
      </x:c>
    </x:row>
    <x:row r="3238">
      <x:c r="B3238" s="7" t="str">
        <x:v>PHY-3232</x:v>
      </x:c>
      <x:c r="C3238" s="7" t="str">
        <x:v>hold record</x:v>
      </x:c>
      <x:c r="D3238" s="7" t="str">
        <x:v>RAE-E-24-HP-22</x:v>
      </x:c>
      <x:c r="E3238" s="7" t="str">
        <x:v>Hold Ledger!J764</x:v>
      </x:c>
      <x:c r="F3238" s="7" t="str">
        <x:f>'Hold Ledger'!J764</x:f>
        <x:v>OPEN</x:v>
      </x:c>
    </x:row>
    <x:row r="3239">
      <x:c r="B3239" s="7" t="str">
        <x:v>PHY-3233</x:v>
      </x:c>
      <x:c r="C3239" s="7" t="str">
        <x:v>hold record</x:v>
      </x:c>
      <x:c r="D3239" s="7" t="str">
        <x:v>RAE-E-24-HP-23</x:v>
      </x:c>
      <x:c r="E3239" s="7" t="str">
        <x:v>Hold Ledger!J765</x:v>
      </x:c>
      <x:c r="F3239" s="7" t="str">
        <x:f>'Hold Ledger'!J765</x:f>
        <x:v>OPEN</x:v>
      </x:c>
    </x:row>
    <x:row r="3240">
      <x:c r="B3240" s="7" t="str">
        <x:v>PHY-3234</x:v>
      </x:c>
      <x:c r="C3240" s="7" t="str">
        <x:v>hold record</x:v>
      </x:c>
      <x:c r="D3240" s="7" t="str">
        <x:v>RAE-E-24-HP-24</x:v>
      </x:c>
      <x:c r="E3240" s="7" t="str">
        <x:v>Hold Ledger!J766</x:v>
      </x:c>
      <x:c r="F3240" s="7" t="str">
        <x:f>'Hold Ledger'!J766</x:f>
        <x:v>OPEN</x:v>
      </x:c>
    </x:row>
    <x:row r="3241">
      <x:c r="B3241" s="7" t="str">
        <x:v>PHY-3235</x:v>
      </x:c>
      <x:c r="C3241" s="7" t="str">
        <x:v>hold record</x:v>
      </x:c>
      <x:c r="D3241" s="7" t="str">
        <x:v>RAE-E-24-HP-25</x:v>
      </x:c>
      <x:c r="E3241" s="7" t="str">
        <x:v>Hold Ledger!J767</x:v>
      </x:c>
      <x:c r="F3241" s="7" t="str">
        <x:f>'Hold Ledger'!J767</x:f>
        <x:v>OPEN</x:v>
      </x:c>
    </x:row>
    <x:row r="3242">
      <x:c r="B3242" s="7" t="str">
        <x:v>PHY-3236</x:v>
      </x:c>
      <x:c r="C3242" s="7" t="str">
        <x:v>hold record</x:v>
      </x:c>
      <x:c r="D3242" s="7" t="str">
        <x:v>RAE-E-24-HP-26</x:v>
      </x:c>
      <x:c r="E3242" s="7" t="str">
        <x:v>Hold Ledger!J768</x:v>
      </x:c>
      <x:c r="F3242" s="7" t="str">
        <x:f>'Hold Ledger'!J768</x:f>
        <x:v>OPEN</x:v>
      </x:c>
    </x:row>
    <x:row r="3243">
      <x:c r="B3243" s="7" t="str">
        <x:v>PHY-3237</x:v>
      </x:c>
      <x:c r="C3243" s="7" t="str">
        <x:v>hold record</x:v>
      </x:c>
      <x:c r="D3243" s="7" t="str">
        <x:v>RAE-E-24-HP-27</x:v>
      </x:c>
      <x:c r="E3243" s="7" t="str">
        <x:v>Hold Ledger!J769</x:v>
      </x:c>
      <x:c r="F3243" s="7" t="str">
        <x:f>'Hold Ledger'!J769</x:f>
        <x:v>OPEN</x:v>
      </x:c>
    </x:row>
    <x:row r="3244">
      <x:c r="B3244" s="7" t="str">
        <x:v>PHY-3238</x:v>
      </x:c>
      <x:c r="C3244" s="7" t="str">
        <x:v>hold record</x:v>
      </x:c>
      <x:c r="D3244" s="7" t="str">
        <x:v>RAE-E-24-HP-28</x:v>
      </x:c>
      <x:c r="E3244" s="7" t="str">
        <x:v>Hold Ledger!J770</x:v>
      </x:c>
      <x:c r="F3244" s="7" t="str">
        <x:f>'Hold Ledger'!J770</x:f>
        <x:v>OPEN</x:v>
      </x:c>
    </x:row>
    <x:row r="3245">
      <x:c r="B3245" s="7" t="str">
        <x:v>PHY-3239</x:v>
      </x:c>
      <x:c r="C3245" s="7" t="str">
        <x:v>hold record</x:v>
      </x:c>
      <x:c r="D3245" s="7" t="str">
        <x:v>RAE-E-24-HP-29</x:v>
      </x:c>
      <x:c r="E3245" s="7" t="str">
        <x:v>Hold Ledger!J771</x:v>
      </x:c>
      <x:c r="F3245" s="7" t="str">
        <x:f>'Hold Ledger'!J771</x:f>
        <x:v>OPEN</x:v>
      </x:c>
    </x:row>
    <x:row r="3246">
      <x:c r="B3246" s="7" t="str">
        <x:v>PHY-3240</x:v>
      </x:c>
      <x:c r="C3246" s="7" t="str">
        <x:v>hold record</x:v>
      </x:c>
      <x:c r="D3246" s="7" t="str">
        <x:v>RAE-E-24-HP-30</x:v>
      </x:c>
      <x:c r="E3246" s="7" t="str">
        <x:v>Hold Ledger!J772</x:v>
      </x:c>
      <x:c r="F3246" s="7" t="str">
        <x:f>'Hold Ledger'!J772</x:f>
        <x:v>OPEN</x:v>
      </x:c>
    </x:row>
    <x:row r="3247">
      <x:c r="B3247" s="7" t="str">
        <x:v>PHY-3241</x:v>
      </x:c>
      <x:c r="C3247" s="7" t="str">
        <x:v>hold record</x:v>
      </x:c>
      <x:c r="D3247" s="7" t="str">
        <x:v>RAE-E-24-HP-31</x:v>
      </x:c>
      <x:c r="E3247" s="7" t="str">
        <x:v>Hold Ledger!J773</x:v>
      </x:c>
      <x:c r="F3247" s="7" t="str">
        <x:f>'Hold Ledger'!J773</x:f>
        <x:v>OPEN</x:v>
      </x:c>
    </x:row>
    <x:row r="3248">
      <x:c r="B3248" s="7" t="str">
        <x:v>PHY-3242</x:v>
      </x:c>
      <x:c r="C3248" s="7" t="str">
        <x:v>hold record</x:v>
      </x:c>
      <x:c r="D3248" s="7" t="str">
        <x:v>RAE-E-24-HP-32</x:v>
      </x:c>
      <x:c r="E3248" s="7" t="str">
        <x:v>Hold Ledger!J774</x:v>
      </x:c>
      <x:c r="F3248" s="7" t="str">
        <x:f>'Hold Ledger'!J774</x:f>
        <x:v>OPEN</x:v>
      </x:c>
    </x:row>
    <x:row r="3249">
      <x:c r="B3249" s="7" t="str">
        <x:v>PHY-3243</x:v>
      </x:c>
      <x:c r="C3249" s="7" t="str">
        <x:v>hold record</x:v>
      </x:c>
      <x:c r="D3249" s="7" t="str">
        <x:v>RAE-E-25-HP-01</x:v>
      </x:c>
      <x:c r="E3249" s="7" t="str">
        <x:v>Hold Ledger!J775</x:v>
      </x:c>
      <x:c r="F3249" s="7" t="str">
        <x:f>'Hold Ledger'!J775</x:f>
        <x:v>OPEN</x:v>
      </x:c>
    </x:row>
    <x:row r="3250">
      <x:c r="B3250" s="7" t="str">
        <x:v>PHY-3244</x:v>
      </x:c>
      <x:c r="C3250" s="7" t="str">
        <x:v>hold record</x:v>
      </x:c>
      <x:c r="D3250" s="7" t="str">
        <x:v>RAE-E-25-HP-02</x:v>
      </x:c>
      <x:c r="E3250" s="7" t="str">
        <x:v>Hold Ledger!J776</x:v>
      </x:c>
      <x:c r="F3250" s="7" t="str">
        <x:f>'Hold Ledger'!J776</x:f>
        <x:v>OPEN</x:v>
      </x:c>
    </x:row>
    <x:row r="3251">
      <x:c r="B3251" s="7" t="str">
        <x:v>PHY-3245</x:v>
      </x:c>
      <x:c r="C3251" s="7" t="str">
        <x:v>hold record</x:v>
      </x:c>
      <x:c r="D3251" s="7" t="str">
        <x:v>RAE-E-25-HP-03</x:v>
      </x:c>
      <x:c r="E3251" s="7" t="str">
        <x:v>Hold Ledger!J777</x:v>
      </x:c>
      <x:c r="F3251" s="7" t="str">
        <x:f>'Hold Ledger'!J777</x:f>
        <x:v>OPEN</x:v>
      </x:c>
    </x:row>
    <x:row r="3252">
      <x:c r="B3252" s="7" t="str">
        <x:v>PHY-3246</x:v>
      </x:c>
      <x:c r="C3252" s="7" t="str">
        <x:v>hold record</x:v>
      </x:c>
      <x:c r="D3252" s="7" t="str">
        <x:v>RAE-E-25-HP-04</x:v>
      </x:c>
      <x:c r="E3252" s="7" t="str">
        <x:v>Hold Ledger!J778</x:v>
      </x:c>
      <x:c r="F3252" s="7" t="str">
        <x:f>'Hold Ledger'!J778</x:f>
        <x:v>OPEN</x:v>
      </x:c>
    </x:row>
    <x:row r="3253">
      <x:c r="B3253" s="7" t="str">
        <x:v>PHY-3247</x:v>
      </x:c>
      <x:c r="C3253" s="7" t="str">
        <x:v>hold record</x:v>
      </x:c>
      <x:c r="D3253" s="7" t="str">
        <x:v>RAE-E-25-HP-05</x:v>
      </x:c>
      <x:c r="E3253" s="7" t="str">
        <x:v>Hold Ledger!J779</x:v>
      </x:c>
      <x:c r="F3253" s="7" t="str">
        <x:f>'Hold Ledger'!J779</x:f>
        <x:v>OPEN</x:v>
      </x:c>
    </x:row>
    <x:row r="3254">
      <x:c r="B3254" s="7" t="str">
        <x:v>PHY-3248</x:v>
      </x:c>
      <x:c r="C3254" s="7" t="str">
        <x:v>hold record</x:v>
      </x:c>
      <x:c r="D3254" s="7" t="str">
        <x:v>RAE-E-25-HP-06</x:v>
      </x:c>
      <x:c r="E3254" s="7" t="str">
        <x:v>Hold Ledger!J780</x:v>
      </x:c>
      <x:c r="F3254" s="7" t="str">
        <x:f>'Hold Ledger'!J780</x:f>
        <x:v>OPEN</x:v>
      </x:c>
    </x:row>
    <x:row r="3255">
      <x:c r="B3255" s="7" t="str">
        <x:v>PHY-3249</x:v>
      </x:c>
      <x:c r="C3255" s="7" t="str">
        <x:v>hold record</x:v>
      </x:c>
      <x:c r="D3255" s="7" t="str">
        <x:v>RAE-E-25-HP-07</x:v>
      </x:c>
      <x:c r="E3255" s="7" t="str">
        <x:v>Hold Ledger!J781</x:v>
      </x:c>
      <x:c r="F3255" s="7" t="str">
        <x:f>'Hold Ledger'!J781</x:f>
        <x:v>OPEN</x:v>
      </x:c>
    </x:row>
    <x:row r="3256">
      <x:c r="B3256" s="7" t="str">
        <x:v>PHY-3250</x:v>
      </x:c>
      <x:c r="C3256" s="7" t="str">
        <x:v>hold record</x:v>
      </x:c>
      <x:c r="D3256" s="7" t="str">
        <x:v>RAE-E-25-HP-08</x:v>
      </x:c>
      <x:c r="E3256" s="7" t="str">
        <x:v>Hold Ledger!J782</x:v>
      </x:c>
      <x:c r="F3256" s="7" t="str">
        <x:f>'Hold Ledger'!J782</x:f>
        <x:v>OPEN</x:v>
      </x:c>
    </x:row>
    <x:row r="3257">
      <x:c r="B3257" s="7" t="str">
        <x:v>PHY-3251</x:v>
      </x:c>
      <x:c r="C3257" s="7" t="str">
        <x:v>hold record</x:v>
      </x:c>
      <x:c r="D3257" s="7" t="str">
        <x:v>RAE-E-25-HP-09</x:v>
      </x:c>
      <x:c r="E3257" s="7" t="str">
        <x:v>Hold Ledger!J783</x:v>
      </x:c>
      <x:c r="F3257" s="7" t="str">
        <x:f>'Hold Ledger'!J783</x:f>
        <x:v>OPEN</x:v>
      </x:c>
    </x:row>
    <x:row r="3258">
      <x:c r="B3258" s="7" t="str">
        <x:v>PHY-3252</x:v>
      </x:c>
      <x:c r="C3258" s="7" t="str">
        <x:v>hold record</x:v>
      </x:c>
      <x:c r="D3258" s="7" t="str">
        <x:v>RAE-E-25-HP-10</x:v>
      </x:c>
      <x:c r="E3258" s="7" t="str">
        <x:v>Hold Ledger!J784</x:v>
      </x:c>
      <x:c r="F3258" s="7" t="str">
        <x:f>'Hold Ledger'!J784</x:f>
        <x:v>OPEN</x:v>
      </x:c>
    </x:row>
    <x:row r="3259">
      <x:c r="B3259" s="7" t="str">
        <x:v>PHY-3253</x:v>
      </x:c>
      <x:c r="C3259" s="7" t="str">
        <x:v>hold record</x:v>
      </x:c>
      <x:c r="D3259" s="7" t="str">
        <x:v>RAE-E-25-HP-11</x:v>
      </x:c>
      <x:c r="E3259" s="7" t="str">
        <x:v>Hold Ledger!J785</x:v>
      </x:c>
      <x:c r="F3259" s="7" t="str">
        <x:f>'Hold Ledger'!J785</x:f>
        <x:v>OPEN</x:v>
      </x:c>
    </x:row>
    <x:row r="3260">
      <x:c r="B3260" s="7" t="str">
        <x:v>PHY-3254</x:v>
      </x:c>
      <x:c r="C3260" s="7" t="str">
        <x:v>hold record</x:v>
      </x:c>
      <x:c r="D3260" s="7" t="str">
        <x:v>RAE-E-25-HP-12</x:v>
      </x:c>
      <x:c r="E3260" s="7" t="str">
        <x:v>Hold Ledger!J786</x:v>
      </x:c>
      <x:c r="F3260" s="7" t="str">
        <x:f>'Hold Ledger'!J786</x:f>
        <x:v>OPEN</x:v>
      </x:c>
    </x:row>
    <x:row r="3261">
      <x:c r="B3261" s="7" t="str">
        <x:v>PHY-3255</x:v>
      </x:c>
      <x:c r="C3261" s="7" t="str">
        <x:v>hold record</x:v>
      </x:c>
      <x:c r="D3261" s="7" t="str">
        <x:v>RAE-E-25-HP-13</x:v>
      </x:c>
      <x:c r="E3261" s="7" t="str">
        <x:v>Hold Ledger!J787</x:v>
      </x:c>
      <x:c r="F3261" s="7" t="str">
        <x:f>'Hold Ledger'!J787</x:f>
        <x:v>OPEN</x:v>
      </x:c>
    </x:row>
    <x:row r="3262">
      <x:c r="B3262" s="7" t="str">
        <x:v>PHY-3256</x:v>
      </x:c>
      <x:c r="C3262" s="7" t="str">
        <x:v>hold record</x:v>
      </x:c>
      <x:c r="D3262" s="7" t="str">
        <x:v>RAE-E-25-HP-14</x:v>
      </x:c>
      <x:c r="E3262" s="7" t="str">
        <x:v>Hold Ledger!J788</x:v>
      </x:c>
      <x:c r="F3262" s="7" t="str">
        <x:f>'Hold Ledger'!J788</x:f>
        <x:v>OPEN</x:v>
      </x:c>
    </x:row>
    <x:row r="3263">
      <x:c r="B3263" s="7" t="str">
        <x:v>PHY-3257</x:v>
      </x:c>
      <x:c r="C3263" s="7" t="str">
        <x:v>hold record</x:v>
      </x:c>
      <x:c r="D3263" s="7" t="str">
        <x:v>RAE-E-25-HP-15</x:v>
      </x:c>
      <x:c r="E3263" s="7" t="str">
        <x:v>Hold Ledger!J789</x:v>
      </x:c>
      <x:c r="F3263" s="7" t="str">
        <x:f>'Hold Ledger'!J789</x:f>
        <x:v>OPEN</x:v>
      </x:c>
    </x:row>
    <x:row r="3264">
      <x:c r="B3264" s="7" t="str">
        <x:v>PHY-3258</x:v>
      </x:c>
      <x:c r="C3264" s="7" t="str">
        <x:v>hold record</x:v>
      </x:c>
      <x:c r="D3264" s="7" t="str">
        <x:v>RAE-E-25-HP-16</x:v>
      </x:c>
      <x:c r="E3264" s="7" t="str">
        <x:v>Hold Ledger!J790</x:v>
      </x:c>
      <x:c r="F3264" s="7" t="str">
        <x:f>'Hold Ledger'!J790</x:f>
        <x:v>OPEN</x:v>
      </x:c>
    </x:row>
    <x:row r="3265">
      <x:c r="B3265" s="7" t="str">
        <x:v>PHY-3259</x:v>
      </x:c>
      <x:c r="C3265" s="7" t="str">
        <x:v>hold record</x:v>
      </x:c>
      <x:c r="D3265" s="7" t="str">
        <x:v>RAE-E-25-HP-17</x:v>
      </x:c>
      <x:c r="E3265" s="7" t="str">
        <x:v>Hold Ledger!J791</x:v>
      </x:c>
      <x:c r="F3265" s="7" t="str">
        <x:f>'Hold Ledger'!J791</x:f>
        <x:v>OPEN</x:v>
      </x:c>
    </x:row>
    <x:row r="3266">
      <x:c r="B3266" s="7" t="str">
        <x:v>PHY-3260</x:v>
      </x:c>
      <x:c r="C3266" s="7" t="str">
        <x:v>hold record</x:v>
      </x:c>
      <x:c r="D3266" s="7" t="str">
        <x:v>RAE-E-25-HP-18</x:v>
      </x:c>
      <x:c r="E3266" s="7" t="str">
        <x:v>Hold Ledger!J792</x:v>
      </x:c>
      <x:c r="F3266" s="7" t="str">
        <x:f>'Hold Ledger'!J792</x:f>
        <x:v>OPEN</x:v>
      </x:c>
    </x:row>
    <x:row r="3267">
      <x:c r="B3267" s="7" t="str">
        <x:v>PHY-3261</x:v>
      </x:c>
      <x:c r="C3267" s="7" t="str">
        <x:v>hold record</x:v>
      </x:c>
      <x:c r="D3267" s="7" t="str">
        <x:v>RAE-E-25-HP-19</x:v>
      </x:c>
      <x:c r="E3267" s="7" t="str">
        <x:v>Hold Ledger!J793</x:v>
      </x:c>
      <x:c r="F3267" s="7" t="str">
        <x:f>'Hold Ledger'!J793</x:f>
        <x:v>OPEN</x:v>
      </x:c>
    </x:row>
    <x:row r="3268">
      <x:c r="B3268" s="7" t="str">
        <x:v>PHY-3262</x:v>
      </x:c>
      <x:c r="C3268" s="7" t="str">
        <x:v>hold record</x:v>
      </x:c>
      <x:c r="D3268" s="7" t="str">
        <x:v>RAE-E-25-HP-20</x:v>
      </x:c>
      <x:c r="E3268" s="7" t="str">
        <x:v>Hold Ledger!J794</x:v>
      </x:c>
      <x:c r="F3268" s="7" t="str">
        <x:f>'Hold Ledger'!J794</x:f>
        <x:v>OPEN</x:v>
      </x:c>
    </x:row>
    <x:row r="3269">
      <x:c r="B3269" s="7" t="str">
        <x:v>PHY-3263</x:v>
      </x:c>
      <x:c r="C3269" s="7" t="str">
        <x:v>hold record</x:v>
      </x:c>
      <x:c r="D3269" s="7" t="str">
        <x:v>RAE-E-25-HP-21</x:v>
      </x:c>
      <x:c r="E3269" s="7" t="str">
        <x:v>Hold Ledger!J795</x:v>
      </x:c>
      <x:c r="F3269" s="7" t="str">
        <x:f>'Hold Ledger'!J795</x:f>
        <x:v>OPEN</x:v>
      </x:c>
    </x:row>
    <x:row r="3270">
      <x:c r="B3270" s="7" t="str">
        <x:v>PHY-3264</x:v>
      </x:c>
      <x:c r="C3270" s="7" t="str">
        <x:v>hold record</x:v>
      </x:c>
      <x:c r="D3270" s="7" t="str">
        <x:v>RAE-E-25-HP-22</x:v>
      </x:c>
      <x:c r="E3270" s="7" t="str">
        <x:v>Hold Ledger!J796</x:v>
      </x:c>
      <x:c r="F3270" s="7" t="str">
        <x:f>'Hold Ledger'!J796</x:f>
        <x:v>OPEN</x:v>
      </x:c>
    </x:row>
    <x:row r="3271">
      <x:c r="B3271" s="7" t="str">
        <x:v>PHY-3265</x:v>
      </x:c>
      <x:c r="C3271" s="7" t="str">
        <x:v>hold record</x:v>
      </x:c>
      <x:c r="D3271" s="7" t="str">
        <x:v>RAE-E-25-HP-23</x:v>
      </x:c>
      <x:c r="E3271" s="7" t="str">
        <x:v>Hold Ledger!J797</x:v>
      </x:c>
      <x:c r="F3271" s="7" t="str">
        <x:f>'Hold Ledger'!J797</x:f>
        <x:v>OPEN</x:v>
      </x:c>
    </x:row>
    <x:row r="3272">
      <x:c r="B3272" s="7" t="str">
        <x:v>PHY-3266</x:v>
      </x:c>
      <x:c r="C3272" s="7" t="str">
        <x:v>hold record</x:v>
      </x:c>
      <x:c r="D3272" s="7" t="str">
        <x:v>RAE-E-25-HP-24</x:v>
      </x:c>
      <x:c r="E3272" s="7" t="str">
        <x:v>Hold Ledger!J798</x:v>
      </x:c>
      <x:c r="F3272" s="7" t="str">
        <x:f>'Hold Ledger'!J798</x:f>
        <x:v>OPEN</x:v>
      </x:c>
    </x:row>
    <x:row r="3273">
      <x:c r="B3273" s="7" t="str">
        <x:v>PHY-3267</x:v>
      </x:c>
      <x:c r="C3273" s="7" t="str">
        <x:v>hold record</x:v>
      </x:c>
      <x:c r="D3273" s="7" t="str">
        <x:v>RAE-E-25-HP-25</x:v>
      </x:c>
      <x:c r="E3273" s="7" t="str">
        <x:v>Hold Ledger!J799</x:v>
      </x:c>
      <x:c r="F3273" s="7" t="str">
        <x:f>'Hold Ledger'!J799</x:f>
        <x:v>OPEN</x:v>
      </x:c>
    </x:row>
    <x:row r="3274">
      <x:c r="B3274" s="7" t="str">
        <x:v>PHY-3268</x:v>
      </x:c>
      <x:c r="C3274" s="7" t="str">
        <x:v>hold record</x:v>
      </x:c>
      <x:c r="D3274" s="7" t="str">
        <x:v>RAE-E-25-HP-26</x:v>
      </x:c>
      <x:c r="E3274" s="7" t="str">
        <x:v>Hold Ledger!J800</x:v>
      </x:c>
      <x:c r="F3274" s="7" t="str">
        <x:f>'Hold Ledger'!J800</x:f>
        <x:v>OPEN</x:v>
      </x:c>
    </x:row>
    <x:row r="3275">
      <x:c r="B3275" s="7" t="str">
        <x:v>PHY-3269</x:v>
      </x:c>
      <x:c r="C3275" s="7" t="str">
        <x:v>hold record</x:v>
      </x:c>
      <x:c r="D3275" s="7" t="str">
        <x:v>RAE-E-25-HP-27</x:v>
      </x:c>
      <x:c r="E3275" s="7" t="str">
        <x:v>Hold Ledger!J801</x:v>
      </x:c>
      <x:c r="F3275" s="7" t="str">
        <x:f>'Hold Ledger'!J801</x:f>
        <x:v>OPEN</x:v>
      </x:c>
    </x:row>
    <x:row r="3276">
      <x:c r="B3276" s="7" t="str">
        <x:v>PHY-3270</x:v>
      </x:c>
      <x:c r="C3276" s="7" t="str">
        <x:v>hold record</x:v>
      </x:c>
      <x:c r="D3276" s="7" t="str">
        <x:v>RAE-E-25-HP-28</x:v>
      </x:c>
      <x:c r="E3276" s="7" t="str">
        <x:v>Hold Ledger!J802</x:v>
      </x:c>
      <x:c r="F3276" s="7" t="str">
        <x:f>'Hold Ledger'!J802</x:f>
        <x:v>OPEN</x:v>
      </x:c>
    </x:row>
    <x:row r="3277">
      <x:c r="B3277" s="7" t="str">
        <x:v>PHY-3271</x:v>
      </x:c>
      <x:c r="C3277" s="7" t="str">
        <x:v>hold record</x:v>
      </x:c>
      <x:c r="D3277" s="7" t="str">
        <x:v>RAE-E-25-HP-29</x:v>
      </x:c>
      <x:c r="E3277" s="7" t="str">
        <x:v>Hold Ledger!J803</x:v>
      </x:c>
      <x:c r="F3277" s="7" t="str">
        <x:f>'Hold Ledger'!J803</x:f>
        <x:v>OPEN</x:v>
      </x:c>
    </x:row>
    <x:row r="3278">
      <x:c r="B3278" s="7" t="str">
        <x:v>PHY-3272</x:v>
      </x:c>
      <x:c r="C3278" s="7" t="str">
        <x:v>hold record</x:v>
      </x:c>
      <x:c r="D3278" s="7" t="str">
        <x:v>RAE-E-25-HP-30</x:v>
      </x:c>
      <x:c r="E3278" s="7" t="str">
        <x:v>Hold Ledger!J804</x:v>
      </x:c>
      <x:c r="F3278" s="7" t="str">
        <x:f>'Hold Ledger'!J804</x:f>
        <x:v>OPEN</x:v>
      </x:c>
    </x:row>
    <x:row r="3279">
      <x:c r="B3279" s="7" t="str">
        <x:v>PHY-3273</x:v>
      </x:c>
      <x:c r="C3279" s="7" t="str">
        <x:v>hold record</x:v>
      </x:c>
      <x:c r="D3279" s="7" t="str">
        <x:v>RAE-E-25-HP-31</x:v>
      </x:c>
      <x:c r="E3279" s="7" t="str">
        <x:v>Hold Ledger!J805</x:v>
      </x:c>
      <x:c r="F3279" s="7" t="str">
        <x:f>'Hold Ledger'!J805</x:f>
        <x:v>OPEN</x:v>
      </x:c>
    </x:row>
    <x:row r="3280">
      <x:c r="B3280" s="7" t="str">
        <x:v>PHY-3274</x:v>
      </x:c>
      <x:c r="C3280" s="7" t="str">
        <x:v>hold record</x:v>
      </x:c>
      <x:c r="D3280" s="7" t="str">
        <x:v>RAE-E-25-HP-32</x:v>
      </x:c>
      <x:c r="E3280" s="7" t="str">
        <x:v>Hold Ledger!J806</x:v>
      </x:c>
      <x:c r="F3280" s="7" t="str">
        <x:f>'Hold Ledger'!J806</x:f>
        <x:v>OPEN</x:v>
      </x:c>
    </x:row>
    <x:row r="3281">
      <x:c r="B3281" s="7" t="str">
        <x:v>PHY-3275</x:v>
      </x:c>
      <x:c r="C3281" s="7" t="str">
        <x:v>hold record</x:v>
      </x:c>
      <x:c r="D3281" s="7" t="str">
        <x:v>RAE-E-26-HP-01</x:v>
      </x:c>
      <x:c r="E3281" s="7" t="str">
        <x:v>Hold Ledger!J807</x:v>
      </x:c>
      <x:c r="F3281" s="7" t="str">
        <x:f>'Hold Ledger'!J807</x:f>
        <x:v>OPEN</x:v>
      </x:c>
    </x:row>
    <x:row r="3282">
      <x:c r="B3282" s="7" t="str">
        <x:v>PHY-3276</x:v>
      </x:c>
      <x:c r="C3282" s="7" t="str">
        <x:v>hold record</x:v>
      </x:c>
      <x:c r="D3282" s="7" t="str">
        <x:v>RAE-E-26-HP-02</x:v>
      </x:c>
      <x:c r="E3282" s="7" t="str">
        <x:v>Hold Ledger!J808</x:v>
      </x:c>
      <x:c r="F3282" s="7" t="str">
        <x:f>'Hold Ledger'!J808</x:f>
        <x:v>OPEN</x:v>
      </x:c>
    </x:row>
    <x:row r="3283">
      <x:c r="B3283" s="7" t="str">
        <x:v>PHY-3277</x:v>
      </x:c>
      <x:c r="C3283" s="7" t="str">
        <x:v>hold record</x:v>
      </x:c>
      <x:c r="D3283" s="7" t="str">
        <x:v>RAE-E-26-HP-03</x:v>
      </x:c>
      <x:c r="E3283" s="7" t="str">
        <x:v>Hold Ledger!J809</x:v>
      </x:c>
      <x:c r="F3283" s="7" t="str">
        <x:f>'Hold Ledger'!J809</x:f>
        <x:v>OPEN</x:v>
      </x:c>
    </x:row>
    <x:row r="3284">
      <x:c r="B3284" s="7" t="str">
        <x:v>PHY-3278</x:v>
      </x:c>
      <x:c r="C3284" s="7" t="str">
        <x:v>hold record</x:v>
      </x:c>
      <x:c r="D3284" s="7" t="str">
        <x:v>RAE-E-26-HP-04</x:v>
      </x:c>
      <x:c r="E3284" s="7" t="str">
        <x:v>Hold Ledger!J810</x:v>
      </x:c>
      <x:c r="F3284" s="7" t="str">
        <x:f>'Hold Ledger'!J810</x:f>
        <x:v>OPEN</x:v>
      </x:c>
    </x:row>
    <x:row r="3285">
      <x:c r="B3285" s="7" t="str">
        <x:v>PHY-3279</x:v>
      </x:c>
      <x:c r="C3285" s="7" t="str">
        <x:v>hold record</x:v>
      </x:c>
      <x:c r="D3285" s="7" t="str">
        <x:v>RAE-E-26-HP-05</x:v>
      </x:c>
      <x:c r="E3285" s="7" t="str">
        <x:v>Hold Ledger!J811</x:v>
      </x:c>
      <x:c r="F3285" s="7" t="str">
        <x:f>'Hold Ledger'!J811</x:f>
        <x:v>OPEN</x:v>
      </x:c>
    </x:row>
    <x:row r="3286">
      <x:c r="B3286" s="7" t="str">
        <x:v>PHY-3280</x:v>
      </x:c>
      <x:c r="C3286" s="7" t="str">
        <x:v>hold record</x:v>
      </x:c>
      <x:c r="D3286" s="7" t="str">
        <x:v>RAE-E-26-HP-06</x:v>
      </x:c>
      <x:c r="E3286" s="7" t="str">
        <x:v>Hold Ledger!J812</x:v>
      </x:c>
      <x:c r="F3286" s="7" t="str">
        <x:f>'Hold Ledger'!J812</x:f>
        <x:v>OPEN</x:v>
      </x:c>
    </x:row>
    <x:row r="3287">
      <x:c r="B3287" s="7" t="str">
        <x:v>PHY-3281</x:v>
      </x:c>
      <x:c r="C3287" s="7" t="str">
        <x:v>hold record</x:v>
      </x:c>
      <x:c r="D3287" s="7" t="str">
        <x:v>RAE-E-26-HP-07</x:v>
      </x:c>
      <x:c r="E3287" s="7" t="str">
        <x:v>Hold Ledger!J813</x:v>
      </x:c>
      <x:c r="F3287" s="7" t="str">
        <x:f>'Hold Ledger'!J813</x:f>
        <x:v>OPEN</x:v>
      </x:c>
    </x:row>
    <x:row r="3288">
      <x:c r="B3288" s="7" t="str">
        <x:v>PHY-3282</x:v>
      </x:c>
      <x:c r="C3288" s="7" t="str">
        <x:v>hold record</x:v>
      </x:c>
      <x:c r="D3288" s="7" t="str">
        <x:v>RAE-E-26-HP-08</x:v>
      </x:c>
      <x:c r="E3288" s="7" t="str">
        <x:v>Hold Ledger!J814</x:v>
      </x:c>
      <x:c r="F3288" s="7" t="str">
        <x:f>'Hold Ledger'!J814</x:f>
        <x:v>OPEN</x:v>
      </x:c>
    </x:row>
    <x:row r="3289">
      <x:c r="B3289" s="7" t="str">
        <x:v>PHY-3283</x:v>
      </x:c>
      <x:c r="C3289" s="7" t="str">
        <x:v>hold record</x:v>
      </x:c>
      <x:c r="D3289" s="7" t="str">
        <x:v>RAE-E-26-HP-09</x:v>
      </x:c>
      <x:c r="E3289" s="7" t="str">
        <x:v>Hold Ledger!J815</x:v>
      </x:c>
      <x:c r="F3289" s="7" t="str">
        <x:f>'Hold Ledger'!J815</x:f>
        <x:v>OPEN</x:v>
      </x:c>
    </x:row>
    <x:row r="3290">
      <x:c r="B3290" s="7" t="str">
        <x:v>PHY-3284</x:v>
      </x:c>
      <x:c r="C3290" s="7" t="str">
        <x:v>hold record</x:v>
      </x:c>
      <x:c r="D3290" s="7" t="str">
        <x:v>RAE-E-26-HP-10</x:v>
      </x:c>
      <x:c r="E3290" s="7" t="str">
        <x:v>Hold Ledger!J816</x:v>
      </x:c>
      <x:c r="F3290" s="7" t="str">
        <x:f>'Hold Ledger'!J816</x:f>
        <x:v>OPEN</x:v>
      </x:c>
    </x:row>
    <x:row r="3291">
      <x:c r="B3291" s="7" t="str">
        <x:v>PHY-3285</x:v>
      </x:c>
      <x:c r="C3291" s="7" t="str">
        <x:v>hold record</x:v>
      </x:c>
      <x:c r="D3291" s="7" t="str">
        <x:v>RAE-E-26-HP-11</x:v>
      </x:c>
      <x:c r="E3291" s="7" t="str">
        <x:v>Hold Ledger!J817</x:v>
      </x:c>
      <x:c r="F3291" s="7" t="str">
        <x:f>'Hold Ledger'!J817</x:f>
        <x:v>OPEN</x:v>
      </x:c>
    </x:row>
    <x:row r="3292">
      <x:c r="B3292" s="7" t="str">
        <x:v>PHY-3286</x:v>
      </x:c>
      <x:c r="C3292" s="7" t="str">
        <x:v>hold record</x:v>
      </x:c>
      <x:c r="D3292" s="7" t="str">
        <x:v>RAE-E-26-HP-12</x:v>
      </x:c>
      <x:c r="E3292" s="7" t="str">
        <x:v>Hold Ledger!J818</x:v>
      </x:c>
      <x:c r="F3292" s="7" t="str">
        <x:f>'Hold Ledger'!J818</x:f>
        <x:v>OPEN</x:v>
      </x:c>
    </x:row>
    <x:row r="3293">
      <x:c r="B3293" s="7" t="str">
        <x:v>PHY-3287</x:v>
      </x:c>
      <x:c r="C3293" s="7" t="str">
        <x:v>hold record</x:v>
      </x:c>
      <x:c r="D3293" s="7" t="str">
        <x:v>RAE-E-26-HP-13</x:v>
      </x:c>
      <x:c r="E3293" s="7" t="str">
        <x:v>Hold Ledger!J819</x:v>
      </x:c>
      <x:c r="F3293" s="7" t="str">
        <x:f>'Hold Ledger'!J819</x:f>
        <x:v>OPEN</x:v>
      </x:c>
    </x:row>
    <x:row r="3294">
      <x:c r="B3294" s="7" t="str">
        <x:v>PHY-3288</x:v>
      </x:c>
      <x:c r="C3294" s="7" t="str">
        <x:v>hold record</x:v>
      </x:c>
      <x:c r="D3294" s="7" t="str">
        <x:v>RAE-E-26-HP-14</x:v>
      </x:c>
      <x:c r="E3294" s="7" t="str">
        <x:v>Hold Ledger!J820</x:v>
      </x:c>
      <x:c r="F3294" s="7" t="str">
        <x:f>'Hold Ledger'!J820</x:f>
        <x:v>OPEN</x:v>
      </x:c>
    </x:row>
    <x:row r="3295">
      <x:c r="B3295" s="7" t="str">
        <x:v>PHY-3289</x:v>
      </x:c>
      <x:c r="C3295" s="7" t="str">
        <x:v>hold record</x:v>
      </x:c>
      <x:c r="D3295" s="7" t="str">
        <x:v>RAE-E-26-HP-15</x:v>
      </x:c>
      <x:c r="E3295" s="7" t="str">
        <x:v>Hold Ledger!J821</x:v>
      </x:c>
      <x:c r="F3295" s="7" t="str">
        <x:f>'Hold Ledger'!J821</x:f>
        <x:v>OPEN</x:v>
      </x:c>
    </x:row>
    <x:row r="3296">
      <x:c r="B3296" s="7" t="str">
        <x:v>PHY-3290</x:v>
      </x:c>
      <x:c r="C3296" s="7" t="str">
        <x:v>hold record</x:v>
      </x:c>
      <x:c r="D3296" s="7" t="str">
        <x:v>RAE-E-26-HP-16</x:v>
      </x:c>
      <x:c r="E3296" s="7" t="str">
        <x:v>Hold Ledger!J822</x:v>
      </x:c>
      <x:c r="F3296" s="7" t="str">
        <x:f>'Hold Ledger'!J822</x:f>
        <x:v>OPEN</x:v>
      </x:c>
    </x:row>
    <x:row r="3297">
      <x:c r="B3297" s="7" t="str">
        <x:v>PHY-3291</x:v>
      </x:c>
      <x:c r="C3297" s="7" t="str">
        <x:v>hold record</x:v>
      </x:c>
      <x:c r="D3297" s="7" t="str">
        <x:v>RAE-E-26-HP-17</x:v>
      </x:c>
      <x:c r="E3297" s="7" t="str">
        <x:v>Hold Ledger!J823</x:v>
      </x:c>
      <x:c r="F3297" s="7" t="str">
        <x:f>'Hold Ledger'!J823</x:f>
        <x:v>OPEN</x:v>
      </x:c>
    </x:row>
    <x:row r="3298">
      <x:c r="B3298" s="7" t="str">
        <x:v>PHY-3292</x:v>
      </x:c>
      <x:c r="C3298" s="7" t="str">
        <x:v>hold record</x:v>
      </x:c>
      <x:c r="D3298" s="7" t="str">
        <x:v>RAE-E-26-HP-18</x:v>
      </x:c>
      <x:c r="E3298" s="7" t="str">
        <x:v>Hold Ledger!J824</x:v>
      </x:c>
      <x:c r="F3298" s="7" t="str">
        <x:f>'Hold Ledger'!J824</x:f>
        <x:v>OPEN</x:v>
      </x:c>
    </x:row>
    <x:row r="3299">
      <x:c r="B3299" s="7" t="str">
        <x:v>PHY-3293</x:v>
      </x:c>
      <x:c r="C3299" s="7" t="str">
        <x:v>hold record</x:v>
      </x:c>
      <x:c r="D3299" s="7" t="str">
        <x:v>RAE-E-26-HP-19</x:v>
      </x:c>
      <x:c r="E3299" s="7" t="str">
        <x:v>Hold Ledger!J825</x:v>
      </x:c>
      <x:c r="F3299" s="7" t="str">
        <x:f>'Hold Ledger'!J825</x:f>
        <x:v>OPEN</x:v>
      </x:c>
    </x:row>
    <x:row r="3300">
      <x:c r="B3300" s="7" t="str">
        <x:v>PHY-3294</x:v>
      </x:c>
      <x:c r="C3300" s="7" t="str">
        <x:v>hold record</x:v>
      </x:c>
      <x:c r="D3300" s="7" t="str">
        <x:v>RAE-E-26-HP-20</x:v>
      </x:c>
      <x:c r="E3300" s="7" t="str">
        <x:v>Hold Ledger!J826</x:v>
      </x:c>
      <x:c r="F3300" s="7" t="str">
        <x:f>'Hold Ledger'!J826</x:f>
        <x:v>OPEN</x:v>
      </x:c>
    </x:row>
    <x:row r="3301">
      <x:c r="B3301" s="7" t="str">
        <x:v>PHY-3295</x:v>
      </x:c>
      <x:c r="C3301" s="7" t="str">
        <x:v>hold record</x:v>
      </x:c>
      <x:c r="D3301" s="7" t="str">
        <x:v>RAE-E-26-HP-21</x:v>
      </x:c>
      <x:c r="E3301" s="7" t="str">
        <x:v>Hold Ledger!J827</x:v>
      </x:c>
      <x:c r="F3301" s="7" t="str">
        <x:f>'Hold Ledger'!J827</x:f>
        <x:v>OPEN</x:v>
      </x:c>
    </x:row>
    <x:row r="3302">
      <x:c r="B3302" s="7" t="str">
        <x:v>PHY-3296</x:v>
      </x:c>
      <x:c r="C3302" s="7" t="str">
        <x:v>hold record</x:v>
      </x:c>
      <x:c r="D3302" s="7" t="str">
        <x:v>RAE-E-26-HP-22</x:v>
      </x:c>
      <x:c r="E3302" s="7" t="str">
        <x:v>Hold Ledger!J828</x:v>
      </x:c>
      <x:c r="F3302" s="7" t="str">
        <x:f>'Hold Ledger'!J828</x:f>
        <x:v>OPEN</x:v>
      </x:c>
    </x:row>
    <x:row r="3303">
      <x:c r="B3303" s="7" t="str">
        <x:v>PHY-3297</x:v>
      </x:c>
      <x:c r="C3303" s="7" t="str">
        <x:v>hold record</x:v>
      </x:c>
      <x:c r="D3303" s="7" t="str">
        <x:v>RAE-E-26-HP-23</x:v>
      </x:c>
      <x:c r="E3303" s="7" t="str">
        <x:v>Hold Ledger!J829</x:v>
      </x:c>
      <x:c r="F3303" s="7" t="str">
        <x:f>'Hold Ledger'!J829</x:f>
        <x:v>OPEN</x:v>
      </x:c>
    </x:row>
    <x:row r="3304">
      <x:c r="B3304" s="7" t="str">
        <x:v>PHY-3298</x:v>
      </x:c>
      <x:c r="C3304" s="7" t="str">
        <x:v>hold record</x:v>
      </x:c>
      <x:c r="D3304" s="7" t="str">
        <x:v>RAE-E-26-HP-24</x:v>
      </x:c>
      <x:c r="E3304" s="7" t="str">
        <x:v>Hold Ledger!J830</x:v>
      </x:c>
      <x:c r="F3304" s="7" t="str">
        <x:f>'Hold Ledger'!J830</x:f>
        <x:v>OPEN</x:v>
      </x:c>
    </x:row>
    <x:row r="3305">
      <x:c r="B3305" s="7" t="str">
        <x:v>PHY-3299</x:v>
      </x:c>
      <x:c r="C3305" s="7" t="str">
        <x:v>hold record</x:v>
      </x:c>
      <x:c r="D3305" s="7" t="str">
        <x:v>RAE-E-26-HP-25</x:v>
      </x:c>
      <x:c r="E3305" s="7" t="str">
        <x:v>Hold Ledger!J831</x:v>
      </x:c>
      <x:c r="F3305" s="7" t="str">
        <x:f>'Hold Ledger'!J831</x:f>
        <x:v>OPEN</x:v>
      </x:c>
    </x:row>
    <x:row r="3306">
      <x:c r="B3306" s="7" t="str">
        <x:v>PHY-3300</x:v>
      </x:c>
      <x:c r="C3306" s="7" t="str">
        <x:v>hold record</x:v>
      </x:c>
      <x:c r="D3306" s="7" t="str">
        <x:v>RAE-E-26-HP-26</x:v>
      </x:c>
      <x:c r="E3306" s="7" t="str">
        <x:v>Hold Ledger!J832</x:v>
      </x:c>
      <x:c r="F3306" s="7" t="str">
        <x:f>'Hold Ledger'!J832</x:f>
        <x:v>OPEN</x:v>
      </x:c>
    </x:row>
    <x:row r="3307">
      <x:c r="B3307" s="7" t="str">
        <x:v>PHY-3301</x:v>
      </x:c>
      <x:c r="C3307" s="7" t="str">
        <x:v>hold record</x:v>
      </x:c>
      <x:c r="D3307" s="7" t="str">
        <x:v>RAE-E-26-HP-27</x:v>
      </x:c>
      <x:c r="E3307" s="7" t="str">
        <x:v>Hold Ledger!J833</x:v>
      </x:c>
      <x:c r="F3307" s="7" t="str">
        <x:f>'Hold Ledger'!J833</x:f>
        <x:v>OPEN</x:v>
      </x:c>
    </x:row>
    <x:row r="3308">
      <x:c r="B3308" s="7" t="str">
        <x:v>PHY-3302</x:v>
      </x:c>
      <x:c r="C3308" s="7" t="str">
        <x:v>hold record</x:v>
      </x:c>
      <x:c r="D3308" s="7" t="str">
        <x:v>RAE-E-26-HP-28</x:v>
      </x:c>
      <x:c r="E3308" s="7" t="str">
        <x:v>Hold Ledger!J834</x:v>
      </x:c>
      <x:c r="F3308" s="7" t="str">
        <x:f>'Hold Ledger'!J834</x:f>
        <x:v>OPEN</x:v>
      </x:c>
    </x:row>
    <x:row r="3309">
      <x:c r="B3309" s="7" t="str">
        <x:v>PHY-3303</x:v>
      </x:c>
      <x:c r="C3309" s="7" t="str">
        <x:v>hold record</x:v>
      </x:c>
      <x:c r="D3309" s="7" t="str">
        <x:v>RAE-E-26-HP-29</x:v>
      </x:c>
      <x:c r="E3309" s="7" t="str">
        <x:v>Hold Ledger!J835</x:v>
      </x:c>
      <x:c r="F3309" s="7" t="str">
        <x:f>'Hold Ledger'!J835</x:f>
        <x:v>OPEN</x:v>
      </x:c>
    </x:row>
    <x:row r="3310">
      <x:c r="B3310" s="7" t="str">
        <x:v>PHY-3304</x:v>
      </x:c>
      <x:c r="C3310" s="7" t="str">
        <x:v>hold record</x:v>
      </x:c>
      <x:c r="D3310" s="7" t="str">
        <x:v>RAE-E-26-HP-30</x:v>
      </x:c>
      <x:c r="E3310" s="7" t="str">
        <x:v>Hold Ledger!J836</x:v>
      </x:c>
      <x:c r="F3310" s="7" t="str">
        <x:f>'Hold Ledger'!J836</x:f>
        <x:v>OPEN</x:v>
      </x:c>
    </x:row>
    <x:row r="3311">
      <x:c r="B3311" s="7" t="str">
        <x:v>PHY-3305</x:v>
      </x:c>
      <x:c r="C3311" s="7" t="str">
        <x:v>hold record</x:v>
      </x:c>
      <x:c r="D3311" s="7" t="str">
        <x:v>RAE-E-26-HP-31</x:v>
      </x:c>
      <x:c r="E3311" s="7" t="str">
        <x:v>Hold Ledger!J837</x:v>
      </x:c>
      <x:c r="F3311" s="7" t="str">
        <x:f>'Hold Ledger'!J837</x:f>
        <x:v>OPEN</x:v>
      </x:c>
    </x:row>
    <x:row r="3312">
      <x:c r="B3312" s="7" t="str">
        <x:v>PHY-3306</x:v>
      </x:c>
      <x:c r="C3312" s="7" t="str">
        <x:v>hold record</x:v>
      </x:c>
      <x:c r="D3312" s="7" t="str">
        <x:v>RAE-E-26-HP-32</x:v>
      </x:c>
      <x:c r="E3312" s="7" t="str">
        <x:v>Hold Ledger!J838</x:v>
      </x:c>
      <x:c r="F3312" s="7" t="str">
        <x:f>'Hold Ledger'!J838</x:f>
        <x:v>OPEN</x:v>
      </x:c>
    </x:row>
    <x:row r="3313">
      <x:c r="B3313" s="7" t="str">
        <x:v>PHY-3307</x:v>
      </x:c>
      <x:c r="C3313" s="7" t="str">
        <x:v>hold record</x:v>
      </x:c>
      <x:c r="D3313" s="7" t="str">
        <x:v>RAE-E-27-HP-01</x:v>
      </x:c>
      <x:c r="E3313" s="7" t="str">
        <x:v>Hold Ledger!J839</x:v>
      </x:c>
      <x:c r="F3313" s="7" t="str">
        <x:f>'Hold Ledger'!J839</x:f>
        <x:v>OPEN</x:v>
      </x:c>
    </x:row>
    <x:row r="3314">
      <x:c r="B3314" s="7" t="str">
        <x:v>PHY-3308</x:v>
      </x:c>
      <x:c r="C3314" s="7" t="str">
        <x:v>hold record</x:v>
      </x:c>
      <x:c r="D3314" s="7" t="str">
        <x:v>RAE-E-27-HP-02</x:v>
      </x:c>
      <x:c r="E3314" s="7" t="str">
        <x:v>Hold Ledger!J840</x:v>
      </x:c>
      <x:c r="F3314" s="7" t="str">
        <x:f>'Hold Ledger'!J840</x:f>
        <x:v>OPEN</x:v>
      </x:c>
    </x:row>
    <x:row r="3315">
      <x:c r="B3315" s="7" t="str">
        <x:v>PHY-3309</x:v>
      </x:c>
      <x:c r="C3315" s="7" t="str">
        <x:v>hold record</x:v>
      </x:c>
      <x:c r="D3315" s="7" t="str">
        <x:v>RAE-E-27-HP-03</x:v>
      </x:c>
      <x:c r="E3315" s="7" t="str">
        <x:v>Hold Ledger!J841</x:v>
      </x:c>
      <x:c r="F3315" s="7" t="str">
        <x:f>'Hold Ledger'!J841</x:f>
        <x:v>OPEN</x:v>
      </x:c>
    </x:row>
    <x:row r="3316">
      <x:c r="B3316" s="7" t="str">
        <x:v>PHY-3310</x:v>
      </x:c>
      <x:c r="C3316" s="7" t="str">
        <x:v>hold record</x:v>
      </x:c>
      <x:c r="D3316" s="7" t="str">
        <x:v>RAE-E-27-HP-04</x:v>
      </x:c>
      <x:c r="E3316" s="7" t="str">
        <x:v>Hold Ledger!J842</x:v>
      </x:c>
      <x:c r="F3316" s="7" t="str">
        <x:f>'Hold Ledger'!J842</x:f>
        <x:v>OPEN</x:v>
      </x:c>
    </x:row>
    <x:row r="3317">
      <x:c r="B3317" s="7" t="str">
        <x:v>PHY-3311</x:v>
      </x:c>
      <x:c r="C3317" s="7" t="str">
        <x:v>hold record</x:v>
      </x:c>
      <x:c r="D3317" s="7" t="str">
        <x:v>RAE-E-27-HP-05</x:v>
      </x:c>
      <x:c r="E3317" s="7" t="str">
        <x:v>Hold Ledger!J843</x:v>
      </x:c>
      <x:c r="F3317" s="7" t="str">
        <x:f>'Hold Ledger'!J843</x:f>
        <x:v>OPEN</x:v>
      </x:c>
    </x:row>
    <x:row r="3318">
      <x:c r="B3318" s="7" t="str">
        <x:v>PHY-3312</x:v>
      </x:c>
      <x:c r="C3318" s="7" t="str">
        <x:v>hold record</x:v>
      </x:c>
      <x:c r="D3318" s="7" t="str">
        <x:v>RAE-E-27-HP-06</x:v>
      </x:c>
      <x:c r="E3318" s="7" t="str">
        <x:v>Hold Ledger!J844</x:v>
      </x:c>
      <x:c r="F3318" s="7" t="str">
        <x:f>'Hold Ledger'!J844</x:f>
        <x:v>OPEN</x:v>
      </x:c>
    </x:row>
    <x:row r="3319">
      <x:c r="B3319" s="7" t="str">
        <x:v>PHY-3313</x:v>
      </x:c>
      <x:c r="C3319" s="7" t="str">
        <x:v>hold record</x:v>
      </x:c>
      <x:c r="D3319" s="7" t="str">
        <x:v>RAE-E-27-HP-07</x:v>
      </x:c>
      <x:c r="E3319" s="7" t="str">
        <x:v>Hold Ledger!J845</x:v>
      </x:c>
      <x:c r="F3319" s="7" t="str">
        <x:f>'Hold Ledger'!J845</x:f>
        <x:v>OPEN</x:v>
      </x:c>
    </x:row>
    <x:row r="3320">
      <x:c r="B3320" s="7" t="str">
        <x:v>PHY-3314</x:v>
      </x:c>
      <x:c r="C3320" s="7" t="str">
        <x:v>hold record</x:v>
      </x:c>
      <x:c r="D3320" s="7" t="str">
        <x:v>RAE-E-27-HP-08</x:v>
      </x:c>
      <x:c r="E3320" s="7" t="str">
        <x:v>Hold Ledger!J846</x:v>
      </x:c>
      <x:c r="F3320" s="7" t="str">
        <x:f>'Hold Ledger'!J846</x:f>
        <x:v>OPEN</x:v>
      </x:c>
    </x:row>
    <x:row r="3321">
      <x:c r="B3321" s="7" t="str">
        <x:v>PHY-3315</x:v>
      </x:c>
      <x:c r="C3321" s="7" t="str">
        <x:v>hold record</x:v>
      </x:c>
      <x:c r="D3321" s="7" t="str">
        <x:v>RAE-E-27-HP-09</x:v>
      </x:c>
      <x:c r="E3321" s="7" t="str">
        <x:v>Hold Ledger!J847</x:v>
      </x:c>
      <x:c r="F3321" s="7" t="str">
        <x:f>'Hold Ledger'!J847</x:f>
        <x:v>OPEN</x:v>
      </x:c>
    </x:row>
    <x:row r="3322">
      <x:c r="B3322" s="7" t="str">
        <x:v>PHY-3316</x:v>
      </x:c>
      <x:c r="C3322" s="7" t="str">
        <x:v>hold record</x:v>
      </x:c>
      <x:c r="D3322" s="7" t="str">
        <x:v>RAE-E-27-HP-10</x:v>
      </x:c>
      <x:c r="E3322" s="7" t="str">
        <x:v>Hold Ledger!J848</x:v>
      </x:c>
      <x:c r="F3322" s="7" t="str">
        <x:f>'Hold Ledger'!J848</x:f>
        <x:v>OPEN</x:v>
      </x:c>
    </x:row>
    <x:row r="3323">
      <x:c r="B3323" s="7" t="str">
        <x:v>PHY-3317</x:v>
      </x:c>
      <x:c r="C3323" s="7" t="str">
        <x:v>hold record</x:v>
      </x:c>
      <x:c r="D3323" s="7" t="str">
        <x:v>RAE-E-27-HP-11</x:v>
      </x:c>
      <x:c r="E3323" s="7" t="str">
        <x:v>Hold Ledger!J849</x:v>
      </x:c>
      <x:c r="F3323" s="7" t="str">
        <x:f>'Hold Ledger'!J849</x:f>
        <x:v>OPEN</x:v>
      </x:c>
    </x:row>
    <x:row r="3324">
      <x:c r="B3324" s="7" t="str">
        <x:v>PHY-3318</x:v>
      </x:c>
      <x:c r="C3324" s="7" t="str">
        <x:v>hold record</x:v>
      </x:c>
      <x:c r="D3324" s="7" t="str">
        <x:v>RAE-E-27-HP-12</x:v>
      </x:c>
      <x:c r="E3324" s="7" t="str">
        <x:v>Hold Ledger!J850</x:v>
      </x:c>
      <x:c r="F3324" s="7" t="str">
        <x:f>'Hold Ledger'!J850</x:f>
        <x:v>OPEN</x:v>
      </x:c>
    </x:row>
    <x:row r="3325">
      <x:c r="B3325" s="7" t="str">
        <x:v>PHY-3319</x:v>
      </x:c>
      <x:c r="C3325" s="7" t="str">
        <x:v>hold record</x:v>
      </x:c>
      <x:c r="D3325" s="7" t="str">
        <x:v>RAE-E-27-HP-13</x:v>
      </x:c>
      <x:c r="E3325" s="7" t="str">
        <x:v>Hold Ledger!J851</x:v>
      </x:c>
      <x:c r="F3325" s="7" t="str">
        <x:f>'Hold Ledger'!J851</x:f>
        <x:v>OPEN</x:v>
      </x:c>
    </x:row>
    <x:row r="3326">
      <x:c r="B3326" s="7" t="str">
        <x:v>PHY-3320</x:v>
      </x:c>
      <x:c r="C3326" s="7" t="str">
        <x:v>hold record</x:v>
      </x:c>
      <x:c r="D3326" s="7" t="str">
        <x:v>RAE-E-27-HP-14</x:v>
      </x:c>
      <x:c r="E3326" s="7" t="str">
        <x:v>Hold Ledger!J852</x:v>
      </x:c>
      <x:c r="F3326" s="7" t="str">
        <x:f>'Hold Ledger'!J852</x:f>
        <x:v>OPEN</x:v>
      </x:c>
    </x:row>
    <x:row r="3327">
      <x:c r="B3327" s="7" t="str">
        <x:v>PHY-3321</x:v>
      </x:c>
      <x:c r="C3327" s="7" t="str">
        <x:v>hold record</x:v>
      </x:c>
      <x:c r="D3327" s="7" t="str">
        <x:v>RAE-E-27-HP-15</x:v>
      </x:c>
      <x:c r="E3327" s="7" t="str">
        <x:v>Hold Ledger!J853</x:v>
      </x:c>
      <x:c r="F3327" s="7" t="str">
        <x:f>'Hold Ledger'!J853</x:f>
        <x:v>OPEN</x:v>
      </x:c>
    </x:row>
    <x:row r="3328">
      <x:c r="B3328" s="7" t="str">
        <x:v>PHY-3322</x:v>
      </x:c>
      <x:c r="C3328" s="7" t="str">
        <x:v>hold record</x:v>
      </x:c>
      <x:c r="D3328" s="7" t="str">
        <x:v>RAE-E-27-HP-16</x:v>
      </x:c>
      <x:c r="E3328" s="7" t="str">
        <x:v>Hold Ledger!J854</x:v>
      </x:c>
      <x:c r="F3328" s="7" t="str">
        <x:f>'Hold Ledger'!J854</x:f>
        <x:v>OPEN</x:v>
      </x:c>
    </x:row>
    <x:row r="3329">
      <x:c r="B3329" s="7" t="str">
        <x:v>PHY-3323</x:v>
      </x:c>
      <x:c r="C3329" s="7" t="str">
        <x:v>hold record</x:v>
      </x:c>
      <x:c r="D3329" s="7" t="str">
        <x:v>RAE-E-27-HP-17</x:v>
      </x:c>
      <x:c r="E3329" s="7" t="str">
        <x:v>Hold Ledger!J855</x:v>
      </x:c>
      <x:c r="F3329" s="7" t="str">
        <x:f>'Hold Ledger'!J855</x:f>
        <x:v>OPEN</x:v>
      </x:c>
    </x:row>
    <x:row r="3330">
      <x:c r="B3330" s="7" t="str">
        <x:v>PHY-3324</x:v>
      </x:c>
      <x:c r="C3330" s="7" t="str">
        <x:v>hold record</x:v>
      </x:c>
      <x:c r="D3330" s="7" t="str">
        <x:v>RAE-E-27-HP-18</x:v>
      </x:c>
      <x:c r="E3330" s="7" t="str">
        <x:v>Hold Ledger!J856</x:v>
      </x:c>
      <x:c r="F3330" s="7" t="str">
        <x:f>'Hold Ledger'!J856</x:f>
        <x:v>OPEN</x:v>
      </x:c>
    </x:row>
    <x:row r="3331">
      <x:c r="B3331" s="7" t="str">
        <x:v>PHY-3325</x:v>
      </x:c>
      <x:c r="C3331" s="7" t="str">
        <x:v>hold record</x:v>
      </x:c>
      <x:c r="D3331" s="7" t="str">
        <x:v>RAE-E-27-HP-19</x:v>
      </x:c>
      <x:c r="E3331" s="7" t="str">
        <x:v>Hold Ledger!J857</x:v>
      </x:c>
      <x:c r="F3331" s="7" t="str">
        <x:f>'Hold Ledger'!J857</x:f>
        <x:v>OPEN</x:v>
      </x:c>
    </x:row>
    <x:row r="3332">
      <x:c r="B3332" s="7" t="str">
        <x:v>PHY-3326</x:v>
      </x:c>
      <x:c r="C3332" s="7" t="str">
        <x:v>hold record</x:v>
      </x:c>
      <x:c r="D3332" s="7" t="str">
        <x:v>RAE-E-27-HP-20</x:v>
      </x:c>
      <x:c r="E3332" s="7" t="str">
        <x:v>Hold Ledger!J858</x:v>
      </x:c>
      <x:c r="F3332" s="7" t="str">
        <x:f>'Hold Ledger'!J858</x:f>
        <x:v>OPEN</x:v>
      </x:c>
    </x:row>
    <x:row r="3333">
      <x:c r="B3333" s="7" t="str">
        <x:v>PHY-3327</x:v>
      </x:c>
      <x:c r="C3333" s="7" t="str">
        <x:v>hold record</x:v>
      </x:c>
      <x:c r="D3333" s="7" t="str">
        <x:v>RAE-E-27-HP-21</x:v>
      </x:c>
      <x:c r="E3333" s="7" t="str">
        <x:v>Hold Ledger!J859</x:v>
      </x:c>
      <x:c r="F3333" s="7" t="str">
        <x:f>'Hold Ledger'!J859</x:f>
        <x:v>OPEN</x:v>
      </x:c>
    </x:row>
    <x:row r="3334">
      <x:c r="B3334" s="7" t="str">
        <x:v>PHY-3328</x:v>
      </x:c>
      <x:c r="C3334" s="7" t="str">
        <x:v>hold record</x:v>
      </x:c>
      <x:c r="D3334" s="7" t="str">
        <x:v>RAE-E-27-HP-22</x:v>
      </x:c>
      <x:c r="E3334" s="7" t="str">
        <x:v>Hold Ledger!J860</x:v>
      </x:c>
      <x:c r="F3334" s="7" t="str">
        <x:f>'Hold Ledger'!J860</x:f>
        <x:v>OPEN</x:v>
      </x:c>
    </x:row>
    <x:row r="3335">
      <x:c r="B3335" s="7" t="str">
        <x:v>PHY-3329</x:v>
      </x:c>
      <x:c r="C3335" s="7" t="str">
        <x:v>hold record</x:v>
      </x:c>
      <x:c r="D3335" s="7" t="str">
        <x:v>RAE-E-27-HP-23</x:v>
      </x:c>
      <x:c r="E3335" s="7" t="str">
        <x:v>Hold Ledger!J861</x:v>
      </x:c>
      <x:c r="F3335" s="7" t="str">
        <x:f>'Hold Ledger'!J861</x:f>
        <x:v>OPEN</x:v>
      </x:c>
    </x:row>
    <x:row r="3336">
      <x:c r="B3336" s="7" t="str">
        <x:v>PHY-3330</x:v>
      </x:c>
      <x:c r="C3336" s="7" t="str">
        <x:v>hold record</x:v>
      </x:c>
      <x:c r="D3336" s="7" t="str">
        <x:v>RAE-E-27-HP-24</x:v>
      </x:c>
      <x:c r="E3336" s="7" t="str">
        <x:v>Hold Ledger!J862</x:v>
      </x:c>
      <x:c r="F3336" s="7" t="str">
        <x:f>'Hold Ledger'!J862</x:f>
        <x:v>OPEN</x:v>
      </x:c>
    </x:row>
    <x:row r="3337">
      <x:c r="B3337" s="7" t="str">
        <x:v>PHY-3331</x:v>
      </x:c>
      <x:c r="C3337" s="7" t="str">
        <x:v>hold record</x:v>
      </x:c>
      <x:c r="D3337" s="7" t="str">
        <x:v>RAE-E-27-HP-25</x:v>
      </x:c>
      <x:c r="E3337" s="7" t="str">
        <x:v>Hold Ledger!J863</x:v>
      </x:c>
      <x:c r="F3337" s="7" t="str">
        <x:f>'Hold Ledger'!J863</x:f>
        <x:v>OPEN</x:v>
      </x:c>
    </x:row>
    <x:row r="3338">
      <x:c r="B3338" s="7" t="str">
        <x:v>PHY-3332</x:v>
      </x:c>
      <x:c r="C3338" s="7" t="str">
        <x:v>hold record</x:v>
      </x:c>
      <x:c r="D3338" s="7" t="str">
        <x:v>RAE-E-27-HP-26</x:v>
      </x:c>
      <x:c r="E3338" s="7" t="str">
        <x:v>Hold Ledger!J864</x:v>
      </x:c>
      <x:c r="F3338" s="7" t="str">
        <x:f>'Hold Ledger'!J864</x:f>
        <x:v>OPEN</x:v>
      </x:c>
    </x:row>
    <x:row r="3339">
      <x:c r="B3339" s="7" t="str">
        <x:v>PHY-3333</x:v>
      </x:c>
      <x:c r="C3339" s="7" t="str">
        <x:v>hold record</x:v>
      </x:c>
      <x:c r="D3339" s="7" t="str">
        <x:v>RAE-E-27-HP-27</x:v>
      </x:c>
      <x:c r="E3339" s="7" t="str">
        <x:v>Hold Ledger!J865</x:v>
      </x:c>
      <x:c r="F3339" s="7" t="str">
        <x:f>'Hold Ledger'!J865</x:f>
        <x:v>OPEN</x:v>
      </x:c>
    </x:row>
    <x:row r="3340">
      <x:c r="B3340" s="7" t="str">
        <x:v>PHY-3334</x:v>
      </x:c>
      <x:c r="C3340" s="7" t="str">
        <x:v>hold record</x:v>
      </x:c>
      <x:c r="D3340" s="7" t="str">
        <x:v>RAE-E-27-HP-28</x:v>
      </x:c>
      <x:c r="E3340" s="7" t="str">
        <x:v>Hold Ledger!J866</x:v>
      </x:c>
      <x:c r="F3340" s="7" t="str">
        <x:f>'Hold Ledger'!J866</x:f>
        <x:v>OPEN</x:v>
      </x:c>
    </x:row>
    <x:row r="3341">
      <x:c r="B3341" s="7" t="str">
        <x:v>PHY-3335</x:v>
      </x:c>
      <x:c r="C3341" s="7" t="str">
        <x:v>hold record</x:v>
      </x:c>
      <x:c r="D3341" s="7" t="str">
        <x:v>RAE-E-27-HP-29</x:v>
      </x:c>
      <x:c r="E3341" s="7" t="str">
        <x:v>Hold Ledger!J867</x:v>
      </x:c>
      <x:c r="F3341" s="7" t="str">
        <x:f>'Hold Ledger'!J867</x:f>
        <x:v>OPEN</x:v>
      </x:c>
    </x:row>
    <x:row r="3342">
      <x:c r="B3342" s="7" t="str">
        <x:v>PHY-3336</x:v>
      </x:c>
      <x:c r="C3342" s="7" t="str">
        <x:v>hold record</x:v>
      </x:c>
      <x:c r="D3342" s="7" t="str">
        <x:v>RAE-E-27-HP-30</x:v>
      </x:c>
      <x:c r="E3342" s="7" t="str">
        <x:v>Hold Ledger!J868</x:v>
      </x:c>
      <x:c r="F3342" s="7" t="str">
        <x:f>'Hold Ledger'!J868</x:f>
        <x:v>OPEN</x:v>
      </x:c>
    </x:row>
    <x:row r="3343">
      <x:c r="B3343" s="7" t="str">
        <x:v>PHY-3337</x:v>
      </x:c>
      <x:c r="C3343" s="7" t="str">
        <x:v>hold record</x:v>
      </x:c>
      <x:c r="D3343" s="7" t="str">
        <x:v>RAE-E-27-HP-31</x:v>
      </x:c>
      <x:c r="E3343" s="7" t="str">
        <x:v>Hold Ledger!J869</x:v>
      </x:c>
      <x:c r="F3343" s="7" t="str">
        <x:f>'Hold Ledger'!J869</x:f>
        <x:v>OPEN</x:v>
      </x:c>
    </x:row>
    <x:row r="3344">
      <x:c r="B3344" s="7" t="str">
        <x:v>PHY-3338</x:v>
      </x:c>
      <x:c r="C3344" s="7" t="str">
        <x:v>hold record</x:v>
      </x:c>
      <x:c r="D3344" s="7" t="str">
        <x:v>RAE-E-27-HP-32</x:v>
      </x:c>
      <x:c r="E3344" s="7" t="str">
        <x:v>Hold Ledger!J870</x:v>
      </x:c>
      <x:c r="F3344" s="7" t="str">
        <x:f>'Hold Ledger'!J870</x:f>
        <x:v>OPEN</x:v>
      </x:c>
    </x:row>
    <x:row r="3345">
      <x:c r="B3345" s="7" t="str">
        <x:v>PHY-3339</x:v>
      </x:c>
      <x:c r="C3345" s="7" t="str">
        <x:v>hold record</x:v>
      </x:c>
      <x:c r="D3345" s="7" t="str">
        <x:v>RAE-E-28-HP-01</x:v>
      </x:c>
      <x:c r="E3345" s="7" t="str">
        <x:v>Hold Ledger!J871</x:v>
      </x:c>
      <x:c r="F3345" s="7" t="str">
        <x:f>'Hold Ledger'!J871</x:f>
        <x:v>OPEN</x:v>
      </x:c>
    </x:row>
    <x:row r="3346">
      <x:c r="B3346" s="7" t="str">
        <x:v>PHY-3340</x:v>
      </x:c>
      <x:c r="C3346" s="7" t="str">
        <x:v>hold record</x:v>
      </x:c>
      <x:c r="D3346" s="7" t="str">
        <x:v>RAE-E-28-HP-02</x:v>
      </x:c>
      <x:c r="E3346" s="7" t="str">
        <x:v>Hold Ledger!J872</x:v>
      </x:c>
      <x:c r="F3346" s="7" t="str">
        <x:f>'Hold Ledger'!J872</x:f>
        <x:v>OPEN</x:v>
      </x:c>
    </x:row>
    <x:row r="3347">
      <x:c r="B3347" s="7" t="str">
        <x:v>PHY-3341</x:v>
      </x:c>
      <x:c r="C3347" s="7" t="str">
        <x:v>hold record</x:v>
      </x:c>
      <x:c r="D3347" s="7" t="str">
        <x:v>RAE-E-28-HP-03</x:v>
      </x:c>
      <x:c r="E3347" s="7" t="str">
        <x:v>Hold Ledger!J873</x:v>
      </x:c>
      <x:c r="F3347" s="7" t="str">
        <x:f>'Hold Ledger'!J873</x:f>
        <x:v>OPEN</x:v>
      </x:c>
    </x:row>
    <x:row r="3348">
      <x:c r="B3348" s="7" t="str">
        <x:v>PHY-3342</x:v>
      </x:c>
      <x:c r="C3348" s="7" t="str">
        <x:v>hold record</x:v>
      </x:c>
      <x:c r="D3348" s="7" t="str">
        <x:v>RAE-E-28-HP-04</x:v>
      </x:c>
      <x:c r="E3348" s="7" t="str">
        <x:v>Hold Ledger!J874</x:v>
      </x:c>
      <x:c r="F3348" s="7" t="str">
        <x:f>'Hold Ledger'!J874</x:f>
        <x:v>OPEN</x:v>
      </x:c>
    </x:row>
    <x:row r="3349">
      <x:c r="B3349" s="7" t="str">
        <x:v>PHY-3343</x:v>
      </x:c>
      <x:c r="C3349" s="7" t="str">
        <x:v>hold record</x:v>
      </x:c>
      <x:c r="D3349" s="7" t="str">
        <x:v>RAE-E-28-HP-05</x:v>
      </x:c>
      <x:c r="E3349" s="7" t="str">
        <x:v>Hold Ledger!J875</x:v>
      </x:c>
      <x:c r="F3349" s="7" t="str">
        <x:f>'Hold Ledger'!J875</x:f>
        <x:v>OPEN</x:v>
      </x:c>
    </x:row>
    <x:row r="3350">
      <x:c r="B3350" s="7" t="str">
        <x:v>PHY-3344</x:v>
      </x:c>
      <x:c r="C3350" s="7" t="str">
        <x:v>hold record</x:v>
      </x:c>
      <x:c r="D3350" s="7" t="str">
        <x:v>RAE-E-28-HP-06</x:v>
      </x:c>
      <x:c r="E3350" s="7" t="str">
        <x:v>Hold Ledger!J876</x:v>
      </x:c>
      <x:c r="F3350" s="7" t="str">
        <x:f>'Hold Ledger'!J876</x:f>
        <x:v>OPEN</x:v>
      </x:c>
    </x:row>
    <x:row r="3351">
      <x:c r="B3351" s="7" t="str">
        <x:v>PHY-3345</x:v>
      </x:c>
      <x:c r="C3351" s="7" t="str">
        <x:v>hold record</x:v>
      </x:c>
      <x:c r="D3351" s="7" t="str">
        <x:v>RAE-E-28-HP-07</x:v>
      </x:c>
      <x:c r="E3351" s="7" t="str">
        <x:v>Hold Ledger!J877</x:v>
      </x:c>
      <x:c r="F3351" s="7" t="str">
        <x:f>'Hold Ledger'!J877</x:f>
        <x:v>OPEN</x:v>
      </x:c>
    </x:row>
    <x:row r="3352">
      <x:c r="B3352" s="7" t="str">
        <x:v>PHY-3346</x:v>
      </x:c>
      <x:c r="C3352" s="7" t="str">
        <x:v>hold record</x:v>
      </x:c>
      <x:c r="D3352" s="7" t="str">
        <x:v>RAE-E-28-HP-08</x:v>
      </x:c>
      <x:c r="E3352" s="7" t="str">
        <x:v>Hold Ledger!J878</x:v>
      </x:c>
      <x:c r="F3352" s="7" t="str">
        <x:f>'Hold Ledger'!J878</x:f>
        <x:v>OPEN</x:v>
      </x:c>
    </x:row>
    <x:row r="3353">
      <x:c r="B3353" s="7" t="str">
        <x:v>PHY-3347</x:v>
      </x:c>
      <x:c r="C3353" s="7" t="str">
        <x:v>hold record</x:v>
      </x:c>
      <x:c r="D3353" s="7" t="str">
        <x:v>RAE-E-28-HP-09</x:v>
      </x:c>
      <x:c r="E3353" s="7" t="str">
        <x:v>Hold Ledger!J879</x:v>
      </x:c>
      <x:c r="F3353" s="7" t="str">
        <x:f>'Hold Ledger'!J879</x:f>
        <x:v>OPEN</x:v>
      </x:c>
    </x:row>
    <x:row r="3354">
      <x:c r="B3354" s="7" t="str">
        <x:v>PHY-3348</x:v>
      </x:c>
      <x:c r="C3354" s="7" t="str">
        <x:v>hold record</x:v>
      </x:c>
      <x:c r="D3354" s="7" t="str">
        <x:v>RAE-E-28-HP-10</x:v>
      </x:c>
      <x:c r="E3354" s="7" t="str">
        <x:v>Hold Ledger!J880</x:v>
      </x:c>
      <x:c r="F3354" s="7" t="str">
        <x:f>'Hold Ledger'!J880</x:f>
        <x:v>OPEN</x:v>
      </x:c>
    </x:row>
    <x:row r="3355">
      <x:c r="B3355" s="7" t="str">
        <x:v>PHY-3349</x:v>
      </x:c>
      <x:c r="C3355" s="7" t="str">
        <x:v>hold record</x:v>
      </x:c>
      <x:c r="D3355" s="7" t="str">
        <x:v>RAE-E-28-HP-11</x:v>
      </x:c>
      <x:c r="E3355" s="7" t="str">
        <x:v>Hold Ledger!J881</x:v>
      </x:c>
      <x:c r="F3355" s="7" t="str">
        <x:f>'Hold Ledger'!J881</x:f>
        <x:v>OPEN</x:v>
      </x:c>
    </x:row>
    <x:row r="3356">
      <x:c r="B3356" s="7" t="str">
        <x:v>PHY-3350</x:v>
      </x:c>
      <x:c r="C3356" s="7" t="str">
        <x:v>hold record</x:v>
      </x:c>
      <x:c r="D3356" s="7" t="str">
        <x:v>RAE-E-28-HP-12</x:v>
      </x:c>
      <x:c r="E3356" s="7" t="str">
        <x:v>Hold Ledger!J882</x:v>
      </x:c>
      <x:c r="F3356" s="7" t="str">
        <x:f>'Hold Ledger'!J882</x:f>
        <x:v>OPEN</x:v>
      </x:c>
    </x:row>
    <x:row r="3357">
      <x:c r="B3357" s="7" t="str">
        <x:v>PHY-3351</x:v>
      </x:c>
      <x:c r="C3357" s="7" t="str">
        <x:v>hold record</x:v>
      </x:c>
      <x:c r="D3357" s="7" t="str">
        <x:v>RAE-E-28-HP-13</x:v>
      </x:c>
      <x:c r="E3357" s="7" t="str">
        <x:v>Hold Ledger!J883</x:v>
      </x:c>
      <x:c r="F3357" s="7" t="str">
        <x:f>'Hold Ledger'!J883</x:f>
        <x:v>OPEN</x:v>
      </x:c>
    </x:row>
    <x:row r="3358">
      <x:c r="B3358" s="7" t="str">
        <x:v>PHY-3352</x:v>
      </x:c>
      <x:c r="C3358" s="7" t="str">
        <x:v>hold record</x:v>
      </x:c>
      <x:c r="D3358" s="7" t="str">
        <x:v>RAE-E-28-HP-14</x:v>
      </x:c>
      <x:c r="E3358" s="7" t="str">
        <x:v>Hold Ledger!J884</x:v>
      </x:c>
      <x:c r="F3358" s="7" t="str">
        <x:f>'Hold Ledger'!J884</x:f>
        <x:v>OPEN</x:v>
      </x:c>
    </x:row>
    <x:row r="3359">
      <x:c r="B3359" s="7" t="str">
        <x:v>PHY-3353</x:v>
      </x:c>
      <x:c r="C3359" s="7" t="str">
        <x:v>hold record</x:v>
      </x:c>
      <x:c r="D3359" s="7" t="str">
        <x:v>RAE-E-28-HP-15</x:v>
      </x:c>
      <x:c r="E3359" s="7" t="str">
        <x:v>Hold Ledger!J885</x:v>
      </x:c>
      <x:c r="F3359" s="7" t="str">
        <x:f>'Hold Ledger'!J885</x:f>
        <x:v>OPEN</x:v>
      </x:c>
    </x:row>
    <x:row r="3360">
      <x:c r="B3360" s="7" t="str">
        <x:v>PHY-3354</x:v>
      </x:c>
      <x:c r="C3360" s="7" t="str">
        <x:v>hold record</x:v>
      </x:c>
      <x:c r="D3360" s="7" t="str">
        <x:v>RAE-E-28-HP-16</x:v>
      </x:c>
      <x:c r="E3360" s="7" t="str">
        <x:v>Hold Ledger!J886</x:v>
      </x:c>
      <x:c r="F3360" s="7" t="str">
        <x:f>'Hold Ledger'!J886</x:f>
        <x:v>OPEN</x:v>
      </x:c>
    </x:row>
    <x:row r="3361">
      <x:c r="B3361" s="7" t="str">
        <x:v>PHY-3355</x:v>
      </x:c>
      <x:c r="C3361" s="7" t="str">
        <x:v>hold record</x:v>
      </x:c>
      <x:c r="D3361" s="7" t="str">
        <x:v>RAE-E-28-HP-17</x:v>
      </x:c>
      <x:c r="E3361" s="7" t="str">
        <x:v>Hold Ledger!J887</x:v>
      </x:c>
      <x:c r="F3361" s="7" t="str">
        <x:f>'Hold Ledger'!J887</x:f>
        <x:v>OPEN</x:v>
      </x:c>
    </x:row>
    <x:row r="3362">
      <x:c r="B3362" s="7" t="str">
        <x:v>PHY-3356</x:v>
      </x:c>
      <x:c r="C3362" s="7" t="str">
        <x:v>hold record</x:v>
      </x:c>
      <x:c r="D3362" s="7" t="str">
        <x:v>RAE-E-28-HP-18</x:v>
      </x:c>
      <x:c r="E3362" s="7" t="str">
        <x:v>Hold Ledger!J888</x:v>
      </x:c>
      <x:c r="F3362" s="7" t="str">
        <x:f>'Hold Ledger'!J888</x:f>
        <x:v>OPEN</x:v>
      </x:c>
    </x:row>
    <x:row r="3363">
      <x:c r="B3363" s="7" t="str">
        <x:v>PHY-3357</x:v>
      </x:c>
      <x:c r="C3363" s="7" t="str">
        <x:v>hold record</x:v>
      </x:c>
      <x:c r="D3363" s="7" t="str">
        <x:v>RAE-E-28-HP-19</x:v>
      </x:c>
      <x:c r="E3363" s="7" t="str">
        <x:v>Hold Ledger!J889</x:v>
      </x:c>
      <x:c r="F3363" s="7" t="str">
        <x:f>'Hold Ledger'!J889</x:f>
        <x:v>OPEN</x:v>
      </x:c>
    </x:row>
    <x:row r="3364">
      <x:c r="B3364" s="7" t="str">
        <x:v>PHY-3358</x:v>
      </x:c>
      <x:c r="C3364" s="7" t="str">
        <x:v>hold record</x:v>
      </x:c>
      <x:c r="D3364" s="7" t="str">
        <x:v>RAE-E-28-HP-20</x:v>
      </x:c>
      <x:c r="E3364" s="7" t="str">
        <x:v>Hold Ledger!J890</x:v>
      </x:c>
      <x:c r="F3364" s="7" t="str">
        <x:f>'Hold Ledger'!J890</x:f>
        <x:v>OPEN</x:v>
      </x:c>
    </x:row>
    <x:row r="3365">
      <x:c r="B3365" s="7" t="str">
        <x:v>PHY-3359</x:v>
      </x:c>
      <x:c r="C3365" s="7" t="str">
        <x:v>hold record</x:v>
      </x:c>
      <x:c r="D3365" s="7" t="str">
        <x:v>RAE-E-28-HP-21</x:v>
      </x:c>
      <x:c r="E3365" s="7" t="str">
        <x:v>Hold Ledger!J891</x:v>
      </x:c>
      <x:c r="F3365" s="7" t="str">
        <x:f>'Hold Ledger'!J891</x:f>
        <x:v>OPEN</x:v>
      </x:c>
    </x:row>
    <x:row r="3366">
      <x:c r="B3366" s="7" t="str">
        <x:v>PHY-3360</x:v>
      </x:c>
      <x:c r="C3366" s="7" t="str">
        <x:v>hold record</x:v>
      </x:c>
      <x:c r="D3366" s="7" t="str">
        <x:v>RAE-E-28-HP-22</x:v>
      </x:c>
      <x:c r="E3366" s="7" t="str">
        <x:v>Hold Ledger!J892</x:v>
      </x:c>
      <x:c r="F3366" s="7" t="str">
        <x:f>'Hold Ledger'!J892</x:f>
        <x:v>OPEN</x:v>
      </x:c>
    </x:row>
    <x:row r="3367">
      <x:c r="B3367" s="7" t="str">
        <x:v>PHY-3361</x:v>
      </x:c>
      <x:c r="C3367" s="7" t="str">
        <x:v>hold record</x:v>
      </x:c>
      <x:c r="D3367" s="7" t="str">
        <x:v>RAE-E-28-HP-23</x:v>
      </x:c>
      <x:c r="E3367" s="7" t="str">
        <x:v>Hold Ledger!J893</x:v>
      </x:c>
      <x:c r="F3367" s="7" t="str">
        <x:f>'Hold Ledger'!J893</x:f>
        <x:v>OPEN</x:v>
      </x:c>
    </x:row>
    <x:row r="3368">
      <x:c r="B3368" s="7" t="str">
        <x:v>PHY-3362</x:v>
      </x:c>
      <x:c r="C3368" s="7" t="str">
        <x:v>hold record</x:v>
      </x:c>
      <x:c r="D3368" s="7" t="str">
        <x:v>RAE-E-28-HP-24</x:v>
      </x:c>
      <x:c r="E3368" s="7" t="str">
        <x:v>Hold Ledger!J894</x:v>
      </x:c>
      <x:c r="F3368" s="7" t="str">
        <x:f>'Hold Ledger'!J894</x:f>
        <x:v>OPEN</x:v>
      </x:c>
    </x:row>
    <x:row r="3369">
      <x:c r="B3369" s="7" t="str">
        <x:v>PHY-3363</x:v>
      </x:c>
      <x:c r="C3369" s="7" t="str">
        <x:v>hold record</x:v>
      </x:c>
      <x:c r="D3369" s="7" t="str">
        <x:v>RAE-E-28-HP-25</x:v>
      </x:c>
      <x:c r="E3369" s="7" t="str">
        <x:v>Hold Ledger!J895</x:v>
      </x:c>
      <x:c r="F3369" s="7" t="str">
        <x:f>'Hold Ledger'!J895</x:f>
        <x:v>OPEN</x:v>
      </x:c>
    </x:row>
    <x:row r="3370">
      <x:c r="B3370" s="7" t="str">
        <x:v>PHY-3364</x:v>
      </x:c>
      <x:c r="C3370" s="7" t="str">
        <x:v>hold record</x:v>
      </x:c>
      <x:c r="D3370" s="7" t="str">
        <x:v>RAE-E-28-HP-26</x:v>
      </x:c>
      <x:c r="E3370" s="7" t="str">
        <x:v>Hold Ledger!J896</x:v>
      </x:c>
      <x:c r="F3370" s="7" t="str">
        <x:f>'Hold Ledger'!J896</x:f>
        <x:v>OPEN</x:v>
      </x:c>
    </x:row>
    <x:row r="3371">
      <x:c r="B3371" s="7" t="str">
        <x:v>PHY-3365</x:v>
      </x:c>
      <x:c r="C3371" s="7" t="str">
        <x:v>hold record</x:v>
      </x:c>
      <x:c r="D3371" s="7" t="str">
        <x:v>RAE-E-28-HP-27</x:v>
      </x:c>
      <x:c r="E3371" s="7" t="str">
        <x:v>Hold Ledger!J897</x:v>
      </x:c>
      <x:c r="F3371" s="7" t="str">
        <x:f>'Hold Ledger'!J897</x:f>
        <x:v>OPEN</x:v>
      </x:c>
    </x:row>
    <x:row r="3372">
      <x:c r="B3372" s="7" t="str">
        <x:v>PHY-3366</x:v>
      </x:c>
      <x:c r="C3372" s="7" t="str">
        <x:v>hold record</x:v>
      </x:c>
      <x:c r="D3372" s="7" t="str">
        <x:v>RAE-E-28-HP-28</x:v>
      </x:c>
      <x:c r="E3372" s="7" t="str">
        <x:v>Hold Ledger!J898</x:v>
      </x:c>
      <x:c r="F3372" s="7" t="str">
        <x:f>'Hold Ledger'!J898</x:f>
        <x:v>OPEN</x:v>
      </x:c>
    </x:row>
    <x:row r="3373">
      <x:c r="B3373" s="7" t="str">
        <x:v>PHY-3367</x:v>
      </x:c>
      <x:c r="C3373" s="7" t="str">
        <x:v>hold record</x:v>
      </x:c>
      <x:c r="D3373" s="7" t="str">
        <x:v>RAE-E-28-HP-29</x:v>
      </x:c>
      <x:c r="E3373" s="7" t="str">
        <x:v>Hold Ledger!J899</x:v>
      </x:c>
      <x:c r="F3373" s="7" t="str">
        <x:f>'Hold Ledger'!J899</x:f>
        <x:v>OPEN</x:v>
      </x:c>
    </x:row>
    <x:row r="3374">
      <x:c r="B3374" s="7" t="str">
        <x:v>PHY-3368</x:v>
      </x:c>
      <x:c r="C3374" s="7" t="str">
        <x:v>hold record</x:v>
      </x:c>
      <x:c r="D3374" s="7" t="str">
        <x:v>RAE-E-28-HP-30</x:v>
      </x:c>
      <x:c r="E3374" s="7" t="str">
        <x:v>Hold Ledger!J900</x:v>
      </x:c>
      <x:c r="F3374" s="7" t="str">
        <x:f>'Hold Ledger'!J900</x:f>
        <x:v>OPEN</x:v>
      </x:c>
    </x:row>
    <x:row r="3375">
      <x:c r="B3375" s="7" t="str">
        <x:v>PHY-3369</x:v>
      </x:c>
      <x:c r="C3375" s="7" t="str">
        <x:v>hold record</x:v>
      </x:c>
      <x:c r="D3375" s="7" t="str">
        <x:v>RAE-E-28-HP-31</x:v>
      </x:c>
      <x:c r="E3375" s="7" t="str">
        <x:v>Hold Ledger!J901</x:v>
      </x:c>
      <x:c r="F3375" s="7" t="str">
        <x:f>'Hold Ledger'!J901</x:f>
        <x:v>OPEN</x:v>
      </x:c>
    </x:row>
    <x:row r="3376">
      <x:c r="B3376" s="7" t="str">
        <x:v>PHY-3370</x:v>
      </x:c>
      <x:c r="C3376" s="7" t="str">
        <x:v>hold record</x:v>
      </x:c>
      <x:c r="D3376" s="7" t="str">
        <x:v>RAE-E-28-HP-32</x:v>
      </x:c>
      <x:c r="E3376" s="7" t="str">
        <x:v>Hold Ledger!J902</x:v>
      </x:c>
      <x:c r="F3376" s="7" t="str">
        <x:f>'Hold Ledger'!J902</x:f>
        <x:v>OPEN</x:v>
      </x:c>
    </x:row>
    <x:row r="3377">
      <x:c r="B3377" s="7" t="str">
        <x:v>PHY-3371</x:v>
      </x:c>
      <x:c r="C3377" s="7" t="str">
        <x:v>hold record</x:v>
      </x:c>
      <x:c r="D3377" s="7" t="str">
        <x:v>RAE-E-29-HP-01</x:v>
      </x:c>
      <x:c r="E3377" s="7" t="str">
        <x:v>Hold Ledger!J903</x:v>
      </x:c>
      <x:c r="F3377" s="7" t="str">
        <x:f>'Hold Ledger'!J903</x:f>
        <x:v>OPEN</x:v>
      </x:c>
    </x:row>
    <x:row r="3378">
      <x:c r="B3378" s="7" t="str">
        <x:v>PHY-3372</x:v>
      </x:c>
      <x:c r="C3378" s="7" t="str">
        <x:v>hold record</x:v>
      </x:c>
      <x:c r="D3378" s="7" t="str">
        <x:v>RAE-E-29-HP-02</x:v>
      </x:c>
      <x:c r="E3378" s="7" t="str">
        <x:v>Hold Ledger!J904</x:v>
      </x:c>
      <x:c r="F3378" s="7" t="str">
        <x:f>'Hold Ledger'!J904</x:f>
        <x:v>OPEN</x:v>
      </x:c>
    </x:row>
    <x:row r="3379">
      <x:c r="B3379" s="7" t="str">
        <x:v>PHY-3373</x:v>
      </x:c>
      <x:c r="C3379" s="7" t="str">
        <x:v>hold record</x:v>
      </x:c>
      <x:c r="D3379" s="7" t="str">
        <x:v>RAE-E-29-HP-03</x:v>
      </x:c>
      <x:c r="E3379" s="7" t="str">
        <x:v>Hold Ledger!J905</x:v>
      </x:c>
      <x:c r="F3379" s="7" t="str">
        <x:f>'Hold Ledger'!J905</x:f>
        <x:v>OPEN</x:v>
      </x:c>
    </x:row>
    <x:row r="3380">
      <x:c r="B3380" s="7" t="str">
        <x:v>PHY-3374</x:v>
      </x:c>
      <x:c r="C3380" s="7" t="str">
        <x:v>hold record</x:v>
      </x:c>
      <x:c r="D3380" s="7" t="str">
        <x:v>RAE-E-29-HP-04</x:v>
      </x:c>
      <x:c r="E3380" s="7" t="str">
        <x:v>Hold Ledger!J906</x:v>
      </x:c>
      <x:c r="F3380" s="7" t="str">
        <x:f>'Hold Ledger'!J906</x:f>
        <x:v>OPEN</x:v>
      </x:c>
    </x:row>
    <x:row r="3381">
      <x:c r="B3381" s="7" t="str">
        <x:v>PHY-3375</x:v>
      </x:c>
      <x:c r="C3381" s="7" t="str">
        <x:v>hold record</x:v>
      </x:c>
      <x:c r="D3381" s="7" t="str">
        <x:v>RAE-E-29-HP-05</x:v>
      </x:c>
      <x:c r="E3381" s="7" t="str">
        <x:v>Hold Ledger!J907</x:v>
      </x:c>
      <x:c r="F3381" s="7" t="str">
        <x:f>'Hold Ledger'!J907</x:f>
        <x:v>OPEN</x:v>
      </x:c>
    </x:row>
    <x:row r="3382">
      <x:c r="B3382" s="7" t="str">
        <x:v>PHY-3376</x:v>
      </x:c>
      <x:c r="C3382" s="7" t="str">
        <x:v>hold record</x:v>
      </x:c>
      <x:c r="D3382" s="7" t="str">
        <x:v>RAE-E-29-HP-06</x:v>
      </x:c>
      <x:c r="E3382" s="7" t="str">
        <x:v>Hold Ledger!J908</x:v>
      </x:c>
      <x:c r="F3382" s="7" t="str">
        <x:f>'Hold Ledger'!J908</x:f>
        <x:v>OPEN</x:v>
      </x:c>
    </x:row>
    <x:row r="3383">
      <x:c r="B3383" s="7" t="str">
        <x:v>PHY-3377</x:v>
      </x:c>
      <x:c r="C3383" s="7" t="str">
        <x:v>hold record</x:v>
      </x:c>
      <x:c r="D3383" s="7" t="str">
        <x:v>RAE-E-29-HP-07</x:v>
      </x:c>
      <x:c r="E3383" s="7" t="str">
        <x:v>Hold Ledger!J909</x:v>
      </x:c>
      <x:c r="F3383" s="7" t="str">
        <x:f>'Hold Ledger'!J909</x:f>
        <x:v>OPEN</x:v>
      </x:c>
    </x:row>
    <x:row r="3384">
      <x:c r="B3384" s="7" t="str">
        <x:v>PHY-3378</x:v>
      </x:c>
      <x:c r="C3384" s="7" t="str">
        <x:v>hold record</x:v>
      </x:c>
      <x:c r="D3384" s="7" t="str">
        <x:v>RAE-E-29-HP-08</x:v>
      </x:c>
      <x:c r="E3384" s="7" t="str">
        <x:v>Hold Ledger!J910</x:v>
      </x:c>
      <x:c r="F3384" s="7" t="str">
        <x:f>'Hold Ledger'!J910</x:f>
        <x:v>OPEN</x:v>
      </x:c>
    </x:row>
    <x:row r="3385">
      <x:c r="B3385" s="7" t="str">
        <x:v>PHY-3379</x:v>
      </x:c>
      <x:c r="C3385" s="7" t="str">
        <x:v>hold record</x:v>
      </x:c>
      <x:c r="D3385" s="7" t="str">
        <x:v>RAE-E-29-HP-09</x:v>
      </x:c>
      <x:c r="E3385" s="7" t="str">
        <x:v>Hold Ledger!J911</x:v>
      </x:c>
      <x:c r="F3385" s="7" t="str">
        <x:f>'Hold Ledger'!J911</x:f>
        <x:v>OPEN</x:v>
      </x:c>
    </x:row>
    <x:row r="3386">
      <x:c r="B3386" s="7" t="str">
        <x:v>PHY-3380</x:v>
      </x:c>
      <x:c r="C3386" s="7" t="str">
        <x:v>hold record</x:v>
      </x:c>
      <x:c r="D3386" s="7" t="str">
        <x:v>RAE-E-29-HP-10</x:v>
      </x:c>
      <x:c r="E3386" s="7" t="str">
        <x:v>Hold Ledger!J912</x:v>
      </x:c>
      <x:c r="F3386" s="7" t="str">
        <x:f>'Hold Ledger'!J912</x:f>
        <x:v>OPEN</x:v>
      </x:c>
    </x:row>
    <x:row r="3387">
      <x:c r="B3387" s="7" t="str">
        <x:v>PHY-3381</x:v>
      </x:c>
      <x:c r="C3387" s="7" t="str">
        <x:v>hold record</x:v>
      </x:c>
      <x:c r="D3387" s="7" t="str">
        <x:v>RAE-E-29-HP-11</x:v>
      </x:c>
      <x:c r="E3387" s="7" t="str">
        <x:v>Hold Ledger!J913</x:v>
      </x:c>
      <x:c r="F3387" s="7" t="str">
        <x:f>'Hold Ledger'!J913</x:f>
        <x:v>OPEN</x:v>
      </x:c>
    </x:row>
    <x:row r="3388">
      <x:c r="B3388" s="7" t="str">
        <x:v>PHY-3382</x:v>
      </x:c>
      <x:c r="C3388" s="7" t="str">
        <x:v>hold record</x:v>
      </x:c>
      <x:c r="D3388" s="7" t="str">
        <x:v>RAE-E-29-HP-12</x:v>
      </x:c>
      <x:c r="E3388" s="7" t="str">
        <x:v>Hold Ledger!J914</x:v>
      </x:c>
      <x:c r="F3388" s="7" t="str">
        <x:f>'Hold Ledger'!J914</x:f>
        <x:v>OPEN</x:v>
      </x:c>
    </x:row>
    <x:row r="3389">
      <x:c r="B3389" s="7" t="str">
        <x:v>PHY-3383</x:v>
      </x:c>
      <x:c r="C3389" s="7" t="str">
        <x:v>hold record</x:v>
      </x:c>
      <x:c r="D3389" s="7" t="str">
        <x:v>RAE-E-29-HP-13</x:v>
      </x:c>
      <x:c r="E3389" s="7" t="str">
        <x:v>Hold Ledger!J915</x:v>
      </x:c>
      <x:c r="F3389" s="7" t="str">
        <x:f>'Hold Ledger'!J915</x:f>
        <x:v>OPEN</x:v>
      </x:c>
    </x:row>
    <x:row r="3390">
      <x:c r="B3390" s="7" t="str">
        <x:v>PHY-3384</x:v>
      </x:c>
      <x:c r="C3390" s="7" t="str">
        <x:v>hold record</x:v>
      </x:c>
      <x:c r="D3390" s="7" t="str">
        <x:v>RAE-E-29-HP-14</x:v>
      </x:c>
      <x:c r="E3390" s="7" t="str">
        <x:v>Hold Ledger!J916</x:v>
      </x:c>
      <x:c r="F3390" s="7" t="str">
        <x:f>'Hold Ledger'!J916</x:f>
        <x:v>OPEN</x:v>
      </x:c>
    </x:row>
    <x:row r="3391">
      <x:c r="B3391" s="7" t="str">
        <x:v>PHY-3385</x:v>
      </x:c>
      <x:c r="C3391" s="7" t="str">
        <x:v>hold record</x:v>
      </x:c>
      <x:c r="D3391" s="7" t="str">
        <x:v>RAE-E-29-HP-15</x:v>
      </x:c>
      <x:c r="E3391" s="7" t="str">
        <x:v>Hold Ledger!J917</x:v>
      </x:c>
      <x:c r="F3391" s="7" t="str">
        <x:f>'Hold Ledger'!J917</x:f>
        <x:v>OPEN</x:v>
      </x:c>
    </x:row>
    <x:row r="3392">
      <x:c r="B3392" s="7" t="str">
        <x:v>PHY-3386</x:v>
      </x:c>
      <x:c r="C3392" s="7" t="str">
        <x:v>hold record</x:v>
      </x:c>
      <x:c r="D3392" s="7" t="str">
        <x:v>RAE-E-29-HP-16</x:v>
      </x:c>
      <x:c r="E3392" s="7" t="str">
        <x:v>Hold Ledger!J918</x:v>
      </x:c>
      <x:c r="F3392" s="7" t="str">
        <x:f>'Hold Ledger'!J918</x:f>
        <x:v>OPEN</x:v>
      </x:c>
    </x:row>
    <x:row r="3393">
      <x:c r="B3393" s="7" t="str">
        <x:v>PHY-3387</x:v>
      </x:c>
      <x:c r="C3393" s="7" t="str">
        <x:v>hold record</x:v>
      </x:c>
      <x:c r="D3393" s="7" t="str">
        <x:v>RAE-E-29-HP-17</x:v>
      </x:c>
      <x:c r="E3393" s="7" t="str">
        <x:v>Hold Ledger!J919</x:v>
      </x:c>
      <x:c r="F3393" s="7" t="str">
        <x:f>'Hold Ledger'!J919</x:f>
        <x:v>OPEN</x:v>
      </x:c>
    </x:row>
    <x:row r="3394">
      <x:c r="B3394" s="7" t="str">
        <x:v>PHY-3388</x:v>
      </x:c>
      <x:c r="C3394" s="7" t="str">
        <x:v>hold record</x:v>
      </x:c>
      <x:c r="D3394" s="7" t="str">
        <x:v>RAE-E-29-HP-18</x:v>
      </x:c>
      <x:c r="E3394" s="7" t="str">
        <x:v>Hold Ledger!J920</x:v>
      </x:c>
      <x:c r="F3394" s="7" t="str">
        <x:f>'Hold Ledger'!J920</x:f>
        <x:v>OPEN</x:v>
      </x:c>
    </x:row>
    <x:row r="3395">
      <x:c r="B3395" s="7" t="str">
        <x:v>PHY-3389</x:v>
      </x:c>
      <x:c r="C3395" s="7" t="str">
        <x:v>hold record</x:v>
      </x:c>
      <x:c r="D3395" s="7" t="str">
        <x:v>RAE-E-29-HP-19</x:v>
      </x:c>
      <x:c r="E3395" s="7" t="str">
        <x:v>Hold Ledger!J921</x:v>
      </x:c>
      <x:c r="F3395" s="7" t="str">
        <x:f>'Hold Ledger'!J921</x:f>
        <x:v>OPEN</x:v>
      </x:c>
    </x:row>
    <x:row r="3396">
      <x:c r="B3396" s="7" t="str">
        <x:v>PHY-3390</x:v>
      </x:c>
      <x:c r="C3396" s="7" t="str">
        <x:v>hold record</x:v>
      </x:c>
      <x:c r="D3396" s="7" t="str">
        <x:v>RAE-E-29-HP-20</x:v>
      </x:c>
      <x:c r="E3396" s="7" t="str">
        <x:v>Hold Ledger!J922</x:v>
      </x:c>
      <x:c r="F3396" s="7" t="str">
        <x:f>'Hold Ledger'!J922</x:f>
        <x:v>OPEN</x:v>
      </x:c>
    </x:row>
    <x:row r="3397">
      <x:c r="B3397" s="7" t="str">
        <x:v>PHY-3391</x:v>
      </x:c>
      <x:c r="C3397" s="7" t="str">
        <x:v>hold record</x:v>
      </x:c>
      <x:c r="D3397" s="7" t="str">
        <x:v>RAE-E-29-HP-21</x:v>
      </x:c>
      <x:c r="E3397" s="7" t="str">
        <x:v>Hold Ledger!J923</x:v>
      </x:c>
      <x:c r="F3397" s="7" t="str">
        <x:f>'Hold Ledger'!J923</x:f>
        <x:v>OPEN</x:v>
      </x:c>
    </x:row>
    <x:row r="3398">
      <x:c r="B3398" s="7" t="str">
        <x:v>PHY-3392</x:v>
      </x:c>
      <x:c r="C3398" s="7" t="str">
        <x:v>hold record</x:v>
      </x:c>
      <x:c r="D3398" s="7" t="str">
        <x:v>RAE-E-29-HP-22</x:v>
      </x:c>
      <x:c r="E3398" s="7" t="str">
        <x:v>Hold Ledger!J924</x:v>
      </x:c>
      <x:c r="F3398" s="7" t="str">
        <x:f>'Hold Ledger'!J924</x:f>
        <x:v>OPEN</x:v>
      </x:c>
    </x:row>
    <x:row r="3399">
      <x:c r="B3399" s="7" t="str">
        <x:v>PHY-3393</x:v>
      </x:c>
      <x:c r="C3399" s="7" t="str">
        <x:v>hold record</x:v>
      </x:c>
      <x:c r="D3399" s="7" t="str">
        <x:v>RAE-E-29-HP-23</x:v>
      </x:c>
      <x:c r="E3399" s="7" t="str">
        <x:v>Hold Ledger!J925</x:v>
      </x:c>
      <x:c r="F3399" s="7" t="str">
        <x:f>'Hold Ledger'!J925</x:f>
        <x:v>OPEN</x:v>
      </x:c>
    </x:row>
    <x:row r="3400">
      <x:c r="B3400" s="7" t="str">
        <x:v>PHY-3394</x:v>
      </x:c>
      <x:c r="C3400" s="7" t="str">
        <x:v>hold record</x:v>
      </x:c>
      <x:c r="D3400" s="7" t="str">
        <x:v>RAE-E-29-HP-24</x:v>
      </x:c>
      <x:c r="E3400" s="7" t="str">
        <x:v>Hold Ledger!J926</x:v>
      </x:c>
      <x:c r="F3400" s="7" t="str">
        <x:f>'Hold Ledger'!J926</x:f>
        <x:v>OPEN</x:v>
      </x:c>
    </x:row>
    <x:row r="3401">
      <x:c r="B3401" s="7" t="str">
        <x:v>PHY-3395</x:v>
      </x:c>
      <x:c r="C3401" s="7" t="str">
        <x:v>hold record</x:v>
      </x:c>
      <x:c r="D3401" s="7" t="str">
        <x:v>RAE-E-29-HP-25</x:v>
      </x:c>
      <x:c r="E3401" s="7" t="str">
        <x:v>Hold Ledger!J927</x:v>
      </x:c>
      <x:c r="F3401" s="7" t="str">
        <x:f>'Hold Ledger'!J927</x:f>
        <x:v>OPEN</x:v>
      </x:c>
    </x:row>
    <x:row r="3402">
      <x:c r="B3402" s="7" t="str">
        <x:v>PHY-3396</x:v>
      </x:c>
      <x:c r="C3402" s="7" t="str">
        <x:v>hold record</x:v>
      </x:c>
      <x:c r="D3402" s="7" t="str">
        <x:v>RAE-E-29-HP-26</x:v>
      </x:c>
      <x:c r="E3402" s="7" t="str">
        <x:v>Hold Ledger!J928</x:v>
      </x:c>
      <x:c r="F3402" s="7" t="str">
        <x:f>'Hold Ledger'!J928</x:f>
        <x:v>OPEN</x:v>
      </x:c>
    </x:row>
    <x:row r="3403">
      <x:c r="B3403" s="7" t="str">
        <x:v>PHY-3397</x:v>
      </x:c>
      <x:c r="C3403" s="7" t="str">
        <x:v>hold record</x:v>
      </x:c>
      <x:c r="D3403" s="7" t="str">
        <x:v>RAE-E-29-HP-27</x:v>
      </x:c>
      <x:c r="E3403" s="7" t="str">
        <x:v>Hold Ledger!J929</x:v>
      </x:c>
      <x:c r="F3403" s="7" t="str">
        <x:f>'Hold Ledger'!J929</x:f>
        <x:v>OPEN</x:v>
      </x:c>
    </x:row>
    <x:row r="3404">
      <x:c r="B3404" s="7" t="str">
        <x:v>PHY-3398</x:v>
      </x:c>
      <x:c r="C3404" s="7" t="str">
        <x:v>hold record</x:v>
      </x:c>
      <x:c r="D3404" s="7" t="str">
        <x:v>RAE-E-29-HP-28</x:v>
      </x:c>
      <x:c r="E3404" s="7" t="str">
        <x:v>Hold Ledger!J930</x:v>
      </x:c>
      <x:c r="F3404" s="7" t="str">
        <x:f>'Hold Ledger'!J930</x:f>
        <x:v>OPEN</x:v>
      </x:c>
    </x:row>
    <x:row r="3405">
      <x:c r="B3405" s="7" t="str">
        <x:v>PHY-3399</x:v>
      </x:c>
      <x:c r="C3405" s="7" t="str">
        <x:v>hold record</x:v>
      </x:c>
      <x:c r="D3405" s="7" t="str">
        <x:v>RAE-E-29-HP-29</x:v>
      </x:c>
      <x:c r="E3405" s="7" t="str">
        <x:v>Hold Ledger!J931</x:v>
      </x:c>
      <x:c r="F3405" s="7" t="str">
        <x:f>'Hold Ledger'!J931</x:f>
        <x:v>OPEN</x:v>
      </x:c>
    </x:row>
    <x:row r="3406">
      <x:c r="B3406" s="7" t="str">
        <x:v>PHY-3400</x:v>
      </x:c>
      <x:c r="C3406" s="7" t="str">
        <x:v>hold record</x:v>
      </x:c>
      <x:c r="D3406" s="7" t="str">
        <x:v>RAE-E-29-HP-30</x:v>
      </x:c>
      <x:c r="E3406" s="7" t="str">
        <x:v>Hold Ledger!J932</x:v>
      </x:c>
      <x:c r="F3406" s="7" t="str">
        <x:f>'Hold Ledger'!J932</x:f>
        <x:v>OPEN</x:v>
      </x:c>
    </x:row>
    <x:row r="3407">
      <x:c r="B3407" s="7" t="str">
        <x:v>PHY-3401</x:v>
      </x:c>
      <x:c r="C3407" s="7" t="str">
        <x:v>hold record</x:v>
      </x:c>
      <x:c r="D3407" s="7" t="str">
        <x:v>RAE-E-29-HP-31</x:v>
      </x:c>
      <x:c r="E3407" s="7" t="str">
        <x:v>Hold Ledger!J933</x:v>
      </x:c>
      <x:c r="F3407" s="7" t="str">
        <x:f>'Hold Ledger'!J933</x:f>
        <x:v>OPEN</x:v>
      </x:c>
    </x:row>
    <x:row r="3408">
      <x:c r="B3408" s="7" t="str">
        <x:v>PHY-3402</x:v>
      </x:c>
      <x:c r="C3408" s="7" t="str">
        <x:v>hold record</x:v>
      </x:c>
      <x:c r="D3408" s="7" t="str">
        <x:v>RAE-E-29-HP-32</x:v>
      </x:c>
      <x:c r="E3408" s="7" t="str">
        <x:v>Hold Ledger!J934</x:v>
      </x:c>
      <x:c r="F3408" s="7" t="str">
        <x:f>'Hold Ledger'!J934</x:f>
        <x:v>OPEN</x:v>
      </x:c>
    </x:row>
    <x:row r="3409">
      <x:c r="B3409" s="7" t="str">
        <x:v>PHY-3403</x:v>
      </x:c>
      <x:c r="C3409" s="7" t="str">
        <x:v>hold record</x:v>
      </x:c>
      <x:c r="D3409" s="7" t="str">
        <x:v>RAE-E-30-HP-01</x:v>
      </x:c>
      <x:c r="E3409" s="7" t="str">
        <x:v>Hold Ledger!J935</x:v>
      </x:c>
      <x:c r="F3409" s="7" t="str">
        <x:f>'Hold Ledger'!J935</x:f>
        <x:v>OPEN</x:v>
      </x:c>
    </x:row>
    <x:row r="3410">
      <x:c r="B3410" s="7" t="str">
        <x:v>PHY-3404</x:v>
      </x:c>
      <x:c r="C3410" s="7" t="str">
        <x:v>hold record</x:v>
      </x:c>
      <x:c r="D3410" s="7" t="str">
        <x:v>RAE-E-30-HP-02</x:v>
      </x:c>
      <x:c r="E3410" s="7" t="str">
        <x:v>Hold Ledger!J936</x:v>
      </x:c>
      <x:c r="F3410" s="7" t="str">
        <x:f>'Hold Ledger'!J936</x:f>
        <x:v>OPEN</x:v>
      </x:c>
    </x:row>
    <x:row r="3411">
      <x:c r="B3411" s="7" t="str">
        <x:v>PHY-3405</x:v>
      </x:c>
      <x:c r="C3411" s="7" t="str">
        <x:v>hold record</x:v>
      </x:c>
      <x:c r="D3411" s="7" t="str">
        <x:v>RAE-E-30-HP-03</x:v>
      </x:c>
      <x:c r="E3411" s="7" t="str">
        <x:v>Hold Ledger!J937</x:v>
      </x:c>
      <x:c r="F3411" s="7" t="str">
        <x:f>'Hold Ledger'!J937</x:f>
        <x:v>OPEN</x:v>
      </x:c>
    </x:row>
    <x:row r="3412">
      <x:c r="B3412" s="7" t="str">
        <x:v>PHY-3406</x:v>
      </x:c>
      <x:c r="C3412" s="7" t="str">
        <x:v>hold record</x:v>
      </x:c>
      <x:c r="D3412" s="7" t="str">
        <x:v>RAE-E-30-HP-04</x:v>
      </x:c>
      <x:c r="E3412" s="7" t="str">
        <x:v>Hold Ledger!J938</x:v>
      </x:c>
      <x:c r="F3412" s="7" t="str">
        <x:f>'Hold Ledger'!J938</x:f>
        <x:v>OPEN</x:v>
      </x:c>
    </x:row>
    <x:row r="3413">
      <x:c r="B3413" s="7" t="str">
        <x:v>PHY-3407</x:v>
      </x:c>
      <x:c r="C3413" s="7" t="str">
        <x:v>hold record</x:v>
      </x:c>
      <x:c r="D3413" s="7" t="str">
        <x:v>RAE-E-30-HP-05</x:v>
      </x:c>
      <x:c r="E3413" s="7" t="str">
        <x:v>Hold Ledger!J939</x:v>
      </x:c>
      <x:c r="F3413" s="7" t="str">
        <x:f>'Hold Ledger'!J939</x:f>
        <x:v>OPEN</x:v>
      </x:c>
    </x:row>
    <x:row r="3414">
      <x:c r="B3414" s="7" t="str">
        <x:v>PHY-3408</x:v>
      </x:c>
      <x:c r="C3414" s="7" t="str">
        <x:v>hold record</x:v>
      </x:c>
      <x:c r="D3414" s="7" t="str">
        <x:v>RAE-E-30-HP-06</x:v>
      </x:c>
      <x:c r="E3414" s="7" t="str">
        <x:v>Hold Ledger!J940</x:v>
      </x:c>
      <x:c r="F3414" s="7" t="str">
        <x:f>'Hold Ledger'!J940</x:f>
        <x:v>OPEN</x:v>
      </x:c>
    </x:row>
    <x:row r="3415">
      <x:c r="B3415" s="7" t="str">
        <x:v>PHY-3409</x:v>
      </x:c>
      <x:c r="C3415" s="7" t="str">
        <x:v>hold record</x:v>
      </x:c>
      <x:c r="D3415" s="7" t="str">
        <x:v>RAE-E-30-HP-07</x:v>
      </x:c>
      <x:c r="E3415" s="7" t="str">
        <x:v>Hold Ledger!J941</x:v>
      </x:c>
      <x:c r="F3415" s="7" t="str">
        <x:f>'Hold Ledger'!J941</x:f>
        <x:v>OPEN</x:v>
      </x:c>
    </x:row>
    <x:row r="3416">
      <x:c r="B3416" s="7" t="str">
        <x:v>PHY-3410</x:v>
      </x:c>
      <x:c r="C3416" s="7" t="str">
        <x:v>hold record</x:v>
      </x:c>
      <x:c r="D3416" s="7" t="str">
        <x:v>RAE-E-30-HP-08</x:v>
      </x:c>
      <x:c r="E3416" s="7" t="str">
        <x:v>Hold Ledger!J942</x:v>
      </x:c>
      <x:c r="F3416" s="7" t="str">
        <x:f>'Hold Ledger'!J942</x:f>
        <x:v>OPEN</x:v>
      </x:c>
    </x:row>
    <x:row r="3417">
      <x:c r="B3417" s="7" t="str">
        <x:v>PHY-3411</x:v>
      </x:c>
      <x:c r="C3417" s="7" t="str">
        <x:v>hold record</x:v>
      </x:c>
      <x:c r="D3417" s="7" t="str">
        <x:v>RAE-E-30-HP-09</x:v>
      </x:c>
      <x:c r="E3417" s="7" t="str">
        <x:v>Hold Ledger!J943</x:v>
      </x:c>
      <x:c r="F3417" s="7" t="str">
        <x:f>'Hold Ledger'!J943</x:f>
        <x:v>OPEN</x:v>
      </x:c>
    </x:row>
    <x:row r="3418">
      <x:c r="B3418" s="7" t="str">
        <x:v>PHY-3412</x:v>
      </x:c>
      <x:c r="C3418" s="7" t="str">
        <x:v>hold record</x:v>
      </x:c>
      <x:c r="D3418" s="7" t="str">
        <x:v>RAE-E-30-HP-10</x:v>
      </x:c>
      <x:c r="E3418" s="7" t="str">
        <x:v>Hold Ledger!J944</x:v>
      </x:c>
      <x:c r="F3418" s="7" t="str">
        <x:f>'Hold Ledger'!J944</x:f>
        <x:v>OPEN</x:v>
      </x:c>
    </x:row>
    <x:row r="3419">
      <x:c r="B3419" s="7" t="str">
        <x:v>PHY-3413</x:v>
      </x:c>
      <x:c r="C3419" s="7" t="str">
        <x:v>hold record</x:v>
      </x:c>
      <x:c r="D3419" s="7" t="str">
        <x:v>RAE-E-30-HP-11</x:v>
      </x:c>
      <x:c r="E3419" s="7" t="str">
        <x:v>Hold Ledger!J945</x:v>
      </x:c>
      <x:c r="F3419" s="7" t="str">
        <x:f>'Hold Ledger'!J945</x:f>
        <x:v>OPEN</x:v>
      </x:c>
    </x:row>
    <x:row r="3420">
      <x:c r="B3420" s="7" t="str">
        <x:v>PHY-3414</x:v>
      </x:c>
      <x:c r="C3420" s="7" t="str">
        <x:v>hold record</x:v>
      </x:c>
      <x:c r="D3420" s="7" t="str">
        <x:v>RAE-E-30-HP-12</x:v>
      </x:c>
      <x:c r="E3420" s="7" t="str">
        <x:v>Hold Ledger!J946</x:v>
      </x:c>
      <x:c r="F3420" s="7" t="str">
        <x:f>'Hold Ledger'!J946</x:f>
        <x:v>OPEN</x:v>
      </x:c>
    </x:row>
    <x:row r="3421">
      <x:c r="B3421" s="7" t="str">
        <x:v>PHY-3415</x:v>
      </x:c>
      <x:c r="C3421" s="7" t="str">
        <x:v>hold record</x:v>
      </x:c>
      <x:c r="D3421" s="7" t="str">
        <x:v>RAE-E-30-HP-13</x:v>
      </x:c>
      <x:c r="E3421" s="7" t="str">
        <x:v>Hold Ledger!J947</x:v>
      </x:c>
      <x:c r="F3421" s="7" t="str">
        <x:f>'Hold Ledger'!J947</x:f>
        <x:v>OPEN</x:v>
      </x:c>
    </x:row>
    <x:row r="3422">
      <x:c r="B3422" s="7" t="str">
        <x:v>PHY-3416</x:v>
      </x:c>
      <x:c r="C3422" s="7" t="str">
        <x:v>hold record</x:v>
      </x:c>
      <x:c r="D3422" s="7" t="str">
        <x:v>RAE-E-30-HP-14</x:v>
      </x:c>
      <x:c r="E3422" s="7" t="str">
        <x:v>Hold Ledger!J948</x:v>
      </x:c>
      <x:c r="F3422" s="7" t="str">
        <x:f>'Hold Ledger'!J948</x:f>
        <x:v>OPEN</x:v>
      </x:c>
    </x:row>
    <x:row r="3423">
      <x:c r="B3423" s="7" t="str">
        <x:v>PHY-3417</x:v>
      </x:c>
      <x:c r="C3423" s="7" t="str">
        <x:v>hold record</x:v>
      </x:c>
      <x:c r="D3423" s="7" t="str">
        <x:v>RAE-E-30-HP-15</x:v>
      </x:c>
      <x:c r="E3423" s="7" t="str">
        <x:v>Hold Ledger!J949</x:v>
      </x:c>
      <x:c r="F3423" s="7" t="str">
        <x:f>'Hold Ledger'!J949</x:f>
        <x:v>OPEN</x:v>
      </x:c>
    </x:row>
    <x:row r="3424">
      <x:c r="B3424" s="7" t="str">
        <x:v>PHY-3418</x:v>
      </x:c>
      <x:c r="C3424" s="7" t="str">
        <x:v>hold record</x:v>
      </x:c>
      <x:c r="D3424" s="7" t="str">
        <x:v>RAE-E-30-HP-16</x:v>
      </x:c>
      <x:c r="E3424" s="7" t="str">
        <x:v>Hold Ledger!J950</x:v>
      </x:c>
      <x:c r="F3424" s="7" t="str">
        <x:f>'Hold Ledger'!J950</x:f>
        <x:v>OPEN</x:v>
      </x:c>
    </x:row>
    <x:row r="3425">
      <x:c r="B3425" s="7" t="str">
        <x:v>PHY-3419</x:v>
      </x:c>
      <x:c r="C3425" s="7" t="str">
        <x:v>hold record</x:v>
      </x:c>
      <x:c r="D3425" s="7" t="str">
        <x:v>RAE-E-30-HP-17</x:v>
      </x:c>
      <x:c r="E3425" s="7" t="str">
        <x:v>Hold Ledger!J951</x:v>
      </x:c>
      <x:c r="F3425" s="7" t="str">
        <x:f>'Hold Ledger'!J951</x:f>
        <x:v>OPEN</x:v>
      </x:c>
    </x:row>
    <x:row r="3426">
      <x:c r="B3426" s="7" t="str">
        <x:v>PHY-3420</x:v>
      </x:c>
      <x:c r="C3426" s="7" t="str">
        <x:v>hold record</x:v>
      </x:c>
      <x:c r="D3426" s="7" t="str">
        <x:v>RAE-E-30-HP-18</x:v>
      </x:c>
      <x:c r="E3426" s="7" t="str">
        <x:v>Hold Ledger!J952</x:v>
      </x:c>
      <x:c r="F3426" s="7" t="str">
        <x:f>'Hold Ledger'!J952</x:f>
        <x:v>OPEN</x:v>
      </x:c>
    </x:row>
    <x:row r="3427">
      <x:c r="B3427" s="7" t="str">
        <x:v>PHY-3421</x:v>
      </x:c>
      <x:c r="C3427" s="7" t="str">
        <x:v>hold record</x:v>
      </x:c>
      <x:c r="D3427" s="7" t="str">
        <x:v>RAE-E-30-HP-19</x:v>
      </x:c>
      <x:c r="E3427" s="7" t="str">
        <x:v>Hold Ledger!J953</x:v>
      </x:c>
      <x:c r="F3427" s="7" t="str">
        <x:f>'Hold Ledger'!J953</x:f>
        <x:v>OPEN</x:v>
      </x:c>
    </x:row>
    <x:row r="3428">
      <x:c r="B3428" s="7" t="str">
        <x:v>PHY-3422</x:v>
      </x:c>
      <x:c r="C3428" s="7" t="str">
        <x:v>hold record</x:v>
      </x:c>
      <x:c r="D3428" s="7" t="str">
        <x:v>RAE-E-30-HP-20</x:v>
      </x:c>
      <x:c r="E3428" s="7" t="str">
        <x:v>Hold Ledger!J954</x:v>
      </x:c>
      <x:c r="F3428" s="7" t="str">
        <x:f>'Hold Ledger'!J954</x:f>
        <x:v>OPEN</x:v>
      </x:c>
    </x:row>
    <x:row r="3429">
      <x:c r="B3429" s="7" t="str">
        <x:v>PHY-3423</x:v>
      </x:c>
      <x:c r="C3429" s="7" t="str">
        <x:v>hold record</x:v>
      </x:c>
      <x:c r="D3429" s="7" t="str">
        <x:v>RAE-E-30-HP-21</x:v>
      </x:c>
      <x:c r="E3429" s="7" t="str">
        <x:v>Hold Ledger!J955</x:v>
      </x:c>
      <x:c r="F3429" s="7" t="str">
        <x:f>'Hold Ledger'!J955</x:f>
        <x:v>OPEN</x:v>
      </x:c>
    </x:row>
    <x:row r="3430">
      <x:c r="B3430" s="7" t="str">
        <x:v>PHY-3424</x:v>
      </x:c>
      <x:c r="C3430" s="7" t="str">
        <x:v>hold record</x:v>
      </x:c>
      <x:c r="D3430" s="7" t="str">
        <x:v>RAE-E-30-HP-22</x:v>
      </x:c>
      <x:c r="E3430" s="7" t="str">
        <x:v>Hold Ledger!J956</x:v>
      </x:c>
      <x:c r="F3430" s="7" t="str">
        <x:f>'Hold Ledger'!J956</x:f>
        <x:v>OPEN</x:v>
      </x:c>
    </x:row>
    <x:row r="3431">
      <x:c r="B3431" s="7" t="str">
        <x:v>PHY-3425</x:v>
      </x:c>
      <x:c r="C3431" s="7" t="str">
        <x:v>hold record</x:v>
      </x:c>
      <x:c r="D3431" s="7" t="str">
        <x:v>RAE-E-30-HP-23</x:v>
      </x:c>
      <x:c r="E3431" s="7" t="str">
        <x:v>Hold Ledger!J957</x:v>
      </x:c>
      <x:c r="F3431" s="7" t="str">
        <x:f>'Hold Ledger'!J957</x:f>
        <x:v>OPEN</x:v>
      </x:c>
    </x:row>
    <x:row r="3432">
      <x:c r="B3432" s="7" t="str">
        <x:v>PHY-3426</x:v>
      </x:c>
      <x:c r="C3432" s="7" t="str">
        <x:v>hold record</x:v>
      </x:c>
      <x:c r="D3432" s="7" t="str">
        <x:v>RAE-E-30-HP-24</x:v>
      </x:c>
      <x:c r="E3432" s="7" t="str">
        <x:v>Hold Ledger!J958</x:v>
      </x:c>
      <x:c r="F3432" s="7" t="str">
        <x:f>'Hold Ledger'!J958</x:f>
        <x:v>OPEN</x:v>
      </x:c>
    </x:row>
    <x:row r="3433">
      <x:c r="B3433" s="7" t="str">
        <x:v>PHY-3427</x:v>
      </x:c>
      <x:c r="C3433" s="7" t="str">
        <x:v>hold record</x:v>
      </x:c>
      <x:c r="D3433" s="7" t="str">
        <x:v>RAE-E-30-HP-25</x:v>
      </x:c>
      <x:c r="E3433" s="7" t="str">
        <x:v>Hold Ledger!J959</x:v>
      </x:c>
      <x:c r="F3433" s="7" t="str">
        <x:f>'Hold Ledger'!J959</x:f>
        <x:v>OPEN</x:v>
      </x:c>
    </x:row>
    <x:row r="3434">
      <x:c r="B3434" s="7" t="str">
        <x:v>PHY-3428</x:v>
      </x:c>
      <x:c r="C3434" s="7" t="str">
        <x:v>hold record</x:v>
      </x:c>
      <x:c r="D3434" s="7" t="str">
        <x:v>RAE-E-30-HP-26</x:v>
      </x:c>
      <x:c r="E3434" s="7" t="str">
        <x:v>Hold Ledger!J960</x:v>
      </x:c>
      <x:c r="F3434" s="7" t="str">
        <x:f>'Hold Ledger'!J960</x:f>
        <x:v>OPEN</x:v>
      </x:c>
    </x:row>
    <x:row r="3435">
      <x:c r="B3435" s="7" t="str">
        <x:v>PHY-3429</x:v>
      </x:c>
      <x:c r="C3435" s="7" t="str">
        <x:v>hold record</x:v>
      </x:c>
      <x:c r="D3435" s="7" t="str">
        <x:v>RAE-E-30-HP-27</x:v>
      </x:c>
      <x:c r="E3435" s="7" t="str">
        <x:v>Hold Ledger!J961</x:v>
      </x:c>
      <x:c r="F3435" s="7" t="str">
        <x:f>'Hold Ledger'!J961</x:f>
        <x:v>OPEN</x:v>
      </x:c>
    </x:row>
    <x:row r="3436">
      <x:c r="B3436" s="7" t="str">
        <x:v>PHY-3430</x:v>
      </x:c>
      <x:c r="C3436" s="7" t="str">
        <x:v>hold record</x:v>
      </x:c>
      <x:c r="D3436" s="7" t="str">
        <x:v>RAE-E-30-HP-28</x:v>
      </x:c>
      <x:c r="E3436" s="7" t="str">
        <x:v>Hold Ledger!J962</x:v>
      </x:c>
      <x:c r="F3436" s="7" t="str">
        <x:f>'Hold Ledger'!J962</x:f>
        <x:v>OPEN</x:v>
      </x:c>
    </x:row>
    <x:row r="3437">
      <x:c r="B3437" s="7" t="str">
        <x:v>PHY-3431</x:v>
      </x:c>
      <x:c r="C3437" s="7" t="str">
        <x:v>hold record</x:v>
      </x:c>
      <x:c r="D3437" s="7" t="str">
        <x:v>RAE-E-30-HP-29</x:v>
      </x:c>
      <x:c r="E3437" s="7" t="str">
        <x:v>Hold Ledger!J963</x:v>
      </x:c>
      <x:c r="F3437" s="7" t="str">
        <x:f>'Hold Ledger'!J963</x:f>
        <x:v>OPEN</x:v>
      </x:c>
    </x:row>
    <x:row r="3438">
      <x:c r="B3438" s="7" t="str">
        <x:v>PHY-3432</x:v>
      </x:c>
      <x:c r="C3438" s="7" t="str">
        <x:v>hold record</x:v>
      </x:c>
      <x:c r="D3438" s="7" t="str">
        <x:v>RAE-E-30-HP-30</x:v>
      </x:c>
      <x:c r="E3438" s="7" t="str">
        <x:v>Hold Ledger!J964</x:v>
      </x:c>
      <x:c r="F3438" s="7" t="str">
        <x:f>'Hold Ledger'!J964</x:f>
        <x:v>OPEN</x:v>
      </x:c>
    </x:row>
    <x:row r="3439">
      <x:c r="B3439" s="7" t="str">
        <x:v>PHY-3433</x:v>
      </x:c>
      <x:c r="C3439" s="7" t="str">
        <x:v>hold record</x:v>
      </x:c>
      <x:c r="D3439" s="7" t="str">
        <x:v>RAE-E-30-HP-31</x:v>
      </x:c>
      <x:c r="E3439" s="7" t="str">
        <x:v>Hold Ledger!J965</x:v>
      </x:c>
      <x:c r="F3439" s="7" t="str">
        <x:f>'Hold Ledger'!J965</x:f>
        <x:v>OPEN</x:v>
      </x:c>
    </x:row>
    <x:row r="3440">
      <x:c r="B3440" s="7" t="str">
        <x:v>PHY-3434</x:v>
      </x:c>
      <x:c r="C3440" s="7" t="str">
        <x:v>hold record</x:v>
      </x:c>
      <x:c r="D3440" s="7" t="str">
        <x:v>RAE-E-30-HP-32</x:v>
      </x:c>
      <x:c r="E3440" s="7" t="str">
        <x:v>Hold Ledger!J966</x:v>
      </x:c>
      <x:c r="F3440" s="7" t="str">
        <x:f>'Hold Ledger'!J966</x:f>
        <x:v>OPEN</x:v>
      </x:c>
    </x:row>
    <x:row r="3441">
      <x:c r="B3441" s="7" t="str">
        <x:v>PHY-3435</x:v>
      </x:c>
      <x:c r="C3441" s="7" t="str">
        <x:v>hold record</x:v>
      </x:c>
      <x:c r="D3441" s="7" t="str">
        <x:v>RAE-E-31-HP-01</x:v>
      </x:c>
      <x:c r="E3441" s="7" t="str">
        <x:v>Hold Ledger!J967</x:v>
      </x:c>
      <x:c r="F3441" s="7" t="str">
        <x:f>'Hold Ledger'!J967</x:f>
        <x:v>OPEN</x:v>
      </x:c>
    </x:row>
    <x:row r="3442">
      <x:c r="B3442" s="7" t="str">
        <x:v>PHY-3436</x:v>
      </x:c>
      <x:c r="C3442" s="7" t="str">
        <x:v>hold record</x:v>
      </x:c>
      <x:c r="D3442" s="7" t="str">
        <x:v>RAE-E-31-HP-02</x:v>
      </x:c>
      <x:c r="E3442" s="7" t="str">
        <x:v>Hold Ledger!J968</x:v>
      </x:c>
      <x:c r="F3442" s="7" t="str">
        <x:f>'Hold Ledger'!J968</x:f>
        <x:v>OPEN</x:v>
      </x:c>
    </x:row>
    <x:row r="3443">
      <x:c r="B3443" s="7" t="str">
        <x:v>PHY-3437</x:v>
      </x:c>
      <x:c r="C3443" s="7" t="str">
        <x:v>hold record</x:v>
      </x:c>
      <x:c r="D3443" s="7" t="str">
        <x:v>RAE-E-31-HP-03</x:v>
      </x:c>
      <x:c r="E3443" s="7" t="str">
        <x:v>Hold Ledger!J969</x:v>
      </x:c>
      <x:c r="F3443" s="7" t="str">
        <x:f>'Hold Ledger'!J969</x:f>
        <x:v>OPEN</x:v>
      </x:c>
    </x:row>
    <x:row r="3444">
      <x:c r="B3444" s="7" t="str">
        <x:v>PHY-3438</x:v>
      </x:c>
      <x:c r="C3444" s="7" t="str">
        <x:v>hold record</x:v>
      </x:c>
      <x:c r="D3444" s="7" t="str">
        <x:v>RAE-E-31-HP-04</x:v>
      </x:c>
      <x:c r="E3444" s="7" t="str">
        <x:v>Hold Ledger!J970</x:v>
      </x:c>
      <x:c r="F3444" s="7" t="str">
        <x:f>'Hold Ledger'!J970</x:f>
        <x:v>OPEN</x:v>
      </x:c>
    </x:row>
    <x:row r="3445">
      <x:c r="B3445" s="7" t="str">
        <x:v>PHY-3439</x:v>
      </x:c>
      <x:c r="C3445" s="7" t="str">
        <x:v>hold record</x:v>
      </x:c>
      <x:c r="D3445" s="7" t="str">
        <x:v>RAE-E-31-HP-05</x:v>
      </x:c>
      <x:c r="E3445" s="7" t="str">
        <x:v>Hold Ledger!J971</x:v>
      </x:c>
      <x:c r="F3445" s="7" t="str">
        <x:f>'Hold Ledger'!J971</x:f>
        <x:v>OPEN</x:v>
      </x:c>
    </x:row>
    <x:row r="3446">
      <x:c r="B3446" s="7" t="str">
        <x:v>PHY-3440</x:v>
      </x:c>
      <x:c r="C3446" s="7" t="str">
        <x:v>hold record</x:v>
      </x:c>
      <x:c r="D3446" s="7" t="str">
        <x:v>RAE-E-31-HP-06</x:v>
      </x:c>
      <x:c r="E3446" s="7" t="str">
        <x:v>Hold Ledger!J972</x:v>
      </x:c>
      <x:c r="F3446" s="7" t="str">
        <x:f>'Hold Ledger'!J972</x:f>
        <x:v>OPEN</x:v>
      </x:c>
    </x:row>
    <x:row r="3447">
      <x:c r="B3447" s="7" t="str">
        <x:v>PHY-3441</x:v>
      </x:c>
      <x:c r="C3447" s="7" t="str">
        <x:v>hold record</x:v>
      </x:c>
      <x:c r="D3447" s="7" t="str">
        <x:v>RAE-E-31-HP-07</x:v>
      </x:c>
      <x:c r="E3447" s="7" t="str">
        <x:v>Hold Ledger!J973</x:v>
      </x:c>
      <x:c r="F3447" s="7" t="str">
        <x:f>'Hold Ledger'!J973</x:f>
        <x:v>OPEN</x:v>
      </x:c>
    </x:row>
    <x:row r="3448">
      <x:c r="B3448" s="7" t="str">
        <x:v>PHY-3442</x:v>
      </x:c>
      <x:c r="C3448" s="7" t="str">
        <x:v>hold record</x:v>
      </x:c>
      <x:c r="D3448" s="7" t="str">
        <x:v>RAE-E-31-HP-08</x:v>
      </x:c>
      <x:c r="E3448" s="7" t="str">
        <x:v>Hold Ledger!J974</x:v>
      </x:c>
      <x:c r="F3448" s="7" t="str">
        <x:f>'Hold Ledger'!J974</x:f>
        <x:v>OPEN</x:v>
      </x:c>
    </x:row>
    <x:row r="3449">
      <x:c r="B3449" s="7" t="str">
        <x:v>PHY-3443</x:v>
      </x:c>
      <x:c r="C3449" s="7" t="str">
        <x:v>hold record</x:v>
      </x:c>
      <x:c r="D3449" s="7" t="str">
        <x:v>RAE-E-31-HP-09</x:v>
      </x:c>
      <x:c r="E3449" s="7" t="str">
        <x:v>Hold Ledger!J975</x:v>
      </x:c>
      <x:c r="F3449" s="7" t="str">
        <x:f>'Hold Ledger'!J975</x:f>
        <x:v>OPEN</x:v>
      </x:c>
    </x:row>
    <x:row r="3450">
      <x:c r="B3450" s="7" t="str">
        <x:v>PHY-3444</x:v>
      </x:c>
      <x:c r="C3450" s="7" t="str">
        <x:v>hold record</x:v>
      </x:c>
      <x:c r="D3450" s="7" t="str">
        <x:v>RAE-E-31-HP-10</x:v>
      </x:c>
      <x:c r="E3450" s="7" t="str">
        <x:v>Hold Ledger!J976</x:v>
      </x:c>
      <x:c r="F3450" s="7" t="str">
        <x:f>'Hold Ledger'!J976</x:f>
        <x:v>OPEN</x:v>
      </x:c>
    </x:row>
    <x:row r="3451">
      <x:c r="B3451" s="7" t="str">
        <x:v>PHY-3445</x:v>
      </x:c>
      <x:c r="C3451" s="7" t="str">
        <x:v>hold record</x:v>
      </x:c>
      <x:c r="D3451" s="7" t="str">
        <x:v>RAE-E-31-HP-11</x:v>
      </x:c>
      <x:c r="E3451" s="7" t="str">
        <x:v>Hold Ledger!J977</x:v>
      </x:c>
      <x:c r="F3451" s="7" t="str">
        <x:f>'Hold Ledger'!J977</x:f>
        <x:v>OPEN</x:v>
      </x:c>
    </x:row>
    <x:row r="3452">
      <x:c r="B3452" s="7" t="str">
        <x:v>PHY-3446</x:v>
      </x:c>
      <x:c r="C3452" s="7" t="str">
        <x:v>hold record</x:v>
      </x:c>
      <x:c r="D3452" s="7" t="str">
        <x:v>RAE-E-31-HP-12</x:v>
      </x:c>
      <x:c r="E3452" s="7" t="str">
        <x:v>Hold Ledger!J978</x:v>
      </x:c>
      <x:c r="F3452" s="7" t="str">
        <x:f>'Hold Ledger'!J978</x:f>
        <x:v>OPEN</x:v>
      </x:c>
    </x:row>
    <x:row r="3453">
      <x:c r="B3453" s="7" t="str">
        <x:v>PHY-3447</x:v>
      </x:c>
      <x:c r="C3453" s="7" t="str">
        <x:v>hold record</x:v>
      </x:c>
      <x:c r="D3453" s="7" t="str">
        <x:v>RAE-E-31-HP-13</x:v>
      </x:c>
      <x:c r="E3453" s="7" t="str">
        <x:v>Hold Ledger!J979</x:v>
      </x:c>
      <x:c r="F3453" s="7" t="str">
        <x:f>'Hold Ledger'!J979</x:f>
        <x:v>OPEN</x:v>
      </x:c>
    </x:row>
    <x:row r="3454">
      <x:c r="B3454" s="7" t="str">
        <x:v>PHY-3448</x:v>
      </x:c>
      <x:c r="C3454" s="7" t="str">
        <x:v>hold record</x:v>
      </x:c>
      <x:c r="D3454" s="7" t="str">
        <x:v>RAE-E-31-HP-14</x:v>
      </x:c>
      <x:c r="E3454" s="7" t="str">
        <x:v>Hold Ledger!J980</x:v>
      </x:c>
      <x:c r="F3454" s="7" t="str">
        <x:f>'Hold Ledger'!J980</x:f>
        <x:v>OPEN</x:v>
      </x:c>
    </x:row>
    <x:row r="3455">
      <x:c r="B3455" s="7" t="str">
        <x:v>PHY-3449</x:v>
      </x:c>
      <x:c r="C3455" s="7" t="str">
        <x:v>hold record</x:v>
      </x:c>
      <x:c r="D3455" s="7" t="str">
        <x:v>RAE-E-31-HP-15</x:v>
      </x:c>
      <x:c r="E3455" s="7" t="str">
        <x:v>Hold Ledger!J981</x:v>
      </x:c>
      <x:c r="F3455" s="7" t="str">
        <x:f>'Hold Ledger'!J981</x:f>
        <x:v>OPEN</x:v>
      </x:c>
    </x:row>
    <x:row r="3456">
      <x:c r="B3456" s="7" t="str">
        <x:v>PHY-3450</x:v>
      </x:c>
      <x:c r="C3456" s="7" t="str">
        <x:v>hold record</x:v>
      </x:c>
      <x:c r="D3456" s="7" t="str">
        <x:v>RAE-E-31-HP-16</x:v>
      </x:c>
      <x:c r="E3456" s="7" t="str">
        <x:v>Hold Ledger!J982</x:v>
      </x:c>
      <x:c r="F3456" s="7" t="str">
        <x:f>'Hold Ledger'!J982</x:f>
        <x:v>OPEN</x:v>
      </x:c>
    </x:row>
    <x:row r="3457">
      <x:c r="B3457" s="7" t="str">
        <x:v>PHY-3451</x:v>
      </x:c>
      <x:c r="C3457" s="7" t="str">
        <x:v>hold record</x:v>
      </x:c>
      <x:c r="D3457" s="7" t="str">
        <x:v>RAE-E-31-HP-17</x:v>
      </x:c>
      <x:c r="E3457" s="7" t="str">
        <x:v>Hold Ledger!J983</x:v>
      </x:c>
      <x:c r="F3457" s="7" t="str">
        <x:f>'Hold Ledger'!J983</x:f>
        <x:v>OPEN</x:v>
      </x:c>
    </x:row>
    <x:row r="3458">
      <x:c r="B3458" s="7" t="str">
        <x:v>PHY-3452</x:v>
      </x:c>
      <x:c r="C3458" s="7" t="str">
        <x:v>hold record</x:v>
      </x:c>
      <x:c r="D3458" s="7" t="str">
        <x:v>RAE-E-31-HP-18</x:v>
      </x:c>
      <x:c r="E3458" s="7" t="str">
        <x:v>Hold Ledger!J984</x:v>
      </x:c>
      <x:c r="F3458" s="7" t="str">
        <x:f>'Hold Ledger'!J984</x:f>
        <x:v>OPEN</x:v>
      </x:c>
    </x:row>
    <x:row r="3459">
      <x:c r="B3459" s="7" t="str">
        <x:v>PHY-3453</x:v>
      </x:c>
      <x:c r="C3459" s="7" t="str">
        <x:v>hold record</x:v>
      </x:c>
      <x:c r="D3459" s="7" t="str">
        <x:v>RAE-E-31-HP-19</x:v>
      </x:c>
      <x:c r="E3459" s="7" t="str">
        <x:v>Hold Ledger!J985</x:v>
      </x:c>
      <x:c r="F3459" s="7" t="str">
        <x:f>'Hold Ledger'!J985</x:f>
        <x:v>OPEN</x:v>
      </x:c>
    </x:row>
    <x:row r="3460">
      <x:c r="B3460" s="7" t="str">
        <x:v>PHY-3454</x:v>
      </x:c>
      <x:c r="C3460" s="7" t="str">
        <x:v>hold record</x:v>
      </x:c>
      <x:c r="D3460" s="7" t="str">
        <x:v>RAE-E-31-HP-20</x:v>
      </x:c>
      <x:c r="E3460" s="7" t="str">
        <x:v>Hold Ledger!J986</x:v>
      </x:c>
      <x:c r="F3460" s="7" t="str">
        <x:f>'Hold Ledger'!J986</x:f>
        <x:v>OPEN</x:v>
      </x:c>
    </x:row>
    <x:row r="3461">
      <x:c r="B3461" s="7" t="str">
        <x:v>PHY-3455</x:v>
      </x:c>
      <x:c r="C3461" s="7" t="str">
        <x:v>hold record</x:v>
      </x:c>
      <x:c r="D3461" s="7" t="str">
        <x:v>RAE-E-31-HP-21</x:v>
      </x:c>
      <x:c r="E3461" s="7" t="str">
        <x:v>Hold Ledger!J987</x:v>
      </x:c>
      <x:c r="F3461" s="7" t="str">
        <x:f>'Hold Ledger'!J987</x:f>
        <x:v>OPEN</x:v>
      </x:c>
    </x:row>
    <x:row r="3462">
      <x:c r="B3462" s="7" t="str">
        <x:v>PHY-3456</x:v>
      </x:c>
      <x:c r="C3462" s="7" t="str">
        <x:v>hold record</x:v>
      </x:c>
      <x:c r="D3462" s="7" t="str">
        <x:v>RAE-E-31-HP-22</x:v>
      </x:c>
      <x:c r="E3462" s="7" t="str">
        <x:v>Hold Ledger!J988</x:v>
      </x:c>
      <x:c r="F3462" s="7" t="str">
        <x:f>'Hold Ledger'!J988</x:f>
        <x:v>OPEN</x:v>
      </x:c>
    </x:row>
    <x:row r="3463">
      <x:c r="B3463" s="7" t="str">
        <x:v>PHY-3457</x:v>
      </x:c>
      <x:c r="C3463" s="7" t="str">
        <x:v>hold record</x:v>
      </x:c>
      <x:c r="D3463" s="7" t="str">
        <x:v>RAE-E-31-HP-23</x:v>
      </x:c>
      <x:c r="E3463" s="7" t="str">
        <x:v>Hold Ledger!J989</x:v>
      </x:c>
      <x:c r="F3463" s="7" t="str">
        <x:f>'Hold Ledger'!J989</x:f>
        <x:v>OPEN</x:v>
      </x:c>
    </x:row>
    <x:row r="3464">
      <x:c r="B3464" s="7" t="str">
        <x:v>PHY-3458</x:v>
      </x:c>
      <x:c r="C3464" s="7" t="str">
        <x:v>hold record</x:v>
      </x:c>
      <x:c r="D3464" s="7" t="str">
        <x:v>RAE-E-31-HP-24</x:v>
      </x:c>
      <x:c r="E3464" s="7" t="str">
        <x:v>Hold Ledger!J990</x:v>
      </x:c>
      <x:c r="F3464" s="7" t="str">
        <x:f>'Hold Ledger'!J990</x:f>
        <x:v>OPEN</x:v>
      </x:c>
    </x:row>
    <x:row r="3465">
      <x:c r="B3465" s="7" t="str">
        <x:v>PHY-3459</x:v>
      </x:c>
      <x:c r="C3465" s="7" t="str">
        <x:v>hold record</x:v>
      </x:c>
      <x:c r="D3465" s="7" t="str">
        <x:v>RAE-E-31-HP-25</x:v>
      </x:c>
      <x:c r="E3465" s="7" t="str">
        <x:v>Hold Ledger!J991</x:v>
      </x:c>
      <x:c r="F3465" s="7" t="str">
        <x:f>'Hold Ledger'!J991</x:f>
        <x:v>OPEN</x:v>
      </x:c>
    </x:row>
    <x:row r="3466">
      <x:c r="B3466" s="7" t="str">
        <x:v>PHY-3460</x:v>
      </x:c>
      <x:c r="C3466" s="7" t="str">
        <x:v>hold record</x:v>
      </x:c>
      <x:c r="D3466" s="7" t="str">
        <x:v>RAE-E-31-HP-26</x:v>
      </x:c>
      <x:c r="E3466" s="7" t="str">
        <x:v>Hold Ledger!J992</x:v>
      </x:c>
      <x:c r="F3466" s="7" t="str">
        <x:f>'Hold Ledger'!J992</x:f>
        <x:v>OPEN</x:v>
      </x:c>
    </x:row>
    <x:row r="3467">
      <x:c r="B3467" s="7" t="str">
        <x:v>PHY-3461</x:v>
      </x:c>
      <x:c r="C3467" s="7" t="str">
        <x:v>hold record</x:v>
      </x:c>
      <x:c r="D3467" s="7" t="str">
        <x:v>RAE-E-31-HP-27</x:v>
      </x:c>
      <x:c r="E3467" s="7" t="str">
        <x:v>Hold Ledger!J993</x:v>
      </x:c>
      <x:c r="F3467" s="7" t="str">
        <x:f>'Hold Ledger'!J993</x:f>
        <x:v>OPEN</x:v>
      </x:c>
    </x:row>
    <x:row r="3468">
      <x:c r="B3468" s="7" t="str">
        <x:v>PHY-3462</x:v>
      </x:c>
      <x:c r="C3468" s="7" t="str">
        <x:v>hold record</x:v>
      </x:c>
      <x:c r="D3468" s="7" t="str">
        <x:v>RAE-E-31-HP-28</x:v>
      </x:c>
      <x:c r="E3468" s="7" t="str">
        <x:v>Hold Ledger!J994</x:v>
      </x:c>
      <x:c r="F3468" s="7" t="str">
        <x:f>'Hold Ledger'!J994</x:f>
        <x:v>OPEN</x:v>
      </x:c>
    </x:row>
    <x:row r="3469">
      <x:c r="B3469" s="7" t="str">
        <x:v>PHY-3463</x:v>
      </x:c>
      <x:c r="C3469" s="7" t="str">
        <x:v>hold record</x:v>
      </x:c>
      <x:c r="D3469" s="7" t="str">
        <x:v>RAE-E-31-HP-29</x:v>
      </x:c>
      <x:c r="E3469" s="7" t="str">
        <x:v>Hold Ledger!J995</x:v>
      </x:c>
      <x:c r="F3469" s="7" t="str">
        <x:f>'Hold Ledger'!J995</x:f>
        <x:v>OPEN</x:v>
      </x:c>
    </x:row>
    <x:row r="3470">
      <x:c r="B3470" s="7" t="str">
        <x:v>PHY-3464</x:v>
      </x:c>
      <x:c r="C3470" s="7" t="str">
        <x:v>hold record</x:v>
      </x:c>
      <x:c r="D3470" s="7" t="str">
        <x:v>RAE-E-31-HP-30</x:v>
      </x:c>
      <x:c r="E3470" s="7" t="str">
        <x:v>Hold Ledger!J996</x:v>
      </x:c>
      <x:c r="F3470" s="7" t="str">
        <x:f>'Hold Ledger'!J996</x:f>
        <x:v>OPEN</x:v>
      </x:c>
    </x:row>
    <x:row r="3471">
      <x:c r="B3471" s="7" t="str">
        <x:v>PHY-3465</x:v>
      </x:c>
      <x:c r="C3471" s="7" t="str">
        <x:v>hold record</x:v>
      </x:c>
      <x:c r="D3471" s="7" t="str">
        <x:v>RAE-E-31-HP-31</x:v>
      </x:c>
      <x:c r="E3471" s="7" t="str">
        <x:v>Hold Ledger!J997</x:v>
      </x:c>
      <x:c r="F3471" s="7" t="str">
        <x:f>'Hold Ledger'!J997</x:f>
        <x:v>OPEN</x:v>
      </x:c>
    </x:row>
    <x:row r="3472">
      <x:c r="B3472" s="7" t="str">
        <x:v>PHY-3466</x:v>
      </x:c>
      <x:c r="C3472" s="7" t="str">
        <x:v>hold record</x:v>
      </x:c>
      <x:c r="D3472" s="7" t="str">
        <x:v>RAE-E-31-HP-32</x:v>
      </x:c>
      <x:c r="E3472" s="7" t="str">
        <x:v>Hold Ledger!J998</x:v>
      </x:c>
      <x:c r="F3472" s="7" t="str">
        <x:f>'Hold Ledger'!J998</x:f>
        <x:v>OPEN</x:v>
      </x:c>
    </x:row>
    <x:row r="3473">
      <x:c r="B3473" s="7" t="str">
        <x:v>PHY-3467</x:v>
      </x:c>
      <x:c r="C3473" s="7" t="str">
        <x:v>hold record</x:v>
      </x:c>
      <x:c r="D3473" s="7" t="str">
        <x:v>RAE-E-32-HP-01</x:v>
      </x:c>
      <x:c r="E3473" s="7" t="str">
        <x:v>Hold Ledger!J999</x:v>
      </x:c>
      <x:c r="F3473" s="7" t="str">
        <x:f>'Hold Ledger'!J999</x:f>
        <x:v>OPEN</x:v>
      </x:c>
    </x:row>
    <x:row r="3474">
      <x:c r="B3474" s="7" t="str">
        <x:v>PHY-3468</x:v>
      </x:c>
      <x:c r="C3474" s="7" t="str">
        <x:v>hold record</x:v>
      </x:c>
      <x:c r="D3474" s="7" t="str">
        <x:v>RAE-E-32-HP-02</x:v>
      </x:c>
      <x:c r="E3474" s="7" t="str">
        <x:v>Hold Ledger!J1000</x:v>
      </x:c>
      <x:c r="F3474" s="7" t="str">
        <x:f>'Hold Ledger'!J1000</x:f>
        <x:v>OPEN</x:v>
      </x:c>
    </x:row>
    <x:row r="3475">
      <x:c r="B3475" s="7" t="str">
        <x:v>PHY-3469</x:v>
      </x:c>
      <x:c r="C3475" s="7" t="str">
        <x:v>hold record</x:v>
      </x:c>
      <x:c r="D3475" s="7" t="str">
        <x:v>RAE-E-32-HP-03</x:v>
      </x:c>
      <x:c r="E3475" s="7" t="str">
        <x:v>Hold Ledger!J1001</x:v>
      </x:c>
      <x:c r="F3475" s="7" t="str">
        <x:f>'Hold Ledger'!J1001</x:f>
        <x:v>OPEN</x:v>
      </x:c>
    </x:row>
    <x:row r="3476">
      <x:c r="B3476" s="7" t="str">
        <x:v>PHY-3470</x:v>
      </x:c>
      <x:c r="C3476" s="7" t="str">
        <x:v>hold record</x:v>
      </x:c>
      <x:c r="D3476" s="7" t="str">
        <x:v>RAE-E-32-HP-04</x:v>
      </x:c>
      <x:c r="E3476" s="7" t="str">
        <x:v>Hold Ledger!J1002</x:v>
      </x:c>
      <x:c r="F3476" s="7" t="str">
        <x:f>'Hold Ledger'!J1002</x:f>
        <x:v>OPEN</x:v>
      </x:c>
    </x:row>
    <x:row r="3477">
      <x:c r="B3477" s="7" t="str">
        <x:v>PHY-3471</x:v>
      </x:c>
      <x:c r="C3477" s="7" t="str">
        <x:v>hold record</x:v>
      </x:c>
      <x:c r="D3477" s="7" t="str">
        <x:v>RAE-E-32-HP-05</x:v>
      </x:c>
      <x:c r="E3477" s="7" t="str">
        <x:v>Hold Ledger!J1003</x:v>
      </x:c>
      <x:c r="F3477" s="7" t="str">
        <x:f>'Hold Ledger'!J1003</x:f>
        <x:v>OPEN</x:v>
      </x:c>
    </x:row>
    <x:row r="3478">
      <x:c r="B3478" s="7" t="str">
        <x:v>PHY-3472</x:v>
      </x:c>
      <x:c r="C3478" s="7" t="str">
        <x:v>hold record</x:v>
      </x:c>
      <x:c r="D3478" s="7" t="str">
        <x:v>RAE-E-32-HP-06</x:v>
      </x:c>
      <x:c r="E3478" s="7" t="str">
        <x:v>Hold Ledger!J1004</x:v>
      </x:c>
      <x:c r="F3478" s="7" t="str">
        <x:f>'Hold Ledger'!J1004</x:f>
        <x:v>OPEN</x:v>
      </x:c>
    </x:row>
    <x:row r="3479">
      <x:c r="B3479" s="7" t="str">
        <x:v>PHY-3473</x:v>
      </x:c>
      <x:c r="C3479" s="7" t="str">
        <x:v>hold record</x:v>
      </x:c>
      <x:c r="D3479" s="7" t="str">
        <x:v>RAE-E-32-HP-07</x:v>
      </x:c>
      <x:c r="E3479" s="7" t="str">
        <x:v>Hold Ledger!J1005</x:v>
      </x:c>
      <x:c r="F3479" s="7" t="str">
        <x:f>'Hold Ledger'!J1005</x:f>
        <x:v>OPEN</x:v>
      </x:c>
    </x:row>
    <x:row r="3480">
      <x:c r="B3480" s="7" t="str">
        <x:v>PHY-3474</x:v>
      </x:c>
      <x:c r="C3480" s="7" t="str">
        <x:v>hold record</x:v>
      </x:c>
      <x:c r="D3480" s="7" t="str">
        <x:v>RAE-E-32-HP-08</x:v>
      </x:c>
      <x:c r="E3480" s="7" t="str">
        <x:v>Hold Ledger!J1006</x:v>
      </x:c>
      <x:c r="F3480" s="7" t="str">
        <x:f>'Hold Ledger'!J1006</x:f>
        <x:v>OPEN</x:v>
      </x:c>
    </x:row>
    <x:row r="3481">
      <x:c r="B3481" s="7" t="str">
        <x:v>PHY-3475</x:v>
      </x:c>
      <x:c r="C3481" s="7" t="str">
        <x:v>hold record</x:v>
      </x:c>
      <x:c r="D3481" s="7" t="str">
        <x:v>RAE-E-32-HP-09</x:v>
      </x:c>
      <x:c r="E3481" s="7" t="str">
        <x:v>Hold Ledger!J1007</x:v>
      </x:c>
      <x:c r="F3481" s="7" t="str">
        <x:f>'Hold Ledger'!J1007</x:f>
        <x:v>OPEN</x:v>
      </x:c>
    </x:row>
    <x:row r="3482">
      <x:c r="B3482" s="7" t="str">
        <x:v>PHY-3476</x:v>
      </x:c>
      <x:c r="C3482" s="7" t="str">
        <x:v>hold record</x:v>
      </x:c>
      <x:c r="D3482" s="7" t="str">
        <x:v>RAE-E-32-HP-10</x:v>
      </x:c>
      <x:c r="E3482" s="7" t="str">
        <x:v>Hold Ledger!J1008</x:v>
      </x:c>
      <x:c r="F3482" s="7" t="str">
        <x:f>'Hold Ledger'!J1008</x:f>
        <x:v>OPEN</x:v>
      </x:c>
    </x:row>
    <x:row r="3483">
      <x:c r="B3483" s="7" t="str">
        <x:v>PHY-3477</x:v>
      </x:c>
      <x:c r="C3483" s="7" t="str">
        <x:v>hold record</x:v>
      </x:c>
      <x:c r="D3483" s="7" t="str">
        <x:v>RAE-E-32-HP-11</x:v>
      </x:c>
      <x:c r="E3483" s="7" t="str">
        <x:v>Hold Ledger!J1009</x:v>
      </x:c>
      <x:c r="F3483" s="7" t="str">
        <x:f>'Hold Ledger'!J1009</x:f>
        <x:v>OPEN</x:v>
      </x:c>
    </x:row>
    <x:row r="3484">
      <x:c r="B3484" s="7" t="str">
        <x:v>PHY-3478</x:v>
      </x:c>
      <x:c r="C3484" s="7" t="str">
        <x:v>hold record</x:v>
      </x:c>
      <x:c r="D3484" s="7" t="str">
        <x:v>RAE-E-32-HP-12</x:v>
      </x:c>
      <x:c r="E3484" s="7" t="str">
        <x:v>Hold Ledger!J1010</x:v>
      </x:c>
      <x:c r="F3484" s="7" t="str">
        <x:f>'Hold Ledger'!J1010</x:f>
        <x:v>OPEN</x:v>
      </x:c>
    </x:row>
    <x:row r="3485">
      <x:c r="B3485" s="7" t="str">
        <x:v>PHY-3479</x:v>
      </x:c>
      <x:c r="C3485" s="7" t="str">
        <x:v>hold record</x:v>
      </x:c>
      <x:c r="D3485" s="7" t="str">
        <x:v>RAE-E-32-HP-13</x:v>
      </x:c>
      <x:c r="E3485" s="7" t="str">
        <x:v>Hold Ledger!J1011</x:v>
      </x:c>
      <x:c r="F3485" s="7" t="str">
        <x:f>'Hold Ledger'!J1011</x:f>
        <x:v>OPEN</x:v>
      </x:c>
    </x:row>
    <x:row r="3486">
      <x:c r="B3486" s="7" t="str">
        <x:v>PHY-3480</x:v>
      </x:c>
      <x:c r="C3486" s="7" t="str">
        <x:v>hold record</x:v>
      </x:c>
      <x:c r="D3486" s="7" t="str">
        <x:v>RAE-E-32-HP-14</x:v>
      </x:c>
      <x:c r="E3486" s="7" t="str">
        <x:v>Hold Ledger!J1012</x:v>
      </x:c>
      <x:c r="F3486" s="7" t="str">
        <x:f>'Hold Ledger'!J1012</x:f>
        <x:v>OPEN</x:v>
      </x:c>
    </x:row>
    <x:row r="3487">
      <x:c r="B3487" s="7" t="str">
        <x:v>PHY-3481</x:v>
      </x:c>
      <x:c r="C3487" s="7" t="str">
        <x:v>hold record</x:v>
      </x:c>
      <x:c r="D3487" s="7" t="str">
        <x:v>RAE-E-32-HP-15</x:v>
      </x:c>
      <x:c r="E3487" s="7" t="str">
        <x:v>Hold Ledger!J1013</x:v>
      </x:c>
      <x:c r="F3487" s="7" t="str">
        <x:f>'Hold Ledger'!J1013</x:f>
        <x:v>OPEN</x:v>
      </x:c>
    </x:row>
    <x:row r="3488">
      <x:c r="B3488" s="7" t="str">
        <x:v>PHY-3482</x:v>
      </x:c>
      <x:c r="C3488" s="7" t="str">
        <x:v>hold record</x:v>
      </x:c>
      <x:c r="D3488" s="7" t="str">
        <x:v>RAE-E-32-HP-16</x:v>
      </x:c>
      <x:c r="E3488" s="7" t="str">
        <x:v>Hold Ledger!J1014</x:v>
      </x:c>
      <x:c r="F3488" s="7" t="str">
        <x:f>'Hold Ledger'!J1014</x:f>
        <x:v>OPEN</x:v>
      </x:c>
    </x:row>
    <x:row r="3489">
      <x:c r="B3489" s="7" t="str">
        <x:v>PHY-3483</x:v>
      </x:c>
      <x:c r="C3489" s="7" t="str">
        <x:v>hold record</x:v>
      </x:c>
      <x:c r="D3489" s="7" t="str">
        <x:v>RAE-E-32-HP-17</x:v>
      </x:c>
      <x:c r="E3489" s="7" t="str">
        <x:v>Hold Ledger!J1015</x:v>
      </x:c>
      <x:c r="F3489" s="7" t="str">
        <x:f>'Hold Ledger'!J1015</x:f>
        <x:v>OPEN</x:v>
      </x:c>
    </x:row>
    <x:row r="3490">
      <x:c r="B3490" s="7" t="str">
        <x:v>PHY-3484</x:v>
      </x:c>
      <x:c r="C3490" s="7" t="str">
        <x:v>hold record</x:v>
      </x:c>
      <x:c r="D3490" s="7" t="str">
        <x:v>RAE-E-32-HP-18</x:v>
      </x:c>
      <x:c r="E3490" s="7" t="str">
        <x:v>Hold Ledger!J1016</x:v>
      </x:c>
      <x:c r="F3490" s="7" t="str">
        <x:f>'Hold Ledger'!J1016</x:f>
        <x:v>OPEN</x:v>
      </x:c>
    </x:row>
    <x:row r="3491">
      <x:c r="B3491" s="7" t="str">
        <x:v>PHY-3485</x:v>
      </x:c>
      <x:c r="C3491" s="7" t="str">
        <x:v>hold record</x:v>
      </x:c>
      <x:c r="D3491" s="7" t="str">
        <x:v>RAE-E-32-HP-19</x:v>
      </x:c>
      <x:c r="E3491" s="7" t="str">
        <x:v>Hold Ledger!J1017</x:v>
      </x:c>
      <x:c r="F3491" s="7" t="str">
        <x:f>'Hold Ledger'!J1017</x:f>
        <x:v>OPEN</x:v>
      </x:c>
    </x:row>
    <x:row r="3492">
      <x:c r="B3492" s="7" t="str">
        <x:v>PHY-3486</x:v>
      </x:c>
      <x:c r="C3492" s="7" t="str">
        <x:v>hold record</x:v>
      </x:c>
      <x:c r="D3492" s="7" t="str">
        <x:v>RAE-E-32-HP-20</x:v>
      </x:c>
      <x:c r="E3492" s="7" t="str">
        <x:v>Hold Ledger!J1018</x:v>
      </x:c>
      <x:c r="F3492" s="7" t="str">
        <x:f>'Hold Ledger'!J1018</x:f>
        <x:v>OPEN</x:v>
      </x:c>
    </x:row>
    <x:row r="3493">
      <x:c r="B3493" s="7" t="str">
        <x:v>PHY-3487</x:v>
      </x:c>
      <x:c r="C3493" s="7" t="str">
        <x:v>hold record</x:v>
      </x:c>
      <x:c r="D3493" s="7" t="str">
        <x:v>RAE-E-32-HP-21</x:v>
      </x:c>
      <x:c r="E3493" s="7" t="str">
        <x:v>Hold Ledger!J1019</x:v>
      </x:c>
      <x:c r="F3493" s="7" t="str">
        <x:f>'Hold Ledger'!J1019</x:f>
        <x:v>OPEN</x:v>
      </x:c>
    </x:row>
    <x:row r="3494">
      <x:c r="B3494" s="7" t="str">
        <x:v>PHY-3488</x:v>
      </x:c>
      <x:c r="C3494" s="7" t="str">
        <x:v>hold record</x:v>
      </x:c>
      <x:c r="D3494" s="7" t="str">
        <x:v>RAE-E-32-HP-22</x:v>
      </x:c>
      <x:c r="E3494" s="7" t="str">
        <x:v>Hold Ledger!J1020</x:v>
      </x:c>
      <x:c r="F3494" s="7" t="str">
        <x:f>'Hold Ledger'!J1020</x:f>
        <x:v>OPEN</x:v>
      </x:c>
    </x:row>
    <x:row r="3495">
      <x:c r="B3495" s="7" t="str">
        <x:v>PHY-3489</x:v>
      </x:c>
      <x:c r="C3495" s="7" t="str">
        <x:v>hold record</x:v>
      </x:c>
      <x:c r="D3495" s="7" t="str">
        <x:v>RAE-E-32-HP-23</x:v>
      </x:c>
      <x:c r="E3495" s="7" t="str">
        <x:v>Hold Ledger!J1021</x:v>
      </x:c>
      <x:c r="F3495" s="7" t="str">
        <x:f>'Hold Ledger'!J1021</x:f>
        <x:v>OPEN</x:v>
      </x:c>
    </x:row>
    <x:row r="3496">
      <x:c r="B3496" s="7" t="str">
        <x:v>PHY-3490</x:v>
      </x:c>
      <x:c r="C3496" s="7" t="str">
        <x:v>hold record</x:v>
      </x:c>
      <x:c r="D3496" s="7" t="str">
        <x:v>RAE-E-32-HP-24</x:v>
      </x:c>
      <x:c r="E3496" s="7" t="str">
        <x:v>Hold Ledger!J1022</x:v>
      </x:c>
      <x:c r="F3496" s="7" t="str">
        <x:f>'Hold Ledger'!J1022</x:f>
        <x:v>OPEN</x:v>
      </x:c>
    </x:row>
    <x:row r="3497">
      <x:c r="B3497" s="7" t="str">
        <x:v>PHY-3491</x:v>
      </x:c>
      <x:c r="C3497" s="7" t="str">
        <x:v>hold record</x:v>
      </x:c>
      <x:c r="D3497" s="7" t="str">
        <x:v>RAE-E-32-HP-25</x:v>
      </x:c>
      <x:c r="E3497" s="7" t="str">
        <x:v>Hold Ledger!J1023</x:v>
      </x:c>
      <x:c r="F3497" s="7" t="str">
        <x:f>'Hold Ledger'!J1023</x:f>
        <x:v>OPEN</x:v>
      </x:c>
    </x:row>
    <x:row r="3498">
      <x:c r="B3498" s="7" t="str">
        <x:v>PHY-3492</x:v>
      </x:c>
      <x:c r="C3498" s="7" t="str">
        <x:v>hold record</x:v>
      </x:c>
      <x:c r="D3498" s="7" t="str">
        <x:v>RAE-E-32-HP-26</x:v>
      </x:c>
      <x:c r="E3498" s="7" t="str">
        <x:v>Hold Ledger!J1024</x:v>
      </x:c>
      <x:c r="F3498" s="7" t="str">
        <x:f>'Hold Ledger'!J1024</x:f>
        <x:v>OPEN</x:v>
      </x:c>
    </x:row>
    <x:row r="3499">
      <x:c r="B3499" s="7" t="str">
        <x:v>PHY-3493</x:v>
      </x:c>
      <x:c r="C3499" s="7" t="str">
        <x:v>hold record</x:v>
      </x:c>
      <x:c r="D3499" s="7" t="str">
        <x:v>RAE-E-32-HP-27</x:v>
      </x:c>
      <x:c r="E3499" s="7" t="str">
        <x:v>Hold Ledger!J1025</x:v>
      </x:c>
      <x:c r="F3499" s="7" t="str">
        <x:f>'Hold Ledger'!J1025</x:f>
        <x:v>OPEN</x:v>
      </x:c>
    </x:row>
    <x:row r="3500">
      <x:c r="B3500" s="7" t="str">
        <x:v>PHY-3494</x:v>
      </x:c>
      <x:c r="C3500" s="7" t="str">
        <x:v>hold record</x:v>
      </x:c>
      <x:c r="D3500" s="7" t="str">
        <x:v>RAE-E-32-HP-28</x:v>
      </x:c>
      <x:c r="E3500" s="7" t="str">
        <x:v>Hold Ledger!J1026</x:v>
      </x:c>
      <x:c r="F3500" s="7" t="str">
        <x:f>'Hold Ledger'!J1026</x:f>
        <x:v>OPEN</x:v>
      </x:c>
    </x:row>
    <x:row r="3501">
      <x:c r="B3501" s="7" t="str">
        <x:v>PHY-3495</x:v>
      </x:c>
      <x:c r="C3501" s="7" t="str">
        <x:v>hold record</x:v>
      </x:c>
      <x:c r="D3501" s="7" t="str">
        <x:v>RAE-E-32-HP-29</x:v>
      </x:c>
      <x:c r="E3501" s="7" t="str">
        <x:v>Hold Ledger!J1027</x:v>
      </x:c>
      <x:c r="F3501" s="7" t="str">
        <x:f>'Hold Ledger'!J1027</x:f>
        <x:v>OPEN</x:v>
      </x:c>
    </x:row>
    <x:row r="3502">
      <x:c r="B3502" s="7" t="str">
        <x:v>PHY-3496</x:v>
      </x:c>
      <x:c r="C3502" s="7" t="str">
        <x:v>hold record</x:v>
      </x:c>
      <x:c r="D3502" s="7" t="str">
        <x:v>RAE-E-32-HP-30</x:v>
      </x:c>
      <x:c r="E3502" s="7" t="str">
        <x:v>Hold Ledger!J1028</x:v>
      </x:c>
      <x:c r="F3502" s="7" t="str">
        <x:f>'Hold Ledger'!J1028</x:f>
        <x:v>OPEN</x:v>
      </x:c>
    </x:row>
    <x:row r="3503">
      <x:c r="B3503" s="7" t="str">
        <x:v>PHY-3497</x:v>
      </x:c>
      <x:c r="C3503" s="7" t="str">
        <x:v>hold record</x:v>
      </x:c>
      <x:c r="D3503" s="7" t="str">
        <x:v>RAE-E-32-HP-31</x:v>
      </x:c>
      <x:c r="E3503" s="7" t="str">
        <x:v>Hold Ledger!J1029</x:v>
      </x:c>
      <x:c r="F3503" s="7" t="str">
        <x:f>'Hold Ledger'!J1029</x:f>
        <x:v>OPEN</x:v>
      </x:c>
    </x:row>
    <x:row r="3504">
      <x:c r="B3504" s="7" t="str">
        <x:v>PHY-3498</x:v>
      </x:c>
      <x:c r="C3504" s="7" t="str">
        <x:v>hold record</x:v>
      </x:c>
      <x:c r="D3504" s="7" t="str">
        <x:v>RAE-E-32-HP-32</x:v>
      </x:c>
      <x:c r="E3504" s="7" t="str">
        <x:v>Hold Ledger!J1030</x:v>
      </x:c>
      <x:c r="F3504" s="7" t="str">
        <x:f>'Hold Ledger'!J1030</x:f>
        <x:v>OPEN</x:v>
      </x:c>
    </x:row>
    <x:row r="3505">
      <x:c r="B3505" s="7" t="str">
        <x:v>PHY-3499</x:v>
      </x:c>
      <x:c r="C3505" s="7" t="str">
        <x:v>hold record</x:v>
      </x:c>
      <x:c r="D3505" s="7" t="str">
        <x:v>RAE-E-33-HP-01</x:v>
      </x:c>
      <x:c r="E3505" s="7" t="str">
        <x:v>Hold Ledger!J1031</x:v>
      </x:c>
      <x:c r="F3505" s="7" t="str">
        <x:f>'Hold Ledger'!J1031</x:f>
        <x:v>OPEN</x:v>
      </x:c>
    </x:row>
    <x:row r="3506">
      <x:c r="B3506" s="7" t="str">
        <x:v>PHY-3500</x:v>
      </x:c>
      <x:c r="C3506" s="7" t="str">
        <x:v>hold record</x:v>
      </x:c>
      <x:c r="D3506" s="7" t="str">
        <x:v>RAE-E-33-HP-02</x:v>
      </x:c>
      <x:c r="E3506" s="7" t="str">
        <x:v>Hold Ledger!J1032</x:v>
      </x:c>
      <x:c r="F3506" s="7" t="str">
        <x:f>'Hold Ledger'!J1032</x:f>
        <x:v>OPEN</x:v>
      </x:c>
    </x:row>
    <x:row r="3507">
      <x:c r="B3507" s="7" t="str">
        <x:v>PHY-3501</x:v>
      </x:c>
      <x:c r="C3507" s="7" t="str">
        <x:v>hold record</x:v>
      </x:c>
      <x:c r="D3507" s="7" t="str">
        <x:v>RAE-E-33-HP-03</x:v>
      </x:c>
      <x:c r="E3507" s="7" t="str">
        <x:v>Hold Ledger!J1033</x:v>
      </x:c>
      <x:c r="F3507" s="7" t="str">
        <x:f>'Hold Ledger'!J1033</x:f>
        <x:v>OPEN</x:v>
      </x:c>
    </x:row>
    <x:row r="3508">
      <x:c r="B3508" s="7" t="str">
        <x:v>PHY-3502</x:v>
      </x:c>
      <x:c r="C3508" s="7" t="str">
        <x:v>hold record</x:v>
      </x:c>
      <x:c r="D3508" s="7" t="str">
        <x:v>RAE-E-33-HP-04</x:v>
      </x:c>
      <x:c r="E3508" s="7" t="str">
        <x:v>Hold Ledger!J1034</x:v>
      </x:c>
      <x:c r="F3508" s="7" t="str">
        <x:f>'Hold Ledger'!J1034</x:f>
        <x:v>OPEN</x:v>
      </x:c>
    </x:row>
    <x:row r="3509">
      <x:c r="B3509" s="7" t="str">
        <x:v>PHY-3503</x:v>
      </x:c>
      <x:c r="C3509" s="7" t="str">
        <x:v>hold record</x:v>
      </x:c>
      <x:c r="D3509" s="7" t="str">
        <x:v>RAE-E-33-HP-05</x:v>
      </x:c>
      <x:c r="E3509" s="7" t="str">
        <x:v>Hold Ledger!J1035</x:v>
      </x:c>
      <x:c r="F3509" s="7" t="str">
        <x:f>'Hold Ledger'!J1035</x:f>
        <x:v>OPEN</x:v>
      </x:c>
    </x:row>
    <x:row r="3510">
      <x:c r="B3510" s="7" t="str">
        <x:v>PHY-3504</x:v>
      </x:c>
      <x:c r="C3510" s="7" t="str">
        <x:v>hold record</x:v>
      </x:c>
      <x:c r="D3510" s="7" t="str">
        <x:v>RAE-E-33-HP-06</x:v>
      </x:c>
      <x:c r="E3510" s="7" t="str">
        <x:v>Hold Ledger!J1036</x:v>
      </x:c>
      <x:c r="F3510" s="7" t="str">
        <x:f>'Hold Ledger'!J1036</x:f>
        <x:v>OPEN</x:v>
      </x:c>
    </x:row>
    <x:row r="3511">
      <x:c r="B3511" s="7" t="str">
        <x:v>PHY-3505</x:v>
      </x:c>
      <x:c r="C3511" s="7" t="str">
        <x:v>hold record</x:v>
      </x:c>
      <x:c r="D3511" s="7" t="str">
        <x:v>RAE-E-33-HP-07</x:v>
      </x:c>
      <x:c r="E3511" s="7" t="str">
        <x:v>Hold Ledger!J1037</x:v>
      </x:c>
      <x:c r="F3511" s="7" t="str">
        <x:f>'Hold Ledger'!J1037</x:f>
        <x:v>OPEN</x:v>
      </x:c>
    </x:row>
    <x:row r="3512">
      <x:c r="B3512" s="7" t="str">
        <x:v>PHY-3506</x:v>
      </x:c>
      <x:c r="C3512" s="7" t="str">
        <x:v>hold record</x:v>
      </x:c>
      <x:c r="D3512" s="7" t="str">
        <x:v>RAE-E-33-HP-08</x:v>
      </x:c>
      <x:c r="E3512" s="7" t="str">
        <x:v>Hold Ledger!J1038</x:v>
      </x:c>
      <x:c r="F3512" s="7" t="str">
        <x:f>'Hold Ledger'!J1038</x:f>
        <x:v>OPEN</x:v>
      </x:c>
    </x:row>
    <x:row r="3513">
      <x:c r="B3513" s="7" t="str">
        <x:v>PHY-3507</x:v>
      </x:c>
      <x:c r="C3513" s="7" t="str">
        <x:v>hold record</x:v>
      </x:c>
      <x:c r="D3513" s="7" t="str">
        <x:v>RAE-E-33-HP-09</x:v>
      </x:c>
      <x:c r="E3513" s="7" t="str">
        <x:v>Hold Ledger!J1039</x:v>
      </x:c>
      <x:c r="F3513" s="7" t="str">
        <x:f>'Hold Ledger'!J1039</x:f>
        <x:v>OPEN</x:v>
      </x:c>
    </x:row>
    <x:row r="3514">
      <x:c r="B3514" s="7" t="str">
        <x:v>PHY-3508</x:v>
      </x:c>
      <x:c r="C3514" s="7" t="str">
        <x:v>hold record</x:v>
      </x:c>
      <x:c r="D3514" s="7" t="str">
        <x:v>RAE-E-33-HP-10</x:v>
      </x:c>
      <x:c r="E3514" s="7" t="str">
        <x:v>Hold Ledger!J1040</x:v>
      </x:c>
      <x:c r="F3514" s="7" t="str">
        <x:f>'Hold Ledger'!J1040</x:f>
        <x:v>OPEN</x:v>
      </x:c>
    </x:row>
    <x:row r="3515">
      <x:c r="B3515" s="7" t="str">
        <x:v>PHY-3509</x:v>
      </x:c>
      <x:c r="C3515" s="7" t="str">
        <x:v>hold record</x:v>
      </x:c>
      <x:c r="D3515" s="7" t="str">
        <x:v>RAE-E-33-HP-11</x:v>
      </x:c>
      <x:c r="E3515" s="7" t="str">
        <x:v>Hold Ledger!J1041</x:v>
      </x:c>
      <x:c r="F3515" s="7" t="str">
        <x:f>'Hold Ledger'!J1041</x:f>
        <x:v>OPEN</x:v>
      </x:c>
    </x:row>
    <x:row r="3516">
      <x:c r="B3516" s="7" t="str">
        <x:v>PHY-3510</x:v>
      </x:c>
      <x:c r="C3516" s="7" t="str">
        <x:v>hold record</x:v>
      </x:c>
      <x:c r="D3516" s="7" t="str">
        <x:v>RAE-E-33-HP-12</x:v>
      </x:c>
      <x:c r="E3516" s="7" t="str">
        <x:v>Hold Ledger!J1042</x:v>
      </x:c>
      <x:c r="F3516" s="7" t="str">
        <x:f>'Hold Ledger'!J1042</x:f>
        <x:v>OPEN</x:v>
      </x:c>
    </x:row>
    <x:row r="3517">
      <x:c r="B3517" s="7" t="str">
        <x:v>PHY-3511</x:v>
      </x:c>
      <x:c r="C3517" s="7" t="str">
        <x:v>hold record</x:v>
      </x:c>
      <x:c r="D3517" s="7" t="str">
        <x:v>RAE-E-33-HP-13</x:v>
      </x:c>
      <x:c r="E3517" s="7" t="str">
        <x:v>Hold Ledger!J1043</x:v>
      </x:c>
      <x:c r="F3517" s="7" t="str">
        <x:f>'Hold Ledger'!J1043</x:f>
        <x:v>OPEN</x:v>
      </x:c>
    </x:row>
    <x:row r="3518">
      <x:c r="B3518" s="7" t="str">
        <x:v>PHY-3512</x:v>
      </x:c>
      <x:c r="C3518" s="7" t="str">
        <x:v>hold record</x:v>
      </x:c>
      <x:c r="D3518" s="7" t="str">
        <x:v>RAE-E-33-HP-14</x:v>
      </x:c>
      <x:c r="E3518" s="7" t="str">
        <x:v>Hold Ledger!J1044</x:v>
      </x:c>
      <x:c r="F3518" s="7" t="str">
        <x:f>'Hold Ledger'!J1044</x:f>
        <x:v>OPEN</x:v>
      </x:c>
    </x:row>
    <x:row r="3519">
      <x:c r="B3519" s="7" t="str">
        <x:v>PHY-3513</x:v>
      </x:c>
      <x:c r="C3519" s="7" t="str">
        <x:v>hold record</x:v>
      </x:c>
      <x:c r="D3519" s="7" t="str">
        <x:v>RAE-E-33-HP-15</x:v>
      </x:c>
      <x:c r="E3519" s="7" t="str">
        <x:v>Hold Ledger!J1045</x:v>
      </x:c>
      <x:c r="F3519" s="7" t="str">
        <x:f>'Hold Ledger'!J1045</x:f>
        <x:v>OPEN</x:v>
      </x:c>
    </x:row>
    <x:row r="3520">
      <x:c r="B3520" s="7" t="str">
        <x:v>PHY-3514</x:v>
      </x:c>
      <x:c r="C3520" s="7" t="str">
        <x:v>hold record</x:v>
      </x:c>
      <x:c r="D3520" s="7" t="str">
        <x:v>RAE-E-33-HP-16</x:v>
      </x:c>
      <x:c r="E3520" s="7" t="str">
        <x:v>Hold Ledger!J1046</x:v>
      </x:c>
      <x:c r="F3520" s="7" t="str">
        <x:f>'Hold Ledger'!J1046</x:f>
        <x:v>OPEN</x:v>
      </x:c>
    </x:row>
    <x:row r="3521">
      <x:c r="B3521" s="7" t="str">
        <x:v>PHY-3515</x:v>
      </x:c>
      <x:c r="C3521" s="7" t="str">
        <x:v>hold record</x:v>
      </x:c>
      <x:c r="D3521" s="7" t="str">
        <x:v>RAE-E-33-HP-17</x:v>
      </x:c>
      <x:c r="E3521" s="7" t="str">
        <x:v>Hold Ledger!J1047</x:v>
      </x:c>
      <x:c r="F3521" s="7" t="str">
        <x:f>'Hold Ledger'!J1047</x:f>
        <x:v>OPEN</x:v>
      </x:c>
    </x:row>
    <x:row r="3522">
      <x:c r="B3522" s="7" t="str">
        <x:v>PHY-3516</x:v>
      </x:c>
      <x:c r="C3522" s="7" t="str">
        <x:v>hold record</x:v>
      </x:c>
      <x:c r="D3522" s="7" t="str">
        <x:v>RAE-E-33-HP-18</x:v>
      </x:c>
      <x:c r="E3522" s="7" t="str">
        <x:v>Hold Ledger!J1048</x:v>
      </x:c>
      <x:c r="F3522" s="7" t="str">
        <x:f>'Hold Ledger'!J1048</x:f>
        <x:v>OPEN</x:v>
      </x:c>
    </x:row>
    <x:row r="3523">
      <x:c r="B3523" s="7" t="str">
        <x:v>PHY-3517</x:v>
      </x:c>
      <x:c r="C3523" s="7" t="str">
        <x:v>hold record</x:v>
      </x:c>
      <x:c r="D3523" s="7" t="str">
        <x:v>RAE-E-33-HP-19</x:v>
      </x:c>
      <x:c r="E3523" s="7" t="str">
        <x:v>Hold Ledger!J1049</x:v>
      </x:c>
      <x:c r="F3523" s="7" t="str">
        <x:f>'Hold Ledger'!J1049</x:f>
        <x:v>OPEN</x:v>
      </x:c>
    </x:row>
    <x:row r="3524">
      <x:c r="B3524" s="7" t="str">
        <x:v>PHY-3518</x:v>
      </x:c>
      <x:c r="C3524" s="7" t="str">
        <x:v>hold record</x:v>
      </x:c>
      <x:c r="D3524" s="7" t="str">
        <x:v>RAE-E-33-HP-20</x:v>
      </x:c>
      <x:c r="E3524" s="7" t="str">
        <x:v>Hold Ledger!J1050</x:v>
      </x:c>
      <x:c r="F3524" s="7" t="str">
        <x:f>'Hold Ledger'!J1050</x:f>
        <x:v>OPEN</x:v>
      </x:c>
    </x:row>
    <x:row r="3525">
      <x:c r="B3525" s="7" t="str">
        <x:v>PHY-3519</x:v>
      </x:c>
      <x:c r="C3525" s="7" t="str">
        <x:v>hold record</x:v>
      </x:c>
      <x:c r="D3525" s="7" t="str">
        <x:v>RAE-E-33-HP-21</x:v>
      </x:c>
      <x:c r="E3525" s="7" t="str">
        <x:v>Hold Ledger!J1051</x:v>
      </x:c>
      <x:c r="F3525" s="7" t="str">
        <x:f>'Hold Ledger'!J1051</x:f>
        <x:v>OPEN</x:v>
      </x:c>
    </x:row>
    <x:row r="3526">
      <x:c r="B3526" s="7" t="str">
        <x:v>PHY-3520</x:v>
      </x:c>
      <x:c r="C3526" s="7" t="str">
        <x:v>hold record</x:v>
      </x:c>
      <x:c r="D3526" s="7" t="str">
        <x:v>RAE-E-33-HP-22</x:v>
      </x:c>
      <x:c r="E3526" s="7" t="str">
        <x:v>Hold Ledger!J1052</x:v>
      </x:c>
      <x:c r="F3526" s="7" t="str">
        <x:f>'Hold Ledger'!J1052</x:f>
        <x:v>OPEN</x:v>
      </x:c>
    </x:row>
    <x:row r="3527">
      <x:c r="B3527" s="7" t="str">
        <x:v>PHY-3521</x:v>
      </x:c>
      <x:c r="C3527" s="7" t="str">
        <x:v>hold record</x:v>
      </x:c>
      <x:c r="D3527" s="7" t="str">
        <x:v>RAE-E-33-HP-23</x:v>
      </x:c>
      <x:c r="E3527" s="7" t="str">
        <x:v>Hold Ledger!J1053</x:v>
      </x:c>
      <x:c r="F3527" s="7" t="str">
        <x:f>'Hold Ledger'!J1053</x:f>
        <x:v>OPEN</x:v>
      </x:c>
    </x:row>
    <x:row r="3528">
      <x:c r="B3528" s="7" t="str">
        <x:v>PHY-3522</x:v>
      </x:c>
      <x:c r="C3528" s="7" t="str">
        <x:v>hold record</x:v>
      </x:c>
      <x:c r="D3528" s="7" t="str">
        <x:v>RAE-E-33-HP-24</x:v>
      </x:c>
      <x:c r="E3528" s="7" t="str">
        <x:v>Hold Ledger!J1054</x:v>
      </x:c>
      <x:c r="F3528" s="7" t="str">
        <x:f>'Hold Ledger'!J1054</x:f>
        <x:v>OPEN</x:v>
      </x:c>
    </x:row>
    <x:row r="3529">
      <x:c r="B3529" s="7" t="str">
        <x:v>PHY-3523</x:v>
      </x:c>
      <x:c r="C3529" s="7" t="str">
        <x:v>hold record</x:v>
      </x:c>
      <x:c r="D3529" s="7" t="str">
        <x:v>RAE-E-33-HP-25</x:v>
      </x:c>
      <x:c r="E3529" s="7" t="str">
        <x:v>Hold Ledger!J1055</x:v>
      </x:c>
      <x:c r="F3529" s="7" t="str">
        <x:f>'Hold Ledger'!J1055</x:f>
        <x:v>OPEN</x:v>
      </x:c>
    </x:row>
    <x:row r="3530">
      <x:c r="B3530" s="7" t="str">
        <x:v>PHY-3524</x:v>
      </x:c>
      <x:c r="C3530" s="7" t="str">
        <x:v>hold record</x:v>
      </x:c>
      <x:c r="D3530" s="7" t="str">
        <x:v>RAE-E-33-HP-26</x:v>
      </x:c>
      <x:c r="E3530" s="7" t="str">
        <x:v>Hold Ledger!J1056</x:v>
      </x:c>
      <x:c r="F3530" s="7" t="str">
        <x:f>'Hold Ledger'!J1056</x:f>
        <x:v>OPEN</x:v>
      </x:c>
    </x:row>
    <x:row r="3531">
      <x:c r="B3531" s="7" t="str">
        <x:v>PHY-3525</x:v>
      </x:c>
      <x:c r="C3531" s="7" t="str">
        <x:v>hold record</x:v>
      </x:c>
      <x:c r="D3531" s="7" t="str">
        <x:v>RAE-E-33-HP-27</x:v>
      </x:c>
      <x:c r="E3531" s="7" t="str">
        <x:v>Hold Ledger!J1057</x:v>
      </x:c>
      <x:c r="F3531" s="7" t="str">
        <x:f>'Hold Ledger'!J1057</x:f>
        <x:v>OPEN</x:v>
      </x:c>
    </x:row>
    <x:row r="3532">
      <x:c r="B3532" s="7" t="str">
        <x:v>PHY-3526</x:v>
      </x:c>
      <x:c r="C3532" s="7" t="str">
        <x:v>hold record</x:v>
      </x:c>
      <x:c r="D3532" s="7" t="str">
        <x:v>RAE-E-33-HP-28</x:v>
      </x:c>
      <x:c r="E3532" s="7" t="str">
        <x:v>Hold Ledger!J1058</x:v>
      </x:c>
      <x:c r="F3532" s="7" t="str">
        <x:f>'Hold Ledger'!J1058</x:f>
        <x:v>OPEN</x:v>
      </x:c>
    </x:row>
    <x:row r="3533">
      <x:c r="B3533" s="7" t="str">
        <x:v>PHY-3527</x:v>
      </x:c>
      <x:c r="C3533" s="7" t="str">
        <x:v>hold record</x:v>
      </x:c>
      <x:c r="D3533" s="7" t="str">
        <x:v>RAE-E-33-HP-29</x:v>
      </x:c>
      <x:c r="E3533" s="7" t="str">
        <x:v>Hold Ledger!J1059</x:v>
      </x:c>
      <x:c r="F3533" s="7" t="str">
        <x:f>'Hold Ledger'!J1059</x:f>
        <x:v>OPEN</x:v>
      </x:c>
    </x:row>
    <x:row r="3534">
      <x:c r="B3534" s="7" t="str">
        <x:v>PHY-3528</x:v>
      </x:c>
      <x:c r="C3534" s="7" t="str">
        <x:v>hold record</x:v>
      </x:c>
      <x:c r="D3534" s="7" t="str">
        <x:v>RAE-E-33-HP-30</x:v>
      </x:c>
      <x:c r="E3534" s="7" t="str">
        <x:v>Hold Ledger!J1060</x:v>
      </x:c>
      <x:c r="F3534" s="7" t="str">
        <x:f>'Hold Ledger'!J1060</x:f>
        <x:v>OPEN</x:v>
      </x:c>
    </x:row>
    <x:row r="3535">
      <x:c r="B3535" s="7" t="str">
        <x:v>PHY-3529</x:v>
      </x:c>
      <x:c r="C3535" s="7" t="str">
        <x:v>hold record</x:v>
      </x:c>
      <x:c r="D3535" s="7" t="str">
        <x:v>RAE-E-33-HP-31</x:v>
      </x:c>
      <x:c r="E3535" s="7" t="str">
        <x:v>Hold Ledger!J1061</x:v>
      </x:c>
      <x:c r="F3535" s="7" t="str">
        <x:f>'Hold Ledger'!J1061</x:f>
        <x:v>OPEN</x:v>
      </x:c>
    </x:row>
    <x:row r="3536">
      <x:c r="B3536" s="7" t="str">
        <x:v>PHY-3530</x:v>
      </x:c>
      <x:c r="C3536" s="7" t="str">
        <x:v>hold record</x:v>
      </x:c>
      <x:c r="D3536" s="7" t="str">
        <x:v>RAE-E-33-HP-32</x:v>
      </x:c>
      <x:c r="E3536" s="7" t="str">
        <x:v>Hold Ledger!J1062</x:v>
      </x:c>
      <x:c r="F3536" s="7" t="str">
        <x:f>'Hold Ledger'!J1062</x:f>
        <x:v>OPEN</x:v>
      </x:c>
    </x:row>
    <x:row r="3537">
      <x:c r="B3537" s="7" t="str">
        <x:v>PHY-3531</x:v>
      </x:c>
      <x:c r="C3537" s="7" t="str">
        <x:v>hold record</x:v>
      </x:c>
      <x:c r="D3537" s="7" t="str">
        <x:v>RAE-E-34-HP-01</x:v>
      </x:c>
      <x:c r="E3537" s="7" t="str">
        <x:v>Hold Ledger!J1063</x:v>
      </x:c>
      <x:c r="F3537" s="7" t="str">
        <x:f>'Hold Ledger'!J1063</x:f>
        <x:v>OPEN</x:v>
      </x:c>
    </x:row>
    <x:row r="3538">
      <x:c r="B3538" s="7" t="str">
        <x:v>PHY-3532</x:v>
      </x:c>
      <x:c r="C3538" s="7" t="str">
        <x:v>hold record</x:v>
      </x:c>
      <x:c r="D3538" s="7" t="str">
        <x:v>RAE-E-34-HP-02</x:v>
      </x:c>
      <x:c r="E3538" s="7" t="str">
        <x:v>Hold Ledger!J1064</x:v>
      </x:c>
      <x:c r="F3538" s="7" t="str">
        <x:f>'Hold Ledger'!J1064</x:f>
        <x:v>OPEN</x:v>
      </x:c>
    </x:row>
    <x:row r="3539">
      <x:c r="B3539" s="7" t="str">
        <x:v>PHY-3533</x:v>
      </x:c>
      <x:c r="C3539" s="7" t="str">
        <x:v>hold record</x:v>
      </x:c>
      <x:c r="D3539" s="7" t="str">
        <x:v>RAE-E-34-HP-03</x:v>
      </x:c>
      <x:c r="E3539" s="7" t="str">
        <x:v>Hold Ledger!J1065</x:v>
      </x:c>
      <x:c r="F3539" s="7" t="str">
        <x:f>'Hold Ledger'!J1065</x:f>
        <x:v>OPEN</x:v>
      </x:c>
    </x:row>
    <x:row r="3540">
      <x:c r="B3540" s="7" t="str">
        <x:v>PHY-3534</x:v>
      </x:c>
      <x:c r="C3540" s="7" t="str">
        <x:v>hold record</x:v>
      </x:c>
      <x:c r="D3540" s="7" t="str">
        <x:v>RAE-E-34-HP-04</x:v>
      </x:c>
      <x:c r="E3540" s="7" t="str">
        <x:v>Hold Ledger!J1066</x:v>
      </x:c>
      <x:c r="F3540" s="7" t="str">
        <x:f>'Hold Ledger'!J1066</x:f>
        <x:v>OPEN</x:v>
      </x:c>
    </x:row>
    <x:row r="3541">
      <x:c r="B3541" s="7" t="str">
        <x:v>PHY-3535</x:v>
      </x:c>
      <x:c r="C3541" s="7" t="str">
        <x:v>hold record</x:v>
      </x:c>
      <x:c r="D3541" s="7" t="str">
        <x:v>RAE-E-34-HP-05</x:v>
      </x:c>
      <x:c r="E3541" s="7" t="str">
        <x:v>Hold Ledger!J1067</x:v>
      </x:c>
      <x:c r="F3541" s="7" t="str">
        <x:f>'Hold Ledger'!J1067</x:f>
        <x:v>OPEN</x:v>
      </x:c>
    </x:row>
    <x:row r="3542">
      <x:c r="B3542" s="7" t="str">
        <x:v>PHY-3536</x:v>
      </x:c>
      <x:c r="C3542" s="7" t="str">
        <x:v>hold record</x:v>
      </x:c>
      <x:c r="D3542" s="7" t="str">
        <x:v>RAE-E-34-HP-06</x:v>
      </x:c>
      <x:c r="E3542" s="7" t="str">
        <x:v>Hold Ledger!J1068</x:v>
      </x:c>
      <x:c r="F3542" s="7" t="str">
        <x:f>'Hold Ledger'!J1068</x:f>
        <x:v>OPEN</x:v>
      </x:c>
    </x:row>
    <x:row r="3543">
      <x:c r="B3543" s="7" t="str">
        <x:v>PHY-3537</x:v>
      </x:c>
      <x:c r="C3543" s="7" t="str">
        <x:v>hold record</x:v>
      </x:c>
      <x:c r="D3543" s="7" t="str">
        <x:v>RAE-E-34-HP-07</x:v>
      </x:c>
      <x:c r="E3543" s="7" t="str">
        <x:v>Hold Ledger!J1069</x:v>
      </x:c>
      <x:c r="F3543" s="7" t="str">
        <x:f>'Hold Ledger'!J1069</x:f>
        <x:v>OPEN</x:v>
      </x:c>
    </x:row>
    <x:row r="3544">
      <x:c r="B3544" s="7" t="str">
        <x:v>PHY-3538</x:v>
      </x:c>
      <x:c r="C3544" s="7" t="str">
        <x:v>hold record</x:v>
      </x:c>
      <x:c r="D3544" s="7" t="str">
        <x:v>RAE-E-34-HP-08</x:v>
      </x:c>
      <x:c r="E3544" s="7" t="str">
        <x:v>Hold Ledger!J1070</x:v>
      </x:c>
      <x:c r="F3544" s="7" t="str">
        <x:f>'Hold Ledger'!J1070</x:f>
        <x:v>OPEN</x:v>
      </x:c>
    </x:row>
    <x:row r="3545">
      <x:c r="B3545" s="7" t="str">
        <x:v>PHY-3539</x:v>
      </x:c>
      <x:c r="C3545" s="7" t="str">
        <x:v>hold record</x:v>
      </x:c>
      <x:c r="D3545" s="7" t="str">
        <x:v>RAE-E-34-HP-09</x:v>
      </x:c>
      <x:c r="E3545" s="7" t="str">
        <x:v>Hold Ledger!J1071</x:v>
      </x:c>
      <x:c r="F3545" s="7" t="str">
        <x:f>'Hold Ledger'!J1071</x:f>
        <x:v>OPEN</x:v>
      </x:c>
    </x:row>
    <x:row r="3546">
      <x:c r="B3546" s="7" t="str">
        <x:v>PHY-3540</x:v>
      </x:c>
      <x:c r="C3546" s="7" t="str">
        <x:v>hold record</x:v>
      </x:c>
      <x:c r="D3546" s="7" t="str">
        <x:v>RAE-E-34-HP-10</x:v>
      </x:c>
      <x:c r="E3546" s="7" t="str">
        <x:v>Hold Ledger!J1072</x:v>
      </x:c>
      <x:c r="F3546" s="7" t="str">
        <x:f>'Hold Ledger'!J1072</x:f>
        <x:v>OPEN</x:v>
      </x:c>
    </x:row>
    <x:row r="3547">
      <x:c r="B3547" s="7" t="str">
        <x:v>PHY-3541</x:v>
      </x:c>
      <x:c r="C3547" s="7" t="str">
        <x:v>hold record</x:v>
      </x:c>
      <x:c r="D3547" s="7" t="str">
        <x:v>RAE-E-34-HP-11</x:v>
      </x:c>
      <x:c r="E3547" s="7" t="str">
        <x:v>Hold Ledger!J1073</x:v>
      </x:c>
      <x:c r="F3547" s="7" t="str">
        <x:f>'Hold Ledger'!J1073</x:f>
        <x:v>OPEN</x:v>
      </x:c>
    </x:row>
    <x:row r="3548">
      <x:c r="B3548" s="7" t="str">
        <x:v>PHY-3542</x:v>
      </x:c>
      <x:c r="C3548" s="7" t="str">
        <x:v>hold record</x:v>
      </x:c>
      <x:c r="D3548" s="7" t="str">
        <x:v>RAE-E-34-HP-12</x:v>
      </x:c>
      <x:c r="E3548" s="7" t="str">
        <x:v>Hold Ledger!J1074</x:v>
      </x:c>
      <x:c r="F3548" s="7" t="str">
        <x:f>'Hold Ledger'!J1074</x:f>
        <x:v>OPEN</x:v>
      </x:c>
    </x:row>
    <x:row r="3549">
      <x:c r="B3549" s="7" t="str">
        <x:v>PHY-3543</x:v>
      </x:c>
      <x:c r="C3549" s="7" t="str">
        <x:v>hold record</x:v>
      </x:c>
      <x:c r="D3549" s="7" t="str">
        <x:v>RAE-E-34-HP-13</x:v>
      </x:c>
      <x:c r="E3549" s="7" t="str">
        <x:v>Hold Ledger!J1075</x:v>
      </x:c>
      <x:c r="F3549" s="7" t="str">
        <x:f>'Hold Ledger'!J1075</x:f>
        <x:v>OPEN</x:v>
      </x:c>
    </x:row>
    <x:row r="3550">
      <x:c r="B3550" s="7" t="str">
        <x:v>PHY-3544</x:v>
      </x:c>
      <x:c r="C3550" s="7" t="str">
        <x:v>hold record</x:v>
      </x:c>
      <x:c r="D3550" s="7" t="str">
        <x:v>RAE-E-34-HP-14</x:v>
      </x:c>
      <x:c r="E3550" s="7" t="str">
        <x:v>Hold Ledger!J1076</x:v>
      </x:c>
      <x:c r="F3550" s="7" t="str">
        <x:f>'Hold Ledger'!J1076</x:f>
        <x:v>OPEN</x:v>
      </x:c>
    </x:row>
    <x:row r="3551">
      <x:c r="B3551" s="7" t="str">
        <x:v>PHY-3545</x:v>
      </x:c>
      <x:c r="C3551" s="7" t="str">
        <x:v>hold record</x:v>
      </x:c>
      <x:c r="D3551" s="7" t="str">
        <x:v>RAE-E-34-HP-15</x:v>
      </x:c>
      <x:c r="E3551" s="7" t="str">
        <x:v>Hold Ledger!J1077</x:v>
      </x:c>
      <x:c r="F3551" s="7" t="str">
        <x:f>'Hold Ledger'!J1077</x:f>
        <x:v>OPEN</x:v>
      </x:c>
    </x:row>
    <x:row r="3552">
      <x:c r="B3552" s="7" t="str">
        <x:v>PHY-3546</x:v>
      </x:c>
      <x:c r="C3552" s="7" t="str">
        <x:v>hold record</x:v>
      </x:c>
      <x:c r="D3552" s="7" t="str">
        <x:v>RAE-E-34-HP-16</x:v>
      </x:c>
      <x:c r="E3552" s="7" t="str">
        <x:v>Hold Ledger!J1078</x:v>
      </x:c>
      <x:c r="F3552" s="7" t="str">
        <x:f>'Hold Ledger'!J1078</x:f>
        <x:v>OPEN</x:v>
      </x:c>
    </x:row>
    <x:row r="3553">
      <x:c r="B3553" s="7" t="str">
        <x:v>PHY-3547</x:v>
      </x:c>
      <x:c r="C3553" s="7" t="str">
        <x:v>hold record</x:v>
      </x:c>
      <x:c r="D3553" s="7" t="str">
        <x:v>RAE-E-34-HP-17</x:v>
      </x:c>
      <x:c r="E3553" s="7" t="str">
        <x:v>Hold Ledger!J1079</x:v>
      </x:c>
      <x:c r="F3553" s="7" t="str">
        <x:f>'Hold Ledger'!J1079</x:f>
        <x:v>OPEN</x:v>
      </x:c>
    </x:row>
    <x:row r="3554">
      <x:c r="B3554" s="7" t="str">
        <x:v>PHY-3548</x:v>
      </x:c>
      <x:c r="C3554" s="7" t="str">
        <x:v>hold record</x:v>
      </x:c>
      <x:c r="D3554" s="7" t="str">
        <x:v>RAE-E-34-HP-18</x:v>
      </x:c>
      <x:c r="E3554" s="7" t="str">
        <x:v>Hold Ledger!J1080</x:v>
      </x:c>
      <x:c r="F3554" s="7" t="str">
        <x:f>'Hold Ledger'!J1080</x:f>
        <x:v>OPEN</x:v>
      </x:c>
    </x:row>
    <x:row r="3555">
      <x:c r="B3555" s="7" t="str">
        <x:v>PHY-3549</x:v>
      </x:c>
      <x:c r="C3555" s="7" t="str">
        <x:v>hold record</x:v>
      </x:c>
      <x:c r="D3555" s="7" t="str">
        <x:v>RAE-E-34-HP-19</x:v>
      </x:c>
      <x:c r="E3555" s="7" t="str">
        <x:v>Hold Ledger!J1081</x:v>
      </x:c>
      <x:c r="F3555" s="7" t="str">
        <x:f>'Hold Ledger'!J1081</x:f>
        <x:v>OPEN</x:v>
      </x:c>
    </x:row>
    <x:row r="3556">
      <x:c r="B3556" s="7" t="str">
        <x:v>PHY-3550</x:v>
      </x:c>
      <x:c r="C3556" s="7" t="str">
        <x:v>hold record</x:v>
      </x:c>
      <x:c r="D3556" s="7" t="str">
        <x:v>RAE-E-34-HP-20</x:v>
      </x:c>
      <x:c r="E3556" s="7" t="str">
        <x:v>Hold Ledger!J1082</x:v>
      </x:c>
      <x:c r="F3556" s="7" t="str">
        <x:f>'Hold Ledger'!J1082</x:f>
        <x:v>OPEN</x:v>
      </x:c>
    </x:row>
    <x:row r="3557">
      <x:c r="B3557" s="7" t="str">
        <x:v>PHY-3551</x:v>
      </x:c>
      <x:c r="C3557" s="7" t="str">
        <x:v>hold record</x:v>
      </x:c>
      <x:c r="D3557" s="7" t="str">
        <x:v>RAE-E-34-HP-21</x:v>
      </x:c>
      <x:c r="E3557" s="7" t="str">
        <x:v>Hold Ledger!J1083</x:v>
      </x:c>
      <x:c r="F3557" s="7" t="str">
        <x:f>'Hold Ledger'!J1083</x:f>
        <x:v>OPEN</x:v>
      </x:c>
    </x:row>
    <x:row r="3558">
      <x:c r="B3558" s="7" t="str">
        <x:v>PHY-3552</x:v>
      </x:c>
      <x:c r="C3558" s="7" t="str">
        <x:v>hold record</x:v>
      </x:c>
      <x:c r="D3558" s="7" t="str">
        <x:v>RAE-E-34-HP-22</x:v>
      </x:c>
      <x:c r="E3558" s="7" t="str">
        <x:v>Hold Ledger!J1084</x:v>
      </x:c>
      <x:c r="F3558" s="7" t="str">
        <x:f>'Hold Ledger'!J1084</x:f>
        <x:v>OPEN</x:v>
      </x:c>
    </x:row>
    <x:row r="3559">
      <x:c r="B3559" s="7" t="str">
        <x:v>PHY-3553</x:v>
      </x:c>
      <x:c r="C3559" s="7" t="str">
        <x:v>hold record</x:v>
      </x:c>
      <x:c r="D3559" s="7" t="str">
        <x:v>RAE-E-34-HP-23</x:v>
      </x:c>
      <x:c r="E3559" s="7" t="str">
        <x:v>Hold Ledger!J1085</x:v>
      </x:c>
      <x:c r="F3559" s="7" t="str">
        <x:f>'Hold Ledger'!J1085</x:f>
        <x:v>OPEN</x:v>
      </x:c>
    </x:row>
    <x:row r="3560">
      <x:c r="B3560" s="7" t="str">
        <x:v>PHY-3554</x:v>
      </x:c>
      <x:c r="C3560" s="7" t="str">
        <x:v>hold record</x:v>
      </x:c>
      <x:c r="D3560" s="7" t="str">
        <x:v>RAE-E-34-HP-24</x:v>
      </x:c>
      <x:c r="E3560" s="7" t="str">
        <x:v>Hold Ledger!J1086</x:v>
      </x:c>
      <x:c r="F3560" s="7" t="str">
        <x:f>'Hold Ledger'!J1086</x:f>
        <x:v>OPEN</x:v>
      </x:c>
    </x:row>
    <x:row r="3561">
      <x:c r="B3561" s="7" t="str">
        <x:v>PHY-3555</x:v>
      </x:c>
      <x:c r="C3561" s="7" t="str">
        <x:v>hold record</x:v>
      </x:c>
      <x:c r="D3561" s="7" t="str">
        <x:v>RAE-E-34-HP-25</x:v>
      </x:c>
      <x:c r="E3561" s="7" t="str">
        <x:v>Hold Ledger!J1087</x:v>
      </x:c>
      <x:c r="F3561" s="7" t="str">
        <x:f>'Hold Ledger'!J1087</x:f>
        <x:v>OPEN</x:v>
      </x:c>
    </x:row>
    <x:row r="3562">
      <x:c r="B3562" s="7" t="str">
        <x:v>PHY-3556</x:v>
      </x:c>
      <x:c r="C3562" s="7" t="str">
        <x:v>hold record</x:v>
      </x:c>
      <x:c r="D3562" s="7" t="str">
        <x:v>RAE-E-34-HP-26</x:v>
      </x:c>
      <x:c r="E3562" s="7" t="str">
        <x:v>Hold Ledger!J1088</x:v>
      </x:c>
      <x:c r="F3562" s="7" t="str">
        <x:f>'Hold Ledger'!J1088</x:f>
        <x:v>OPEN</x:v>
      </x:c>
    </x:row>
    <x:row r="3563">
      <x:c r="B3563" s="7" t="str">
        <x:v>PHY-3557</x:v>
      </x:c>
      <x:c r="C3563" s="7" t="str">
        <x:v>hold record</x:v>
      </x:c>
      <x:c r="D3563" s="7" t="str">
        <x:v>RAE-E-34-HP-27</x:v>
      </x:c>
      <x:c r="E3563" s="7" t="str">
        <x:v>Hold Ledger!J1089</x:v>
      </x:c>
      <x:c r="F3563" s="7" t="str">
        <x:f>'Hold Ledger'!J1089</x:f>
        <x:v>OPEN</x:v>
      </x:c>
    </x:row>
    <x:row r="3564">
      <x:c r="B3564" s="7" t="str">
        <x:v>PHY-3558</x:v>
      </x:c>
      <x:c r="C3564" s="7" t="str">
        <x:v>hold record</x:v>
      </x:c>
      <x:c r="D3564" s="7" t="str">
        <x:v>RAE-E-34-HP-28</x:v>
      </x:c>
      <x:c r="E3564" s="7" t="str">
        <x:v>Hold Ledger!J1090</x:v>
      </x:c>
      <x:c r="F3564" s="7" t="str">
        <x:f>'Hold Ledger'!J1090</x:f>
        <x:v>OPEN</x:v>
      </x:c>
    </x:row>
    <x:row r="3565">
      <x:c r="B3565" s="7" t="str">
        <x:v>PHY-3559</x:v>
      </x:c>
      <x:c r="C3565" s="7" t="str">
        <x:v>hold record</x:v>
      </x:c>
      <x:c r="D3565" s="7" t="str">
        <x:v>RAE-E-34-HP-29</x:v>
      </x:c>
      <x:c r="E3565" s="7" t="str">
        <x:v>Hold Ledger!J1091</x:v>
      </x:c>
      <x:c r="F3565" s="7" t="str">
        <x:f>'Hold Ledger'!J1091</x:f>
        <x:v>OPEN</x:v>
      </x:c>
    </x:row>
    <x:row r="3566">
      <x:c r="B3566" s="7" t="str">
        <x:v>PHY-3560</x:v>
      </x:c>
      <x:c r="C3566" s="7" t="str">
        <x:v>hold record</x:v>
      </x:c>
      <x:c r="D3566" s="7" t="str">
        <x:v>RAE-E-34-HP-30</x:v>
      </x:c>
      <x:c r="E3566" s="7" t="str">
        <x:v>Hold Ledger!J1092</x:v>
      </x:c>
      <x:c r="F3566" s="7" t="str">
        <x:f>'Hold Ledger'!J1092</x:f>
        <x:v>OPEN</x:v>
      </x:c>
    </x:row>
    <x:row r="3567">
      <x:c r="B3567" s="7" t="str">
        <x:v>PHY-3561</x:v>
      </x:c>
      <x:c r="C3567" s="7" t="str">
        <x:v>hold record</x:v>
      </x:c>
      <x:c r="D3567" s="7" t="str">
        <x:v>RAE-E-34-HP-31</x:v>
      </x:c>
      <x:c r="E3567" s="7" t="str">
        <x:v>Hold Ledger!J1093</x:v>
      </x:c>
      <x:c r="F3567" s="7" t="str">
        <x:f>'Hold Ledger'!J1093</x:f>
        <x:v>OPEN</x:v>
      </x:c>
    </x:row>
    <x:row r="3568">
      <x:c r="B3568" s="7" t="str">
        <x:v>PHY-3562</x:v>
      </x:c>
      <x:c r="C3568" s="7" t="str">
        <x:v>hold record</x:v>
      </x:c>
      <x:c r="D3568" s="7" t="str">
        <x:v>RAE-E-34-HP-32</x:v>
      </x:c>
      <x:c r="E3568" s="7" t="str">
        <x:v>Hold Ledger!J1094</x:v>
      </x:c>
      <x:c r="F3568" s="7" t="str">
        <x:f>'Hold Ledger'!J1094</x:f>
        <x:v>OPEN</x:v>
      </x:c>
    </x:row>
    <x:row r="3569">
      <x:c r="B3569" s="7" t="str">
        <x:v>PHY-3563</x:v>
      </x:c>
      <x:c r="C3569" s="7" t="str">
        <x:v>hold record</x:v>
      </x:c>
      <x:c r="D3569" s="7" t="str">
        <x:v>RAE-E-35-HP-01</x:v>
      </x:c>
      <x:c r="E3569" s="7" t="str">
        <x:v>Hold Ledger!J1095</x:v>
      </x:c>
      <x:c r="F3569" s="7" t="str">
        <x:f>'Hold Ledger'!J1095</x:f>
        <x:v>OPEN</x:v>
      </x:c>
    </x:row>
    <x:row r="3570">
      <x:c r="B3570" s="7" t="str">
        <x:v>PHY-3564</x:v>
      </x:c>
      <x:c r="C3570" s="7" t="str">
        <x:v>hold record</x:v>
      </x:c>
      <x:c r="D3570" s="7" t="str">
        <x:v>RAE-E-35-HP-02</x:v>
      </x:c>
      <x:c r="E3570" s="7" t="str">
        <x:v>Hold Ledger!J1096</x:v>
      </x:c>
      <x:c r="F3570" s="7" t="str">
        <x:f>'Hold Ledger'!J1096</x:f>
        <x:v>OPEN</x:v>
      </x:c>
    </x:row>
    <x:row r="3571">
      <x:c r="B3571" s="7" t="str">
        <x:v>PHY-3565</x:v>
      </x:c>
      <x:c r="C3571" s="7" t="str">
        <x:v>hold record</x:v>
      </x:c>
      <x:c r="D3571" s="7" t="str">
        <x:v>RAE-E-35-HP-03</x:v>
      </x:c>
      <x:c r="E3571" s="7" t="str">
        <x:v>Hold Ledger!J1097</x:v>
      </x:c>
      <x:c r="F3571" s="7" t="str">
        <x:f>'Hold Ledger'!J1097</x:f>
        <x:v>OPEN</x:v>
      </x:c>
    </x:row>
    <x:row r="3572">
      <x:c r="B3572" s="7" t="str">
        <x:v>PHY-3566</x:v>
      </x:c>
      <x:c r="C3572" s="7" t="str">
        <x:v>hold record</x:v>
      </x:c>
      <x:c r="D3572" s="7" t="str">
        <x:v>RAE-E-35-HP-04</x:v>
      </x:c>
      <x:c r="E3572" s="7" t="str">
        <x:v>Hold Ledger!J1098</x:v>
      </x:c>
      <x:c r="F3572" s="7" t="str">
        <x:f>'Hold Ledger'!J1098</x:f>
        <x:v>OPEN</x:v>
      </x:c>
    </x:row>
    <x:row r="3573">
      <x:c r="B3573" s="7" t="str">
        <x:v>PHY-3567</x:v>
      </x:c>
      <x:c r="C3573" s="7" t="str">
        <x:v>hold record</x:v>
      </x:c>
      <x:c r="D3573" s="7" t="str">
        <x:v>RAE-E-35-HP-05</x:v>
      </x:c>
      <x:c r="E3573" s="7" t="str">
        <x:v>Hold Ledger!J1099</x:v>
      </x:c>
      <x:c r="F3573" s="7" t="str">
        <x:f>'Hold Ledger'!J1099</x:f>
        <x:v>OPEN</x:v>
      </x:c>
    </x:row>
    <x:row r="3574">
      <x:c r="B3574" s="7" t="str">
        <x:v>PHY-3568</x:v>
      </x:c>
      <x:c r="C3574" s="7" t="str">
        <x:v>hold record</x:v>
      </x:c>
      <x:c r="D3574" s="7" t="str">
        <x:v>RAE-E-35-HP-06</x:v>
      </x:c>
      <x:c r="E3574" s="7" t="str">
        <x:v>Hold Ledger!J1100</x:v>
      </x:c>
      <x:c r="F3574" s="7" t="str">
        <x:f>'Hold Ledger'!J1100</x:f>
        <x:v>OPEN</x:v>
      </x:c>
    </x:row>
    <x:row r="3575">
      <x:c r="B3575" s="7" t="str">
        <x:v>PHY-3569</x:v>
      </x:c>
      <x:c r="C3575" s="7" t="str">
        <x:v>hold record</x:v>
      </x:c>
      <x:c r="D3575" s="7" t="str">
        <x:v>RAE-E-35-HP-07</x:v>
      </x:c>
      <x:c r="E3575" s="7" t="str">
        <x:v>Hold Ledger!J1101</x:v>
      </x:c>
      <x:c r="F3575" s="7" t="str">
        <x:f>'Hold Ledger'!J1101</x:f>
        <x:v>OPEN</x:v>
      </x:c>
    </x:row>
    <x:row r="3576">
      <x:c r="B3576" s="7" t="str">
        <x:v>PHY-3570</x:v>
      </x:c>
      <x:c r="C3576" s="7" t="str">
        <x:v>hold record</x:v>
      </x:c>
      <x:c r="D3576" s="7" t="str">
        <x:v>RAE-E-35-HP-08</x:v>
      </x:c>
      <x:c r="E3576" s="7" t="str">
        <x:v>Hold Ledger!J1102</x:v>
      </x:c>
      <x:c r="F3576" s="7" t="str">
        <x:f>'Hold Ledger'!J1102</x:f>
        <x:v>OPEN</x:v>
      </x:c>
    </x:row>
    <x:row r="3577">
      <x:c r="B3577" s="7" t="str">
        <x:v>PHY-3571</x:v>
      </x:c>
      <x:c r="C3577" s="7" t="str">
        <x:v>hold record</x:v>
      </x:c>
      <x:c r="D3577" s="7" t="str">
        <x:v>RAE-E-35-HP-09</x:v>
      </x:c>
      <x:c r="E3577" s="7" t="str">
        <x:v>Hold Ledger!J1103</x:v>
      </x:c>
      <x:c r="F3577" s="7" t="str">
        <x:f>'Hold Ledger'!J1103</x:f>
        <x:v>OPEN</x:v>
      </x:c>
    </x:row>
    <x:row r="3578">
      <x:c r="B3578" s="7" t="str">
        <x:v>PHY-3572</x:v>
      </x:c>
      <x:c r="C3578" s="7" t="str">
        <x:v>hold record</x:v>
      </x:c>
      <x:c r="D3578" s="7" t="str">
        <x:v>RAE-E-35-HP-10</x:v>
      </x:c>
      <x:c r="E3578" s="7" t="str">
        <x:v>Hold Ledger!J1104</x:v>
      </x:c>
      <x:c r="F3578" s="7" t="str">
        <x:f>'Hold Ledger'!J1104</x:f>
        <x:v>OPEN</x:v>
      </x:c>
    </x:row>
    <x:row r="3579">
      <x:c r="B3579" s="7" t="str">
        <x:v>PHY-3573</x:v>
      </x:c>
      <x:c r="C3579" s="7" t="str">
        <x:v>hold record</x:v>
      </x:c>
      <x:c r="D3579" s="7" t="str">
        <x:v>RAE-E-35-HP-11</x:v>
      </x:c>
      <x:c r="E3579" s="7" t="str">
        <x:v>Hold Ledger!J1105</x:v>
      </x:c>
      <x:c r="F3579" s="7" t="str">
        <x:f>'Hold Ledger'!J1105</x:f>
        <x:v>OPEN</x:v>
      </x:c>
    </x:row>
    <x:row r="3580">
      <x:c r="B3580" s="7" t="str">
        <x:v>PHY-3574</x:v>
      </x:c>
      <x:c r="C3580" s="7" t="str">
        <x:v>hold record</x:v>
      </x:c>
      <x:c r="D3580" s="7" t="str">
        <x:v>RAE-E-35-HP-12</x:v>
      </x:c>
      <x:c r="E3580" s="7" t="str">
        <x:v>Hold Ledger!J1106</x:v>
      </x:c>
      <x:c r="F3580" s="7" t="str">
        <x:f>'Hold Ledger'!J1106</x:f>
        <x:v>OPEN</x:v>
      </x:c>
    </x:row>
    <x:row r="3581">
      <x:c r="B3581" s="7" t="str">
        <x:v>PHY-3575</x:v>
      </x:c>
      <x:c r="C3581" s="7" t="str">
        <x:v>hold record</x:v>
      </x:c>
      <x:c r="D3581" s="7" t="str">
        <x:v>RAE-E-35-HP-13</x:v>
      </x:c>
      <x:c r="E3581" s="7" t="str">
        <x:v>Hold Ledger!J1107</x:v>
      </x:c>
      <x:c r="F3581" s="7" t="str">
        <x:f>'Hold Ledger'!J1107</x:f>
        <x:v>OPEN</x:v>
      </x:c>
    </x:row>
    <x:row r="3582">
      <x:c r="B3582" s="7" t="str">
        <x:v>PHY-3576</x:v>
      </x:c>
      <x:c r="C3582" s="7" t="str">
        <x:v>hold record</x:v>
      </x:c>
      <x:c r="D3582" s="7" t="str">
        <x:v>RAE-E-35-HP-14</x:v>
      </x:c>
      <x:c r="E3582" s="7" t="str">
        <x:v>Hold Ledger!J1108</x:v>
      </x:c>
      <x:c r="F3582" s="7" t="str">
        <x:f>'Hold Ledger'!J1108</x:f>
        <x:v>OPEN</x:v>
      </x:c>
    </x:row>
    <x:row r="3583">
      <x:c r="B3583" s="7" t="str">
        <x:v>PHY-3577</x:v>
      </x:c>
      <x:c r="C3583" s="7" t="str">
        <x:v>hold record</x:v>
      </x:c>
      <x:c r="D3583" s="7" t="str">
        <x:v>RAE-E-35-HP-15</x:v>
      </x:c>
      <x:c r="E3583" s="7" t="str">
        <x:v>Hold Ledger!J1109</x:v>
      </x:c>
      <x:c r="F3583" s="7" t="str">
        <x:f>'Hold Ledger'!J1109</x:f>
        <x:v>OPEN</x:v>
      </x:c>
    </x:row>
    <x:row r="3584">
      <x:c r="B3584" s="7" t="str">
        <x:v>PHY-3578</x:v>
      </x:c>
      <x:c r="C3584" s="7" t="str">
        <x:v>hold record</x:v>
      </x:c>
      <x:c r="D3584" s="7" t="str">
        <x:v>RAE-E-35-HP-16</x:v>
      </x:c>
      <x:c r="E3584" s="7" t="str">
        <x:v>Hold Ledger!J1110</x:v>
      </x:c>
      <x:c r="F3584" s="7" t="str">
        <x:f>'Hold Ledger'!J1110</x:f>
        <x:v>OPEN</x:v>
      </x:c>
    </x:row>
    <x:row r="3585">
      <x:c r="B3585" s="7" t="str">
        <x:v>PHY-3579</x:v>
      </x:c>
      <x:c r="C3585" s="7" t="str">
        <x:v>hold record</x:v>
      </x:c>
      <x:c r="D3585" s="7" t="str">
        <x:v>RAE-E-35-HP-17</x:v>
      </x:c>
      <x:c r="E3585" s="7" t="str">
        <x:v>Hold Ledger!J1111</x:v>
      </x:c>
      <x:c r="F3585" s="7" t="str">
        <x:f>'Hold Ledger'!J1111</x:f>
        <x:v>OPEN</x:v>
      </x:c>
    </x:row>
    <x:row r="3586">
      <x:c r="B3586" s="7" t="str">
        <x:v>PHY-3580</x:v>
      </x:c>
      <x:c r="C3586" s="7" t="str">
        <x:v>hold record</x:v>
      </x:c>
      <x:c r="D3586" s="7" t="str">
        <x:v>RAE-E-35-HP-18</x:v>
      </x:c>
      <x:c r="E3586" s="7" t="str">
        <x:v>Hold Ledger!J1112</x:v>
      </x:c>
      <x:c r="F3586" s="7" t="str">
        <x:f>'Hold Ledger'!J1112</x:f>
        <x:v>OPEN</x:v>
      </x:c>
    </x:row>
    <x:row r="3587">
      <x:c r="B3587" s="7" t="str">
        <x:v>PHY-3581</x:v>
      </x:c>
      <x:c r="C3587" s="7" t="str">
        <x:v>hold record</x:v>
      </x:c>
      <x:c r="D3587" s="7" t="str">
        <x:v>RAE-E-35-HP-19</x:v>
      </x:c>
      <x:c r="E3587" s="7" t="str">
        <x:v>Hold Ledger!J1113</x:v>
      </x:c>
      <x:c r="F3587" s="7" t="str">
        <x:f>'Hold Ledger'!J1113</x:f>
        <x:v>OPEN</x:v>
      </x:c>
    </x:row>
    <x:row r="3588">
      <x:c r="B3588" s="7" t="str">
        <x:v>PHY-3582</x:v>
      </x:c>
      <x:c r="C3588" s="7" t="str">
        <x:v>hold record</x:v>
      </x:c>
      <x:c r="D3588" s="7" t="str">
        <x:v>RAE-E-35-HP-20</x:v>
      </x:c>
      <x:c r="E3588" s="7" t="str">
        <x:v>Hold Ledger!J1114</x:v>
      </x:c>
      <x:c r="F3588" s="7" t="str">
        <x:f>'Hold Ledger'!J1114</x:f>
        <x:v>OPEN</x:v>
      </x:c>
    </x:row>
    <x:row r="3589">
      <x:c r="B3589" s="7" t="str">
        <x:v>PHY-3583</x:v>
      </x:c>
      <x:c r="C3589" s="7" t="str">
        <x:v>hold record</x:v>
      </x:c>
      <x:c r="D3589" s="7" t="str">
        <x:v>RAE-E-35-HP-21</x:v>
      </x:c>
      <x:c r="E3589" s="7" t="str">
        <x:v>Hold Ledger!J1115</x:v>
      </x:c>
      <x:c r="F3589" s="7" t="str">
        <x:f>'Hold Ledger'!J1115</x:f>
        <x:v>OPEN</x:v>
      </x:c>
    </x:row>
    <x:row r="3590">
      <x:c r="B3590" s="7" t="str">
        <x:v>PHY-3584</x:v>
      </x:c>
      <x:c r="C3590" s="7" t="str">
        <x:v>hold record</x:v>
      </x:c>
      <x:c r="D3590" s="7" t="str">
        <x:v>RAE-E-35-HP-22</x:v>
      </x:c>
      <x:c r="E3590" s="7" t="str">
        <x:v>Hold Ledger!J1116</x:v>
      </x:c>
      <x:c r="F3590" s="7" t="str">
        <x:f>'Hold Ledger'!J1116</x:f>
        <x:v>OPEN</x:v>
      </x:c>
    </x:row>
    <x:row r="3591">
      <x:c r="B3591" s="7" t="str">
        <x:v>PHY-3585</x:v>
      </x:c>
      <x:c r="C3591" s="7" t="str">
        <x:v>hold record</x:v>
      </x:c>
      <x:c r="D3591" s="7" t="str">
        <x:v>RAE-E-35-HP-23</x:v>
      </x:c>
      <x:c r="E3591" s="7" t="str">
        <x:v>Hold Ledger!J1117</x:v>
      </x:c>
      <x:c r="F3591" s="7" t="str">
        <x:f>'Hold Ledger'!J1117</x:f>
        <x:v>OPEN</x:v>
      </x:c>
    </x:row>
    <x:row r="3592">
      <x:c r="B3592" s="7" t="str">
        <x:v>PHY-3586</x:v>
      </x:c>
      <x:c r="C3592" s="7" t="str">
        <x:v>hold record</x:v>
      </x:c>
      <x:c r="D3592" s="7" t="str">
        <x:v>RAE-E-35-HP-24</x:v>
      </x:c>
      <x:c r="E3592" s="7" t="str">
        <x:v>Hold Ledger!J1118</x:v>
      </x:c>
      <x:c r="F3592" s="7" t="str">
        <x:f>'Hold Ledger'!J1118</x:f>
        <x:v>OPEN</x:v>
      </x:c>
    </x:row>
    <x:row r="3593">
      <x:c r="B3593" s="7" t="str">
        <x:v>PHY-3587</x:v>
      </x:c>
      <x:c r="C3593" s="7" t="str">
        <x:v>hold record</x:v>
      </x:c>
      <x:c r="D3593" s="7" t="str">
        <x:v>RAE-E-35-HP-25</x:v>
      </x:c>
      <x:c r="E3593" s="7" t="str">
        <x:v>Hold Ledger!J1119</x:v>
      </x:c>
      <x:c r="F3593" s="7" t="str">
        <x:f>'Hold Ledger'!J1119</x:f>
        <x:v>OPEN</x:v>
      </x:c>
    </x:row>
    <x:row r="3594">
      <x:c r="B3594" s="7" t="str">
        <x:v>PHY-3588</x:v>
      </x:c>
      <x:c r="C3594" s="7" t="str">
        <x:v>hold record</x:v>
      </x:c>
      <x:c r="D3594" s="7" t="str">
        <x:v>RAE-E-35-HP-26</x:v>
      </x:c>
      <x:c r="E3594" s="7" t="str">
        <x:v>Hold Ledger!J1120</x:v>
      </x:c>
      <x:c r="F3594" s="7" t="str">
        <x:f>'Hold Ledger'!J1120</x:f>
        <x:v>OPEN</x:v>
      </x:c>
    </x:row>
    <x:row r="3595">
      <x:c r="B3595" s="7" t="str">
        <x:v>PHY-3589</x:v>
      </x:c>
      <x:c r="C3595" s="7" t="str">
        <x:v>hold record</x:v>
      </x:c>
      <x:c r="D3595" s="7" t="str">
        <x:v>RAE-E-35-HP-27</x:v>
      </x:c>
      <x:c r="E3595" s="7" t="str">
        <x:v>Hold Ledger!J1121</x:v>
      </x:c>
      <x:c r="F3595" s="7" t="str">
        <x:f>'Hold Ledger'!J1121</x:f>
        <x:v>OPEN</x:v>
      </x:c>
    </x:row>
    <x:row r="3596">
      <x:c r="B3596" s="7" t="str">
        <x:v>PHY-3590</x:v>
      </x:c>
      <x:c r="C3596" s="7" t="str">
        <x:v>hold record</x:v>
      </x:c>
      <x:c r="D3596" s="7" t="str">
        <x:v>RAE-E-35-HP-28</x:v>
      </x:c>
      <x:c r="E3596" s="7" t="str">
        <x:v>Hold Ledger!J1122</x:v>
      </x:c>
      <x:c r="F3596" s="7" t="str">
        <x:f>'Hold Ledger'!J1122</x:f>
        <x:v>OPEN</x:v>
      </x:c>
    </x:row>
    <x:row r="3597">
      <x:c r="B3597" s="7" t="str">
        <x:v>PHY-3591</x:v>
      </x:c>
      <x:c r="C3597" s="7" t="str">
        <x:v>hold record</x:v>
      </x:c>
      <x:c r="D3597" s="7" t="str">
        <x:v>RAE-E-35-HP-29</x:v>
      </x:c>
      <x:c r="E3597" s="7" t="str">
        <x:v>Hold Ledger!J1123</x:v>
      </x:c>
      <x:c r="F3597" s="7" t="str">
        <x:f>'Hold Ledger'!J1123</x:f>
        <x:v>OPEN</x:v>
      </x:c>
    </x:row>
    <x:row r="3598">
      <x:c r="B3598" s="7" t="str">
        <x:v>PHY-3592</x:v>
      </x:c>
      <x:c r="C3598" s="7" t="str">
        <x:v>hold record</x:v>
      </x:c>
      <x:c r="D3598" s="7" t="str">
        <x:v>RAE-E-35-HP-30</x:v>
      </x:c>
      <x:c r="E3598" s="7" t="str">
        <x:v>Hold Ledger!J1124</x:v>
      </x:c>
      <x:c r="F3598" s="7" t="str">
        <x:f>'Hold Ledger'!J1124</x:f>
        <x:v>OPEN</x:v>
      </x:c>
    </x:row>
    <x:row r="3599">
      <x:c r="B3599" s="7" t="str">
        <x:v>PHY-3593</x:v>
      </x:c>
      <x:c r="C3599" s="7" t="str">
        <x:v>hold record</x:v>
      </x:c>
      <x:c r="D3599" s="7" t="str">
        <x:v>RAE-E-35-HP-31</x:v>
      </x:c>
      <x:c r="E3599" s="7" t="str">
        <x:v>Hold Ledger!J1125</x:v>
      </x:c>
      <x:c r="F3599" s="7" t="str">
        <x:f>'Hold Ledger'!J1125</x:f>
        <x:v>OPEN</x:v>
      </x:c>
    </x:row>
    <x:row r="3600">
      <x:c r="B3600" s="7" t="str">
        <x:v>PHY-3594</x:v>
      </x:c>
      <x:c r="C3600" s="7" t="str">
        <x:v>hold record</x:v>
      </x:c>
      <x:c r="D3600" s="7" t="str">
        <x:v>RAE-E-35-HP-32</x:v>
      </x:c>
      <x:c r="E3600" s="7" t="str">
        <x:v>Hold Ledger!J1126</x:v>
      </x:c>
      <x:c r="F3600" s="7" t="str">
        <x:f>'Hold Ledger'!J1126</x:f>
        <x:v>OPEN</x:v>
      </x:c>
    </x:row>
    <x:row r="3601">
      <x:c r="B3601" s="7" t="str">
        <x:v>PHY-3595</x:v>
      </x:c>
      <x:c r="C3601" s="7" t="str">
        <x:v>hold record</x:v>
      </x:c>
      <x:c r="D3601" s="7" t="str">
        <x:v>RAE-E-36-HP-01</x:v>
      </x:c>
      <x:c r="E3601" s="7" t="str">
        <x:v>Hold Ledger!J1127</x:v>
      </x:c>
      <x:c r="F3601" s="7" t="str">
        <x:f>'Hold Ledger'!J1127</x:f>
        <x:v>OPEN</x:v>
      </x:c>
    </x:row>
    <x:row r="3602">
      <x:c r="B3602" s="7" t="str">
        <x:v>PHY-3596</x:v>
      </x:c>
      <x:c r="C3602" s="7" t="str">
        <x:v>hold record</x:v>
      </x:c>
      <x:c r="D3602" s="7" t="str">
        <x:v>RAE-E-36-HP-02</x:v>
      </x:c>
      <x:c r="E3602" s="7" t="str">
        <x:v>Hold Ledger!J1128</x:v>
      </x:c>
      <x:c r="F3602" s="7" t="str">
        <x:f>'Hold Ledger'!J1128</x:f>
        <x:v>OPEN</x:v>
      </x:c>
    </x:row>
    <x:row r="3603">
      <x:c r="B3603" s="7" t="str">
        <x:v>PHY-3597</x:v>
      </x:c>
      <x:c r="C3603" s="7" t="str">
        <x:v>hold record</x:v>
      </x:c>
      <x:c r="D3603" s="7" t="str">
        <x:v>RAE-E-36-HP-03</x:v>
      </x:c>
      <x:c r="E3603" s="7" t="str">
        <x:v>Hold Ledger!J1129</x:v>
      </x:c>
      <x:c r="F3603" s="7" t="str">
        <x:f>'Hold Ledger'!J1129</x:f>
        <x:v>OPEN</x:v>
      </x:c>
    </x:row>
    <x:row r="3604">
      <x:c r="B3604" s="7" t="str">
        <x:v>PHY-3598</x:v>
      </x:c>
      <x:c r="C3604" s="7" t="str">
        <x:v>hold record</x:v>
      </x:c>
      <x:c r="D3604" s="7" t="str">
        <x:v>RAE-E-36-HP-04</x:v>
      </x:c>
      <x:c r="E3604" s="7" t="str">
        <x:v>Hold Ledger!J1130</x:v>
      </x:c>
      <x:c r="F3604" s="7" t="str">
        <x:f>'Hold Ledger'!J1130</x:f>
        <x:v>OPEN</x:v>
      </x:c>
    </x:row>
    <x:row r="3605">
      <x:c r="B3605" s="7" t="str">
        <x:v>PHY-3599</x:v>
      </x:c>
      <x:c r="C3605" s="7" t="str">
        <x:v>hold record</x:v>
      </x:c>
      <x:c r="D3605" s="7" t="str">
        <x:v>RAE-E-36-HP-05</x:v>
      </x:c>
      <x:c r="E3605" s="7" t="str">
        <x:v>Hold Ledger!J1131</x:v>
      </x:c>
      <x:c r="F3605" s="7" t="str">
        <x:f>'Hold Ledger'!J1131</x:f>
        <x:v>OPEN</x:v>
      </x:c>
    </x:row>
    <x:row r="3606">
      <x:c r="B3606" s="7" t="str">
        <x:v>PHY-3600</x:v>
      </x:c>
      <x:c r="C3606" s="7" t="str">
        <x:v>hold record</x:v>
      </x:c>
      <x:c r="D3606" s="7" t="str">
        <x:v>RAE-E-36-HP-06</x:v>
      </x:c>
      <x:c r="E3606" s="7" t="str">
        <x:v>Hold Ledger!J1132</x:v>
      </x:c>
      <x:c r="F3606" s="7" t="str">
        <x:f>'Hold Ledger'!J1132</x:f>
        <x:v>OPEN</x:v>
      </x:c>
    </x:row>
    <x:row r="3607">
      <x:c r="B3607" s="7" t="str">
        <x:v>PHY-3601</x:v>
      </x:c>
      <x:c r="C3607" s="7" t="str">
        <x:v>hold record</x:v>
      </x:c>
      <x:c r="D3607" s="7" t="str">
        <x:v>RAE-E-36-HP-07</x:v>
      </x:c>
      <x:c r="E3607" s="7" t="str">
        <x:v>Hold Ledger!J1133</x:v>
      </x:c>
      <x:c r="F3607" s="7" t="str">
        <x:f>'Hold Ledger'!J1133</x:f>
        <x:v>OPEN</x:v>
      </x:c>
    </x:row>
    <x:row r="3608">
      <x:c r="B3608" s="7" t="str">
        <x:v>PHY-3602</x:v>
      </x:c>
      <x:c r="C3608" s="7" t="str">
        <x:v>hold record</x:v>
      </x:c>
      <x:c r="D3608" s="7" t="str">
        <x:v>RAE-E-36-HP-08</x:v>
      </x:c>
      <x:c r="E3608" s="7" t="str">
        <x:v>Hold Ledger!J1134</x:v>
      </x:c>
      <x:c r="F3608" s="7" t="str">
        <x:f>'Hold Ledger'!J1134</x:f>
        <x:v>OPEN</x:v>
      </x:c>
    </x:row>
    <x:row r="3609">
      <x:c r="B3609" s="7" t="str">
        <x:v>PHY-3603</x:v>
      </x:c>
      <x:c r="C3609" s="7" t="str">
        <x:v>hold record</x:v>
      </x:c>
      <x:c r="D3609" s="7" t="str">
        <x:v>RAE-E-36-HP-09</x:v>
      </x:c>
      <x:c r="E3609" s="7" t="str">
        <x:v>Hold Ledger!J1135</x:v>
      </x:c>
      <x:c r="F3609" s="7" t="str">
        <x:f>'Hold Ledger'!J1135</x:f>
        <x:v>OPEN</x:v>
      </x:c>
    </x:row>
    <x:row r="3610">
      <x:c r="B3610" s="7" t="str">
        <x:v>PHY-3604</x:v>
      </x:c>
      <x:c r="C3610" s="7" t="str">
        <x:v>hold record</x:v>
      </x:c>
      <x:c r="D3610" s="7" t="str">
        <x:v>RAE-E-36-HP-10</x:v>
      </x:c>
      <x:c r="E3610" s="7" t="str">
        <x:v>Hold Ledger!J1136</x:v>
      </x:c>
      <x:c r="F3610" s="7" t="str">
        <x:f>'Hold Ledger'!J1136</x:f>
        <x:v>OPEN</x:v>
      </x:c>
    </x:row>
    <x:row r="3611">
      <x:c r="B3611" s="7" t="str">
        <x:v>PHY-3605</x:v>
      </x:c>
      <x:c r="C3611" s="7" t="str">
        <x:v>hold record</x:v>
      </x:c>
      <x:c r="D3611" s="7" t="str">
        <x:v>RAE-E-36-HP-11</x:v>
      </x:c>
      <x:c r="E3611" s="7" t="str">
        <x:v>Hold Ledger!J1137</x:v>
      </x:c>
      <x:c r="F3611" s="7" t="str">
        <x:f>'Hold Ledger'!J1137</x:f>
        <x:v>OPEN</x:v>
      </x:c>
    </x:row>
    <x:row r="3612">
      <x:c r="B3612" s="7" t="str">
        <x:v>PHY-3606</x:v>
      </x:c>
      <x:c r="C3612" s="7" t="str">
        <x:v>hold record</x:v>
      </x:c>
      <x:c r="D3612" s="7" t="str">
        <x:v>RAE-E-36-HP-12</x:v>
      </x:c>
      <x:c r="E3612" s="7" t="str">
        <x:v>Hold Ledger!J1138</x:v>
      </x:c>
      <x:c r="F3612" s="7" t="str">
        <x:f>'Hold Ledger'!J1138</x:f>
        <x:v>OPEN</x:v>
      </x:c>
    </x:row>
    <x:row r="3613">
      <x:c r="B3613" s="7" t="str">
        <x:v>PHY-3607</x:v>
      </x:c>
      <x:c r="C3613" s="7" t="str">
        <x:v>hold record</x:v>
      </x:c>
      <x:c r="D3613" s="7" t="str">
        <x:v>RAE-E-36-HP-13</x:v>
      </x:c>
      <x:c r="E3613" s="7" t="str">
        <x:v>Hold Ledger!J1139</x:v>
      </x:c>
      <x:c r="F3613" s="7" t="str">
        <x:f>'Hold Ledger'!J1139</x:f>
        <x:v>OPEN</x:v>
      </x:c>
    </x:row>
    <x:row r="3614">
      <x:c r="B3614" s="7" t="str">
        <x:v>PHY-3608</x:v>
      </x:c>
      <x:c r="C3614" s="7" t="str">
        <x:v>hold record</x:v>
      </x:c>
      <x:c r="D3614" s="7" t="str">
        <x:v>RAE-E-36-HP-14</x:v>
      </x:c>
      <x:c r="E3614" s="7" t="str">
        <x:v>Hold Ledger!J1140</x:v>
      </x:c>
      <x:c r="F3614" s="7" t="str">
        <x:f>'Hold Ledger'!J1140</x:f>
        <x:v>OPEN</x:v>
      </x:c>
    </x:row>
    <x:row r="3615">
      <x:c r="B3615" s="7" t="str">
        <x:v>PHY-3609</x:v>
      </x:c>
      <x:c r="C3615" s="7" t="str">
        <x:v>hold record</x:v>
      </x:c>
      <x:c r="D3615" s="7" t="str">
        <x:v>RAE-E-36-HP-15</x:v>
      </x:c>
      <x:c r="E3615" s="7" t="str">
        <x:v>Hold Ledger!J1141</x:v>
      </x:c>
      <x:c r="F3615" s="7" t="str">
        <x:f>'Hold Ledger'!J1141</x:f>
        <x:v>OPEN</x:v>
      </x:c>
    </x:row>
    <x:row r="3616">
      <x:c r="B3616" s="7" t="str">
        <x:v>PHY-3610</x:v>
      </x:c>
      <x:c r="C3616" s="7" t="str">
        <x:v>hold record</x:v>
      </x:c>
      <x:c r="D3616" s="7" t="str">
        <x:v>RAE-E-36-HP-16</x:v>
      </x:c>
      <x:c r="E3616" s="7" t="str">
        <x:v>Hold Ledger!J1142</x:v>
      </x:c>
      <x:c r="F3616" s="7" t="str">
        <x:f>'Hold Ledger'!J1142</x:f>
        <x:v>OPEN</x:v>
      </x:c>
    </x:row>
    <x:row r="3617">
      <x:c r="B3617" s="7" t="str">
        <x:v>PHY-3611</x:v>
      </x:c>
      <x:c r="C3617" s="7" t="str">
        <x:v>hold record</x:v>
      </x:c>
      <x:c r="D3617" s="7" t="str">
        <x:v>RAE-E-36-HP-17</x:v>
      </x:c>
      <x:c r="E3617" s="7" t="str">
        <x:v>Hold Ledger!J1143</x:v>
      </x:c>
      <x:c r="F3617" s="7" t="str">
        <x:f>'Hold Ledger'!J1143</x:f>
        <x:v>OPEN</x:v>
      </x:c>
    </x:row>
    <x:row r="3618">
      <x:c r="B3618" s="7" t="str">
        <x:v>PHY-3612</x:v>
      </x:c>
      <x:c r="C3618" s="7" t="str">
        <x:v>hold record</x:v>
      </x:c>
      <x:c r="D3618" s="7" t="str">
        <x:v>RAE-E-36-HP-18</x:v>
      </x:c>
      <x:c r="E3618" s="7" t="str">
        <x:v>Hold Ledger!J1144</x:v>
      </x:c>
      <x:c r="F3618" s="7" t="str">
        <x:f>'Hold Ledger'!J1144</x:f>
        <x:v>OPEN</x:v>
      </x:c>
    </x:row>
    <x:row r="3619">
      <x:c r="B3619" s="7" t="str">
        <x:v>PHY-3613</x:v>
      </x:c>
      <x:c r="C3619" s="7" t="str">
        <x:v>hold record</x:v>
      </x:c>
      <x:c r="D3619" s="7" t="str">
        <x:v>RAE-E-36-HP-19</x:v>
      </x:c>
      <x:c r="E3619" s="7" t="str">
        <x:v>Hold Ledger!J1145</x:v>
      </x:c>
      <x:c r="F3619" s="7" t="str">
        <x:f>'Hold Ledger'!J1145</x:f>
        <x:v>OPEN</x:v>
      </x:c>
    </x:row>
    <x:row r="3620">
      <x:c r="B3620" s="7" t="str">
        <x:v>PHY-3614</x:v>
      </x:c>
      <x:c r="C3620" s="7" t="str">
        <x:v>hold record</x:v>
      </x:c>
      <x:c r="D3620" s="7" t="str">
        <x:v>RAE-E-36-HP-20</x:v>
      </x:c>
      <x:c r="E3620" s="7" t="str">
        <x:v>Hold Ledger!J1146</x:v>
      </x:c>
      <x:c r="F3620" s="7" t="str">
        <x:f>'Hold Ledger'!J1146</x:f>
        <x:v>OPEN</x:v>
      </x:c>
    </x:row>
    <x:row r="3621">
      <x:c r="B3621" s="7" t="str">
        <x:v>PHY-3615</x:v>
      </x:c>
      <x:c r="C3621" s="7" t="str">
        <x:v>hold record</x:v>
      </x:c>
      <x:c r="D3621" s="7" t="str">
        <x:v>RAE-E-36-HP-21</x:v>
      </x:c>
      <x:c r="E3621" s="7" t="str">
        <x:v>Hold Ledger!J1147</x:v>
      </x:c>
      <x:c r="F3621" s="7" t="str">
        <x:f>'Hold Ledger'!J1147</x:f>
        <x:v>OPEN</x:v>
      </x:c>
    </x:row>
    <x:row r="3622">
      <x:c r="B3622" s="7" t="str">
        <x:v>PHY-3616</x:v>
      </x:c>
      <x:c r="C3622" s="7" t="str">
        <x:v>hold record</x:v>
      </x:c>
      <x:c r="D3622" s="7" t="str">
        <x:v>RAE-E-36-HP-22</x:v>
      </x:c>
      <x:c r="E3622" s="7" t="str">
        <x:v>Hold Ledger!J1148</x:v>
      </x:c>
      <x:c r="F3622" s="7" t="str">
        <x:f>'Hold Ledger'!J1148</x:f>
        <x:v>OPEN</x:v>
      </x:c>
    </x:row>
    <x:row r="3623">
      <x:c r="B3623" s="7" t="str">
        <x:v>PHY-3617</x:v>
      </x:c>
      <x:c r="C3623" s="7" t="str">
        <x:v>hold record</x:v>
      </x:c>
      <x:c r="D3623" s="7" t="str">
        <x:v>RAE-E-36-HP-23</x:v>
      </x:c>
      <x:c r="E3623" s="7" t="str">
        <x:v>Hold Ledger!J1149</x:v>
      </x:c>
      <x:c r="F3623" s="7" t="str">
        <x:f>'Hold Ledger'!J1149</x:f>
        <x:v>OPEN</x:v>
      </x:c>
    </x:row>
    <x:row r="3624">
      <x:c r="B3624" s="7" t="str">
        <x:v>PHY-3618</x:v>
      </x:c>
      <x:c r="C3624" s="7" t="str">
        <x:v>hold record</x:v>
      </x:c>
      <x:c r="D3624" s="7" t="str">
        <x:v>RAE-E-36-HP-24</x:v>
      </x:c>
      <x:c r="E3624" s="7" t="str">
        <x:v>Hold Ledger!J1150</x:v>
      </x:c>
      <x:c r="F3624" s="7" t="str">
        <x:f>'Hold Ledger'!J1150</x:f>
        <x:v>OPEN</x:v>
      </x:c>
    </x:row>
    <x:row r="3625">
      <x:c r="B3625" s="7" t="str">
        <x:v>PHY-3619</x:v>
      </x:c>
      <x:c r="C3625" s="7" t="str">
        <x:v>hold record</x:v>
      </x:c>
      <x:c r="D3625" s="7" t="str">
        <x:v>RAE-E-36-HP-25</x:v>
      </x:c>
      <x:c r="E3625" s="7" t="str">
        <x:v>Hold Ledger!J1151</x:v>
      </x:c>
      <x:c r="F3625" s="7" t="str">
        <x:f>'Hold Ledger'!J1151</x:f>
        <x:v>OPEN</x:v>
      </x:c>
    </x:row>
    <x:row r="3626">
      <x:c r="B3626" s="7" t="str">
        <x:v>PHY-3620</x:v>
      </x:c>
      <x:c r="C3626" s="7" t="str">
        <x:v>hold record</x:v>
      </x:c>
      <x:c r="D3626" s="7" t="str">
        <x:v>RAE-E-36-HP-26</x:v>
      </x:c>
      <x:c r="E3626" s="7" t="str">
        <x:v>Hold Ledger!J1152</x:v>
      </x:c>
      <x:c r="F3626" s="7" t="str">
        <x:f>'Hold Ledger'!J1152</x:f>
        <x:v>OPEN</x:v>
      </x:c>
    </x:row>
    <x:row r="3627">
      <x:c r="B3627" s="7" t="str">
        <x:v>PHY-3621</x:v>
      </x:c>
      <x:c r="C3627" s="7" t="str">
        <x:v>hold record</x:v>
      </x:c>
      <x:c r="D3627" s="7" t="str">
        <x:v>RAE-E-36-HP-27</x:v>
      </x:c>
      <x:c r="E3627" s="7" t="str">
        <x:v>Hold Ledger!J1153</x:v>
      </x:c>
      <x:c r="F3627" s="7" t="str">
        <x:f>'Hold Ledger'!J1153</x:f>
        <x:v>OPEN</x:v>
      </x:c>
    </x:row>
    <x:row r="3628">
      <x:c r="B3628" s="7" t="str">
        <x:v>PHY-3622</x:v>
      </x:c>
      <x:c r="C3628" s="7" t="str">
        <x:v>hold record</x:v>
      </x:c>
      <x:c r="D3628" s="7" t="str">
        <x:v>RAE-E-36-HP-28</x:v>
      </x:c>
      <x:c r="E3628" s="7" t="str">
        <x:v>Hold Ledger!J1154</x:v>
      </x:c>
      <x:c r="F3628" s="7" t="str">
        <x:f>'Hold Ledger'!J1154</x:f>
        <x:v>OPEN</x:v>
      </x:c>
    </x:row>
    <x:row r="3629">
      <x:c r="B3629" s="7" t="str">
        <x:v>PHY-3623</x:v>
      </x:c>
      <x:c r="C3629" s="7" t="str">
        <x:v>hold record</x:v>
      </x:c>
      <x:c r="D3629" s="7" t="str">
        <x:v>RAE-E-36-HP-29</x:v>
      </x:c>
      <x:c r="E3629" s="7" t="str">
        <x:v>Hold Ledger!J1155</x:v>
      </x:c>
      <x:c r="F3629" s="7" t="str">
        <x:f>'Hold Ledger'!J1155</x:f>
        <x:v>OPEN</x:v>
      </x:c>
    </x:row>
    <x:row r="3630">
      <x:c r="B3630" s="7" t="str">
        <x:v>PHY-3624</x:v>
      </x:c>
      <x:c r="C3630" s="7" t="str">
        <x:v>hold record</x:v>
      </x:c>
      <x:c r="D3630" s="7" t="str">
        <x:v>RAE-E-36-HP-30</x:v>
      </x:c>
      <x:c r="E3630" s="7" t="str">
        <x:v>Hold Ledger!J1156</x:v>
      </x:c>
      <x:c r="F3630" s="7" t="str">
        <x:f>'Hold Ledger'!J1156</x:f>
        <x:v>OPEN</x:v>
      </x:c>
    </x:row>
    <x:row r="3631">
      <x:c r="B3631" s="7" t="str">
        <x:v>PHY-3625</x:v>
      </x:c>
      <x:c r="C3631" s="7" t="str">
        <x:v>hold record</x:v>
      </x:c>
      <x:c r="D3631" s="7" t="str">
        <x:v>RAE-E-36-HP-31</x:v>
      </x:c>
      <x:c r="E3631" s="7" t="str">
        <x:v>Hold Ledger!J1157</x:v>
      </x:c>
      <x:c r="F3631" s="7" t="str">
        <x:f>'Hold Ledger'!J1157</x:f>
        <x:v>OPEN</x:v>
      </x:c>
    </x:row>
    <x:row r="3632">
      <x:c r="B3632" s="7" t="str">
        <x:v>PHY-3626</x:v>
      </x:c>
      <x:c r="C3632" s="7" t="str">
        <x:v>hold record</x:v>
      </x:c>
      <x:c r="D3632" s="7" t="str">
        <x:v>RAE-E-36-HP-32</x:v>
      </x:c>
      <x:c r="E3632" s="7" t="str">
        <x:v>Hold Ledger!J1158</x:v>
      </x:c>
      <x:c r="F3632" s="7" t="str">
        <x:f>'Hold Ledger'!J1158</x:f>
        <x:v>OPEN</x:v>
      </x:c>
    </x:row>
    <x:row r="3633">
      <x:c r="B3633" s="7" t="str">
        <x:v>PHY-3627</x:v>
      </x:c>
      <x:c r="C3633" s="7" t="str">
        <x:v>hold record</x:v>
      </x:c>
      <x:c r="D3633" s="7" t="str">
        <x:v>RAE-E-37-HP-01</x:v>
      </x:c>
      <x:c r="E3633" s="7" t="str">
        <x:v>Hold Ledger!J1159</x:v>
      </x:c>
      <x:c r="F3633" s="7" t="str">
        <x:f>'Hold Ledger'!J1159</x:f>
        <x:v>OPEN</x:v>
      </x:c>
    </x:row>
    <x:row r="3634">
      <x:c r="B3634" s="7" t="str">
        <x:v>PHY-3628</x:v>
      </x:c>
      <x:c r="C3634" s="7" t="str">
        <x:v>hold record</x:v>
      </x:c>
      <x:c r="D3634" s="7" t="str">
        <x:v>RAE-E-37-HP-02</x:v>
      </x:c>
      <x:c r="E3634" s="7" t="str">
        <x:v>Hold Ledger!J1160</x:v>
      </x:c>
      <x:c r="F3634" s="7" t="str">
        <x:f>'Hold Ledger'!J1160</x:f>
        <x:v>OPEN</x:v>
      </x:c>
    </x:row>
    <x:row r="3635">
      <x:c r="B3635" s="7" t="str">
        <x:v>PHY-3629</x:v>
      </x:c>
      <x:c r="C3635" s="7" t="str">
        <x:v>hold record</x:v>
      </x:c>
      <x:c r="D3635" s="7" t="str">
        <x:v>RAE-E-37-HP-03</x:v>
      </x:c>
      <x:c r="E3635" s="7" t="str">
        <x:v>Hold Ledger!J1161</x:v>
      </x:c>
      <x:c r="F3635" s="7" t="str">
        <x:f>'Hold Ledger'!J1161</x:f>
        <x:v>OPEN</x:v>
      </x:c>
    </x:row>
    <x:row r="3636">
      <x:c r="B3636" s="7" t="str">
        <x:v>PHY-3630</x:v>
      </x:c>
      <x:c r="C3636" s="7" t="str">
        <x:v>hold record</x:v>
      </x:c>
      <x:c r="D3636" s="7" t="str">
        <x:v>RAE-E-37-HP-04</x:v>
      </x:c>
      <x:c r="E3636" s="7" t="str">
        <x:v>Hold Ledger!J1162</x:v>
      </x:c>
      <x:c r="F3636" s="7" t="str">
        <x:f>'Hold Ledger'!J1162</x:f>
        <x:v>OPEN</x:v>
      </x:c>
    </x:row>
    <x:row r="3637">
      <x:c r="B3637" s="7" t="str">
        <x:v>PHY-3631</x:v>
      </x:c>
      <x:c r="C3637" s="7" t="str">
        <x:v>hold record</x:v>
      </x:c>
      <x:c r="D3637" s="7" t="str">
        <x:v>RAE-E-37-HP-05</x:v>
      </x:c>
      <x:c r="E3637" s="7" t="str">
        <x:v>Hold Ledger!J1163</x:v>
      </x:c>
      <x:c r="F3637" s="7" t="str">
        <x:f>'Hold Ledger'!J1163</x:f>
        <x:v>OPEN</x:v>
      </x:c>
    </x:row>
    <x:row r="3638">
      <x:c r="B3638" s="7" t="str">
        <x:v>PHY-3632</x:v>
      </x:c>
      <x:c r="C3638" s="7" t="str">
        <x:v>hold record</x:v>
      </x:c>
      <x:c r="D3638" s="7" t="str">
        <x:v>RAE-E-37-HP-06</x:v>
      </x:c>
      <x:c r="E3638" s="7" t="str">
        <x:v>Hold Ledger!J1164</x:v>
      </x:c>
      <x:c r="F3638" s="7" t="str">
        <x:f>'Hold Ledger'!J1164</x:f>
        <x:v>OPEN</x:v>
      </x:c>
    </x:row>
    <x:row r="3639">
      <x:c r="B3639" s="7" t="str">
        <x:v>PHY-3633</x:v>
      </x:c>
      <x:c r="C3639" s="7" t="str">
        <x:v>hold record</x:v>
      </x:c>
      <x:c r="D3639" s="7" t="str">
        <x:v>RAE-E-37-HP-07</x:v>
      </x:c>
      <x:c r="E3639" s="7" t="str">
        <x:v>Hold Ledger!J1165</x:v>
      </x:c>
      <x:c r="F3639" s="7" t="str">
        <x:f>'Hold Ledger'!J1165</x:f>
        <x:v>OPEN</x:v>
      </x:c>
    </x:row>
    <x:row r="3640">
      <x:c r="B3640" s="7" t="str">
        <x:v>PHY-3634</x:v>
      </x:c>
      <x:c r="C3640" s="7" t="str">
        <x:v>hold record</x:v>
      </x:c>
      <x:c r="D3640" s="7" t="str">
        <x:v>RAE-E-37-HP-08</x:v>
      </x:c>
      <x:c r="E3640" s="7" t="str">
        <x:v>Hold Ledger!J1166</x:v>
      </x:c>
      <x:c r="F3640" s="7" t="str">
        <x:f>'Hold Ledger'!J1166</x:f>
        <x:v>OPEN</x:v>
      </x:c>
    </x:row>
    <x:row r="3641">
      <x:c r="B3641" s="7" t="str">
        <x:v>PHY-3635</x:v>
      </x:c>
      <x:c r="C3641" s="7" t="str">
        <x:v>hold record</x:v>
      </x:c>
      <x:c r="D3641" s="7" t="str">
        <x:v>RAE-E-37-HP-09</x:v>
      </x:c>
      <x:c r="E3641" s="7" t="str">
        <x:v>Hold Ledger!J1167</x:v>
      </x:c>
      <x:c r="F3641" s="7" t="str">
        <x:f>'Hold Ledger'!J1167</x:f>
        <x:v>OPEN</x:v>
      </x:c>
    </x:row>
    <x:row r="3642">
      <x:c r="B3642" s="7" t="str">
        <x:v>PHY-3636</x:v>
      </x:c>
      <x:c r="C3642" s="7" t="str">
        <x:v>hold record</x:v>
      </x:c>
      <x:c r="D3642" s="7" t="str">
        <x:v>RAE-E-37-HP-10</x:v>
      </x:c>
      <x:c r="E3642" s="7" t="str">
        <x:v>Hold Ledger!J1168</x:v>
      </x:c>
      <x:c r="F3642" s="7" t="str">
        <x:f>'Hold Ledger'!J1168</x:f>
        <x:v>OPEN</x:v>
      </x:c>
    </x:row>
    <x:row r="3643">
      <x:c r="B3643" s="7" t="str">
        <x:v>PHY-3637</x:v>
      </x:c>
      <x:c r="C3643" s="7" t="str">
        <x:v>hold record</x:v>
      </x:c>
      <x:c r="D3643" s="7" t="str">
        <x:v>RAE-E-37-HP-11</x:v>
      </x:c>
      <x:c r="E3643" s="7" t="str">
        <x:v>Hold Ledger!J1169</x:v>
      </x:c>
      <x:c r="F3643" s="7" t="str">
        <x:f>'Hold Ledger'!J1169</x:f>
        <x:v>OPEN</x:v>
      </x:c>
    </x:row>
    <x:row r="3644">
      <x:c r="B3644" s="7" t="str">
        <x:v>PHY-3638</x:v>
      </x:c>
      <x:c r="C3644" s="7" t="str">
        <x:v>hold record</x:v>
      </x:c>
      <x:c r="D3644" s="7" t="str">
        <x:v>RAE-E-37-HP-12</x:v>
      </x:c>
      <x:c r="E3644" s="7" t="str">
        <x:v>Hold Ledger!J1170</x:v>
      </x:c>
      <x:c r="F3644" s="7" t="str">
        <x:f>'Hold Ledger'!J1170</x:f>
        <x:v>OPEN</x:v>
      </x:c>
    </x:row>
    <x:row r="3645">
      <x:c r="B3645" s="7" t="str">
        <x:v>PHY-3639</x:v>
      </x:c>
      <x:c r="C3645" s="7" t="str">
        <x:v>hold record</x:v>
      </x:c>
      <x:c r="D3645" s="7" t="str">
        <x:v>RAE-E-37-HP-13</x:v>
      </x:c>
      <x:c r="E3645" s="7" t="str">
        <x:v>Hold Ledger!J1171</x:v>
      </x:c>
      <x:c r="F3645" s="7" t="str">
        <x:f>'Hold Ledger'!J1171</x:f>
        <x:v>OPEN</x:v>
      </x:c>
    </x:row>
    <x:row r="3646">
      <x:c r="B3646" s="7" t="str">
        <x:v>PHY-3640</x:v>
      </x:c>
      <x:c r="C3646" s="7" t="str">
        <x:v>hold record</x:v>
      </x:c>
      <x:c r="D3646" s="7" t="str">
        <x:v>RAE-E-37-HP-14</x:v>
      </x:c>
      <x:c r="E3646" s="7" t="str">
        <x:v>Hold Ledger!J1172</x:v>
      </x:c>
      <x:c r="F3646" s="7" t="str">
        <x:f>'Hold Ledger'!J1172</x:f>
        <x:v>OPEN</x:v>
      </x:c>
    </x:row>
    <x:row r="3647">
      <x:c r="B3647" s="7" t="str">
        <x:v>PHY-3641</x:v>
      </x:c>
      <x:c r="C3647" s="7" t="str">
        <x:v>hold record</x:v>
      </x:c>
      <x:c r="D3647" s="7" t="str">
        <x:v>RAE-E-37-HP-15</x:v>
      </x:c>
      <x:c r="E3647" s="7" t="str">
        <x:v>Hold Ledger!J1173</x:v>
      </x:c>
      <x:c r="F3647" s="7" t="str">
        <x:f>'Hold Ledger'!J1173</x:f>
        <x:v>OPEN</x:v>
      </x:c>
    </x:row>
    <x:row r="3648">
      <x:c r="B3648" s="7" t="str">
        <x:v>PHY-3642</x:v>
      </x:c>
      <x:c r="C3648" s="7" t="str">
        <x:v>hold record</x:v>
      </x:c>
      <x:c r="D3648" s="7" t="str">
        <x:v>RAE-E-37-HP-16</x:v>
      </x:c>
      <x:c r="E3648" s="7" t="str">
        <x:v>Hold Ledger!J1174</x:v>
      </x:c>
      <x:c r="F3648" s="7" t="str">
        <x:f>'Hold Ledger'!J1174</x:f>
        <x:v>OPEN</x:v>
      </x:c>
    </x:row>
    <x:row r="3649">
      <x:c r="B3649" s="7" t="str">
        <x:v>PHY-3643</x:v>
      </x:c>
      <x:c r="C3649" s="7" t="str">
        <x:v>hold record</x:v>
      </x:c>
      <x:c r="D3649" s="7" t="str">
        <x:v>RAE-E-37-HP-17</x:v>
      </x:c>
      <x:c r="E3649" s="7" t="str">
        <x:v>Hold Ledger!J1175</x:v>
      </x:c>
      <x:c r="F3649" s="7" t="str">
        <x:f>'Hold Ledger'!J1175</x:f>
        <x:v>OPEN</x:v>
      </x:c>
    </x:row>
    <x:row r="3650">
      <x:c r="B3650" s="7" t="str">
        <x:v>PHY-3644</x:v>
      </x:c>
      <x:c r="C3650" s="7" t="str">
        <x:v>hold record</x:v>
      </x:c>
      <x:c r="D3650" s="7" t="str">
        <x:v>RAE-E-37-HP-18</x:v>
      </x:c>
      <x:c r="E3650" s="7" t="str">
        <x:v>Hold Ledger!J1176</x:v>
      </x:c>
      <x:c r="F3650" s="7" t="str">
        <x:f>'Hold Ledger'!J1176</x:f>
        <x:v>OPEN</x:v>
      </x:c>
    </x:row>
    <x:row r="3651">
      <x:c r="B3651" s="7" t="str">
        <x:v>PHY-3645</x:v>
      </x:c>
      <x:c r="C3651" s="7" t="str">
        <x:v>hold record</x:v>
      </x:c>
      <x:c r="D3651" s="7" t="str">
        <x:v>RAE-E-37-HP-19</x:v>
      </x:c>
      <x:c r="E3651" s="7" t="str">
        <x:v>Hold Ledger!J1177</x:v>
      </x:c>
      <x:c r="F3651" s="7" t="str">
        <x:f>'Hold Ledger'!J1177</x:f>
        <x:v>OPEN</x:v>
      </x:c>
    </x:row>
    <x:row r="3652">
      <x:c r="B3652" s="7" t="str">
        <x:v>PHY-3646</x:v>
      </x:c>
      <x:c r="C3652" s="7" t="str">
        <x:v>hold record</x:v>
      </x:c>
      <x:c r="D3652" s="7" t="str">
        <x:v>RAE-E-37-HP-20</x:v>
      </x:c>
      <x:c r="E3652" s="7" t="str">
        <x:v>Hold Ledger!J1178</x:v>
      </x:c>
      <x:c r="F3652" s="7" t="str">
        <x:f>'Hold Ledger'!J1178</x:f>
        <x:v>OPEN</x:v>
      </x:c>
    </x:row>
    <x:row r="3653">
      <x:c r="B3653" s="7" t="str">
        <x:v>PHY-3647</x:v>
      </x:c>
      <x:c r="C3653" s="7" t="str">
        <x:v>hold record</x:v>
      </x:c>
      <x:c r="D3653" s="7" t="str">
        <x:v>RAE-E-37-HP-21</x:v>
      </x:c>
      <x:c r="E3653" s="7" t="str">
        <x:v>Hold Ledger!J1179</x:v>
      </x:c>
      <x:c r="F3653" s="7" t="str">
        <x:f>'Hold Ledger'!J1179</x:f>
        <x:v>OPEN</x:v>
      </x:c>
    </x:row>
    <x:row r="3654">
      <x:c r="B3654" s="7" t="str">
        <x:v>PHY-3648</x:v>
      </x:c>
      <x:c r="C3654" s="7" t="str">
        <x:v>hold record</x:v>
      </x:c>
      <x:c r="D3654" s="7" t="str">
        <x:v>RAE-E-37-HP-22</x:v>
      </x:c>
      <x:c r="E3654" s="7" t="str">
        <x:v>Hold Ledger!J1180</x:v>
      </x:c>
      <x:c r="F3654" s="7" t="str">
        <x:f>'Hold Ledger'!J1180</x:f>
        <x:v>OPEN</x:v>
      </x:c>
    </x:row>
    <x:row r="3655">
      <x:c r="B3655" s="7" t="str">
        <x:v>PHY-3649</x:v>
      </x:c>
      <x:c r="C3655" s="7" t="str">
        <x:v>hold record</x:v>
      </x:c>
      <x:c r="D3655" s="7" t="str">
        <x:v>RAE-E-37-HP-23</x:v>
      </x:c>
      <x:c r="E3655" s="7" t="str">
        <x:v>Hold Ledger!J1181</x:v>
      </x:c>
      <x:c r="F3655" s="7" t="str">
        <x:f>'Hold Ledger'!J1181</x:f>
        <x:v>OPEN</x:v>
      </x:c>
    </x:row>
    <x:row r="3656">
      <x:c r="B3656" s="7" t="str">
        <x:v>PHY-3650</x:v>
      </x:c>
      <x:c r="C3656" s="7" t="str">
        <x:v>hold record</x:v>
      </x:c>
      <x:c r="D3656" s="7" t="str">
        <x:v>RAE-E-37-HP-24</x:v>
      </x:c>
      <x:c r="E3656" s="7" t="str">
        <x:v>Hold Ledger!J1182</x:v>
      </x:c>
      <x:c r="F3656" s="7" t="str">
        <x:f>'Hold Ledger'!J1182</x:f>
        <x:v>OPEN</x:v>
      </x:c>
    </x:row>
    <x:row r="3657">
      <x:c r="B3657" s="7" t="str">
        <x:v>PHY-3651</x:v>
      </x:c>
      <x:c r="C3657" s="7" t="str">
        <x:v>hold record</x:v>
      </x:c>
      <x:c r="D3657" s="7" t="str">
        <x:v>RAE-E-37-HP-25</x:v>
      </x:c>
      <x:c r="E3657" s="7" t="str">
        <x:v>Hold Ledger!J1183</x:v>
      </x:c>
      <x:c r="F3657" s="7" t="str">
        <x:f>'Hold Ledger'!J1183</x:f>
        <x:v>OPEN</x:v>
      </x:c>
    </x:row>
    <x:row r="3658">
      <x:c r="B3658" s="7" t="str">
        <x:v>PHY-3652</x:v>
      </x:c>
      <x:c r="C3658" s="7" t="str">
        <x:v>hold record</x:v>
      </x:c>
      <x:c r="D3658" s="7" t="str">
        <x:v>RAE-E-37-HP-26</x:v>
      </x:c>
      <x:c r="E3658" s="7" t="str">
        <x:v>Hold Ledger!J1184</x:v>
      </x:c>
      <x:c r="F3658" s="7" t="str">
        <x:f>'Hold Ledger'!J1184</x:f>
        <x:v>OPEN</x:v>
      </x:c>
    </x:row>
    <x:row r="3659">
      <x:c r="B3659" s="7" t="str">
        <x:v>PHY-3653</x:v>
      </x:c>
      <x:c r="C3659" s="7" t="str">
        <x:v>hold record</x:v>
      </x:c>
      <x:c r="D3659" s="7" t="str">
        <x:v>RAE-E-37-HP-27</x:v>
      </x:c>
      <x:c r="E3659" s="7" t="str">
        <x:v>Hold Ledger!J1185</x:v>
      </x:c>
      <x:c r="F3659" s="7" t="str">
        <x:f>'Hold Ledger'!J1185</x:f>
        <x:v>OPEN</x:v>
      </x:c>
    </x:row>
    <x:row r="3660">
      <x:c r="B3660" s="7" t="str">
        <x:v>PHY-3654</x:v>
      </x:c>
      <x:c r="C3660" s="7" t="str">
        <x:v>hold record</x:v>
      </x:c>
      <x:c r="D3660" s="7" t="str">
        <x:v>RAE-E-37-HP-28</x:v>
      </x:c>
      <x:c r="E3660" s="7" t="str">
        <x:v>Hold Ledger!J1186</x:v>
      </x:c>
      <x:c r="F3660" s="7" t="str">
        <x:f>'Hold Ledger'!J1186</x:f>
        <x:v>OPEN</x:v>
      </x:c>
    </x:row>
    <x:row r="3661">
      <x:c r="B3661" s="7" t="str">
        <x:v>PHY-3655</x:v>
      </x:c>
      <x:c r="C3661" s="7" t="str">
        <x:v>hold record</x:v>
      </x:c>
      <x:c r="D3661" s="7" t="str">
        <x:v>RAE-E-37-HP-29</x:v>
      </x:c>
      <x:c r="E3661" s="7" t="str">
        <x:v>Hold Ledger!J1187</x:v>
      </x:c>
      <x:c r="F3661" s="7" t="str">
        <x:f>'Hold Ledger'!J1187</x:f>
        <x:v>OPEN</x:v>
      </x:c>
    </x:row>
    <x:row r="3662">
      <x:c r="B3662" s="7" t="str">
        <x:v>PHY-3656</x:v>
      </x:c>
      <x:c r="C3662" s="7" t="str">
        <x:v>hold record</x:v>
      </x:c>
      <x:c r="D3662" s="7" t="str">
        <x:v>RAE-E-37-HP-30</x:v>
      </x:c>
      <x:c r="E3662" s="7" t="str">
        <x:v>Hold Ledger!J1188</x:v>
      </x:c>
      <x:c r="F3662" s="7" t="str">
        <x:f>'Hold Ledger'!J1188</x:f>
        <x:v>OPEN</x:v>
      </x:c>
    </x:row>
    <x:row r="3663">
      <x:c r="B3663" s="7" t="str">
        <x:v>PHY-3657</x:v>
      </x:c>
      <x:c r="C3663" s="7" t="str">
        <x:v>hold record</x:v>
      </x:c>
      <x:c r="D3663" s="7" t="str">
        <x:v>RAE-E-37-HP-31</x:v>
      </x:c>
      <x:c r="E3663" s="7" t="str">
        <x:v>Hold Ledger!J1189</x:v>
      </x:c>
      <x:c r="F3663" s="7" t="str">
        <x:f>'Hold Ledger'!J1189</x:f>
        <x:v>OPEN</x:v>
      </x:c>
    </x:row>
    <x:row r="3664">
      <x:c r="B3664" s="7" t="str">
        <x:v>PHY-3658</x:v>
      </x:c>
      <x:c r="C3664" s="7" t="str">
        <x:v>hold record</x:v>
      </x:c>
      <x:c r="D3664" s="7" t="str">
        <x:v>RAE-E-37-HP-32</x:v>
      </x:c>
      <x:c r="E3664" s="7" t="str">
        <x:v>Hold Ledger!J1190</x:v>
      </x:c>
      <x:c r="F3664" s="7" t="str">
        <x:f>'Hold Ledger'!J1190</x:f>
        <x:v>OPEN</x:v>
      </x:c>
    </x:row>
    <x:row r="3665">
      <x:c r="B3665" s="7" t="str">
        <x:v>PHY-3659</x:v>
      </x:c>
      <x:c r="C3665" s="7" t="str">
        <x:v>hold record</x:v>
      </x:c>
      <x:c r="D3665" s="7" t="str">
        <x:v>RAE-E-38-HP-01</x:v>
      </x:c>
      <x:c r="E3665" s="7" t="str">
        <x:v>Hold Ledger!J1191</x:v>
      </x:c>
      <x:c r="F3665" s="7" t="str">
        <x:f>'Hold Ledger'!J1191</x:f>
        <x:v>OPEN</x:v>
      </x:c>
    </x:row>
    <x:row r="3666">
      <x:c r="B3666" s="7" t="str">
        <x:v>PHY-3660</x:v>
      </x:c>
      <x:c r="C3666" s="7" t="str">
        <x:v>hold record</x:v>
      </x:c>
      <x:c r="D3666" s="7" t="str">
        <x:v>RAE-E-38-HP-02</x:v>
      </x:c>
      <x:c r="E3666" s="7" t="str">
        <x:v>Hold Ledger!J1192</x:v>
      </x:c>
      <x:c r="F3666" s="7" t="str">
        <x:f>'Hold Ledger'!J1192</x:f>
        <x:v>OPEN</x:v>
      </x:c>
    </x:row>
    <x:row r="3667">
      <x:c r="B3667" s="7" t="str">
        <x:v>PHY-3661</x:v>
      </x:c>
      <x:c r="C3667" s="7" t="str">
        <x:v>hold record</x:v>
      </x:c>
      <x:c r="D3667" s="7" t="str">
        <x:v>RAE-E-38-HP-03</x:v>
      </x:c>
      <x:c r="E3667" s="7" t="str">
        <x:v>Hold Ledger!J1193</x:v>
      </x:c>
      <x:c r="F3667" s="7" t="str">
        <x:f>'Hold Ledger'!J1193</x:f>
        <x:v>OPEN</x:v>
      </x:c>
    </x:row>
    <x:row r="3668">
      <x:c r="B3668" s="7" t="str">
        <x:v>PHY-3662</x:v>
      </x:c>
      <x:c r="C3668" s="7" t="str">
        <x:v>hold record</x:v>
      </x:c>
      <x:c r="D3668" s="7" t="str">
        <x:v>RAE-E-38-HP-04</x:v>
      </x:c>
      <x:c r="E3668" s="7" t="str">
        <x:v>Hold Ledger!J1194</x:v>
      </x:c>
      <x:c r="F3668" s="7" t="str">
        <x:f>'Hold Ledger'!J1194</x:f>
        <x:v>OPEN</x:v>
      </x:c>
    </x:row>
    <x:row r="3669">
      <x:c r="B3669" s="7" t="str">
        <x:v>PHY-3663</x:v>
      </x:c>
      <x:c r="C3669" s="7" t="str">
        <x:v>hold record</x:v>
      </x:c>
      <x:c r="D3669" s="7" t="str">
        <x:v>RAE-E-38-HP-05</x:v>
      </x:c>
      <x:c r="E3669" s="7" t="str">
        <x:v>Hold Ledger!J1195</x:v>
      </x:c>
      <x:c r="F3669" s="7" t="str">
        <x:f>'Hold Ledger'!J1195</x:f>
        <x:v>OPEN</x:v>
      </x:c>
    </x:row>
    <x:row r="3670">
      <x:c r="B3670" s="7" t="str">
        <x:v>PHY-3664</x:v>
      </x:c>
      <x:c r="C3670" s="7" t="str">
        <x:v>hold record</x:v>
      </x:c>
      <x:c r="D3670" s="7" t="str">
        <x:v>RAE-E-38-HP-06</x:v>
      </x:c>
      <x:c r="E3670" s="7" t="str">
        <x:v>Hold Ledger!J1196</x:v>
      </x:c>
      <x:c r="F3670" s="7" t="str">
        <x:f>'Hold Ledger'!J1196</x:f>
        <x:v>OPEN</x:v>
      </x:c>
    </x:row>
    <x:row r="3671">
      <x:c r="B3671" s="7" t="str">
        <x:v>PHY-3665</x:v>
      </x:c>
      <x:c r="C3671" s="7" t="str">
        <x:v>hold record</x:v>
      </x:c>
      <x:c r="D3671" s="7" t="str">
        <x:v>RAE-E-38-HP-07</x:v>
      </x:c>
      <x:c r="E3671" s="7" t="str">
        <x:v>Hold Ledger!J1197</x:v>
      </x:c>
      <x:c r="F3671" s="7" t="str">
        <x:f>'Hold Ledger'!J1197</x:f>
        <x:v>OPEN</x:v>
      </x:c>
    </x:row>
    <x:row r="3672">
      <x:c r="B3672" s="7" t="str">
        <x:v>PHY-3666</x:v>
      </x:c>
      <x:c r="C3672" s="7" t="str">
        <x:v>hold record</x:v>
      </x:c>
      <x:c r="D3672" s="7" t="str">
        <x:v>RAE-E-38-HP-08</x:v>
      </x:c>
      <x:c r="E3672" s="7" t="str">
        <x:v>Hold Ledger!J1198</x:v>
      </x:c>
      <x:c r="F3672" s="7" t="str">
        <x:f>'Hold Ledger'!J1198</x:f>
        <x:v>OPEN</x:v>
      </x:c>
    </x:row>
    <x:row r="3673">
      <x:c r="B3673" s="7" t="str">
        <x:v>PHY-3667</x:v>
      </x:c>
      <x:c r="C3673" s="7" t="str">
        <x:v>hold record</x:v>
      </x:c>
      <x:c r="D3673" s="7" t="str">
        <x:v>RAE-E-38-HP-09</x:v>
      </x:c>
      <x:c r="E3673" s="7" t="str">
        <x:v>Hold Ledger!J1199</x:v>
      </x:c>
      <x:c r="F3673" s="7" t="str">
        <x:f>'Hold Ledger'!J1199</x:f>
        <x:v>OPEN</x:v>
      </x:c>
    </x:row>
    <x:row r="3674">
      <x:c r="B3674" s="7" t="str">
        <x:v>PHY-3668</x:v>
      </x:c>
      <x:c r="C3674" s="7" t="str">
        <x:v>hold record</x:v>
      </x:c>
      <x:c r="D3674" s="7" t="str">
        <x:v>RAE-E-38-HP-10</x:v>
      </x:c>
      <x:c r="E3674" s="7" t="str">
        <x:v>Hold Ledger!J1200</x:v>
      </x:c>
      <x:c r="F3674" s="7" t="str">
        <x:f>'Hold Ledger'!J1200</x:f>
        <x:v>OPEN</x:v>
      </x:c>
    </x:row>
    <x:row r="3675">
      <x:c r="B3675" s="7" t="str">
        <x:v>PHY-3669</x:v>
      </x:c>
      <x:c r="C3675" s="7" t="str">
        <x:v>hold record</x:v>
      </x:c>
      <x:c r="D3675" s="7" t="str">
        <x:v>RAE-E-38-HP-11</x:v>
      </x:c>
      <x:c r="E3675" s="7" t="str">
        <x:v>Hold Ledger!J1201</x:v>
      </x:c>
      <x:c r="F3675" s="7" t="str">
        <x:f>'Hold Ledger'!J1201</x:f>
        <x:v>OPEN</x:v>
      </x:c>
    </x:row>
    <x:row r="3676">
      <x:c r="B3676" s="7" t="str">
        <x:v>PHY-3670</x:v>
      </x:c>
      <x:c r="C3676" s="7" t="str">
        <x:v>hold record</x:v>
      </x:c>
      <x:c r="D3676" s="7" t="str">
        <x:v>RAE-E-38-HP-12</x:v>
      </x:c>
      <x:c r="E3676" s="7" t="str">
        <x:v>Hold Ledger!J1202</x:v>
      </x:c>
      <x:c r="F3676" s="7" t="str">
        <x:f>'Hold Ledger'!J1202</x:f>
        <x:v>OPEN</x:v>
      </x:c>
    </x:row>
    <x:row r="3677">
      <x:c r="B3677" s="7" t="str">
        <x:v>PHY-3671</x:v>
      </x:c>
      <x:c r="C3677" s="7" t="str">
        <x:v>hold record</x:v>
      </x:c>
      <x:c r="D3677" s="7" t="str">
        <x:v>RAE-E-38-HP-13</x:v>
      </x:c>
      <x:c r="E3677" s="7" t="str">
        <x:v>Hold Ledger!J1203</x:v>
      </x:c>
      <x:c r="F3677" s="7" t="str">
        <x:f>'Hold Ledger'!J1203</x:f>
        <x:v>OPEN</x:v>
      </x:c>
    </x:row>
    <x:row r="3678">
      <x:c r="B3678" s="7" t="str">
        <x:v>PHY-3672</x:v>
      </x:c>
      <x:c r="C3678" s="7" t="str">
        <x:v>hold record</x:v>
      </x:c>
      <x:c r="D3678" s="7" t="str">
        <x:v>RAE-E-38-HP-14</x:v>
      </x:c>
      <x:c r="E3678" s="7" t="str">
        <x:v>Hold Ledger!J1204</x:v>
      </x:c>
      <x:c r="F3678" s="7" t="str">
        <x:f>'Hold Ledger'!J1204</x:f>
        <x:v>OPEN</x:v>
      </x:c>
    </x:row>
    <x:row r="3679">
      <x:c r="B3679" s="7" t="str">
        <x:v>PHY-3673</x:v>
      </x:c>
      <x:c r="C3679" s="7" t="str">
        <x:v>hold record</x:v>
      </x:c>
      <x:c r="D3679" s="7" t="str">
        <x:v>RAE-E-38-HP-15</x:v>
      </x:c>
      <x:c r="E3679" s="7" t="str">
        <x:v>Hold Ledger!J1205</x:v>
      </x:c>
      <x:c r="F3679" s="7" t="str">
        <x:f>'Hold Ledger'!J1205</x:f>
        <x:v>OPEN</x:v>
      </x:c>
    </x:row>
    <x:row r="3680">
      <x:c r="B3680" s="7" t="str">
        <x:v>PHY-3674</x:v>
      </x:c>
      <x:c r="C3680" s="7" t="str">
        <x:v>hold record</x:v>
      </x:c>
      <x:c r="D3680" s="7" t="str">
        <x:v>RAE-E-38-HP-16</x:v>
      </x:c>
      <x:c r="E3680" s="7" t="str">
        <x:v>Hold Ledger!J1206</x:v>
      </x:c>
      <x:c r="F3680" s="7" t="str">
        <x:f>'Hold Ledger'!J1206</x:f>
        <x:v>OPEN</x:v>
      </x:c>
    </x:row>
    <x:row r="3681">
      <x:c r="B3681" s="7" t="str">
        <x:v>PHY-3675</x:v>
      </x:c>
      <x:c r="C3681" s="7" t="str">
        <x:v>hold record</x:v>
      </x:c>
      <x:c r="D3681" s="7" t="str">
        <x:v>RAE-E-38-HP-17</x:v>
      </x:c>
      <x:c r="E3681" s="7" t="str">
        <x:v>Hold Ledger!J1207</x:v>
      </x:c>
      <x:c r="F3681" s="7" t="str">
        <x:f>'Hold Ledger'!J1207</x:f>
        <x:v>OPEN</x:v>
      </x:c>
    </x:row>
    <x:row r="3682">
      <x:c r="B3682" s="7" t="str">
        <x:v>PHY-3676</x:v>
      </x:c>
      <x:c r="C3682" s="7" t="str">
        <x:v>hold record</x:v>
      </x:c>
      <x:c r="D3682" s="7" t="str">
        <x:v>RAE-E-38-HP-18</x:v>
      </x:c>
      <x:c r="E3682" s="7" t="str">
        <x:v>Hold Ledger!J1208</x:v>
      </x:c>
      <x:c r="F3682" s="7" t="str">
        <x:f>'Hold Ledger'!J1208</x:f>
        <x:v>OPEN</x:v>
      </x:c>
    </x:row>
    <x:row r="3683">
      <x:c r="B3683" s="7" t="str">
        <x:v>PHY-3677</x:v>
      </x:c>
      <x:c r="C3683" s="7" t="str">
        <x:v>hold record</x:v>
      </x:c>
      <x:c r="D3683" s="7" t="str">
        <x:v>RAE-E-38-HP-19</x:v>
      </x:c>
      <x:c r="E3683" s="7" t="str">
        <x:v>Hold Ledger!J1209</x:v>
      </x:c>
      <x:c r="F3683" s="7" t="str">
        <x:f>'Hold Ledger'!J1209</x:f>
        <x:v>OPEN</x:v>
      </x:c>
    </x:row>
    <x:row r="3684">
      <x:c r="B3684" s="7" t="str">
        <x:v>PHY-3678</x:v>
      </x:c>
      <x:c r="C3684" s="7" t="str">
        <x:v>hold record</x:v>
      </x:c>
      <x:c r="D3684" s="7" t="str">
        <x:v>RAE-E-38-HP-20</x:v>
      </x:c>
      <x:c r="E3684" s="7" t="str">
        <x:v>Hold Ledger!J1210</x:v>
      </x:c>
      <x:c r="F3684" s="7" t="str">
        <x:f>'Hold Ledger'!J1210</x:f>
        <x:v>OPEN</x:v>
      </x:c>
    </x:row>
    <x:row r="3685">
      <x:c r="B3685" s="7" t="str">
        <x:v>PHY-3679</x:v>
      </x:c>
      <x:c r="C3685" s="7" t="str">
        <x:v>hold record</x:v>
      </x:c>
      <x:c r="D3685" s="7" t="str">
        <x:v>RAE-E-38-HP-21</x:v>
      </x:c>
      <x:c r="E3685" s="7" t="str">
        <x:v>Hold Ledger!J1211</x:v>
      </x:c>
      <x:c r="F3685" s="7" t="str">
        <x:f>'Hold Ledger'!J1211</x:f>
        <x:v>OPEN</x:v>
      </x:c>
    </x:row>
    <x:row r="3686">
      <x:c r="B3686" s="7" t="str">
        <x:v>PHY-3680</x:v>
      </x:c>
      <x:c r="C3686" s="7" t="str">
        <x:v>hold record</x:v>
      </x:c>
      <x:c r="D3686" s="7" t="str">
        <x:v>RAE-E-38-HP-22</x:v>
      </x:c>
      <x:c r="E3686" s="7" t="str">
        <x:v>Hold Ledger!J1212</x:v>
      </x:c>
      <x:c r="F3686" s="7" t="str">
        <x:f>'Hold Ledger'!J1212</x:f>
        <x:v>OPEN</x:v>
      </x:c>
    </x:row>
    <x:row r="3687">
      <x:c r="B3687" s="7" t="str">
        <x:v>PHY-3681</x:v>
      </x:c>
      <x:c r="C3687" s="7" t="str">
        <x:v>hold record</x:v>
      </x:c>
      <x:c r="D3687" s="7" t="str">
        <x:v>RAE-E-38-HP-23</x:v>
      </x:c>
      <x:c r="E3687" s="7" t="str">
        <x:v>Hold Ledger!J1213</x:v>
      </x:c>
      <x:c r="F3687" s="7" t="str">
        <x:f>'Hold Ledger'!J1213</x:f>
        <x:v>OPEN</x:v>
      </x:c>
    </x:row>
    <x:row r="3688">
      <x:c r="B3688" s="7" t="str">
        <x:v>PHY-3682</x:v>
      </x:c>
      <x:c r="C3688" s="7" t="str">
        <x:v>hold record</x:v>
      </x:c>
      <x:c r="D3688" s="7" t="str">
        <x:v>RAE-E-38-HP-24</x:v>
      </x:c>
      <x:c r="E3688" s="7" t="str">
        <x:v>Hold Ledger!J1214</x:v>
      </x:c>
      <x:c r="F3688" s="7" t="str">
        <x:f>'Hold Ledger'!J1214</x:f>
        <x:v>OPEN</x:v>
      </x:c>
    </x:row>
    <x:row r="3689">
      <x:c r="B3689" s="7" t="str">
        <x:v>PHY-3683</x:v>
      </x:c>
      <x:c r="C3689" s="7" t="str">
        <x:v>hold record</x:v>
      </x:c>
      <x:c r="D3689" s="7" t="str">
        <x:v>RAE-E-38-HP-25</x:v>
      </x:c>
      <x:c r="E3689" s="7" t="str">
        <x:v>Hold Ledger!J1215</x:v>
      </x:c>
      <x:c r="F3689" s="7" t="str">
        <x:f>'Hold Ledger'!J1215</x:f>
        <x:v>OPEN</x:v>
      </x:c>
    </x:row>
    <x:row r="3690">
      <x:c r="B3690" s="7" t="str">
        <x:v>PHY-3684</x:v>
      </x:c>
      <x:c r="C3690" s="7" t="str">
        <x:v>hold record</x:v>
      </x:c>
      <x:c r="D3690" s="7" t="str">
        <x:v>RAE-E-38-HP-26</x:v>
      </x:c>
      <x:c r="E3690" s="7" t="str">
        <x:v>Hold Ledger!J1216</x:v>
      </x:c>
      <x:c r="F3690" s="7" t="str">
        <x:f>'Hold Ledger'!J1216</x:f>
        <x:v>OPEN</x:v>
      </x:c>
    </x:row>
    <x:row r="3691">
      <x:c r="B3691" s="7" t="str">
        <x:v>PHY-3685</x:v>
      </x:c>
      <x:c r="C3691" s="7" t="str">
        <x:v>hold record</x:v>
      </x:c>
      <x:c r="D3691" s="7" t="str">
        <x:v>RAE-E-38-HP-27</x:v>
      </x:c>
      <x:c r="E3691" s="7" t="str">
        <x:v>Hold Ledger!J1217</x:v>
      </x:c>
      <x:c r="F3691" s="7" t="str">
        <x:f>'Hold Ledger'!J1217</x:f>
        <x:v>OPEN</x:v>
      </x:c>
    </x:row>
    <x:row r="3692">
      <x:c r="B3692" s="7" t="str">
        <x:v>PHY-3686</x:v>
      </x:c>
      <x:c r="C3692" s="7" t="str">
        <x:v>hold record</x:v>
      </x:c>
      <x:c r="D3692" s="7" t="str">
        <x:v>RAE-E-38-HP-28</x:v>
      </x:c>
      <x:c r="E3692" s="7" t="str">
        <x:v>Hold Ledger!J1218</x:v>
      </x:c>
      <x:c r="F3692" s="7" t="str">
        <x:f>'Hold Ledger'!J1218</x:f>
        <x:v>OPEN</x:v>
      </x:c>
    </x:row>
    <x:row r="3693">
      <x:c r="B3693" s="7" t="str">
        <x:v>PHY-3687</x:v>
      </x:c>
      <x:c r="C3693" s="7" t="str">
        <x:v>hold record</x:v>
      </x:c>
      <x:c r="D3693" s="7" t="str">
        <x:v>RAE-E-38-HP-29</x:v>
      </x:c>
      <x:c r="E3693" s="7" t="str">
        <x:v>Hold Ledger!J1219</x:v>
      </x:c>
      <x:c r="F3693" s="7" t="str">
        <x:f>'Hold Ledger'!J1219</x:f>
        <x:v>OPEN</x:v>
      </x:c>
    </x:row>
    <x:row r="3694">
      <x:c r="B3694" s="7" t="str">
        <x:v>PHY-3688</x:v>
      </x:c>
      <x:c r="C3694" s="7" t="str">
        <x:v>hold record</x:v>
      </x:c>
      <x:c r="D3694" s="7" t="str">
        <x:v>RAE-E-38-HP-30</x:v>
      </x:c>
      <x:c r="E3694" s="7" t="str">
        <x:v>Hold Ledger!J1220</x:v>
      </x:c>
      <x:c r="F3694" s="7" t="str">
        <x:f>'Hold Ledger'!J1220</x:f>
        <x:v>OPEN</x:v>
      </x:c>
    </x:row>
    <x:row r="3695">
      <x:c r="B3695" s="7" t="str">
        <x:v>PHY-3689</x:v>
      </x:c>
      <x:c r="C3695" s="7" t="str">
        <x:v>hold record</x:v>
      </x:c>
      <x:c r="D3695" s="7" t="str">
        <x:v>RAE-E-38-HP-31</x:v>
      </x:c>
      <x:c r="E3695" s="7" t="str">
        <x:v>Hold Ledger!J1221</x:v>
      </x:c>
      <x:c r="F3695" s="7" t="str">
        <x:f>'Hold Ledger'!J1221</x:f>
        <x:v>OPEN</x:v>
      </x:c>
    </x:row>
    <x:row r="3696">
      <x:c r="B3696" s="7" t="str">
        <x:v>PHY-3690</x:v>
      </x:c>
      <x:c r="C3696" s="7" t="str">
        <x:v>hold record</x:v>
      </x:c>
      <x:c r="D3696" s="7" t="str">
        <x:v>RAE-E-38-HP-32</x:v>
      </x:c>
      <x:c r="E3696" s="7" t="str">
        <x:v>Hold Ledger!J1222</x:v>
      </x:c>
      <x:c r="F3696" s="7" t="str">
        <x:f>'Hold Ledger'!J1222</x:f>
        <x:v>OPEN</x:v>
      </x:c>
    </x:row>
    <x:row r="3697">
      <x:c r="B3697" s="7" t="str">
        <x:v>PHY-3691</x:v>
      </x:c>
      <x:c r="C3697" s="7" t="str">
        <x:v>hold record</x:v>
      </x:c>
      <x:c r="D3697" s="7" t="str">
        <x:v>RAE-E-39-HP-01</x:v>
      </x:c>
      <x:c r="E3697" s="7" t="str">
        <x:v>Hold Ledger!J1223</x:v>
      </x:c>
      <x:c r="F3697" s="7" t="str">
        <x:f>'Hold Ledger'!J1223</x:f>
        <x:v>OPEN</x:v>
      </x:c>
    </x:row>
    <x:row r="3698">
      <x:c r="B3698" s="7" t="str">
        <x:v>PHY-3692</x:v>
      </x:c>
      <x:c r="C3698" s="7" t="str">
        <x:v>hold record</x:v>
      </x:c>
      <x:c r="D3698" s="7" t="str">
        <x:v>RAE-E-39-HP-02</x:v>
      </x:c>
      <x:c r="E3698" s="7" t="str">
        <x:v>Hold Ledger!J1224</x:v>
      </x:c>
      <x:c r="F3698" s="7" t="str">
        <x:f>'Hold Ledger'!J1224</x:f>
        <x:v>OPEN</x:v>
      </x:c>
    </x:row>
    <x:row r="3699">
      <x:c r="B3699" s="7" t="str">
        <x:v>PHY-3693</x:v>
      </x:c>
      <x:c r="C3699" s="7" t="str">
        <x:v>hold record</x:v>
      </x:c>
      <x:c r="D3699" s="7" t="str">
        <x:v>RAE-E-39-HP-03</x:v>
      </x:c>
      <x:c r="E3699" s="7" t="str">
        <x:v>Hold Ledger!J1225</x:v>
      </x:c>
      <x:c r="F3699" s="7" t="str">
        <x:f>'Hold Ledger'!J1225</x:f>
        <x:v>OPEN</x:v>
      </x:c>
    </x:row>
    <x:row r="3700">
      <x:c r="B3700" s="7" t="str">
        <x:v>PHY-3694</x:v>
      </x:c>
      <x:c r="C3700" s="7" t="str">
        <x:v>hold record</x:v>
      </x:c>
      <x:c r="D3700" s="7" t="str">
        <x:v>RAE-E-39-HP-04</x:v>
      </x:c>
      <x:c r="E3700" s="7" t="str">
        <x:v>Hold Ledger!J1226</x:v>
      </x:c>
      <x:c r="F3700" s="7" t="str">
        <x:f>'Hold Ledger'!J1226</x:f>
        <x:v>OPEN</x:v>
      </x:c>
    </x:row>
    <x:row r="3701">
      <x:c r="B3701" s="7" t="str">
        <x:v>PHY-3695</x:v>
      </x:c>
      <x:c r="C3701" s="7" t="str">
        <x:v>hold record</x:v>
      </x:c>
      <x:c r="D3701" s="7" t="str">
        <x:v>RAE-E-39-HP-05</x:v>
      </x:c>
      <x:c r="E3701" s="7" t="str">
        <x:v>Hold Ledger!J1227</x:v>
      </x:c>
      <x:c r="F3701" s="7" t="str">
        <x:f>'Hold Ledger'!J1227</x:f>
        <x:v>OPEN</x:v>
      </x:c>
    </x:row>
    <x:row r="3702">
      <x:c r="B3702" s="7" t="str">
        <x:v>PHY-3696</x:v>
      </x:c>
      <x:c r="C3702" s="7" t="str">
        <x:v>hold record</x:v>
      </x:c>
      <x:c r="D3702" s="7" t="str">
        <x:v>RAE-E-39-HP-06</x:v>
      </x:c>
      <x:c r="E3702" s="7" t="str">
        <x:v>Hold Ledger!J1228</x:v>
      </x:c>
      <x:c r="F3702" s="7" t="str">
        <x:f>'Hold Ledger'!J1228</x:f>
        <x:v>OPEN</x:v>
      </x:c>
    </x:row>
    <x:row r="3703">
      <x:c r="B3703" s="7" t="str">
        <x:v>PHY-3697</x:v>
      </x:c>
      <x:c r="C3703" s="7" t="str">
        <x:v>hold record</x:v>
      </x:c>
      <x:c r="D3703" s="7" t="str">
        <x:v>RAE-E-39-HP-07</x:v>
      </x:c>
      <x:c r="E3703" s="7" t="str">
        <x:v>Hold Ledger!J1229</x:v>
      </x:c>
      <x:c r="F3703" s="7" t="str">
        <x:f>'Hold Ledger'!J1229</x:f>
        <x:v>OPEN</x:v>
      </x:c>
    </x:row>
    <x:row r="3704">
      <x:c r="B3704" s="7" t="str">
        <x:v>PHY-3698</x:v>
      </x:c>
      <x:c r="C3704" s="7" t="str">
        <x:v>hold record</x:v>
      </x:c>
      <x:c r="D3704" s="7" t="str">
        <x:v>RAE-E-39-HP-08</x:v>
      </x:c>
      <x:c r="E3704" s="7" t="str">
        <x:v>Hold Ledger!J1230</x:v>
      </x:c>
      <x:c r="F3704" s="7" t="str">
        <x:f>'Hold Ledger'!J1230</x:f>
        <x:v>OPEN</x:v>
      </x:c>
    </x:row>
    <x:row r="3705">
      <x:c r="B3705" s="7" t="str">
        <x:v>PHY-3699</x:v>
      </x:c>
      <x:c r="C3705" s="7" t="str">
        <x:v>hold record</x:v>
      </x:c>
      <x:c r="D3705" s="7" t="str">
        <x:v>RAE-E-39-HP-09</x:v>
      </x:c>
      <x:c r="E3705" s="7" t="str">
        <x:v>Hold Ledger!J1231</x:v>
      </x:c>
      <x:c r="F3705" s="7" t="str">
        <x:f>'Hold Ledger'!J1231</x:f>
        <x:v>OPEN</x:v>
      </x:c>
    </x:row>
    <x:row r="3706">
      <x:c r="B3706" s="7" t="str">
        <x:v>PHY-3700</x:v>
      </x:c>
      <x:c r="C3706" s="7" t="str">
        <x:v>hold record</x:v>
      </x:c>
      <x:c r="D3706" s="7" t="str">
        <x:v>RAE-E-39-HP-10</x:v>
      </x:c>
      <x:c r="E3706" s="7" t="str">
        <x:v>Hold Ledger!J1232</x:v>
      </x:c>
      <x:c r="F3706" s="7" t="str">
        <x:f>'Hold Ledger'!J1232</x:f>
        <x:v>OPEN</x:v>
      </x:c>
    </x:row>
    <x:row r="3707">
      <x:c r="B3707" s="7" t="str">
        <x:v>PHY-3701</x:v>
      </x:c>
      <x:c r="C3707" s="7" t="str">
        <x:v>hold record</x:v>
      </x:c>
      <x:c r="D3707" s="7" t="str">
        <x:v>RAE-E-39-HP-11</x:v>
      </x:c>
      <x:c r="E3707" s="7" t="str">
        <x:v>Hold Ledger!J1233</x:v>
      </x:c>
      <x:c r="F3707" s="7" t="str">
        <x:f>'Hold Ledger'!J1233</x:f>
        <x:v>OPEN</x:v>
      </x:c>
    </x:row>
    <x:row r="3708">
      <x:c r="B3708" s="7" t="str">
        <x:v>PHY-3702</x:v>
      </x:c>
      <x:c r="C3708" s="7" t="str">
        <x:v>hold record</x:v>
      </x:c>
      <x:c r="D3708" s="7" t="str">
        <x:v>RAE-E-39-HP-12</x:v>
      </x:c>
      <x:c r="E3708" s="7" t="str">
        <x:v>Hold Ledger!J1234</x:v>
      </x:c>
      <x:c r="F3708" s="7" t="str">
        <x:f>'Hold Ledger'!J1234</x:f>
        <x:v>OPEN</x:v>
      </x:c>
    </x:row>
    <x:row r="3709">
      <x:c r="B3709" s="7" t="str">
        <x:v>PHY-3703</x:v>
      </x:c>
      <x:c r="C3709" s="7" t="str">
        <x:v>hold record</x:v>
      </x:c>
      <x:c r="D3709" s="7" t="str">
        <x:v>RAE-E-39-HP-13</x:v>
      </x:c>
      <x:c r="E3709" s="7" t="str">
        <x:v>Hold Ledger!J1235</x:v>
      </x:c>
      <x:c r="F3709" s="7" t="str">
        <x:f>'Hold Ledger'!J1235</x:f>
        <x:v>OPEN</x:v>
      </x:c>
    </x:row>
    <x:row r="3710">
      <x:c r="B3710" s="7" t="str">
        <x:v>PHY-3704</x:v>
      </x:c>
      <x:c r="C3710" s="7" t="str">
        <x:v>hold record</x:v>
      </x:c>
      <x:c r="D3710" s="7" t="str">
        <x:v>RAE-E-39-HP-14</x:v>
      </x:c>
      <x:c r="E3710" s="7" t="str">
        <x:v>Hold Ledger!J1236</x:v>
      </x:c>
      <x:c r="F3710" s="7" t="str">
        <x:f>'Hold Ledger'!J1236</x:f>
        <x:v>OPEN</x:v>
      </x:c>
    </x:row>
    <x:row r="3711">
      <x:c r="B3711" s="7" t="str">
        <x:v>PHY-3705</x:v>
      </x:c>
      <x:c r="C3711" s="7" t="str">
        <x:v>hold record</x:v>
      </x:c>
      <x:c r="D3711" s="7" t="str">
        <x:v>RAE-E-39-HP-15</x:v>
      </x:c>
      <x:c r="E3711" s="7" t="str">
        <x:v>Hold Ledger!J1237</x:v>
      </x:c>
      <x:c r="F3711" s="7" t="str">
        <x:f>'Hold Ledger'!J1237</x:f>
        <x:v>OPEN</x:v>
      </x:c>
    </x:row>
    <x:row r="3712">
      <x:c r="B3712" s="7" t="str">
        <x:v>PHY-3706</x:v>
      </x:c>
      <x:c r="C3712" s="7" t="str">
        <x:v>hold record</x:v>
      </x:c>
      <x:c r="D3712" s="7" t="str">
        <x:v>RAE-E-39-HP-16</x:v>
      </x:c>
      <x:c r="E3712" s="7" t="str">
        <x:v>Hold Ledger!J1238</x:v>
      </x:c>
      <x:c r="F3712" s="7" t="str">
        <x:f>'Hold Ledger'!J1238</x:f>
        <x:v>OPEN</x:v>
      </x:c>
    </x:row>
    <x:row r="3713">
      <x:c r="B3713" s="7" t="str">
        <x:v>PHY-3707</x:v>
      </x:c>
      <x:c r="C3713" s="7" t="str">
        <x:v>hold record</x:v>
      </x:c>
      <x:c r="D3713" s="7" t="str">
        <x:v>RAE-E-39-HP-17</x:v>
      </x:c>
      <x:c r="E3713" s="7" t="str">
        <x:v>Hold Ledger!J1239</x:v>
      </x:c>
      <x:c r="F3713" s="7" t="str">
        <x:f>'Hold Ledger'!J1239</x:f>
        <x:v>OPEN</x:v>
      </x:c>
    </x:row>
    <x:row r="3714">
      <x:c r="B3714" s="7" t="str">
        <x:v>PHY-3708</x:v>
      </x:c>
      <x:c r="C3714" s="7" t="str">
        <x:v>hold record</x:v>
      </x:c>
      <x:c r="D3714" s="7" t="str">
        <x:v>RAE-E-39-HP-18</x:v>
      </x:c>
      <x:c r="E3714" s="7" t="str">
        <x:v>Hold Ledger!J1240</x:v>
      </x:c>
      <x:c r="F3714" s="7" t="str">
        <x:f>'Hold Ledger'!J1240</x:f>
        <x:v>OPEN</x:v>
      </x:c>
    </x:row>
    <x:row r="3715">
      <x:c r="B3715" s="7" t="str">
        <x:v>PHY-3709</x:v>
      </x:c>
      <x:c r="C3715" s="7" t="str">
        <x:v>hold record</x:v>
      </x:c>
      <x:c r="D3715" s="7" t="str">
        <x:v>RAE-E-39-HP-19</x:v>
      </x:c>
      <x:c r="E3715" s="7" t="str">
        <x:v>Hold Ledger!J1241</x:v>
      </x:c>
      <x:c r="F3715" s="7" t="str">
        <x:f>'Hold Ledger'!J1241</x:f>
        <x:v>OPEN</x:v>
      </x:c>
    </x:row>
    <x:row r="3716">
      <x:c r="B3716" s="7" t="str">
        <x:v>PHY-3710</x:v>
      </x:c>
      <x:c r="C3716" s="7" t="str">
        <x:v>hold record</x:v>
      </x:c>
      <x:c r="D3716" s="7" t="str">
        <x:v>RAE-E-39-HP-20</x:v>
      </x:c>
      <x:c r="E3716" s="7" t="str">
        <x:v>Hold Ledger!J1242</x:v>
      </x:c>
      <x:c r="F3716" s="7" t="str">
        <x:f>'Hold Ledger'!J1242</x:f>
        <x:v>OPEN</x:v>
      </x:c>
    </x:row>
    <x:row r="3717">
      <x:c r="B3717" s="7" t="str">
        <x:v>PHY-3711</x:v>
      </x:c>
      <x:c r="C3717" s="7" t="str">
        <x:v>hold record</x:v>
      </x:c>
      <x:c r="D3717" s="7" t="str">
        <x:v>RAE-E-39-HP-21</x:v>
      </x:c>
      <x:c r="E3717" s="7" t="str">
        <x:v>Hold Ledger!J1243</x:v>
      </x:c>
      <x:c r="F3717" s="7" t="str">
        <x:f>'Hold Ledger'!J1243</x:f>
        <x:v>OPEN</x:v>
      </x:c>
    </x:row>
    <x:row r="3718">
      <x:c r="B3718" s="7" t="str">
        <x:v>PHY-3712</x:v>
      </x:c>
      <x:c r="C3718" s="7" t="str">
        <x:v>hold record</x:v>
      </x:c>
      <x:c r="D3718" s="7" t="str">
        <x:v>RAE-E-39-HP-22</x:v>
      </x:c>
      <x:c r="E3718" s="7" t="str">
        <x:v>Hold Ledger!J1244</x:v>
      </x:c>
      <x:c r="F3718" s="7" t="str">
        <x:f>'Hold Ledger'!J1244</x:f>
        <x:v>OPEN</x:v>
      </x:c>
    </x:row>
    <x:row r="3719">
      <x:c r="B3719" s="7" t="str">
        <x:v>PHY-3713</x:v>
      </x:c>
      <x:c r="C3719" s="7" t="str">
        <x:v>hold record</x:v>
      </x:c>
      <x:c r="D3719" s="7" t="str">
        <x:v>RAE-E-39-HP-23</x:v>
      </x:c>
      <x:c r="E3719" s="7" t="str">
        <x:v>Hold Ledger!J1245</x:v>
      </x:c>
      <x:c r="F3719" s="7" t="str">
        <x:f>'Hold Ledger'!J1245</x:f>
        <x:v>OPEN</x:v>
      </x:c>
    </x:row>
    <x:row r="3720">
      <x:c r="B3720" s="7" t="str">
        <x:v>PHY-3714</x:v>
      </x:c>
      <x:c r="C3720" s="7" t="str">
        <x:v>hold record</x:v>
      </x:c>
      <x:c r="D3720" s="7" t="str">
        <x:v>RAE-E-39-HP-24</x:v>
      </x:c>
      <x:c r="E3720" s="7" t="str">
        <x:v>Hold Ledger!J1246</x:v>
      </x:c>
      <x:c r="F3720" s="7" t="str">
        <x:f>'Hold Ledger'!J1246</x:f>
        <x:v>OPEN</x:v>
      </x:c>
    </x:row>
    <x:row r="3721">
      <x:c r="B3721" s="7" t="str">
        <x:v>PHY-3715</x:v>
      </x:c>
      <x:c r="C3721" s="7" t="str">
        <x:v>hold record</x:v>
      </x:c>
      <x:c r="D3721" s="7" t="str">
        <x:v>RAE-E-39-HP-25</x:v>
      </x:c>
      <x:c r="E3721" s="7" t="str">
        <x:v>Hold Ledger!J1247</x:v>
      </x:c>
      <x:c r="F3721" s="7" t="str">
        <x:f>'Hold Ledger'!J1247</x:f>
        <x:v>OPEN</x:v>
      </x:c>
    </x:row>
    <x:row r="3722">
      <x:c r="B3722" s="7" t="str">
        <x:v>PHY-3716</x:v>
      </x:c>
      <x:c r="C3722" s="7" t="str">
        <x:v>hold record</x:v>
      </x:c>
      <x:c r="D3722" s="7" t="str">
        <x:v>RAE-E-39-HP-26</x:v>
      </x:c>
      <x:c r="E3722" s="7" t="str">
        <x:v>Hold Ledger!J1248</x:v>
      </x:c>
      <x:c r="F3722" s="7" t="str">
        <x:f>'Hold Ledger'!J1248</x:f>
        <x:v>OPEN</x:v>
      </x:c>
    </x:row>
    <x:row r="3723">
      <x:c r="B3723" s="7" t="str">
        <x:v>PHY-3717</x:v>
      </x:c>
      <x:c r="C3723" s="7" t="str">
        <x:v>hold record</x:v>
      </x:c>
      <x:c r="D3723" s="7" t="str">
        <x:v>RAE-E-39-HP-27</x:v>
      </x:c>
      <x:c r="E3723" s="7" t="str">
        <x:v>Hold Ledger!J1249</x:v>
      </x:c>
      <x:c r="F3723" s="7" t="str">
        <x:f>'Hold Ledger'!J1249</x:f>
        <x:v>OPEN</x:v>
      </x:c>
    </x:row>
    <x:row r="3724">
      <x:c r="B3724" s="7" t="str">
        <x:v>PHY-3718</x:v>
      </x:c>
      <x:c r="C3724" s="7" t="str">
        <x:v>hold record</x:v>
      </x:c>
      <x:c r="D3724" s="7" t="str">
        <x:v>RAE-E-39-HP-28</x:v>
      </x:c>
      <x:c r="E3724" s="7" t="str">
        <x:v>Hold Ledger!J1250</x:v>
      </x:c>
      <x:c r="F3724" s="7" t="str">
        <x:f>'Hold Ledger'!J1250</x:f>
        <x:v>OPEN</x:v>
      </x:c>
    </x:row>
    <x:row r="3725">
      <x:c r="B3725" s="7" t="str">
        <x:v>PHY-3719</x:v>
      </x:c>
      <x:c r="C3725" s="7" t="str">
        <x:v>hold record</x:v>
      </x:c>
      <x:c r="D3725" s="7" t="str">
        <x:v>RAE-E-39-HP-29</x:v>
      </x:c>
      <x:c r="E3725" s="7" t="str">
        <x:v>Hold Ledger!J1251</x:v>
      </x:c>
      <x:c r="F3725" s="7" t="str">
        <x:f>'Hold Ledger'!J1251</x:f>
        <x:v>OPEN</x:v>
      </x:c>
    </x:row>
    <x:row r="3726">
      <x:c r="B3726" s="7" t="str">
        <x:v>PHY-3720</x:v>
      </x:c>
      <x:c r="C3726" s="7" t="str">
        <x:v>hold record</x:v>
      </x:c>
      <x:c r="D3726" s="7" t="str">
        <x:v>RAE-E-39-HP-30</x:v>
      </x:c>
      <x:c r="E3726" s="7" t="str">
        <x:v>Hold Ledger!J1252</x:v>
      </x:c>
      <x:c r="F3726" s="7" t="str">
        <x:f>'Hold Ledger'!J1252</x:f>
        <x:v>OPEN</x:v>
      </x:c>
    </x:row>
    <x:row r="3727">
      <x:c r="B3727" s="7" t="str">
        <x:v>PHY-3721</x:v>
      </x:c>
      <x:c r="C3727" s="7" t="str">
        <x:v>hold record</x:v>
      </x:c>
      <x:c r="D3727" s="7" t="str">
        <x:v>RAE-E-39-HP-31</x:v>
      </x:c>
      <x:c r="E3727" s="7" t="str">
        <x:v>Hold Ledger!J1253</x:v>
      </x:c>
      <x:c r="F3727" s="7" t="str">
        <x:f>'Hold Ledger'!J1253</x:f>
        <x:v>OPEN</x:v>
      </x:c>
    </x:row>
    <x:row r="3728">
      <x:c r="B3728" s="7" t="str">
        <x:v>PHY-3722</x:v>
      </x:c>
      <x:c r="C3728" s="7" t="str">
        <x:v>hold record</x:v>
      </x:c>
      <x:c r="D3728" s="7" t="str">
        <x:v>RAE-E-39-HP-32</x:v>
      </x:c>
      <x:c r="E3728" s="7" t="str">
        <x:v>Hold Ledger!J1254</x:v>
      </x:c>
      <x:c r="F3728" s="7" t="str">
        <x:f>'Hold Ledger'!J1254</x:f>
        <x:v>OPEN</x:v>
      </x:c>
    </x:row>
    <x:row r="3729">
      <x:c r="B3729" s="7" t="str">
        <x:v>PHY-3723</x:v>
      </x:c>
      <x:c r="C3729" s="7" t="str">
        <x:v>hold record</x:v>
      </x:c>
      <x:c r="D3729" s="7" t="str">
        <x:v>RAE-E-40-HP-01</x:v>
      </x:c>
      <x:c r="E3729" s="7" t="str">
        <x:v>Hold Ledger!J1255</x:v>
      </x:c>
      <x:c r="F3729" s="7" t="str">
        <x:f>'Hold Ledger'!J1255</x:f>
        <x:v>OPEN</x:v>
      </x:c>
    </x:row>
    <x:row r="3730">
      <x:c r="B3730" s="7" t="str">
        <x:v>PHY-3724</x:v>
      </x:c>
      <x:c r="C3730" s="7" t="str">
        <x:v>hold record</x:v>
      </x:c>
      <x:c r="D3730" s="7" t="str">
        <x:v>RAE-E-40-HP-02</x:v>
      </x:c>
      <x:c r="E3730" s="7" t="str">
        <x:v>Hold Ledger!J1256</x:v>
      </x:c>
      <x:c r="F3730" s="7" t="str">
        <x:f>'Hold Ledger'!J1256</x:f>
        <x:v>OPEN</x:v>
      </x:c>
    </x:row>
    <x:row r="3731">
      <x:c r="B3731" s="7" t="str">
        <x:v>PHY-3725</x:v>
      </x:c>
      <x:c r="C3731" s="7" t="str">
        <x:v>hold record</x:v>
      </x:c>
      <x:c r="D3731" s="7" t="str">
        <x:v>RAE-E-40-HP-03</x:v>
      </x:c>
      <x:c r="E3731" s="7" t="str">
        <x:v>Hold Ledger!J1257</x:v>
      </x:c>
      <x:c r="F3731" s="7" t="str">
        <x:f>'Hold Ledger'!J1257</x:f>
        <x:v>OPEN</x:v>
      </x:c>
    </x:row>
    <x:row r="3732">
      <x:c r="B3732" s="7" t="str">
        <x:v>PHY-3726</x:v>
      </x:c>
      <x:c r="C3732" s="7" t="str">
        <x:v>hold record</x:v>
      </x:c>
      <x:c r="D3732" s="7" t="str">
        <x:v>RAE-E-40-HP-04</x:v>
      </x:c>
      <x:c r="E3732" s="7" t="str">
        <x:v>Hold Ledger!J1258</x:v>
      </x:c>
      <x:c r="F3732" s="7" t="str">
        <x:f>'Hold Ledger'!J1258</x:f>
        <x:v>OPEN</x:v>
      </x:c>
    </x:row>
    <x:row r="3733">
      <x:c r="B3733" s="7" t="str">
        <x:v>PHY-3727</x:v>
      </x:c>
      <x:c r="C3733" s="7" t="str">
        <x:v>hold record</x:v>
      </x:c>
      <x:c r="D3733" s="7" t="str">
        <x:v>RAE-E-40-HP-05</x:v>
      </x:c>
      <x:c r="E3733" s="7" t="str">
        <x:v>Hold Ledger!J1259</x:v>
      </x:c>
      <x:c r="F3733" s="7" t="str">
        <x:f>'Hold Ledger'!J1259</x:f>
        <x:v>OPEN</x:v>
      </x:c>
    </x:row>
    <x:row r="3734">
      <x:c r="B3734" s="7" t="str">
        <x:v>PHY-3728</x:v>
      </x:c>
      <x:c r="C3734" s="7" t="str">
        <x:v>hold record</x:v>
      </x:c>
      <x:c r="D3734" s="7" t="str">
        <x:v>RAE-E-40-HP-06</x:v>
      </x:c>
      <x:c r="E3734" s="7" t="str">
        <x:v>Hold Ledger!J1260</x:v>
      </x:c>
      <x:c r="F3734" s="7" t="str">
        <x:f>'Hold Ledger'!J1260</x:f>
        <x:v>OPEN</x:v>
      </x:c>
    </x:row>
    <x:row r="3735">
      <x:c r="B3735" s="7" t="str">
        <x:v>PHY-3729</x:v>
      </x:c>
      <x:c r="C3735" s="7" t="str">
        <x:v>hold record</x:v>
      </x:c>
      <x:c r="D3735" s="7" t="str">
        <x:v>RAE-E-40-HP-07</x:v>
      </x:c>
      <x:c r="E3735" s="7" t="str">
        <x:v>Hold Ledger!J1261</x:v>
      </x:c>
      <x:c r="F3735" s="7" t="str">
        <x:f>'Hold Ledger'!J1261</x:f>
        <x:v>OPEN</x:v>
      </x:c>
    </x:row>
    <x:row r="3736">
      <x:c r="B3736" s="7" t="str">
        <x:v>PHY-3730</x:v>
      </x:c>
      <x:c r="C3736" s="7" t="str">
        <x:v>hold record</x:v>
      </x:c>
      <x:c r="D3736" s="7" t="str">
        <x:v>RAE-E-40-HP-08</x:v>
      </x:c>
      <x:c r="E3736" s="7" t="str">
        <x:v>Hold Ledger!J1262</x:v>
      </x:c>
      <x:c r="F3736" s="7" t="str">
        <x:f>'Hold Ledger'!J1262</x:f>
        <x:v>OPEN</x:v>
      </x:c>
    </x:row>
    <x:row r="3737">
      <x:c r="B3737" s="7" t="str">
        <x:v>PHY-3731</x:v>
      </x:c>
      <x:c r="C3737" s="7" t="str">
        <x:v>hold record</x:v>
      </x:c>
      <x:c r="D3737" s="7" t="str">
        <x:v>RAE-E-40-HP-09</x:v>
      </x:c>
      <x:c r="E3737" s="7" t="str">
        <x:v>Hold Ledger!J1263</x:v>
      </x:c>
      <x:c r="F3737" s="7" t="str">
        <x:f>'Hold Ledger'!J1263</x:f>
        <x:v>OPEN</x:v>
      </x:c>
    </x:row>
    <x:row r="3738">
      <x:c r="B3738" s="7" t="str">
        <x:v>PHY-3732</x:v>
      </x:c>
      <x:c r="C3738" s="7" t="str">
        <x:v>hold record</x:v>
      </x:c>
      <x:c r="D3738" s="7" t="str">
        <x:v>RAE-E-40-HP-10</x:v>
      </x:c>
      <x:c r="E3738" s="7" t="str">
        <x:v>Hold Ledger!J1264</x:v>
      </x:c>
      <x:c r="F3738" s="7" t="str">
        <x:f>'Hold Ledger'!J1264</x:f>
        <x:v>OPEN</x:v>
      </x:c>
    </x:row>
    <x:row r="3739">
      <x:c r="B3739" s="7" t="str">
        <x:v>PHY-3733</x:v>
      </x:c>
      <x:c r="C3739" s="7" t="str">
        <x:v>hold record</x:v>
      </x:c>
      <x:c r="D3739" s="7" t="str">
        <x:v>RAE-E-40-HP-11</x:v>
      </x:c>
      <x:c r="E3739" s="7" t="str">
        <x:v>Hold Ledger!J1265</x:v>
      </x:c>
      <x:c r="F3739" s="7" t="str">
        <x:f>'Hold Ledger'!J1265</x:f>
        <x:v>OPEN</x:v>
      </x:c>
    </x:row>
    <x:row r="3740">
      <x:c r="B3740" s="7" t="str">
        <x:v>PHY-3734</x:v>
      </x:c>
      <x:c r="C3740" s="7" t="str">
        <x:v>hold record</x:v>
      </x:c>
      <x:c r="D3740" s="7" t="str">
        <x:v>RAE-E-40-HP-12</x:v>
      </x:c>
      <x:c r="E3740" s="7" t="str">
        <x:v>Hold Ledger!J1266</x:v>
      </x:c>
      <x:c r="F3740" s="7" t="str">
        <x:f>'Hold Ledger'!J1266</x:f>
        <x:v>OPEN</x:v>
      </x:c>
    </x:row>
    <x:row r="3741">
      <x:c r="B3741" s="7" t="str">
        <x:v>PHY-3735</x:v>
      </x:c>
      <x:c r="C3741" s="7" t="str">
        <x:v>hold record</x:v>
      </x:c>
      <x:c r="D3741" s="7" t="str">
        <x:v>RAE-E-40-HP-13</x:v>
      </x:c>
      <x:c r="E3741" s="7" t="str">
        <x:v>Hold Ledger!J1267</x:v>
      </x:c>
      <x:c r="F3741" s="7" t="str">
        <x:f>'Hold Ledger'!J1267</x:f>
        <x:v>OPEN</x:v>
      </x:c>
    </x:row>
    <x:row r="3742">
      <x:c r="B3742" s="7" t="str">
        <x:v>PHY-3736</x:v>
      </x:c>
      <x:c r="C3742" s="7" t="str">
        <x:v>hold record</x:v>
      </x:c>
      <x:c r="D3742" s="7" t="str">
        <x:v>RAE-E-40-HP-14</x:v>
      </x:c>
      <x:c r="E3742" s="7" t="str">
        <x:v>Hold Ledger!J1268</x:v>
      </x:c>
      <x:c r="F3742" s="7" t="str">
        <x:f>'Hold Ledger'!J1268</x:f>
        <x:v>OPEN</x:v>
      </x:c>
    </x:row>
    <x:row r="3743">
      <x:c r="B3743" s="7" t="str">
        <x:v>PHY-3737</x:v>
      </x:c>
      <x:c r="C3743" s="7" t="str">
        <x:v>hold record</x:v>
      </x:c>
      <x:c r="D3743" s="7" t="str">
        <x:v>RAE-E-40-HP-15</x:v>
      </x:c>
      <x:c r="E3743" s="7" t="str">
        <x:v>Hold Ledger!J1269</x:v>
      </x:c>
      <x:c r="F3743" s="7" t="str">
        <x:f>'Hold Ledger'!J1269</x:f>
        <x:v>OPEN</x:v>
      </x:c>
    </x:row>
    <x:row r="3744">
      <x:c r="B3744" s="7" t="str">
        <x:v>PHY-3738</x:v>
      </x:c>
      <x:c r="C3744" s="7" t="str">
        <x:v>hold record</x:v>
      </x:c>
      <x:c r="D3744" s="7" t="str">
        <x:v>RAE-E-40-HP-16</x:v>
      </x:c>
      <x:c r="E3744" s="7" t="str">
        <x:v>Hold Ledger!J1270</x:v>
      </x:c>
      <x:c r="F3744" s="7" t="str">
        <x:f>'Hold Ledger'!J1270</x:f>
        <x:v>OPEN</x:v>
      </x:c>
    </x:row>
    <x:row r="3745">
      <x:c r="B3745" s="7" t="str">
        <x:v>PHY-3739</x:v>
      </x:c>
      <x:c r="C3745" s="7" t="str">
        <x:v>hold record</x:v>
      </x:c>
      <x:c r="D3745" s="7" t="str">
        <x:v>RAE-E-40-HP-17</x:v>
      </x:c>
      <x:c r="E3745" s="7" t="str">
        <x:v>Hold Ledger!J1271</x:v>
      </x:c>
      <x:c r="F3745" s="7" t="str">
        <x:f>'Hold Ledger'!J1271</x:f>
        <x:v>OPEN</x:v>
      </x:c>
    </x:row>
    <x:row r="3746">
      <x:c r="B3746" s="7" t="str">
        <x:v>PHY-3740</x:v>
      </x:c>
      <x:c r="C3746" s="7" t="str">
        <x:v>hold record</x:v>
      </x:c>
      <x:c r="D3746" s="7" t="str">
        <x:v>RAE-E-40-HP-18</x:v>
      </x:c>
      <x:c r="E3746" s="7" t="str">
        <x:v>Hold Ledger!J1272</x:v>
      </x:c>
      <x:c r="F3746" s="7" t="str">
        <x:f>'Hold Ledger'!J1272</x:f>
        <x:v>OPEN</x:v>
      </x:c>
    </x:row>
    <x:row r="3747">
      <x:c r="B3747" s="7" t="str">
        <x:v>PHY-3741</x:v>
      </x:c>
      <x:c r="C3747" s="7" t="str">
        <x:v>hold record</x:v>
      </x:c>
      <x:c r="D3747" s="7" t="str">
        <x:v>RAE-E-40-HP-19</x:v>
      </x:c>
      <x:c r="E3747" s="7" t="str">
        <x:v>Hold Ledger!J1273</x:v>
      </x:c>
      <x:c r="F3747" s="7" t="str">
        <x:f>'Hold Ledger'!J1273</x:f>
        <x:v>OPEN</x:v>
      </x:c>
    </x:row>
    <x:row r="3748">
      <x:c r="B3748" s="7" t="str">
        <x:v>PHY-3742</x:v>
      </x:c>
      <x:c r="C3748" s="7" t="str">
        <x:v>hold record</x:v>
      </x:c>
      <x:c r="D3748" s="7" t="str">
        <x:v>RAE-E-40-HP-20</x:v>
      </x:c>
      <x:c r="E3748" s="7" t="str">
        <x:v>Hold Ledger!J1274</x:v>
      </x:c>
      <x:c r="F3748" s="7" t="str">
        <x:f>'Hold Ledger'!J1274</x:f>
        <x:v>OPEN</x:v>
      </x:c>
    </x:row>
    <x:row r="3749">
      <x:c r="B3749" s="7" t="str">
        <x:v>PHY-3743</x:v>
      </x:c>
      <x:c r="C3749" s="7" t="str">
        <x:v>hold record</x:v>
      </x:c>
      <x:c r="D3749" s="7" t="str">
        <x:v>RAE-E-40-HP-21</x:v>
      </x:c>
      <x:c r="E3749" s="7" t="str">
        <x:v>Hold Ledger!J1275</x:v>
      </x:c>
      <x:c r="F3749" s="7" t="str">
        <x:f>'Hold Ledger'!J1275</x:f>
        <x:v>OPEN</x:v>
      </x:c>
    </x:row>
    <x:row r="3750">
      <x:c r="B3750" s="7" t="str">
        <x:v>PHY-3744</x:v>
      </x:c>
      <x:c r="C3750" s="7" t="str">
        <x:v>hold record</x:v>
      </x:c>
      <x:c r="D3750" s="7" t="str">
        <x:v>RAE-E-40-HP-22</x:v>
      </x:c>
      <x:c r="E3750" s="7" t="str">
        <x:v>Hold Ledger!J1276</x:v>
      </x:c>
      <x:c r="F3750" s="7" t="str">
        <x:f>'Hold Ledger'!J1276</x:f>
        <x:v>OPEN</x:v>
      </x:c>
    </x:row>
    <x:row r="3751">
      <x:c r="B3751" s="7" t="str">
        <x:v>PHY-3745</x:v>
      </x:c>
      <x:c r="C3751" s="7" t="str">
        <x:v>hold record</x:v>
      </x:c>
      <x:c r="D3751" s="7" t="str">
        <x:v>RAE-E-40-HP-23</x:v>
      </x:c>
      <x:c r="E3751" s="7" t="str">
        <x:v>Hold Ledger!J1277</x:v>
      </x:c>
      <x:c r="F3751" s="7" t="str">
        <x:f>'Hold Ledger'!J1277</x:f>
        <x:v>OPEN</x:v>
      </x:c>
    </x:row>
    <x:row r="3752">
      <x:c r="B3752" s="7" t="str">
        <x:v>PHY-3746</x:v>
      </x:c>
      <x:c r="C3752" s="7" t="str">
        <x:v>hold record</x:v>
      </x:c>
      <x:c r="D3752" s="7" t="str">
        <x:v>RAE-E-40-HP-24</x:v>
      </x:c>
      <x:c r="E3752" s="7" t="str">
        <x:v>Hold Ledger!J1278</x:v>
      </x:c>
      <x:c r="F3752" s="7" t="str">
        <x:f>'Hold Ledger'!J1278</x:f>
        <x:v>OPEN</x:v>
      </x:c>
    </x:row>
    <x:row r="3753">
      <x:c r="B3753" s="7" t="str">
        <x:v>PHY-3747</x:v>
      </x:c>
      <x:c r="C3753" s="7" t="str">
        <x:v>hold record</x:v>
      </x:c>
      <x:c r="D3753" s="7" t="str">
        <x:v>RAE-E-40-HP-25</x:v>
      </x:c>
      <x:c r="E3753" s="7" t="str">
        <x:v>Hold Ledger!J1279</x:v>
      </x:c>
      <x:c r="F3753" s="7" t="str">
        <x:f>'Hold Ledger'!J1279</x:f>
        <x:v>OPEN</x:v>
      </x:c>
    </x:row>
    <x:row r="3754">
      <x:c r="B3754" s="7" t="str">
        <x:v>PHY-3748</x:v>
      </x:c>
      <x:c r="C3754" s="7" t="str">
        <x:v>hold record</x:v>
      </x:c>
      <x:c r="D3754" s="7" t="str">
        <x:v>RAE-E-40-HP-26</x:v>
      </x:c>
      <x:c r="E3754" s="7" t="str">
        <x:v>Hold Ledger!J1280</x:v>
      </x:c>
      <x:c r="F3754" s="7" t="str">
        <x:f>'Hold Ledger'!J1280</x:f>
        <x:v>OPEN</x:v>
      </x:c>
    </x:row>
    <x:row r="3755">
      <x:c r="B3755" s="7" t="str">
        <x:v>PHY-3749</x:v>
      </x:c>
      <x:c r="C3755" s="7" t="str">
        <x:v>hold record</x:v>
      </x:c>
      <x:c r="D3755" s="7" t="str">
        <x:v>RAE-E-40-HP-27</x:v>
      </x:c>
      <x:c r="E3755" s="7" t="str">
        <x:v>Hold Ledger!J1281</x:v>
      </x:c>
      <x:c r="F3755" s="7" t="str">
        <x:f>'Hold Ledger'!J1281</x:f>
        <x:v>OPEN</x:v>
      </x:c>
    </x:row>
    <x:row r="3756">
      <x:c r="B3756" s="7" t="str">
        <x:v>PHY-3750</x:v>
      </x:c>
      <x:c r="C3756" s="7" t="str">
        <x:v>hold record</x:v>
      </x:c>
      <x:c r="D3756" s="7" t="str">
        <x:v>RAE-E-40-HP-28</x:v>
      </x:c>
      <x:c r="E3756" s="7" t="str">
        <x:v>Hold Ledger!J1282</x:v>
      </x:c>
      <x:c r="F3756" s="7" t="str">
        <x:f>'Hold Ledger'!J1282</x:f>
        <x:v>OPEN</x:v>
      </x:c>
    </x:row>
    <x:row r="3757">
      <x:c r="B3757" s="7" t="str">
        <x:v>PHY-3751</x:v>
      </x:c>
      <x:c r="C3757" s="7" t="str">
        <x:v>hold record</x:v>
      </x:c>
      <x:c r="D3757" s="7" t="str">
        <x:v>RAE-E-40-HP-29</x:v>
      </x:c>
      <x:c r="E3757" s="7" t="str">
        <x:v>Hold Ledger!J1283</x:v>
      </x:c>
      <x:c r="F3757" s="7" t="str">
        <x:f>'Hold Ledger'!J1283</x:f>
        <x:v>OPEN</x:v>
      </x:c>
    </x:row>
    <x:row r="3758">
      <x:c r="B3758" s="7" t="str">
        <x:v>PHY-3752</x:v>
      </x:c>
      <x:c r="C3758" s="7" t="str">
        <x:v>hold record</x:v>
      </x:c>
      <x:c r="D3758" s="7" t="str">
        <x:v>RAE-E-40-HP-30</x:v>
      </x:c>
      <x:c r="E3758" s="7" t="str">
        <x:v>Hold Ledger!J1284</x:v>
      </x:c>
      <x:c r="F3758" s="7" t="str">
        <x:f>'Hold Ledger'!J1284</x:f>
        <x:v>OPEN</x:v>
      </x:c>
    </x:row>
    <x:row r="3759">
      <x:c r="B3759" s="7" t="str">
        <x:v>PHY-3753</x:v>
      </x:c>
      <x:c r="C3759" s="7" t="str">
        <x:v>hold record</x:v>
      </x:c>
      <x:c r="D3759" s="7" t="str">
        <x:v>RAE-E-40-HP-31</x:v>
      </x:c>
      <x:c r="E3759" s="7" t="str">
        <x:v>Hold Ledger!J1285</x:v>
      </x:c>
      <x:c r="F3759" s="7" t="str">
        <x:f>'Hold Ledger'!J1285</x:f>
        <x:v>OPEN</x:v>
      </x:c>
    </x:row>
    <x:row r="3760">
      <x:c r="B3760" s="7" t="str">
        <x:v>PHY-3754</x:v>
      </x:c>
      <x:c r="C3760" s="7" t="str">
        <x:v>hold record</x:v>
      </x:c>
      <x:c r="D3760" s="7" t="str">
        <x:v>RAE-E-40-HP-32</x:v>
      </x:c>
      <x:c r="E3760" s="7" t="str">
        <x:v>Hold Ledger!J1286</x:v>
      </x:c>
      <x:c r="F3760" s="7" t="str">
        <x:f>'Hold Ledger'!J1286</x:f>
        <x:v>OPEN</x:v>
      </x:c>
    </x:row>
    <x:row r="3761">
      <x:c r="B3761" s="7" t="str">
        <x:v>PHY-3755</x:v>
      </x:c>
      <x:c r="C3761" s="7" t="str">
        <x:v>hold record</x:v>
      </x:c>
      <x:c r="D3761" s="7" t="str">
        <x:v>RAE-E-41-HP-01</x:v>
      </x:c>
      <x:c r="E3761" s="7" t="str">
        <x:v>Hold Ledger!J1287</x:v>
      </x:c>
      <x:c r="F3761" s="7" t="str">
        <x:f>'Hold Ledger'!J1287</x:f>
        <x:v>OPEN</x:v>
      </x:c>
    </x:row>
    <x:row r="3762">
      <x:c r="B3762" s="7" t="str">
        <x:v>PHY-3756</x:v>
      </x:c>
      <x:c r="C3762" s="7" t="str">
        <x:v>hold record</x:v>
      </x:c>
      <x:c r="D3762" s="7" t="str">
        <x:v>RAE-E-41-HP-02</x:v>
      </x:c>
      <x:c r="E3762" s="7" t="str">
        <x:v>Hold Ledger!J1288</x:v>
      </x:c>
      <x:c r="F3762" s="7" t="str">
        <x:f>'Hold Ledger'!J1288</x:f>
        <x:v>OPEN</x:v>
      </x:c>
    </x:row>
    <x:row r="3763">
      <x:c r="B3763" s="7" t="str">
        <x:v>PHY-3757</x:v>
      </x:c>
      <x:c r="C3763" s="7" t="str">
        <x:v>hold record</x:v>
      </x:c>
      <x:c r="D3763" s="7" t="str">
        <x:v>RAE-E-41-HP-03</x:v>
      </x:c>
      <x:c r="E3763" s="7" t="str">
        <x:v>Hold Ledger!J1289</x:v>
      </x:c>
      <x:c r="F3763" s="7" t="str">
        <x:f>'Hold Ledger'!J1289</x:f>
        <x:v>OPEN</x:v>
      </x:c>
    </x:row>
    <x:row r="3764">
      <x:c r="B3764" s="7" t="str">
        <x:v>PHY-3758</x:v>
      </x:c>
      <x:c r="C3764" s="7" t="str">
        <x:v>hold record</x:v>
      </x:c>
      <x:c r="D3764" s="7" t="str">
        <x:v>RAE-E-41-HP-04</x:v>
      </x:c>
      <x:c r="E3764" s="7" t="str">
        <x:v>Hold Ledger!J1290</x:v>
      </x:c>
      <x:c r="F3764" s="7" t="str">
        <x:f>'Hold Ledger'!J1290</x:f>
        <x:v>OPEN</x:v>
      </x:c>
    </x:row>
    <x:row r="3765">
      <x:c r="B3765" s="7" t="str">
        <x:v>PHY-3759</x:v>
      </x:c>
      <x:c r="C3765" s="7" t="str">
        <x:v>hold record</x:v>
      </x:c>
      <x:c r="D3765" s="7" t="str">
        <x:v>RAE-E-41-HP-05</x:v>
      </x:c>
      <x:c r="E3765" s="7" t="str">
        <x:v>Hold Ledger!J1291</x:v>
      </x:c>
      <x:c r="F3765" s="7" t="str">
        <x:f>'Hold Ledger'!J1291</x:f>
        <x:v>OPEN</x:v>
      </x:c>
    </x:row>
    <x:row r="3766">
      <x:c r="B3766" s="7" t="str">
        <x:v>PHY-3760</x:v>
      </x:c>
      <x:c r="C3766" s="7" t="str">
        <x:v>hold record</x:v>
      </x:c>
      <x:c r="D3766" s="7" t="str">
        <x:v>RAE-E-41-HP-06</x:v>
      </x:c>
      <x:c r="E3766" s="7" t="str">
        <x:v>Hold Ledger!J1292</x:v>
      </x:c>
      <x:c r="F3766" s="7" t="str">
        <x:f>'Hold Ledger'!J1292</x:f>
        <x:v>OPEN</x:v>
      </x:c>
    </x:row>
    <x:row r="3767">
      <x:c r="B3767" s="7" t="str">
        <x:v>PHY-3761</x:v>
      </x:c>
      <x:c r="C3767" s="7" t="str">
        <x:v>hold record</x:v>
      </x:c>
      <x:c r="D3767" s="7" t="str">
        <x:v>RAE-E-41-HP-07</x:v>
      </x:c>
      <x:c r="E3767" s="7" t="str">
        <x:v>Hold Ledger!J1293</x:v>
      </x:c>
      <x:c r="F3767" s="7" t="str">
        <x:f>'Hold Ledger'!J1293</x:f>
        <x:v>OPEN</x:v>
      </x:c>
    </x:row>
    <x:row r="3768">
      <x:c r="B3768" s="7" t="str">
        <x:v>PHY-3762</x:v>
      </x:c>
      <x:c r="C3768" s="7" t="str">
        <x:v>hold record</x:v>
      </x:c>
      <x:c r="D3768" s="7" t="str">
        <x:v>RAE-E-41-HP-08</x:v>
      </x:c>
      <x:c r="E3768" s="7" t="str">
        <x:v>Hold Ledger!J1294</x:v>
      </x:c>
      <x:c r="F3768" s="7" t="str">
        <x:f>'Hold Ledger'!J1294</x:f>
        <x:v>OPEN</x:v>
      </x:c>
    </x:row>
    <x:row r="3769">
      <x:c r="B3769" s="7" t="str">
        <x:v>PHY-3763</x:v>
      </x:c>
      <x:c r="C3769" s="7" t="str">
        <x:v>hold record</x:v>
      </x:c>
      <x:c r="D3769" s="7" t="str">
        <x:v>RAE-E-41-HP-09</x:v>
      </x:c>
      <x:c r="E3769" s="7" t="str">
        <x:v>Hold Ledger!J1295</x:v>
      </x:c>
      <x:c r="F3769" s="7" t="str">
        <x:f>'Hold Ledger'!J1295</x:f>
        <x:v>OPEN</x:v>
      </x:c>
    </x:row>
    <x:row r="3770">
      <x:c r="B3770" s="7" t="str">
        <x:v>PHY-3764</x:v>
      </x:c>
      <x:c r="C3770" s="7" t="str">
        <x:v>hold record</x:v>
      </x:c>
      <x:c r="D3770" s="7" t="str">
        <x:v>RAE-E-41-HP-10</x:v>
      </x:c>
      <x:c r="E3770" s="7" t="str">
        <x:v>Hold Ledger!J1296</x:v>
      </x:c>
      <x:c r="F3770" s="7" t="str">
        <x:f>'Hold Ledger'!J1296</x:f>
        <x:v>OPEN</x:v>
      </x:c>
    </x:row>
    <x:row r="3771">
      <x:c r="B3771" s="7" t="str">
        <x:v>PHY-3765</x:v>
      </x:c>
      <x:c r="C3771" s="7" t="str">
        <x:v>hold record</x:v>
      </x:c>
      <x:c r="D3771" s="7" t="str">
        <x:v>RAE-E-41-HP-11</x:v>
      </x:c>
      <x:c r="E3771" s="7" t="str">
        <x:v>Hold Ledger!J1297</x:v>
      </x:c>
      <x:c r="F3771" s="7" t="str">
        <x:f>'Hold Ledger'!J1297</x:f>
        <x:v>OPEN</x:v>
      </x:c>
    </x:row>
    <x:row r="3772">
      <x:c r="B3772" s="7" t="str">
        <x:v>PHY-3766</x:v>
      </x:c>
      <x:c r="C3772" s="7" t="str">
        <x:v>hold record</x:v>
      </x:c>
      <x:c r="D3772" s="7" t="str">
        <x:v>RAE-E-41-HP-12</x:v>
      </x:c>
      <x:c r="E3772" s="7" t="str">
        <x:v>Hold Ledger!J1298</x:v>
      </x:c>
      <x:c r="F3772" s="7" t="str">
        <x:f>'Hold Ledger'!J1298</x:f>
        <x:v>OPEN</x:v>
      </x:c>
    </x:row>
    <x:row r="3773">
      <x:c r="B3773" s="7" t="str">
        <x:v>PHY-3767</x:v>
      </x:c>
      <x:c r="C3773" s="7" t="str">
        <x:v>hold record</x:v>
      </x:c>
      <x:c r="D3773" s="7" t="str">
        <x:v>RAE-E-41-HP-13</x:v>
      </x:c>
      <x:c r="E3773" s="7" t="str">
        <x:v>Hold Ledger!J1299</x:v>
      </x:c>
      <x:c r="F3773" s="7" t="str">
        <x:f>'Hold Ledger'!J1299</x:f>
        <x:v>OPEN</x:v>
      </x:c>
    </x:row>
    <x:row r="3774">
      <x:c r="B3774" s="7" t="str">
        <x:v>PHY-3768</x:v>
      </x:c>
      <x:c r="C3774" s="7" t="str">
        <x:v>hold record</x:v>
      </x:c>
      <x:c r="D3774" s="7" t="str">
        <x:v>RAE-E-41-HP-14</x:v>
      </x:c>
      <x:c r="E3774" s="7" t="str">
        <x:v>Hold Ledger!J1300</x:v>
      </x:c>
      <x:c r="F3774" s="7" t="str">
        <x:f>'Hold Ledger'!J1300</x:f>
        <x:v>OPEN</x:v>
      </x:c>
    </x:row>
    <x:row r="3775">
      <x:c r="B3775" s="7" t="str">
        <x:v>PHY-3769</x:v>
      </x:c>
      <x:c r="C3775" s="7" t="str">
        <x:v>hold record</x:v>
      </x:c>
      <x:c r="D3775" s="7" t="str">
        <x:v>RAE-E-41-HP-15</x:v>
      </x:c>
      <x:c r="E3775" s="7" t="str">
        <x:v>Hold Ledger!J1301</x:v>
      </x:c>
      <x:c r="F3775" s="7" t="str">
        <x:f>'Hold Ledger'!J1301</x:f>
        <x:v>OPEN</x:v>
      </x:c>
    </x:row>
    <x:row r="3776">
      <x:c r="B3776" s="7" t="str">
        <x:v>PHY-3770</x:v>
      </x:c>
      <x:c r="C3776" s="7" t="str">
        <x:v>hold record</x:v>
      </x:c>
      <x:c r="D3776" s="7" t="str">
        <x:v>RAE-E-41-HP-16</x:v>
      </x:c>
      <x:c r="E3776" s="7" t="str">
        <x:v>Hold Ledger!J1302</x:v>
      </x:c>
      <x:c r="F3776" s="7" t="str">
        <x:f>'Hold Ledger'!J1302</x:f>
        <x:v>OPEN</x:v>
      </x:c>
    </x:row>
    <x:row r="3777">
      <x:c r="B3777" s="7" t="str">
        <x:v>PHY-3771</x:v>
      </x:c>
      <x:c r="C3777" s="7" t="str">
        <x:v>hold record</x:v>
      </x:c>
      <x:c r="D3777" s="7" t="str">
        <x:v>RAE-E-41-HP-17</x:v>
      </x:c>
      <x:c r="E3777" s="7" t="str">
        <x:v>Hold Ledger!J1303</x:v>
      </x:c>
      <x:c r="F3777" s="7" t="str">
        <x:f>'Hold Ledger'!J1303</x:f>
        <x:v>OPEN</x:v>
      </x:c>
    </x:row>
    <x:row r="3778">
      <x:c r="B3778" s="7" t="str">
        <x:v>PHY-3772</x:v>
      </x:c>
      <x:c r="C3778" s="7" t="str">
        <x:v>hold record</x:v>
      </x:c>
      <x:c r="D3778" s="7" t="str">
        <x:v>RAE-E-41-HP-18</x:v>
      </x:c>
      <x:c r="E3778" s="7" t="str">
        <x:v>Hold Ledger!J1304</x:v>
      </x:c>
      <x:c r="F3778" s="7" t="str">
        <x:f>'Hold Ledger'!J1304</x:f>
        <x:v>OPEN</x:v>
      </x:c>
    </x:row>
    <x:row r="3779">
      <x:c r="B3779" s="7" t="str">
        <x:v>PHY-3773</x:v>
      </x:c>
      <x:c r="C3779" s="7" t="str">
        <x:v>hold record</x:v>
      </x:c>
      <x:c r="D3779" s="7" t="str">
        <x:v>RAE-E-41-HP-19</x:v>
      </x:c>
      <x:c r="E3779" s="7" t="str">
        <x:v>Hold Ledger!J1305</x:v>
      </x:c>
      <x:c r="F3779" s="7" t="str">
        <x:f>'Hold Ledger'!J1305</x:f>
        <x:v>OPEN</x:v>
      </x:c>
    </x:row>
    <x:row r="3780">
      <x:c r="B3780" s="7" t="str">
        <x:v>PHY-3774</x:v>
      </x:c>
      <x:c r="C3780" s="7" t="str">
        <x:v>hold record</x:v>
      </x:c>
      <x:c r="D3780" s="7" t="str">
        <x:v>RAE-E-41-HP-20</x:v>
      </x:c>
      <x:c r="E3780" s="7" t="str">
        <x:v>Hold Ledger!J1306</x:v>
      </x:c>
      <x:c r="F3780" s="7" t="str">
        <x:f>'Hold Ledger'!J1306</x:f>
        <x:v>OPEN</x:v>
      </x:c>
    </x:row>
    <x:row r="3781">
      <x:c r="B3781" s="7" t="str">
        <x:v>PHY-3775</x:v>
      </x:c>
      <x:c r="C3781" s="7" t="str">
        <x:v>hold record</x:v>
      </x:c>
      <x:c r="D3781" s="7" t="str">
        <x:v>RAE-E-41-HP-21</x:v>
      </x:c>
      <x:c r="E3781" s="7" t="str">
        <x:v>Hold Ledger!J1307</x:v>
      </x:c>
      <x:c r="F3781" s="7" t="str">
        <x:f>'Hold Ledger'!J1307</x:f>
        <x:v>OPEN</x:v>
      </x:c>
    </x:row>
    <x:row r="3782">
      <x:c r="B3782" s="7" t="str">
        <x:v>PHY-3776</x:v>
      </x:c>
      <x:c r="C3782" s="7" t="str">
        <x:v>hold record</x:v>
      </x:c>
      <x:c r="D3782" s="7" t="str">
        <x:v>RAE-E-41-HP-22</x:v>
      </x:c>
      <x:c r="E3782" s="7" t="str">
        <x:v>Hold Ledger!J1308</x:v>
      </x:c>
      <x:c r="F3782" s="7" t="str">
        <x:f>'Hold Ledger'!J1308</x:f>
        <x:v>OPEN</x:v>
      </x:c>
    </x:row>
    <x:row r="3783">
      <x:c r="B3783" s="7" t="str">
        <x:v>PHY-3777</x:v>
      </x:c>
      <x:c r="C3783" s="7" t="str">
        <x:v>hold record</x:v>
      </x:c>
      <x:c r="D3783" s="7" t="str">
        <x:v>RAE-E-41-HP-23</x:v>
      </x:c>
      <x:c r="E3783" s="7" t="str">
        <x:v>Hold Ledger!J1309</x:v>
      </x:c>
      <x:c r="F3783" s="7" t="str">
        <x:f>'Hold Ledger'!J1309</x:f>
        <x:v>OPEN</x:v>
      </x:c>
    </x:row>
    <x:row r="3784">
      <x:c r="B3784" s="7" t="str">
        <x:v>PHY-3778</x:v>
      </x:c>
      <x:c r="C3784" s="7" t="str">
        <x:v>hold record</x:v>
      </x:c>
      <x:c r="D3784" s="7" t="str">
        <x:v>RAE-E-41-HP-24</x:v>
      </x:c>
      <x:c r="E3784" s="7" t="str">
        <x:v>Hold Ledger!J1310</x:v>
      </x:c>
      <x:c r="F3784" s="7" t="str">
        <x:f>'Hold Ledger'!J1310</x:f>
        <x:v>OPEN</x:v>
      </x:c>
    </x:row>
    <x:row r="3785">
      <x:c r="B3785" s="7" t="str">
        <x:v>PHY-3779</x:v>
      </x:c>
      <x:c r="C3785" s="7" t="str">
        <x:v>hold record</x:v>
      </x:c>
      <x:c r="D3785" s="7" t="str">
        <x:v>RAE-E-41-HP-25</x:v>
      </x:c>
      <x:c r="E3785" s="7" t="str">
        <x:v>Hold Ledger!J1311</x:v>
      </x:c>
      <x:c r="F3785" s="7" t="str">
        <x:f>'Hold Ledger'!J1311</x:f>
        <x:v>OPEN</x:v>
      </x:c>
    </x:row>
    <x:row r="3786">
      <x:c r="B3786" s="7" t="str">
        <x:v>PHY-3780</x:v>
      </x:c>
      <x:c r="C3786" s="7" t="str">
        <x:v>hold record</x:v>
      </x:c>
      <x:c r="D3786" s="7" t="str">
        <x:v>RAE-E-41-HP-26</x:v>
      </x:c>
      <x:c r="E3786" s="7" t="str">
        <x:v>Hold Ledger!J1312</x:v>
      </x:c>
      <x:c r="F3786" s="7" t="str">
        <x:f>'Hold Ledger'!J1312</x:f>
        <x:v>OPEN</x:v>
      </x:c>
    </x:row>
    <x:row r="3787">
      <x:c r="B3787" s="7" t="str">
        <x:v>PHY-3781</x:v>
      </x:c>
      <x:c r="C3787" s="7" t="str">
        <x:v>hold record</x:v>
      </x:c>
      <x:c r="D3787" s="7" t="str">
        <x:v>RAE-E-41-HP-27</x:v>
      </x:c>
      <x:c r="E3787" s="7" t="str">
        <x:v>Hold Ledger!J1313</x:v>
      </x:c>
      <x:c r="F3787" s="7" t="str">
        <x:f>'Hold Ledger'!J1313</x:f>
        <x:v>OPEN</x:v>
      </x:c>
    </x:row>
    <x:row r="3788">
      <x:c r="B3788" s="7" t="str">
        <x:v>PHY-3782</x:v>
      </x:c>
      <x:c r="C3788" s="7" t="str">
        <x:v>hold record</x:v>
      </x:c>
      <x:c r="D3788" s="7" t="str">
        <x:v>RAE-E-41-HP-28</x:v>
      </x:c>
      <x:c r="E3788" s="7" t="str">
        <x:v>Hold Ledger!J1314</x:v>
      </x:c>
      <x:c r="F3788" s="7" t="str">
        <x:f>'Hold Ledger'!J1314</x:f>
        <x:v>OPEN</x:v>
      </x:c>
    </x:row>
    <x:row r="3789">
      <x:c r="B3789" s="7" t="str">
        <x:v>PHY-3783</x:v>
      </x:c>
      <x:c r="C3789" s="7" t="str">
        <x:v>hold record</x:v>
      </x:c>
      <x:c r="D3789" s="7" t="str">
        <x:v>RAE-E-41-HP-29</x:v>
      </x:c>
      <x:c r="E3789" s="7" t="str">
        <x:v>Hold Ledger!J1315</x:v>
      </x:c>
      <x:c r="F3789" s="7" t="str">
        <x:f>'Hold Ledger'!J1315</x:f>
        <x:v>OPEN</x:v>
      </x:c>
    </x:row>
    <x:row r="3790">
      <x:c r="B3790" s="7" t="str">
        <x:v>PHY-3784</x:v>
      </x:c>
      <x:c r="C3790" s="7" t="str">
        <x:v>hold record</x:v>
      </x:c>
      <x:c r="D3790" s="7" t="str">
        <x:v>RAE-E-41-HP-30</x:v>
      </x:c>
      <x:c r="E3790" s="7" t="str">
        <x:v>Hold Ledger!J1316</x:v>
      </x:c>
      <x:c r="F3790" s="7" t="str">
        <x:f>'Hold Ledger'!J1316</x:f>
        <x:v>OPEN</x:v>
      </x:c>
    </x:row>
    <x:row r="3791">
      <x:c r="B3791" s="7" t="str">
        <x:v>PHY-3785</x:v>
      </x:c>
      <x:c r="C3791" s="7" t="str">
        <x:v>hold record</x:v>
      </x:c>
      <x:c r="D3791" s="7" t="str">
        <x:v>RAE-E-41-HP-31</x:v>
      </x:c>
      <x:c r="E3791" s="7" t="str">
        <x:v>Hold Ledger!J1317</x:v>
      </x:c>
      <x:c r="F3791" s="7" t="str">
        <x:f>'Hold Ledger'!J1317</x:f>
        <x:v>OPEN</x:v>
      </x:c>
    </x:row>
    <x:row r="3792">
      <x:c r="B3792" s="7" t="str">
        <x:v>PHY-3786</x:v>
      </x:c>
      <x:c r="C3792" s="7" t="str">
        <x:v>hold record</x:v>
      </x:c>
      <x:c r="D3792" s="7" t="str">
        <x:v>RAE-E-41-HP-32</x:v>
      </x:c>
      <x:c r="E3792" s="7" t="str">
        <x:v>Hold Ledger!J1318</x:v>
      </x:c>
      <x:c r="F3792" s="7" t="str">
        <x:f>'Hold Ledger'!J1318</x:f>
        <x:v>OPEN</x:v>
      </x:c>
    </x:row>
    <x:row r="3793">
      <x:c r="B3793" s="7" t="str">
        <x:v>PHY-3787</x:v>
      </x:c>
      <x:c r="C3793" s="7" t="str">
        <x:v>hold record</x:v>
      </x:c>
      <x:c r="D3793" s="7" t="str">
        <x:v>RAE-E-42-HP-01</x:v>
      </x:c>
      <x:c r="E3793" s="7" t="str">
        <x:v>Hold Ledger!J1319</x:v>
      </x:c>
      <x:c r="F3793" s="7" t="str">
        <x:f>'Hold Ledger'!J1319</x:f>
        <x:v>OPEN</x:v>
      </x:c>
    </x:row>
    <x:row r="3794">
      <x:c r="B3794" s="7" t="str">
        <x:v>PHY-3788</x:v>
      </x:c>
      <x:c r="C3794" s="7" t="str">
        <x:v>hold record</x:v>
      </x:c>
      <x:c r="D3794" s="7" t="str">
        <x:v>RAE-E-42-HP-02</x:v>
      </x:c>
      <x:c r="E3794" s="7" t="str">
        <x:v>Hold Ledger!J1320</x:v>
      </x:c>
      <x:c r="F3794" s="7" t="str">
        <x:f>'Hold Ledger'!J1320</x:f>
        <x:v>OPEN</x:v>
      </x:c>
    </x:row>
    <x:row r="3795">
      <x:c r="B3795" s="7" t="str">
        <x:v>PHY-3789</x:v>
      </x:c>
      <x:c r="C3795" s="7" t="str">
        <x:v>hold record</x:v>
      </x:c>
      <x:c r="D3795" s="7" t="str">
        <x:v>RAE-E-42-HP-03</x:v>
      </x:c>
      <x:c r="E3795" s="7" t="str">
        <x:v>Hold Ledger!J1321</x:v>
      </x:c>
      <x:c r="F3795" s="7" t="str">
        <x:f>'Hold Ledger'!J1321</x:f>
        <x:v>OPEN</x:v>
      </x:c>
    </x:row>
    <x:row r="3796">
      <x:c r="B3796" s="7" t="str">
        <x:v>PHY-3790</x:v>
      </x:c>
      <x:c r="C3796" s="7" t="str">
        <x:v>hold record</x:v>
      </x:c>
      <x:c r="D3796" s="7" t="str">
        <x:v>RAE-E-42-HP-04</x:v>
      </x:c>
      <x:c r="E3796" s="7" t="str">
        <x:v>Hold Ledger!J1322</x:v>
      </x:c>
      <x:c r="F3796" s="7" t="str">
        <x:f>'Hold Ledger'!J1322</x:f>
        <x:v>OPEN</x:v>
      </x:c>
    </x:row>
    <x:row r="3797">
      <x:c r="B3797" s="7" t="str">
        <x:v>PHY-3791</x:v>
      </x:c>
      <x:c r="C3797" s="7" t="str">
        <x:v>hold record</x:v>
      </x:c>
      <x:c r="D3797" s="7" t="str">
        <x:v>RAE-E-42-HP-05</x:v>
      </x:c>
      <x:c r="E3797" s="7" t="str">
        <x:v>Hold Ledger!J1323</x:v>
      </x:c>
      <x:c r="F3797" s="7" t="str">
        <x:f>'Hold Ledger'!J1323</x:f>
        <x:v>OPEN</x:v>
      </x:c>
    </x:row>
    <x:row r="3798">
      <x:c r="B3798" s="7" t="str">
        <x:v>PHY-3792</x:v>
      </x:c>
      <x:c r="C3798" s="7" t="str">
        <x:v>hold record</x:v>
      </x:c>
      <x:c r="D3798" s="7" t="str">
        <x:v>RAE-E-42-HP-06</x:v>
      </x:c>
      <x:c r="E3798" s="7" t="str">
        <x:v>Hold Ledger!J1324</x:v>
      </x:c>
      <x:c r="F3798" s="7" t="str">
        <x:f>'Hold Ledger'!J1324</x:f>
        <x:v>OPEN</x:v>
      </x:c>
    </x:row>
    <x:row r="3799">
      <x:c r="B3799" s="7" t="str">
        <x:v>PHY-3793</x:v>
      </x:c>
      <x:c r="C3799" s="7" t="str">
        <x:v>hold record</x:v>
      </x:c>
      <x:c r="D3799" s="7" t="str">
        <x:v>RAE-E-42-HP-07</x:v>
      </x:c>
      <x:c r="E3799" s="7" t="str">
        <x:v>Hold Ledger!J1325</x:v>
      </x:c>
      <x:c r="F3799" s="7" t="str">
        <x:f>'Hold Ledger'!J1325</x:f>
        <x:v>OPEN</x:v>
      </x:c>
    </x:row>
    <x:row r="3800">
      <x:c r="B3800" s="7" t="str">
        <x:v>PHY-3794</x:v>
      </x:c>
      <x:c r="C3800" s="7" t="str">
        <x:v>hold record</x:v>
      </x:c>
      <x:c r="D3800" s="7" t="str">
        <x:v>RAE-E-42-HP-08</x:v>
      </x:c>
      <x:c r="E3800" s="7" t="str">
        <x:v>Hold Ledger!J1326</x:v>
      </x:c>
      <x:c r="F3800" s="7" t="str">
        <x:f>'Hold Ledger'!J1326</x:f>
        <x:v>OPEN</x:v>
      </x:c>
    </x:row>
    <x:row r="3801">
      <x:c r="B3801" s="7" t="str">
        <x:v>PHY-3795</x:v>
      </x:c>
      <x:c r="C3801" s="7" t="str">
        <x:v>hold record</x:v>
      </x:c>
      <x:c r="D3801" s="7" t="str">
        <x:v>RAE-E-42-HP-09</x:v>
      </x:c>
      <x:c r="E3801" s="7" t="str">
        <x:v>Hold Ledger!J1327</x:v>
      </x:c>
      <x:c r="F3801" s="7" t="str">
        <x:f>'Hold Ledger'!J1327</x:f>
        <x:v>OPEN</x:v>
      </x:c>
    </x:row>
    <x:row r="3802">
      <x:c r="B3802" s="7" t="str">
        <x:v>PHY-3796</x:v>
      </x:c>
      <x:c r="C3802" s="7" t="str">
        <x:v>hold record</x:v>
      </x:c>
      <x:c r="D3802" s="7" t="str">
        <x:v>RAE-E-42-HP-10</x:v>
      </x:c>
      <x:c r="E3802" s="7" t="str">
        <x:v>Hold Ledger!J1328</x:v>
      </x:c>
      <x:c r="F3802" s="7" t="str">
        <x:f>'Hold Ledger'!J1328</x:f>
        <x:v>OPEN</x:v>
      </x:c>
    </x:row>
    <x:row r="3803">
      <x:c r="B3803" s="7" t="str">
        <x:v>PHY-3797</x:v>
      </x:c>
      <x:c r="C3803" s="7" t="str">
        <x:v>hold record</x:v>
      </x:c>
      <x:c r="D3803" s="7" t="str">
        <x:v>RAE-E-42-HP-11</x:v>
      </x:c>
      <x:c r="E3803" s="7" t="str">
        <x:v>Hold Ledger!J1329</x:v>
      </x:c>
      <x:c r="F3803" s="7" t="str">
        <x:f>'Hold Ledger'!J1329</x:f>
        <x:v>OPEN</x:v>
      </x:c>
    </x:row>
    <x:row r="3804">
      <x:c r="B3804" s="7" t="str">
        <x:v>PHY-3798</x:v>
      </x:c>
      <x:c r="C3804" s="7" t="str">
        <x:v>hold record</x:v>
      </x:c>
      <x:c r="D3804" s="7" t="str">
        <x:v>RAE-E-42-HP-12</x:v>
      </x:c>
      <x:c r="E3804" s="7" t="str">
        <x:v>Hold Ledger!J1330</x:v>
      </x:c>
      <x:c r="F3804" s="7" t="str">
        <x:f>'Hold Ledger'!J1330</x:f>
        <x:v>OPEN</x:v>
      </x:c>
    </x:row>
    <x:row r="3805">
      <x:c r="B3805" s="7" t="str">
        <x:v>PHY-3799</x:v>
      </x:c>
      <x:c r="C3805" s="7" t="str">
        <x:v>hold record</x:v>
      </x:c>
      <x:c r="D3805" s="7" t="str">
        <x:v>RAE-E-42-HP-13</x:v>
      </x:c>
      <x:c r="E3805" s="7" t="str">
        <x:v>Hold Ledger!J1331</x:v>
      </x:c>
      <x:c r="F3805" s="7" t="str">
        <x:f>'Hold Ledger'!J1331</x:f>
        <x:v>OPEN</x:v>
      </x:c>
    </x:row>
    <x:row r="3806">
      <x:c r="B3806" s="7" t="str">
        <x:v>PHY-3800</x:v>
      </x:c>
      <x:c r="C3806" s="7" t="str">
        <x:v>hold record</x:v>
      </x:c>
      <x:c r="D3806" s="7" t="str">
        <x:v>RAE-E-42-HP-14</x:v>
      </x:c>
      <x:c r="E3806" s="7" t="str">
        <x:v>Hold Ledger!J1332</x:v>
      </x:c>
      <x:c r="F3806" s="7" t="str">
        <x:f>'Hold Ledger'!J1332</x:f>
        <x:v>OPEN</x:v>
      </x:c>
    </x:row>
    <x:row r="3807">
      <x:c r="B3807" s="7" t="str">
        <x:v>PHY-3801</x:v>
      </x:c>
      <x:c r="C3807" s="7" t="str">
        <x:v>hold record</x:v>
      </x:c>
      <x:c r="D3807" s="7" t="str">
        <x:v>RAE-E-42-HP-15</x:v>
      </x:c>
      <x:c r="E3807" s="7" t="str">
        <x:v>Hold Ledger!J1333</x:v>
      </x:c>
      <x:c r="F3807" s="7" t="str">
        <x:f>'Hold Ledger'!J1333</x:f>
        <x:v>OPEN</x:v>
      </x:c>
    </x:row>
    <x:row r="3808">
      <x:c r="B3808" s="7" t="str">
        <x:v>PHY-3802</x:v>
      </x:c>
      <x:c r="C3808" s="7" t="str">
        <x:v>hold record</x:v>
      </x:c>
      <x:c r="D3808" s="7" t="str">
        <x:v>RAE-E-42-HP-16</x:v>
      </x:c>
      <x:c r="E3808" s="7" t="str">
        <x:v>Hold Ledger!J1334</x:v>
      </x:c>
      <x:c r="F3808" s="7" t="str">
        <x:f>'Hold Ledger'!J1334</x:f>
        <x:v>OPEN</x:v>
      </x:c>
    </x:row>
    <x:row r="3809">
      <x:c r="B3809" s="7" t="str">
        <x:v>PHY-3803</x:v>
      </x:c>
      <x:c r="C3809" s="7" t="str">
        <x:v>hold record</x:v>
      </x:c>
      <x:c r="D3809" s="7" t="str">
        <x:v>RAE-E-42-HP-17</x:v>
      </x:c>
      <x:c r="E3809" s="7" t="str">
        <x:v>Hold Ledger!J1335</x:v>
      </x:c>
      <x:c r="F3809" s="7" t="str">
        <x:f>'Hold Ledger'!J1335</x:f>
        <x:v>OPEN</x:v>
      </x:c>
    </x:row>
    <x:row r="3810">
      <x:c r="B3810" s="7" t="str">
        <x:v>PHY-3804</x:v>
      </x:c>
      <x:c r="C3810" s="7" t="str">
        <x:v>hold record</x:v>
      </x:c>
      <x:c r="D3810" s="7" t="str">
        <x:v>RAE-E-42-HP-18</x:v>
      </x:c>
      <x:c r="E3810" s="7" t="str">
        <x:v>Hold Ledger!J1336</x:v>
      </x:c>
      <x:c r="F3810" s="7" t="str">
        <x:f>'Hold Ledger'!J1336</x:f>
        <x:v>OPEN</x:v>
      </x:c>
    </x:row>
    <x:row r="3811">
      <x:c r="B3811" s="7" t="str">
        <x:v>PHY-3805</x:v>
      </x:c>
      <x:c r="C3811" s="7" t="str">
        <x:v>hold record</x:v>
      </x:c>
      <x:c r="D3811" s="7" t="str">
        <x:v>RAE-E-42-HP-19</x:v>
      </x:c>
      <x:c r="E3811" s="7" t="str">
        <x:v>Hold Ledger!J1337</x:v>
      </x:c>
      <x:c r="F3811" s="7" t="str">
        <x:f>'Hold Ledger'!J1337</x:f>
        <x:v>OPEN</x:v>
      </x:c>
    </x:row>
    <x:row r="3812">
      <x:c r="B3812" s="7" t="str">
        <x:v>PHY-3806</x:v>
      </x:c>
      <x:c r="C3812" s="7" t="str">
        <x:v>hold record</x:v>
      </x:c>
      <x:c r="D3812" s="7" t="str">
        <x:v>RAE-E-42-HP-20</x:v>
      </x:c>
      <x:c r="E3812" s="7" t="str">
        <x:v>Hold Ledger!J1338</x:v>
      </x:c>
      <x:c r="F3812" s="7" t="str">
        <x:f>'Hold Ledger'!J1338</x:f>
        <x:v>OPEN</x:v>
      </x:c>
    </x:row>
    <x:row r="3813">
      <x:c r="B3813" s="7" t="str">
        <x:v>PHY-3807</x:v>
      </x:c>
      <x:c r="C3813" s="7" t="str">
        <x:v>hold record</x:v>
      </x:c>
      <x:c r="D3813" s="7" t="str">
        <x:v>RAE-E-42-HP-21</x:v>
      </x:c>
      <x:c r="E3813" s="7" t="str">
        <x:v>Hold Ledger!J1339</x:v>
      </x:c>
      <x:c r="F3813" s="7" t="str">
        <x:f>'Hold Ledger'!J1339</x:f>
        <x:v>OPEN</x:v>
      </x:c>
    </x:row>
    <x:row r="3814">
      <x:c r="B3814" s="7" t="str">
        <x:v>PHY-3808</x:v>
      </x:c>
      <x:c r="C3814" s="7" t="str">
        <x:v>hold record</x:v>
      </x:c>
      <x:c r="D3814" s="7" t="str">
        <x:v>RAE-E-42-HP-22</x:v>
      </x:c>
      <x:c r="E3814" s="7" t="str">
        <x:v>Hold Ledger!J1340</x:v>
      </x:c>
      <x:c r="F3814" s="7" t="str">
        <x:f>'Hold Ledger'!J1340</x:f>
        <x:v>OPEN</x:v>
      </x:c>
    </x:row>
    <x:row r="3815">
      <x:c r="B3815" s="7" t="str">
        <x:v>PHY-3809</x:v>
      </x:c>
      <x:c r="C3815" s="7" t="str">
        <x:v>hold record</x:v>
      </x:c>
      <x:c r="D3815" s="7" t="str">
        <x:v>RAE-E-42-HP-23</x:v>
      </x:c>
      <x:c r="E3815" s="7" t="str">
        <x:v>Hold Ledger!J1341</x:v>
      </x:c>
      <x:c r="F3815" s="7" t="str">
        <x:f>'Hold Ledger'!J1341</x:f>
        <x:v>OPEN</x:v>
      </x:c>
    </x:row>
    <x:row r="3816">
      <x:c r="B3816" s="7" t="str">
        <x:v>PHY-3810</x:v>
      </x:c>
      <x:c r="C3816" s="7" t="str">
        <x:v>hold record</x:v>
      </x:c>
      <x:c r="D3816" s="7" t="str">
        <x:v>RAE-E-42-HP-24</x:v>
      </x:c>
      <x:c r="E3816" s="7" t="str">
        <x:v>Hold Ledger!J1342</x:v>
      </x:c>
      <x:c r="F3816" s="7" t="str">
        <x:f>'Hold Ledger'!J1342</x:f>
        <x:v>OPEN</x:v>
      </x:c>
    </x:row>
    <x:row r="3817">
      <x:c r="B3817" s="7" t="str">
        <x:v>PHY-3811</x:v>
      </x:c>
      <x:c r="C3817" s="7" t="str">
        <x:v>hold record</x:v>
      </x:c>
      <x:c r="D3817" s="7" t="str">
        <x:v>RAE-E-42-HP-25</x:v>
      </x:c>
      <x:c r="E3817" s="7" t="str">
        <x:v>Hold Ledger!J1343</x:v>
      </x:c>
      <x:c r="F3817" s="7" t="str">
        <x:f>'Hold Ledger'!J1343</x:f>
        <x:v>OPEN</x:v>
      </x:c>
    </x:row>
    <x:row r="3818">
      <x:c r="B3818" s="7" t="str">
        <x:v>PHY-3812</x:v>
      </x:c>
      <x:c r="C3818" s="7" t="str">
        <x:v>hold record</x:v>
      </x:c>
      <x:c r="D3818" s="7" t="str">
        <x:v>RAE-E-42-HP-26</x:v>
      </x:c>
      <x:c r="E3818" s="7" t="str">
        <x:v>Hold Ledger!J1344</x:v>
      </x:c>
      <x:c r="F3818" s="7" t="str">
        <x:f>'Hold Ledger'!J1344</x:f>
        <x:v>OPEN</x:v>
      </x:c>
    </x:row>
    <x:row r="3819">
      <x:c r="B3819" s="7" t="str">
        <x:v>PHY-3813</x:v>
      </x:c>
      <x:c r="C3819" s="7" t="str">
        <x:v>hold record</x:v>
      </x:c>
      <x:c r="D3819" s="7" t="str">
        <x:v>RAE-E-42-HP-27</x:v>
      </x:c>
      <x:c r="E3819" s="7" t="str">
        <x:v>Hold Ledger!J1345</x:v>
      </x:c>
      <x:c r="F3819" s="7" t="str">
        <x:f>'Hold Ledger'!J1345</x:f>
        <x:v>OPEN</x:v>
      </x:c>
    </x:row>
    <x:row r="3820">
      <x:c r="B3820" s="7" t="str">
        <x:v>PHY-3814</x:v>
      </x:c>
      <x:c r="C3820" s="7" t="str">
        <x:v>hold record</x:v>
      </x:c>
      <x:c r="D3820" s="7" t="str">
        <x:v>RAE-E-42-HP-28</x:v>
      </x:c>
      <x:c r="E3820" s="7" t="str">
        <x:v>Hold Ledger!J1346</x:v>
      </x:c>
      <x:c r="F3820" s="7" t="str">
        <x:f>'Hold Ledger'!J1346</x:f>
        <x:v>OPEN</x:v>
      </x:c>
    </x:row>
    <x:row r="3821">
      <x:c r="B3821" s="7" t="str">
        <x:v>PHY-3815</x:v>
      </x:c>
      <x:c r="C3821" s="7" t="str">
        <x:v>hold record</x:v>
      </x:c>
      <x:c r="D3821" s="7" t="str">
        <x:v>RAE-E-42-HP-29</x:v>
      </x:c>
      <x:c r="E3821" s="7" t="str">
        <x:v>Hold Ledger!J1347</x:v>
      </x:c>
      <x:c r="F3821" s="7" t="str">
        <x:f>'Hold Ledger'!J1347</x:f>
        <x:v>OPEN</x:v>
      </x:c>
    </x:row>
    <x:row r="3822">
      <x:c r="B3822" s="7" t="str">
        <x:v>PHY-3816</x:v>
      </x:c>
      <x:c r="C3822" s="7" t="str">
        <x:v>hold record</x:v>
      </x:c>
      <x:c r="D3822" s="7" t="str">
        <x:v>RAE-E-42-HP-30</x:v>
      </x:c>
      <x:c r="E3822" s="7" t="str">
        <x:v>Hold Ledger!J1348</x:v>
      </x:c>
      <x:c r="F3822" s="7" t="str">
        <x:f>'Hold Ledger'!J1348</x:f>
        <x:v>OPEN</x:v>
      </x:c>
    </x:row>
    <x:row r="3823">
      <x:c r="B3823" s="7" t="str">
        <x:v>PHY-3817</x:v>
      </x:c>
      <x:c r="C3823" s="7" t="str">
        <x:v>hold record</x:v>
      </x:c>
      <x:c r="D3823" s="7" t="str">
        <x:v>RAE-E-42-HP-31</x:v>
      </x:c>
      <x:c r="E3823" s="7" t="str">
        <x:v>Hold Ledger!J1349</x:v>
      </x:c>
      <x:c r="F3823" s="7" t="str">
        <x:f>'Hold Ledger'!J1349</x:f>
        <x:v>OPEN</x:v>
      </x:c>
    </x:row>
    <x:row r="3824">
      <x:c r="B3824" s="7" t="str">
        <x:v>PHY-3818</x:v>
      </x:c>
      <x:c r="C3824" s="7" t="str">
        <x:v>hold record</x:v>
      </x:c>
      <x:c r="D3824" s="7" t="str">
        <x:v>RAE-E-42-HP-32</x:v>
      </x:c>
      <x:c r="E3824" s="7" t="str">
        <x:v>Hold Ledger!J1350</x:v>
      </x:c>
      <x:c r="F3824" s="7" t="str">
        <x:f>'Hold Ledger'!J1350</x:f>
        <x:v>OPEN</x:v>
      </x:c>
    </x:row>
    <x:row r="3825">
      <x:c r="B3825" s="7" t="str">
        <x:v>PHY-3819</x:v>
      </x:c>
      <x:c r="C3825" s="7" t="str">
        <x:v>hold record</x:v>
      </x:c>
      <x:c r="D3825" s="7" t="str">
        <x:v>RAE-E-43-HP-01</x:v>
      </x:c>
      <x:c r="E3825" s="7" t="str">
        <x:v>Hold Ledger!J1351</x:v>
      </x:c>
      <x:c r="F3825" s="7" t="str">
        <x:f>'Hold Ledger'!J1351</x:f>
        <x:v>OPEN</x:v>
      </x:c>
    </x:row>
    <x:row r="3826">
      <x:c r="B3826" s="7" t="str">
        <x:v>PHY-3820</x:v>
      </x:c>
      <x:c r="C3826" s="7" t="str">
        <x:v>hold record</x:v>
      </x:c>
      <x:c r="D3826" s="7" t="str">
        <x:v>RAE-E-43-HP-02</x:v>
      </x:c>
      <x:c r="E3826" s="7" t="str">
        <x:v>Hold Ledger!J1352</x:v>
      </x:c>
      <x:c r="F3826" s="7" t="str">
        <x:f>'Hold Ledger'!J1352</x:f>
        <x:v>OPEN</x:v>
      </x:c>
    </x:row>
    <x:row r="3827">
      <x:c r="B3827" s="7" t="str">
        <x:v>PHY-3821</x:v>
      </x:c>
      <x:c r="C3827" s="7" t="str">
        <x:v>hold record</x:v>
      </x:c>
      <x:c r="D3827" s="7" t="str">
        <x:v>RAE-E-43-HP-03</x:v>
      </x:c>
      <x:c r="E3827" s="7" t="str">
        <x:v>Hold Ledger!J1353</x:v>
      </x:c>
      <x:c r="F3827" s="7" t="str">
        <x:f>'Hold Ledger'!J1353</x:f>
        <x:v>OPEN</x:v>
      </x:c>
    </x:row>
    <x:row r="3828">
      <x:c r="B3828" s="7" t="str">
        <x:v>PHY-3822</x:v>
      </x:c>
      <x:c r="C3828" s="7" t="str">
        <x:v>hold record</x:v>
      </x:c>
      <x:c r="D3828" s="7" t="str">
        <x:v>RAE-E-43-HP-04</x:v>
      </x:c>
      <x:c r="E3828" s="7" t="str">
        <x:v>Hold Ledger!J1354</x:v>
      </x:c>
      <x:c r="F3828" s="7" t="str">
        <x:f>'Hold Ledger'!J1354</x:f>
        <x:v>OPEN</x:v>
      </x:c>
    </x:row>
    <x:row r="3829">
      <x:c r="B3829" s="7" t="str">
        <x:v>PHY-3823</x:v>
      </x:c>
      <x:c r="C3829" s="7" t="str">
        <x:v>hold record</x:v>
      </x:c>
      <x:c r="D3829" s="7" t="str">
        <x:v>RAE-E-43-HP-05</x:v>
      </x:c>
      <x:c r="E3829" s="7" t="str">
        <x:v>Hold Ledger!J1355</x:v>
      </x:c>
      <x:c r="F3829" s="7" t="str">
        <x:f>'Hold Ledger'!J1355</x:f>
        <x:v>OPEN</x:v>
      </x:c>
    </x:row>
    <x:row r="3830">
      <x:c r="B3830" s="7" t="str">
        <x:v>PHY-3824</x:v>
      </x:c>
      <x:c r="C3830" s="7" t="str">
        <x:v>hold record</x:v>
      </x:c>
      <x:c r="D3830" s="7" t="str">
        <x:v>RAE-E-43-HP-06</x:v>
      </x:c>
      <x:c r="E3830" s="7" t="str">
        <x:v>Hold Ledger!J1356</x:v>
      </x:c>
      <x:c r="F3830" s="7" t="str">
        <x:f>'Hold Ledger'!J1356</x:f>
        <x:v>OPEN</x:v>
      </x:c>
    </x:row>
    <x:row r="3831">
      <x:c r="B3831" s="7" t="str">
        <x:v>PHY-3825</x:v>
      </x:c>
      <x:c r="C3831" s="7" t="str">
        <x:v>hold record</x:v>
      </x:c>
      <x:c r="D3831" s="7" t="str">
        <x:v>RAE-E-43-HP-07</x:v>
      </x:c>
      <x:c r="E3831" s="7" t="str">
        <x:v>Hold Ledger!J1357</x:v>
      </x:c>
      <x:c r="F3831" s="7" t="str">
        <x:f>'Hold Ledger'!J1357</x:f>
        <x:v>OPEN</x:v>
      </x:c>
    </x:row>
    <x:row r="3832">
      <x:c r="B3832" s="7" t="str">
        <x:v>PHY-3826</x:v>
      </x:c>
      <x:c r="C3832" s="7" t="str">
        <x:v>hold record</x:v>
      </x:c>
      <x:c r="D3832" s="7" t="str">
        <x:v>RAE-E-43-HP-08</x:v>
      </x:c>
      <x:c r="E3832" s="7" t="str">
        <x:v>Hold Ledger!J1358</x:v>
      </x:c>
      <x:c r="F3832" s="7" t="str">
        <x:f>'Hold Ledger'!J1358</x:f>
        <x:v>OPEN</x:v>
      </x:c>
    </x:row>
    <x:row r="3833">
      <x:c r="B3833" s="7" t="str">
        <x:v>PHY-3827</x:v>
      </x:c>
      <x:c r="C3833" s="7" t="str">
        <x:v>hold record</x:v>
      </x:c>
      <x:c r="D3833" s="7" t="str">
        <x:v>RAE-E-43-HP-09</x:v>
      </x:c>
      <x:c r="E3833" s="7" t="str">
        <x:v>Hold Ledger!J1359</x:v>
      </x:c>
      <x:c r="F3833" s="7" t="str">
        <x:f>'Hold Ledger'!J1359</x:f>
        <x:v>OPEN</x:v>
      </x:c>
    </x:row>
    <x:row r="3834">
      <x:c r="B3834" s="7" t="str">
        <x:v>PHY-3828</x:v>
      </x:c>
      <x:c r="C3834" s="7" t="str">
        <x:v>hold record</x:v>
      </x:c>
      <x:c r="D3834" s="7" t="str">
        <x:v>RAE-E-43-HP-10</x:v>
      </x:c>
      <x:c r="E3834" s="7" t="str">
        <x:v>Hold Ledger!J1360</x:v>
      </x:c>
      <x:c r="F3834" s="7" t="str">
        <x:f>'Hold Ledger'!J1360</x:f>
        <x:v>OPEN</x:v>
      </x:c>
    </x:row>
    <x:row r="3835">
      <x:c r="B3835" s="7" t="str">
        <x:v>PHY-3829</x:v>
      </x:c>
      <x:c r="C3835" s="7" t="str">
        <x:v>hold record</x:v>
      </x:c>
      <x:c r="D3835" s="7" t="str">
        <x:v>RAE-E-43-HP-11</x:v>
      </x:c>
      <x:c r="E3835" s="7" t="str">
        <x:v>Hold Ledger!J1361</x:v>
      </x:c>
      <x:c r="F3835" s="7" t="str">
        <x:f>'Hold Ledger'!J1361</x:f>
        <x:v>OPEN</x:v>
      </x:c>
    </x:row>
    <x:row r="3836">
      <x:c r="B3836" s="7" t="str">
        <x:v>PHY-3830</x:v>
      </x:c>
      <x:c r="C3836" s="7" t="str">
        <x:v>hold record</x:v>
      </x:c>
      <x:c r="D3836" s="7" t="str">
        <x:v>RAE-E-43-HP-12</x:v>
      </x:c>
      <x:c r="E3836" s="7" t="str">
        <x:v>Hold Ledger!J1362</x:v>
      </x:c>
      <x:c r="F3836" s="7" t="str">
        <x:f>'Hold Ledger'!J1362</x:f>
        <x:v>OPEN</x:v>
      </x:c>
    </x:row>
    <x:row r="3837">
      <x:c r="B3837" s="7" t="str">
        <x:v>PHY-3831</x:v>
      </x:c>
      <x:c r="C3837" s="7" t="str">
        <x:v>hold record</x:v>
      </x:c>
      <x:c r="D3837" s="7" t="str">
        <x:v>RAE-E-43-HP-13</x:v>
      </x:c>
      <x:c r="E3837" s="7" t="str">
        <x:v>Hold Ledger!J1363</x:v>
      </x:c>
      <x:c r="F3837" s="7" t="str">
        <x:f>'Hold Ledger'!J1363</x:f>
        <x:v>OPEN</x:v>
      </x:c>
    </x:row>
    <x:row r="3838">
      <x:c r="B3838" s="7" t="str">
        <x:v>PHY-3832</x:v>
      </x:c>
      <x:c r="C3838" s="7" t="str">
        <x:v>hold record</x:v>
      </x:c>
      <x:c r="D3838" s="7" t="str">
        <x:v>RAE-E-43-HP-14</x:v>
      </x:c>
      <x:c r="E3838" s="7" t="str">
        <x:v>Hold Ledger!J1364</x:v>
      </x:c>
      <x:c r="F3838" s="7" t="str">
        <x:f>'Hold Ledger'!J1364</x:f>
        <x:v>OPEN</x:v>
      </x:c>
    </x:row>
    <x:row r="3839">
      <x:c r="B3839" s="7" t="str">
        <x:v>PHY-3833</x:v>
      </x:c>
      <x:c r="C3839" s="7" t="str">
        <x:v>hold record</x:v>
      </x:c>
      <x:c r="D3839" s="7" t="str">
        <x:v>RAE-E-43-HP-15</x:v>
      </x:c>
      <x:c r="E3839" s="7" t="str">
        <x:v>Hold Ledger!J1365</x:v>
      </x:c>
      <x:c r="F3839" s="7" t="str">
        <x:f>'Hold Ledger'!J1365</x:f>
        <x:v>OPEN</x:v>
      </x:c>
    </x:row>
    <x:row r="3840">
      <x:c r="B3840" s="7" t="str">
        <x:v>PHY-3834</x:v>
      </x:c>
      <x:c r="C3840" s="7" t="str">
        <x:v>hold record</x:v>
      </x:c>
      <x:c r="D3840" s="7" t="str">
        <x:v>RAE-E-43-HP-16</x:v>
      </x:c>
      <x:c r="E3840" s="7" t="str">
        <x:v>Hold Ledger!J1366</x:v>
      </x:c>
      <x:c r="F3840" s="7" t="str">
        <x:f>'Hold Ledger'!J1366</x:f>
        <x:v>OPEN</x:v>
      </x:c>
    </x:row>
    <x:row r="3841">
      <x:c r="B3841" s="7" t="str">
        <x:v>PHY-3835</x:v>
      </x:c>
      <x:c r="C3841" s="7" t="str">
        <x:v>hold record</x:v>
      </x:c>
      <x:c r="D3841" s="7" t="str">
        <x:v>RAE-E-43-HP-17</x:v>
      </x:c>
      <x:c r="E3841" s="7" t="str">
        <x:v>Hold Ledger!J1367</x:v>
      </x:c>
      <x:c r="F3841" s="7" t="str">
        <x:f>'Hold Ledger'!J1367</x:f>
        <x:v>OPEN</x:v>
      </x:c>
    </x:row>
    <x:row r="3842">
      <x:c r="B3842" s="7" t="str">
        <x:v>PHY-3836</x:v>
      </x:c>
      <x:c r="C3842" s="7" t="str">
        <x:v>hold record</x:v>
      </x:c>
      <x:c r="D3842" s="7" t="str">
        <x:v>RAE-E-43-HP-18</x:v>
      </x:c>
      <x:c r="E3842" s="7" t="str">
        <x:v>Hold Ledger!J1368</x:v>
      </x:c>
      <x:c r="F3842" s="7" t="str">
        <x:f>'Hold Ledger'!J1368</x:f>
        <x:v>OPEN</x:v>
      </x:c>
    </x:row>
    <x:row r="3843">
      <x:c r="B3843" s="7" t="str">
        <x:v>PHY-3837</x:v>
      </x:c>
      <x:c r="C3843" s="7" t="str">
        <x:v>hold record</x:v>
      </x:c>
      <x:c r="D3843" s="7" t="str">
        <x:v>RAE-E-43-HP-19</x:v>
      </x:c>
      <x:c r="E3843" s="7" t="str">
        <x:v>Hold Ledger!J1369</x:v>
      </x:c>
      <x:c r="F3843" s="7" t="str">
        <x:f>'Hold Ledger'!J1369</x:f>
        <x:v>OPEN</x:v>
      </x:c>
    </x:row>
    <x:row r="3844">
      <x:c r="B3844" s="7" t="str">
        <x:v>PHY-3838</x:v>
      </x:c>
      <x:c r="C3844" s="7" t="str">
        <x:v>hold record</x:v>
      </x:c>
      <x:c r="D3844" s="7" t="str">
        <x:v>RAE-E-43-HP-20</x:v>
      </x:c>
      <x:c r="E3844" s="7" t="str">
        <x:v>Hold Ledger!J1370</x:v>
      </x:c>
      <x:c r="F3844" s="7" t="str">
        <x:f>'Hold Ledger'!J1370</x:f>
        <x:v>OPEN</x:v>
      </x:c>
    </x:row>
    <x:row r="3845">
      <x:c r="B3845" s="7" t="str">
        <x:v>PHY-3839</x:v>
      </x:c>
      <x:c r="C3845" s="7" t="str">
        <x:v>hold record</x:v>
      </x:c>
      <x:c r="D3845" s="7" t="str">
        <x:v>RAE-E-43-HP-21</x:v>
      </x:c>
      <x:c r="E3845" s="7" t="str">
        <x:v>Hold Ledger!J1371</x:v>
      </x:c>
      <x:c r="F3845" s="7" t="str">
        <x:f>'Hold Ledger'!J1371</x:f>
        <x:v>OPEN</x:v>
      </x:c>
    </x:row>
    <x:row r="3846">
      <x:c r="B3846" s="7" t="str">
        <x:v>PHY-3840</x:v>
      </x:c>
      <x:c r="C3846" s="7" t="str">
        <x:v>hold record</x:v>
      </x:c>
      <x:c r="D3846" s="7" t="str">
        <x:v>RAE-E-43-HP-22</x:v>
      </x:c>
      <x:c r="E3846" s="7" t="str">
        <x:v>Hold Ledger!J1372</x:v>
      </x:c>
      <x:c r="F3846" s="7" t="str">
        <x:f>'Hold Ledger'!J1372</x:f>
        <x:v>OPEN</x:v>
      </x:c>
    </x:row>
    <x:row r="3847">
      <x:c r="B3847" s="7" t="str">
        <x:v>PHY-3841</x:v>
      </x:c>
      <x:c r="C3847" s="7" t="str">
        <x:v>hold record</x:v>
      </x:c>
      <x:c r="D3847" s="7" t="str">
        <x:v>RAE-E-43-HP-23</x:v>
      </x:c>
      <x:c r="E3847" s="7" t="str">
        <x:v>Hold Ledger!J1373</x:v>
      </x:c>
      <x:c r="F3847" s="7" t="str">
        <x:f>'Hold Ledger'!J1373</x:f>
        <x:v>OPEN</x:v>
      </x:c>
    </x:row>
    <x:row r="3848">
      <x:c r="B3848" s="7" t="str">
        <x:v>PHY-3842</x:v>
      </x:c>
      <x:c r="C3848" s="7" t="str">
        <x:v>hold record</x:v>
      </x:c>
      <x:c r="D3848" s="7" t="str">
        <x:v>RAE-E-43-HP-24</x:v>
      </x:c>
      <x:c r="E3848" s="7" t="str">
        <x:v>Hold Ledger!J1374</x:v>
      </x:c>
      <x:c r="F3848" s="7" t="str">
        <x:f>'Hold Ledger'!J1374</x:f>
        <x:v>OPEN</x:v>
      </x:c>
    </x:row>
    <x:row r="3849">
      <x:c r="B3849" s="7" t="str">
        <x:v>PHY-3843</x:v>
      </x:c>
      <x:c r="C3849" s="7" t="str">
        <x:v>hold record</x:v>
      </x:c>
      <x:c r="D3849" s="7" t="str">
        <x:v>RAE-E-43-HP-25</x:v>
      </x:c>
      <x:c r="E3849" s="7" t="str">
        <x:v>Hold Ledger!J1375</x:v>
      </x:c>
      <x:c r="F3849" s="7" t="str">
        <x:f>'Hold Ledger'!J1375</x:f>
        <x:v>OPEN</x:v>
      </x:c>
    </x:row>
    <x:row r="3850">
      <x:c r="B3850" s="7" t="str">
        <x:v>PHY-3844</x:v>
      </x:c>
      <x:c r="C3850" s="7" t="str">
        <x:v>hold record</x:v>
      </x:c>
      <x:c r="D3850" s="7" t="str">
        <x:v>RAE-E-43-HP-26</x:v>
      </x:c>
      <x:c r="E3850" s="7" t="str">
        <x:v>Hold Ledger!J1376</x:v>
      </x:c>
      <x:c r="F3850" s="7" t="str">
        <x:f>'Hold Ledger'!J1376</x:f>
        <x:v>OPEN</x:v>
      </x:c>
    </x:row>
    <x:row r="3851">
      <x:c r="B3851" s="7" t="str">
        <x:v>PHY-3845</x:v>
      </x:c>
      <x:c r="C3851" s="7" t="str">
        <x:v>hold record</x:v>
      </x:c>
      <x:c r="D3851" s="7" t="str">
        <x:v>RAE-E-43-HP-27</x:v>
      </x:c>
      <x:c r="E3851" s="7" t="str">
        <x:v>Hold Ledger!J1377</x:v>
      </x:c>
      <x:c r="F3851" s="7" t="str">
        <x:f>'Hold Ledger'!J1377</x:f>
        <x:v>OPEN</x:v>
      </x:c>
    </x:row>
    <x:row r="3852">
      <x:c r="B3852" s="7" t="str">
        <x:v>PHY-3846</x:v>
      </x:c>
      <x:c r="C3852" s="7" t="str">
        <x:v>hold record</x:v>
      </x:c>
      <x:c r="D3852" s="7" t="str">
        <x:v>RAE-E-43-HP-28</x:v>
      </x:c>
      <x:c r="E3852" s="7" t="str">
        <x:v>Hold Ledger!J1378</x:v>
      </x:c>
      <x:c r="F3852" s="7" t="str">
        <x:f>'Hold Ledger'!J1378</x:f>
        <x:v>OPEN</x:v>
      </x:c>
    </x:row>
    <x:row r="3853">
      <x:c r="B3853" s="7" t="str">
        <x:v>PHY-3847</x:v>
      </x:c>
      <x:c r="C3853" s="7" t="str">
        <x:v>hold record</x:v>
      </x:c>
      <x:c r="D3853" s="7" t="str">
        <x:v>RAE-E-43-HP-29</x:v>
      </x:c>
      <x:c r="E3853" s="7" t="str">
        <x:v>Hold Ledger!J1379</x:v>
      </x:c>
      <x:c r="F3853" s="7" t="str">
        <x:f>'Hold Ledger'!J1379</x:f>
        <x:v>OPEN</x:v>
      </x:c>
    </x:row>
    <x:row r="3854">
      <x:c r="B3854" s="7" t="str">
        <x:v>PHY-3848</x:v>
      </x:c>
      <x:c r="C3854" s="7" t="str">
        <x:v>hold record</x:v>
      </x:c>
      <x:c r="D3854" s="7" t="str">
        <x:v>RAE-E-43-HP-30</x:v>
      </x:c>
      <x:c r="E3854" s="7" t="str">
        <x:v>Hold Ledger!J1380</x:v>
      </x:c>
      <x:c r="F3854" s="7" t="str">
        <x:f>'Hold Ledger'!J1380</x:f>
        <x:v>OPEN</x:v>
      </x:c>
    </x:row>
    <x:row r="3855">
      <x:c r="B3855" s="7" t="str">
        <x:v>PHY-3849</x:v>
      </x:c>
      <x:c r="C3855" s="7" t="str">
        <x:v>hold record</x:v>
      </x:c>
      <x:c r="D3855" s="7" t="str">
        <x:v>RAE-E-43-HP-31</x:v>
      </x:c>
      <x:c r="E3855" s="7" t="str">
        <x:v>Hold Ledger!J1381</x:v>
      </x:c>
      <x:c r="F3855" s="7" t="str">
        <x:f>'Hold Ledger'!J1381</x:f>
        <x:v>OPEN</x:v>
      </x:c>
    </x:row>
    <x:row r="3856">
      <x:c r="B3856" s="7" t="str">
        <x:v>PHY-3850</x:v>
      </x:c>
      <x:c r="C3856" s="7" t="str">
        <x:v>hold record</x:v>
      </x:c>
      <x:c r="D3856" s="7" t="str">
        <x:v>RAE-E-43-HP-32</x:v>
      </x:c>
      <x:c r="E3856" s="7" t="str">
        <x:v>Hold Ledger!J1382</x:v>
      </x:c>
      <x:c r="F3856" s="7" t="str">
        <x:f>'Hold Ledger'!J1382</x:f>
        <x:v>OPEN</x:v>
      </x:c>
    </x:row>
    <x:row r="3857">
      <x:c r="B3857" s="7" t="str">
        <x:v>PHY-3851</x:v>
      </x:c>
      <x:c r="C3857" s="7" t="str">
        <x:v>hold record</x:v>
      </x:c>
      <x:c r="D3857" s="7" t="str">
        <x:v>RAE-E-44-HP-01</x:v>
      </x:c>
      <x:c r="E3857" s="7" t="str">
        <x:v>Hold Ledger!J1383</x:v>
      </x:c>
      <x:c r="F3857" s="7" t="str">
        <x:f>'Hold Ledger'!J1383</x:f>
        <x:v>OPEN</x:v>
      </x:c>
    </x:row>
    <x:row r="3858">
      <x:c r="B3858" s="7" t="str">
        <x:v>PHY-3852</x:v>
      </x:c>
      <x:c r="C3858" s="7" t="str">
        <x:v>hold record</x:v>
      </x:c>
      <x:c r="D3858" s="7" t="str">
        <x:v>RAE-E-44-HP-02</x:v>
      </x:c>
      <x:c r="E3858" s="7" t="str">
        <x:v>Hold Ledger!J1384</x:v>
      </x:c>
      <x:c r="F3858" s="7" t="str">
        <x:f>'Hold Ledger'!J1384</x:f>
        <x:v>OPEN</x:v>
      </x:c>
    </x:row>
    <x:row r="3859">
      <x:c r="B3859" s="7" t="str">
        <x:v>PHY-3853</x:v>
      </x:c>
      <x:c r="C3859" s="7" t="str">
        <x:v>hold record</x:v>
      </x:c>
      <x:c r="D3859" s="7" t="str">
        <x:v>RAE-E-44-HP-03</x:v>
      </x:c>
      <x:c r="E3859" s="7" t="str">
        <x:v>Hold Ledger!J1385</x:v>
      </x:c>
      <x:c r="F3859" s="7" t="str">
        <x:f>'Hold Ledger'!J1385</x:f>
        <x:v>OPEN</x:v>
      </x:c>
    </x:row>
    <x:row r="3860">
      <x:c r="B3860" s="7" t="str">
        <x:v>PHY-3854</x:v>
      </x:c>
      <x:c r="C3860" s="7" t="str">
        <x:v>hold record</x:v>
      </x:c>
      <x:c r="D3860" s="7" t="str">
        <x:v>RAE-E-44-HP-04</x:v>
      </x:c>
      <x:c r="E3860" s="7" t="str">
        <x:v>Hold Ledger!J1386</x:v>
      </x:c>
      <x:c r="F3860" s="7" t="str">
        <x:f>'Hold Ledger'!J1386</x:f>
        <x:v>OPEN</x:v>
      </x:c>
    </x:row>
    <x:row r="3861">
      <x:c r="B3861" s="7" t="str">
        <x:v>PHY-3855</x:v>
      </x:c>
      <x:c r="C3861" s="7" t="str">
        <x:v>hold record</x:v>
      </x:c>
      <x:c r="D3861" s="7" t="str">
        <x:v>RAE-E-44-HP-05</x:v>
      </x:c>
      <x:c r="E3861" s="7" t="str">
        <x:v>Hold Ledger!J1387</x:v>
      </x:c>
      <x:c r="F3861" s="7" t="str">
        <x:f>'Hold Ledger'!J1387</x:f>
        <x:v>OPEN</x:v>
      </x:c>
    </x:row>
    <x:row r="3862">
      <x:c r="B3862" s="7" t="str">
        <x:v>PHY-3856</x:v>
      </x:c>
      <x:c r="C3862" s="7" t="str">
        <x:v>hold record</x:v>
      </x:c>
      <x:c r="D3862" s="7" t="str">
        <x:v>RAE-E-44-HP-06</x:v>
      </x:c>
      <x:c r="E3862" s="7" t="str">
        <x:v>Hold Ledger!J1388</x:v>
      </x:c>
      <x:c r="F3862" s="7" t="str">
        <x:f>'Hold Ledger'!J1388</x:f>
        <x:v>OPEN</x:v>
      </x:c>
    </x:row>
    <x:row r="3863">
      <x:c r="B3863" s="7" t="str">
        <x:v>PHY-3857</x:v>
      </x:c>
      <x:c r="C3863" s="7" t="str">
        <x:v>hold record</x:v>
      </x:c>
      <x:c r="D3863" s="7" t="str">
        <x:v>RAE-E-44-HP-07</x:v>
      </x:c>
      <x:c r="E3863" s="7" t="str">
        <x:v>Hold Ledger!J1389</x:v>
      </x:c>
      <x:c r="F3863" s="7" t="str">
        <x:f>'Hold Ledger'!J1389</x:f>
        <x:v>OPEN</x:v>
      </x:c>
    </x:row>
    <x:row r="3864">
      <x:c r="B3864" s="7" t="str">
        <x:v>PHY-3858</x:v>
      </x:c>
      <x:c r="C3864" s="7" t="str">
        <x:v>hold record</x:v>
      </x:c>
      <x:c r="D3864" s="7" t="str">
        <x:v>RAE-E-44-HP-08</x:v>
      </x:c>
      <x:c r="E3864" s="7" t="str">
        <x:v>Hold Ledger!J1390</x:v>
      </x:c>
      <x:c r="F3864" s="7" t="str">
        <x:f>'Hold Ledger'!J1390</x:f>
        <x:v>OPEN</x:v>
      </x:c>
    </x:row>
    <x:row r="3865">
      <x:c r="B3865" s="7" t="str">
        <x:v>PHY-3859</x:v>
      </x:c>
      <x:c r="C3865" s="7" t="str">
        <x:v>hold record</x:v>
      </x:c>
      <x:c r="D3865" s="7" t="str">
        <x:v>RAE-E-44-HP-09</x:v>
      </x:c>
      <x:c r="E3865" s="7" t="str">
        <x:v>Hold Ledger!J1391</x:v>
      </x:c>
      <x:c r="F3865" s="7" t="str">
        <x:f>'Hold Ledger'!J1391</x:f>
        <x:v>OPEN</x:v>
      </x:c>
    </x:row>
    <x:row r="3866">
      <x:c r="B3866" s="7" t="str">
        <x:v>PHY-3860</x:v>
      </x:c>
      <x:c r="C3866" s="7" t="str">
        <x:v>hold record</x:v>
      </x:c>
      <x:c r="D3866" s="7" t="str">
        <x:v>RAE-E-44-HP-10</x:v>
      </x:c>
      <x:c r="E3866" s="7" t="str">
        <x:v>Hold Ledger!J1392</x:v>
      </x:c>
      <x:c r="F3866" s="7" t="str">
        <x:f>'Hold Ledger'!J1392</x:f>
        <x:v>OPEN</x:v>
      </x:c>
    </x:row>
    <x:row r="3867">
      <x:c r="B3867" s="7" t="str">
        <x:v>PHY-3861</x:v>
      </x:c>
      <x:c r="C3867" s="7" t="str">
        <x:v>hold record</x:v>
      </x:c>
      <x:c r="D3867" s="7" t="str">
        <x:v>RAE-E-44-HP-11</x:v>
      </x:c>
      <x:c r="E3867" s="7" t="str">
        <x:v>Hold Ledger!J1393</x:v>
      </x:c>
      <x:c r="F3867" s="7" t="str">
        <x:f>'Hold Ledger'!J1393</x:f>
        <x:v>OPEN</x:v>
      </x:c>
    </x:row>
    <x:row r="3868">
      <x:c r="B3868" s="7" t="str">
        <x:v>PHY-3862</x:v>
      </x:c>
      <x:c r="C3868" s="7" t="str">
        <x:v>hold record</x:v>
      </x:c>
      <x:c r="D3868" s="7" t="str">
        <x:v>RAE-E-44-HP-12</x:v>
      </x:c>
      <x:c r="E3868" s="7" t="str">
        <x:v>Hold Ledger!J1394</x:v>
      </x:c>
      <x:c r="F3868" s="7" t="str">
        <x:f>'Hold Ledger'!J1394</x:f>
        <x:v>OPEN</x:v>
      </x:c>
    </x:row>
    <x:row r="3869">
      <x:c r="B3869" s="7" t="str">
        <x:v>PHY-3863</x:v>
      </x:c>
      <x:c r="C3869" s="7" t="str">
        <x:v>hold record</x:v>
      </x:c>
      <x:c r="D3869" s="7" t="str">
        <x:v>RAE-E-44-HP-13</x:v>
      </x:c>
      <x:c r="E3869" s="7" t="str">
        <x:v>Hold Ledger!J1395</x:v>
      </x:c>
      <x:c r="F3869" s="7" t="str">
        <x:f>'Hold Ledger'!J1395</x:f>
        <x:v>OPEN</x:v>
      </x:c>
    </x:row>
    <x:row r="3870">
      <x:c r="B3870" s="7" t="str">
        <x:v>PHY-3864</x:v>
      </x:c>
      <x:c r="C3870" s="7" t="str">
        <x:v>hold record</x:v>
      </x:c>
      <x:c r="D3870" s="7" t="str">
        <x:v>RAE-E-44-HP-14</x:v>
      </x:c>
      <x:c r="E3870" s="7" t="str">
        <x:v>Hold Ledger!J1396</x:v>
      </x:c>
      <x:c r="F3870" s="7" t="str">
        <x:f>'Hold Ledger'!J1396</x:f>
        <x:v>OPEN</x:v>
      </x:c>
    </x:row>
    <x:row r="3871">
      <x:c r="B3871" s="7" t="str">
        <x:v>PHY-3865</x:v>
      </x:c>
      <x:c r="C3871" s="7" t="str">
        <x:v>hold record</x:v>
      </x:c>
      <x:c r="D3871" s="7" t="str">
        <x:v>RAE-E-44-HP-15</x:v>
      </x:c>
      <x:c r="E3871" s="7" t="str">
        <x:v>Hold Ledger!J1397</x:v>
      </x:c>
      <x:c r="F3871" s="7" t="str">
        <x:f>'Hold Ledger'!J1397</x:f>
        <x:v>OPEN</x:v>
      </x:c>
    </x:row>
    <x:row r="3872">
      <x:c r="B3872" s="7" t="str">
        <x:v>PHY-3866</x:v>
      </x:c>
      <x:c r="C3872" s="7" t="str">
        <x:v>hold record</x:v>
      </x:c>
      <x:c r="D3872" s="7" t="str">
        <x:v>RAE-E-44-HP-16</x:v>
      </x:c>
      <x:c r="E3872" s="7" t="str">
        <x:v>Hold Ledger!J1398</x:v>
      </x:c>
      <x:c r="F3872" s="7" t="str">
        <x:f>'Hold Ledger'!J1398</x:f>
        <x:v>OPEN</x:v>
      </x:c>
    </x:row>
    <x:row r="3873">
      <x:c r="B3873" s="7" t="str">
        <x:v>PHY-3867</x:v>
      </x:c>
      <x:c r="C3873" s="7" t="str">
        <x:v>hold record</x:v>
      </x:c>
      <x:c r="D3873" s="7" t="str">
        <x:v>RAE-E-44-HP-17</x:v>
      </x:c>
      <x:c r="E3873" s="7" t="str">
        <x:v>Hold Ledger!J1399</x:v>
      </x:c>
      <x:c r="F3873" s="7" t="str">
        <x:f>'Hold Ledger'!J1399</x:f>
        <x:v>OPEN</x:v>
      </x:c>
    </x:row>
    <x:row r="3874">
      <x:c r="B3874" s="7" t="str">
        <x:v>PHY-3868</x:v>
      </x:c>
      <x:c r="C3874" s="7" t="str">
        <x:v>hold record</x:v>
      </x:c>
      <x:c r="D3874" s="7" t="str">
        <x:v>RAE-E-44-HP-18</x:v>
      </x:c>
      <x:c r="E3874" s="7" t="str">
        <x:v>Hold Ledger!J1400</x:v>
      </x:c>
      <x:c r="F3874" s="7" t="str">
        <x:f>'Hold Ledger'!J1400</x:f>
        <x:v>OPEN</x:v>
      </x:c>
    </x:row>
    <x:row r="3875">
      <x:c r="B3875" s="7" t="str">
        <x:v>PHY-3869</x:v>
      </x:c>
      <x:c r="C3875" s="7" t="str">
        <x:v>hold record</x:v>
      </x:c>
      <x:c r="D3875" s="7" t="str">
        <x:v>RAE-E-44-HP-19</x:v>
      </x:c>
      <x:c r="E3875" s="7" t="str">
        <x:v>Hold Ledger!J1401</x:v>
      </x:c>
      <x:c r="F3875" s="7" t="str">
        <x:f>'Hold Ledger'!J1401</x:f>
        <x:v>OPEN</x:v>
      </x:c>
    </x:row>
    <x:row r="3876">
      <x:c r="B3876" s="7" t="str">
        <x:v>PHY-3870</x:v>
      </x:c>
      <x:c r="C3876" s="7" t="str">
        <x:v>hold record</x:v>
      </x:c>
      <x:c r="D3876" s="7" t="str">
        <x:v>RAE-E-44-HP-20</x:v>
      </x:c>
      <x:c r="E3876" s="7" t="str">
        <x:v>Hold Ledger!J1402</x:v>
      </x:c>
      <x:c r="F3876" s="7" t="str">
        <x:f>'Hold Ledger'!J1402</x:f>
        <x:v>OPEN</x:v>
      </x:c>
    </x:row>
    <x:row r="3877">
      <x:c r="B3877" s="7" t="str">
        <x:v>PHY-3871</x:v>
      </x:c>
      <x:c r="C3877" s="7" t="str">
        <x:v>hold record</x:v>
      </x:c>
      <x:c r="D3877" s="7" t="str">
        <x:v>RAE-E-44-HP-21</x:v>
      </x:c>
      <x:c r="E3877" s="7" t="str">
        <x:v>Hold Ledger!J1403</x:v>
      </x:c>
      <x:c r="F3877" s="7" t="str">
        <x:f>'Hold Ledger'!J1403</x:f>
        <x:v>OPEN</x:v>
      </x:c>
    </x:row>
    <x:row r="3878">
      <x:c r="B3878" s="7" t="str">
        <x:v>PHY-3872</x:v>
      </x:c>
      <x:c r="C3878" s="7" t="str">
        <x:v>hold record</x:v>
      </x:c>
      <x:c r="D3878" s="7" t="str">
        <x:v>RAE-E-44-HP-22</x:v>
      </x:c>
      <x:c r="E3878" s="7" t="str">
        <x:v>Hold Ledger!J1404</x:v>
      </x:c>
      <x:c r="F3878" s="7" t="str">
        <x:f>'Hold Ledger'!J1404</x:f>
        <x:v>OPEN</x:v>
      </x:c>
    </x:row>
    <x:row r="3879">
      <x:c r="B3879" s="7" t="str">
        <x:v>PHY-3873</x:v>
      </x:c>
      <x:c r="C3879" s="7" t="str">
        <x:v>hold record</x:v>
      </x:c>
      <x:c r="D3879" s="7" t="str">
        <x:v>RAE-E-44-HP-23</x:v>
      </x:c>
      <x:c r="E3879" s="7" t="str">
        <x:v>Hold Ledger!J1405</x:v>
      </x:c>
      <x:c r="F3879" s="7" t="str">
        <x:f>'Hold Ledger'!J1405</x:f>
        <x:v>OPEN</x:v>
      </x:c>
    </x:row>
    <x:row r="3880">
      <x:c r="B3880" s="7" t="str">
        <x:v>PHY-3874</x:v>
      </x:c>
      <x:c r="C3880" s="7" t="str">
        <x:v>hold record</x:v>
      </x:c>
      <x:c r="D3880" s="7" t="str">
        <x:v>RAE-E-44-HP-24</x:v>
      </x:c>
      <x:c r="E3880" s="7" t="str">
        <x:v>Hold Ledger!J1406</x:v>
      </x:c>
      <x:c r="F3880" s="7" t="str">
        <x:f>'Hold Ledger'!J1406</x:f>
        <x:v>OPEN</x:v>
      </x:c>
    </x:row>
    <x:row r="3881">
      <x:c r="B3881" s="7" t="str">
        <x:v>PHY-3875</x:v>
      </x:c>
      <x:c r="C3881" s="7" t="str">
        <x:v>hold record</x:v>
      </x:c>
      <x:c r="D3881" s="7" t="str">
        <x:v>RAE-E-44-HP-25</x:v>
      </x:c>
      <x:c r="E3881" s="7" t="str">
        <x:v>Hold Ledger!J1407</x:v>
      </x:c>
      <x:c r="F3881" s="7" t="str">
        <x:f>'Hold Ledger'!J1407</x:f>
        <x:v>OPEN</x:v>
      </x:c>
    </x:row>
    <x:row r="3882">
      <x:c r="B3882" s="7" t="str">
        <x:v>PHY-3876</x:v>
      </x:c>
      <x:c r="C3882" s="7" t="str">
        <x:v>hold record</x:v>
      </x:c>
      <x:c r="D3882" s="7" t="str">
        <x:v>RAE-E-44-HP-26</x:v>
      </x:c>
      <x:c r="E3882" s="7" t="str">
        <x:v>Hold Ledger!J1408</x:v>
      </x:c>
      <x:c r="F3882" s="7" t="str">
        <x:f>'Hold Ledger'!J1408</x:f>
        <x:v>OPEN</x:v>
      </x:c>
    </x:row>
    <x:row r="3883">
      <x:c r="B3883" s="7" t="str">
        <x:v>PHY-3877</x:v>
      </x:c>
      <x:c r="C3883" s="7" t="str">
        <x:v>hold record</x:v>
      </x:c>
      <x:c r="D3883" s="7" t="str">
        <x:v>RAE-E-44-HP-27</x:v>
      </x:c>
      <x:c r="E3883" s="7" t="str">
        <x:v>Hold Ledger!J1409</x:v>
      </x:c>
      <x:c r="F3883" s="7" t="str">
        <x:f>'Hold Ledger'!J1409</x:f>
        <x:v>OPEN</x:v>
      </x:c>
    </x:row>
    <x:row r="3884">
      <x:c r="B3884" s="7" t="str">
        <x:v>PHY-3878</x:v>
      </x:c>
      <x:c r="C3884" s="7" t="str">
        <x:v>hold record</x:v>
      </x:c>
      <x:c r="D3884" s="7" t="str">
        <x:v>RAE-E-44-HP-28</x:v>
      </x:c>
      <x:c r="E3884" s="7" t="str">
        <x:v>Hold Ledger!J1410</x:v>
      </x:c>
      <x:c r="F3884" s="7" t="str">
        <x:f>'Hold Ledger'!J1410</x:f>
        <x:v>OPEN</x:v>
      </x:c>
    </x:row>
    <x:row r="3885">
      <x:c r="B3885" s="7" t="str">
        <x:v>PHY-3879</x:v>
      </x:c>
      <x:c r="C3885" s="7" t="str">
        <x:v>hold record</x:v>
      </x:c>
      <x:c r="D3885" s="7" t="str">
        <x:v>RAE-E-44-HP-29</x:v>
      </x:c>
      <x:c r="E3885" s="7" t="str">
        <x:v>Hold Ledger!J1411</x:v>
      </x:c>
      <x:c r="F3885" s="7" t="str">
        <x:f>'Hold Ledger'!J1411</x:f>
        <x:v>OPEN</x:v>
      </x:c>
    </x:row>
    <x:row r="3886">
      <x:c r="B3886" s="7" t="str">
        <x:v>PHY-3880</x:v>
      </x:c>
      <x:c r="C3886" s="7" t="str">
        <x:v>hold record</x:v>
      </x:c>
      <x:c r="D3886" s="7" t="str">
        <x:v>RAE-E-44-HP-30</x:v>
      </x:c>
      <x:c r="E3886" s="7" t="str">
        <x:v>Hold Ledger!J1412</x:v>
      </x:c>
      <x:c r="F3886" s="7" t="str">
        <x:f>'Hold Ledger'!J1412</x:f>
        <x:v>OPEN</x:v>
      </x:c>
    </x:row>
    <x:row r="3887">
      <x:c r="B3887" s="7" t="str">
        <x:v>PHY-3881</x:v>
      </x:c>
      <x:c r="C3887" s="7" t="str">
        <x:v>hold record</x:v>
      </x:c>
      <x:c r="D3887" s="7" t="str">
        <x:v>RAE-E-44-HP-31</x:v>
      </x:c>
      <x:c r="E3887" s="7" t="str">
        <x:v>Hold Ledger!J1413</x:v>
      </x:c>
      <x:c r="F3887" s="7" t="str">
        <x:f>'Hold Ledger'!J1413</x:f>
        <x:v>OPEN</x:v>
      </x:c>
    </x:row>
    <x:row r="3888">
      <x:c r="B3888" s="7" t="str">
        <x:v>PHY-3882</x:v>
      </x:c>
      <x:c r="C3888" s="7" t="str">
        <x:v>hold record</x:v>
      </x:c>
      <x:c r="D3888" s="7" t="str">
        <x:v>RAE-E-44-HP-32</x:v>
      </x:c>
      <x:c r="E3888" s="7" t="str">
        <x:v>Hold Ledger!J1414</x:v>
      </x:c>
      <x:c r="F3888" s="7" t="str">
        <x:f>'Hold Ledger'!J1414</x:f>
        <x:v>OPEN</x:v>
      </x:c>
    </x:row>
    <x:row r="3889">
      <x:c r="B3889" s="7" t="str">
        <x:v>PHY-3883</x:v>
      </x:c>
      <x:c r="C3889" s="7" t="str">
        <x:v>hold record</x:v>
      </x:c>
      <x:c r="D3889" s="7" t="str">
        <x:v>RAE-E-45-HP-01</x:v>
      </x:c>
      <x:c r="E3889" s="7" t="str">
        <x:v>Hold Ledger!J1415</x:v>
      </x:c>
      <x:c r="F3889" s="7" t="str">
        <x:f>'Hold Ledger'!J1415</x:f>
        <x:v>OPEN</x:v>
      </x:c>
    </x:row>
    <x:row r="3890">
      <x:c r="B3890" s="7" t="str">
        <x:v>PHY-3884</x:v>
      </x:c>
      <x:c r="C3890" s="7" t="str">
        <x:v>hold record</x:v>
      </x:c>
      <x:c r="D3890" s="7" t="str">
        <x:v>RAE-E-45-HP-02</x:v>
      </x:c>
      <x:c r="E3890" s="7" t="str">
        <x:v>Hold Ledger!J1416</x:v>
      </x:c>
      <x:c r="F3890" s="7" t="str">
        <x:f>'Hold Ledger'!J1416</x:f>
        <x:v>OPEN</x:v>
      </x:c>
    </x:row>
    <x:row r="3891">
      <x:c r="B3891" s="7" t="str">
        <x:v>PHY-3885</x:v>
      </x:c>
      <x:c r="C3891" s="7" t="str">
        <x:v>hold record</x:v>
      </x:c>
      <x:c r="D3891" s="7" t="str">
        <x:v>RAE-E-45-HP-03</x:v>
      </x:c>
      <x:c r="E3891" s="7" t="str">
        <x:v>Hold Ledger!J1417</x:v>
      </x:c>
      <x:c r="F3891" s="7" t="str">
        <x:f>'Hold Ledger'!J1417</x:f>
        <x:v>OPEN</x:v>
      </x:c>
    </x:row>
    <x:row r="3892">
      <x:c r="B3892" s="7" t="str">
        <x:v>PHY-3886</x:v>
      </x:c>
      <x:c r="C3892" s="7" t="str">
        <x:v>hold record</x:v>
      </x:c>
      <x:c r="D3892" s="7" t="str">
        <x:v>RAE-E-45-HP-04</x:v>
      </x:c>
      <x:c r="E3892" s="7" t="str">
        <x:v>Hold Ledger!J1418</x:v>
      </x:c>
      <x:c r="F3892" s="7" t="str">
        <x:f>'Hold Ledger'!J1418</x:f>
        <x:v>OPEN</x:v>
      </x:c>
    </x:row>
    <x:row r="3893">
      <x:c r="B3893" s="7" t="str">
        <x:v>PHY-3887</x:v>
      </x:c>
      <x:c r="C3893" s="7" t="str">
        <x:v>hold record</x:v>
      </x:c>
      <x:c r="D3893" s="7" t="str">
        <x:v>RAE-E-45-HP-05</x:v>
      </x:c>
      <x:c r="E3893" s="7" t="str">
        <x:v>Hold Ledger!J1419</x:v>
      </x:c>
      <x:c r="F3893" s="7" t="str">
        <x:f>'Hold Ledger'!J1419</x:f>
        <x:v>OPEN</x:v>
      </x:c>
    </x:row>
    <x:row r="3894">
      <x:c r="B3894" s="7" t="str">
        <x:v>PHY-3888</x:v>
      </x:c>
      <x:c r="C3894" s="7" t="str">
        <x:v>hold record</x:v>
      </x:c>
      <x:c r="D3894" s="7" t="str">
        <x:v>RAE-E-45-HP-06</x:v>
      </x:c>
      <x:c r="E3894" s="7" t="str">
        <x:v>Hold Ledger!J1420</x:v>
      </x:c>
      <x:c r="F3894" s="7" t="str">
        <x:f>'Hold Ledger'!J1420</x:f>
        <x:v>OPEN</x:v>
      </x:c>
    </x:row>
    <x:row r="3895">
      <x:c r="B3895" s="7" t="str">
        <x:v>PHY-3889</x:v>
      </x:c>
      <x:c r="C3895" s="7" t="str">
        <x:v>hold record</x:v>
      </x:c>
      <x:c r="D3895" s="7" t="str">
        <x:v>RAE-E-45-HP-07</x:v>
      </x:c>
      <x:c r="E3895" s="7" t="str">
        <x:v>Hold Ledger!J1421</x:v>
      </x:c>
      <x:c r="F3895" s="7" t="str">
        <x:f>'Hold Ledger'!J1421</x:f>
        <x:v>OPEN</x:v>
      </x:c>
    </x:row>
    <x:row r="3896">
      <x:c r="B3896" s="7" t="str">
        <x:v>PHY-3890</x:v>
      </x:c>
      <x:c r="C3896" s="7" t="str">
        <x:v>hold record</x:v>
      </x:c>
      <x:c r="D3896" s="7" t="str">
        <x:v>RAE-E-45-HP-08</x:v>
      </x:c>
      <x:c r="E3896" s="7" t="str">
        <x:v>Hold Ledger!J1422</x:v>
      </x:c>
      <x:c r="F3896" s="7" t="str">
        <x:f>'Hold Ledger'!J1422</x:f>
        <x:v>OPEN</x:v>
      </x:c>
    </x:row>
    <x:row r="3897">
      <x:c r="B3897" s="7" t="str">
        <x:v>PHY-3891</x:v>
      </x:c>
      <x:c r="C3897" s="7" t="str">
        <x:v>hold record</x:v>
      </x:c>
      <x:c r="D3897" s="7" t="str">
        <x:v>RAE-E-45-HP-09</x:v>
      </x:c>
      <x:c r="E3897" s="7" t="str">
        <x:v>Hold Ledger!J1423</x:v>
      </x:c>
      <x:c r="F3897" s="7" t="str">
        <x:f>'Hold Ledger'!J1423</x:f>
        <x:v>OPEN</x:v>
      </x:c>
    </x:row>
    <x:row r="3898">
      <x:c r="B3898" s="7" t="str">
        <x:v>PHY-3892</x:v>
      </x:c>
      <x:c r="C3898" s="7" t="str">
        <x:v>hold record</x:v>
      </x:c>
      <x:c r="D3898" s="7" t="str">
        <x:v>RAE-E-45-HP-10</x:v>
      </x:c>
      <x:c r="E3898" s="7" t="str">
        <x:v>Hold Ledger!J1424</x:v>
      </x:c>
      <x:c r="F3898" s="7" t="str">
        <x:f>'Hold Ledger'!J1424</x:f>
        <x:v>OPEN</x:v>
      </x:c>
    </x:row>
    <x:row r="3899">
      <x:c r="B3899" s="7" t="str">
        <x:v>PHY-3893</x:v>
      </x:c>
      <x:c r="C3899" s="7" t="str">
        <x:v>hold record</x:v>
      </x:c>
      <x:c r="D3899" s="7" t="str">
        <x:v>RAE-E-45-HP-11</x:v>
      </x:c>
      <x:c r="E3899" s="7" t="str">
        <x:v>Hold Ledger!J1425</x:v>
      </x:c>
      <x:c r="F3899" s="7" t="str">
        <x:f>'Hold Ledger'!J1425</x:f>
        <x:v>OPEN</x:v>
      </x:c>
    </x:row>
    <x:row r="3900">
      <x:c r="B3900" s="7" t="str">
        <x:v>PHY-3894</x:v>
      </x:c>
      <x:c r="C3900" s="7" t="str">
        <x:v>hold record</x:v>
      </x:c>
      <x:c r="D3900" s="7" t="str">
        <x:v>RAE-E-45-HP-12</x:v>
      </x:c>
      <x:c r="E3900" s="7" t="str">
        <x:v>Hold Ledger!J1426</x:v>
      </x:c>
      <x:c r="F3900" s="7" t="str">
        <x:f>'Hold Ledger'!J1426</x:f>
        <x:v>OPEN</x:v>
      </x:c>
    </x:row>
    <x:row r="3901">
      <x:c r="B3901" s="7" t="str">
        <x:v>PHY-3895</x:v>
      </x:c>
      <x:c r="C3901" s="7" t="str">
        <x:v>hold record</x:v>
      </x:c>
      <x:c r="D3901" s="7" t="str">
        <x:v>RAE-E-45-HP-13</x:v>
      </x:c>
      <x:c r="E3901" s="7" t="str">
        <x:v>Hold Ledger!J1427</x:v>
      </x:c>
      <x:c r="F3901" s="7" t="str">
        <x:f>'Hold Ledger'!J1427</x:f>
        <x:v>OPEN</x:v>
      </x:c>
    </x:row>
    <x:row r="3902">
      <x:c r="B3902" s="7" t="str">
        <x:v>PHY-3896</x:v>
      </x:c>
      <x:c r="C3902" s="7" t="str">
        <x:v>hold record</x:v>
      </x:c>
      <x:c r="D3902" s="7" t="str">
        <x:v>RAE-E-45-HP-14</x:v>
      </x:c>
      <x:c r="E3902" s="7" t="str">
        <x:v>Hold Ledger!J1428</x:v>
      </x:c>
      <x:c r="F3902" s="7" t="str">
        <x:f>'Hold Ledger'!J1428</x:f>
        <x:v>OPEN</x:v>
      </x:c>
    </x:row>
    <x:row r="3903">
      <x:c r="B3903" s="7" t="str">
        <x:v>PHY-3897</x:v>
      </x:c>
      <x:c r="C3903" s="7" t="str">
        <x:v>hold record</x:v>
      </x:c>
      <x:c r="D3903" s="7" t="str">
        <x:v>RAE-E-45-HP-15</x:v>
      </x:c>
      <x:c r="E3903" s="7" t="str">
        <x:v>Hold Ledger!J1429</x:v>
      </x:c>
      <x:c r="F3903" s="7" t="str">
        <x:f>'Hold Ledger'!J1429</x:f>
        <x:v>OPEN</x:v>
      </x:c>
    </x:row>
    <x:row r="3904">
      <x:c r="B3904" s="7" t="str">
        <x:v>PHY-3898</x:v>
      </x:c>
      <x:c r="C3904" s="7" t="str">
        <x:v>hold record</x:v>
      </x:c>
      <x:c r="D3904" s="7" t="str">
        <x:v>RAE-E-45-HP-16</x:v>
      </x:c>
      <x:c r="E3904" s="7" t="str">
        <x:v>Hold Ledger!J1430</x:v>
      </x:c>
      <x:c r="F3904" s="7" t="str">
        <x:f>'Hold Ledger'!J1430</x:f>
        <x:v>OPEN</x:v>
      </x:c>
    </x:row>
    <x:row r="3905">
      <x:c r="B3905" s="7" t="str">
        <x:v>PHY-3899</x:v>
      </x:c>
      <x:c r="C3905" s="7" t="str">
        <x:v>hold record</x:v>
      </x:c>
      <x:c r="D3905" s="7" t="str">
        <x:v>RAE-E-45-HP-17</x:v>
      </x:c>
      <x:c r="E3905" s="7" t="str">
        <x:v>Hold Ledger!J1431</x:v>
      </x:c>
      <x:c r="F3905" s="7" t="str">
        <x:f>'Hold Ledger'!J1431</x:f>
        <x:v>OPEN</x:v>
      </x:c>
    </x:row>
    <x:row r="3906">
      <x:c r="B3906" s="7" t="str">
        <x:v>PHY-3900</x:v>
      </x:c>
      <x:c r="C3906" s="7" t="str">
        <x:v>hold record</x:v>
      </x:c>
      <x:c r="D3906" s="7" t="str">
        <x:v>RAE-E-45-HP-18</x:v>
      </x:c>
      <x:c r="E3906" s="7" t="str">
        <x:v>Hold Ledger!J1432</x:v>
      </x:c>
      <x:c r="F3906" s="7" t="str">
        <x:f>'Hold Ledger'!J1432</x:f>
        <x:v>OPEN</x:v>
      </x:c>
    </x:row>
    <x:row r="3907">
      <x:c r="B3907" s="7" t="str">
        <x:v>PHY-3901</x:v>
      </x:c>
      <x:c r="C3907" s="7" t="str">
        <x:v>hold record</x:v>
      </x:c>
      <x:c r="D3907" s="7" t="str">
        <x:v>RAE-E-45-HP-19</x:v>
      </x:c>
      <x:c r="E3907" s="7" t="str">
        <x:v>Hold Ledger!J1433</x:v>
      </x:c>
      <x:c r="F3907" s="7" t="str">
        <x:f>'Hold Ledger'!J1433</x:f>
        <x:v>OPEN</x:v>
      </x:c>
    </x:row>
    <x:row r="3908">
      <x:c r="B3908" s="7" t="str">
        <x:v>PHY-3902</x:v>
      </x:c>
      <x:c r="C3908" s="7" t="str">
        <x:v>hold record</x:v>
      </x:c>
      <x:c r="D3908" s="7" t="str">
        <x:v>RAE-E-45-HP-20</x:v>
      </x:c>
      <x:c r="E3908" s="7" t="str">
        <x:v>Hold Ledger!J1434</x:v>
      </x:c>
      <x:c r="F3908" s="7" t="str">
        <x:f>'Hold Ledger'!J1434</x:f>
        <x:v>OPEN</x:v>
      </x:c>
    </x:row>
    <x:row r="3909">
      <x:c r="B3909" s="7" t="str">
        <x:v>PHY-3903</x:v>
      </x:c>
      <x:c r="C3909" s="7" t="str">
        <x:v>hold record</x:v>
      </x:c>
      <x:c r="D3909" s="7" t="str">
        <x:v>RAE-E-45-HP-21</x:v>
      </x:c>
      <x:c r="E3909" s="7" t="str">
        <x:v>Hold Ledger!J1435</x:v>
      </x:c>
      <x:c r="F3909" s="7" t="str">
        <x:f>'Hold Ledger'!J1435</x:f>
        <x:v>OPEN</x:v>
      </x:c>
    </x:row>
    <x:row r="3910">
      <x:c r="B3910" s="7" t="str">
        <x:v>PHY-3904</x:v>
      </x:c>
      <x:c r="C3910" s="7" t="str">
        <x:v>hold record</x:v>
      </x:c>
      <x:c r="D3910" s="7" t="str">
        <x:v>RAE-E-45-HP-22</x:v>
      </x:c>
      <x:c r="E3910" s="7" t="str">
        <x:v>Hold Ledger!J1436</x:v>
      </x:c>
      <x:c r="F3910" s="7" t="str">
        <x:f>'Hold Ledger'!J1436</x:f>
        <x:v>OPEN</x:v>
      </x:c>
    </x:row>
    <x:row r="3911">
      <x:c r="B3911" s="7" t="str">
        <x:v>PHY-3905</x:v>
      </x:c>
      <x:c r="C3911" s="7" t="str">
        <x:v>hold record</x:v>
      </x:c>
      <x:c r="D3911" s="7" t="str">
        <x:v>RAE-E-45-HP-23</x:v>
      </x:c>
      <x:c r="E3911" s="7" t="str">
        <x:v>Hold Ledger!J1437</x:v>
      </x:c>
      <x:c r="F3911" s="7" t="str">
        <x:f>'Hold Ledger'!J1437</x:f>
        <x:v>OPEN</x:v>
      </x:c>
    </x:row>
    <x:row r="3912">
      <x:c r="B3912" s="7" t="str">
        <x:v>PHY-3906</x:v>
      </x:c>
      <x:c r="C3912" s="7" t="str">
        <x:v>hold record</x:v>
      </x:c>
      <x:c r="D3912" s="7" t="str">
        <x:v>RAE-E-45-HP-24</x:v>
      </x:c>
      <x:c r="E3912" s="7" t="str">
        <x:v>Hold Ledger!J1438</x:v>
      </x:c>
      <x:c r="F3912" s="7" t="str">
        <x:f>'Hold Ledger'!J1438</x:f>
        <x:v>OPEN</x:v>
      </x:c>
    </x:row>
    <x:row r="3913">
      <x:c r="B3913" s="7" t="str">
        <x:v>PHY-3907</x:v>
      </x:c>
      <x:c r="C3913" s="7" t="str">
        <x:v>hold record</x:v>
      </x:c>
      <x:c r="D3913" s="7" t="str">
        <x:v>RAE-E-45-HP-25</x:v>
      </x:c>
      <x:c r="E3913" s="7" t="str">
        <x:v>Hold Ledger!J1439</x:v>
      </x:c>
      <x:c r="F3913" s="7" t="str">
        <x:f>'Hold Ledger'!J1439</x:f>
        <x:v>OPEN</x:v>
      </x:c>
    </x:row>
    <x:row r="3914">
      <x:c r="B3914" s="7" t="str">
        <x:v>PHY-3908</x:v>
      </x:c>
      <x:c r="C3914" s="7" t="str">
        <x:v>hold record</x:v>
      </x:c>
      <x:c r="D3914" s="7" t="str">
        <x:v>RAE-E-45-HP-26</x:v>
      </x:c>
      <x:c r="E3914" s="7" t="str">
        <x:v>Hold Ledger!J1440</x:v>
      </x:c>
      <x:c r="F3914" s="7" t="str">
        <x:f>'Hold Ledger'!J1440</x:f>
        <x:v>OPEN</x:v>
      </x:c>
    </x:row>
    <x:row r="3915">
      <x:c r="B3915" s="7" t="str">
        <x:v>PHY-3909</x:v>
      </x:c>
      <x:c r="C3915" s="7" t="str">
        <x:v>hold record</x:v>
      </x:c>
      <x:c r="D3915" s="7" t="str">
        <x:v>RAE-E-45-HP-27</x:v>
      </x:c>
      <x:c r="E3915" s="7" t="str">
        <x:v>Hold Ledger!J1441</x:v>
      </x:c>
      <x:c r="F3915" s="7" t="str">
        <x:f>'Hold Ledger'!J1441</x:f>
        <x:v>OPEN</x:v>
      </x:c>
    </x:row>
    <x:row r="3916">
      <x:c r="B3916" s="7" t="str">
        <x:v>PHY-3910</x:v>
      </x:c>
      <x:c r="C3916" s="7" t="str">
        <x:v>hold record</x:v>
      </x:c>
      <x:c r="D3916" s="7" t="str">
        <x:v>RAE-E-45-HP-28</x:v>
      </x:c>
      <x:c r="E3916" s="7" t="str">
        <x:v>Hold Ledger!J1442</x:v>
      </x:c>
      <x:c r="F3916" s="7" t="str">
        <x:f>'Hold Ledger'!J1442</x:f>
        <x:v>OPEN</x:v>
      </x:c>
    </x:row>
    <x:row r="3917">
      <x:c r="B3917" s="7" t="str">
        <x:v>PHY-3911</x:v>
      </x:c>
      <x:c r="C3917" s="7" t="str">
        <x:v>hold record</x:v>
      </x:c>
      <x:c r="D3917" s="7" t="str">
        <x:v>RAE-E-45-HP-29</x:v>
      </x:c>
      <x:c r="E3917" s="7" t="str">
        <x:v>Hold Ledger!J1443</x:v>
      </x:c>
      <x:c r="F3917" s="7" t="str">
        <x:f>'Hold Ledger'!J1443</x:f>
        <x:v>OPEN</x:v>
      </x:c>
    </x:row>
    <x:row r="3918">
      <x:c r="B3918" s="7" t="str">
        <x:v>PHY-3912</x:v>
      </x:c>
      <x:c r="C3918" s="7" t="str">
        <x:v>hold record</x:v>
      </x:c>
      <x:c r="D3918" s="7" t="str">
        <x:v>RAE-E-45-HP-30</x:v>
      </x:c>
      <x:c r="E3918" s="7" t="str">
        <x:v>Hold Ledger!J1444</x:v>
      </x:c>
      <x:c r="F3918" s="7" t="str">
        <x:f>'Hold Ledger'!J1444</x:f>
        <x:v>OPEN</x:v>
      </x:c>
    </x:row>
    <x:row r="3919">
      <x:c r="B3919" s="7" t="str">
        <x:v>PHY-3913</x:v>
      </x:c>
      <x:c r="C3919" s="7" t="str">
        <x:v>hold record</x:v>
      </x:c>
      <x:c r="D3919" s="7" t="str">
        <x:v>RAE-E-45-HP-31</x:v>
      </x:c>
      <x:c r="E3919" s="7" t="str">
        <x:v>Hold Ledger!J1445</x:v>
      </x:c>
      <x:c r="F3919" s="7" t="str">
        <x:f>'Hold Ledger'!J1445</x:f>
        <x:v>OPEN</x:v>
      </x:c>
    </x:row>
    <x:row r="3920">
      <x:c r="B3920" s="7" t="str">
        <x:v>PHY-3914</x:v>
      </x:c>
      <x:c r="C3920" s="7" t="str">
        <x:v>hold record</x:v>
      </x:c>
      <x:c r="D3920" s="7" t="str">
        <x:v>RAE-E-45-HP-32</x:v>
      </x:c>
      <x:c r="E3920" s="7" t="str">
        <x:v>Hold Ledger!J1446</x:v>
      </x:c>
      <x:c r="F3920" s="7" t="str">
        <x:f>'Hold Ledger'!J1446</x:f>
        <x:v>OPEN</x:v>
      </x:c>
    </x:row>
    <x:row r="3921">
      <x:c r="B3921" s="7" t="str">
        <x:v>PHY-3915</x:v>
      </x:c>
      <x:c r="C3921" s="7" t="str">
        <x:v>hold record</x:v>
      </x:c>
      <x:c r="D3921" s="7" t="str">
        <x:v>RAE-E-46-HP-01</x:v>
      </x:c>
      <x:c r="E3921" s="7" t="str">
        <x:v>Hold Ledger!J1447</x:v>
      </x:c>
      <x:c r="F3921" s="7" t="str">
        <x:f>'Hold Ledger'!J1447</x:f>
        <x:v>OPEN</x:v>
      </x:c>
    </x:row>
    <x:row r="3922">
      <x:c r="B3922" s="7" t="str">
        <x:v>PHY-3916</x:v>
      </x:c>
      <x:c r="C3922" s="7" t="str">
        <x:v>hold record</x:v>
      </x:c>
      <x:c r="D3922" s="7" t="str">
        <x:v>RAE-E-46-HP-02</x:v>
      </x:c>
      <x:c r="E3922" s="7" t="str">
        <x:v>Hold Ledger!J1448</x:v>
      </x:c>
      <x:c r="F3922" s="7" t="str">
        <x:f>'Hold Ledger'!J1448</x:f>
        <x:v>OPEN</x:v>
      </x:c>
    </x:row>
    <x:row r="3923">
      <x:c r="B3923" s="7" t="str">
        <x:v>PHY-3917</x:v>
      </x:c>
      <x:c r="C3923" s="7" t="str">
        <x:v>hold record</x:v>
      </x:c>
      <x:c r="D3923" s="7" t="str">
        <x:v>RAE-E-46-HP-03</x:v>
      </x:c>
      <x:c r="E3923" s="7" t="str">
        <x:v>Hold Ledger!J1449</x:v>
      </x:c>
      <x:c r="F3923" s="7" t="str">
        <x:f>'Hold Ledger'!J1449</x:f>
        <x:v>OPEN</x:v>
      </x:c>
    </x:row>
    <x:row r="3924">
      <x:c r="B3924" s="7" t="str">
        <x:v>PHY-3918</x:v>
      </x:c>
      <x:c r="C3924" s="7" t="str">
        <x:v>hold record</x:v>
      </x:c>
      <x:c r="D3924" s="7" t="str">
        <x:v>RAE-E-46-HP-04</x:v>
      </x:c>
      <x:c r="E3924" s="7" t="str">
        <x:v>Hold Ledger!J1450</x:v>
      </x:c>
      <x:c r="F3924" s="7" t="str">
        <x:f>'Hold Ledger'!J1450</x:f>
        <x:v>OPEN</x:v>
      </x:c>
    </x:row>
    <x:row r="3925">
      <x:c r="B3925" s="7" t="str">
        <x:v>PHY-3919</x:v>
      </x:c>
      <x:c r="C3925" s="7" t="str">
        <x:v>hold record</x:v>
      </x:c>
      <x:c r="D3925" s="7" t="str">
        <x:v>RAE-E-46-HP-05</x:v>
      </x:c>
      <x:c r="E3925" s="7" t="str">
        <x:v>Hold Ledger!J1451</x:v>
      </x:c>
      <x:c r="F3925" s="7" t="str">
        <x:f>'Hold Ledger'!J1451</x:f>
        <x:v>OPEN</x:v>
      </x:c>
    </x:row>
    <x:row r="3926">
      <x:c r="B3926" s="7" t="str">
        <x:v>PHY-3920</x:v>
      </x:c>
      <x:c r="C3926" s="7" t="str">
        <x:v>hold record</x:v>
      </x:c>
      <x:c r="D3926" s="7" t="str">
        <x:v>RAE-E-46-HP-06</x:v>
      </x:c>
      <x:c r="E3926" s="7" t="str">
        <x:v>Hold Ledger!J1452</x:v>
      </x:c>
      <x:c r="F3926" s="7" t="str">
        <x:f>'Hold Ledger'!J1452</x:f>
        <x:v>OPEN</x:v>
      </x:c>
    </x:row>
    <x:row r="3927">
      <x:c r="B3927" s="7" t="str">
        <x:v>PHY-3921</x:v>
      </x:c>
      <x:c r="C3927" s="7" t="str">
        <x:v>hold record</x:v>
      </x:c>
      <x:c r="D3927" s="7" t="str">
        <x:v>RAE-E-46-HP-07</x:v>
      </x:c>
      <x:c r="E3927" s="7" t="str">
        <x:v>Hold Ledger!J1453</x:v>
      </x:c>
      <x:c r="F3927" s="7" t="str">
        <x:f>'Hold Ledger'!J1453</x:f>
        <x:v>OPEN</x:v>
      </x:c>
    </x:row>
    <x:row r="3928">
      <x:c r="B3928" s="7" t="str">
        <x:v>PHY-3922</x:v>
      </x:c>
      <x:c r="C3928" s="7" t="str">
        <x:v>hold record</x:v>
      </x:c>
      <x:c r="D3928" s="7" t="str">
        <x:v>RAE-E-46-HP-08</x:v>
      </x:c>
      <x:c r="E3928" s="7" t="str">
        <x:v>Hold Ledger!J1454</x:v>
      </x:c>
      <x:c r="F3928" s="7" t="str">
        <x:f>'Hold Ledger'!J1454</x:f>
        <x:v>OPEN</x:v>
      </x:c>
    </x:row>
    <x:row r="3929">
      <x:c r="B3929" s="7" t="str">
        <x:v>PHY-3923</x:v>
      </x:c>
      <x:c r="C3929" s="7" t="str">
        <x:v>hold record</x:v>
      </x:c>
      <x:c r="D3929" s="7" t="str">
        <x:v>RAE-E-46-HP-09</x:v>
      </x:c>
      <x:c r="E3929" s="7" t="str">
        <x:v>Hold Ledger!J1455</x:v>
      </x:c>
      <x:c r="F3929" s="7" t="str">
        <x:f>'Hold Ledger'!J1455</x:f>
        <x:v>OPEN</x:v>
      </x:c>
    </x:row>
    <x:row r="3930">
      <x:c r="B3930" s="7" t="str">
        <x:v>PHY-3924</x:v>
      </x:c>
      <x:c r="C3930" s="7" t="str">
        <x:v>hold record</x:v>
      </x:c>
      <x:c r="D3930" s="7" t="str">
        <x:v>RAE-E-46-HP-10</x:v>
      </x:c>
      <x:c r="E3930" s="7" t="str">
        <x:v>Hold Ledger!J1456</x:v>
      </x:c>
      <x:c r="F3930" s="7" t="str">
        <x:f>'Hold Ledger'!J1456</x:f>
        <x:v>OPEN</x:v>
      </x:c>
    </x:row>
    <x:row r="3931">
      <x:c r="B3931" s="7" t="str">
        <x:v>PHY-3925</x:v>
      </x:c>
      <x:c r="C3931" s="7" t="str">
        <x:v>hold record</x:v>
      </x:c>
      <x:c r="D3931" s="7" t="str">
        <x:v>RAE-E-46-HP-11</x:v>
      </x:c>
      <x:c r="E3931" s="7" t="str">
        <x:v>Hold Ledger!J1457</x:v>
      </x:c>
      <x:c r="F3931" s="7" t="str">
        <x:f>'Hold Ledger'!J1457</x:f>
        <x:v>OPEN</x:v>
      </x:c>
    </x:row>
    <x:row r="3932">
      <x:c r="B3932" s="7" t="str">
        <x:v>PHY-3926</x:v>
      </x:c>
      <x:c r="C3932" s="7" t="str">
        <x:v>hold record</x:v>
      </x:c>
      <x:c r="D3932" s="7" t="str">
        <x:v>RAE-E-46-HP-12</x:v>
      </x:c>
      <x:c r="E3932" s="7" t="str">
        <x:v>Hold Ledger!J1458</x:v>
      </x:c>
      <x:c r="F3932" s="7" t="str">
        <x:f>'Hold Ledger'!J1458</x:f>
        <x:v>OPEN</x:v>
      </x:c>
    </x:row>
    <x:row r="3933">
      <x:c r="B3933" s="7" t="str">
        <x:v>PHY-3927</x:v>
      </x:c>
      <x:c r="C3933" s="7" t="str">
        <x:v>hold record</x:v>
      </x:c>
      <x:c r="D3933" s="7" t="str">
        <x:v>RAE-E-46-HP-13</x:v>
      </x:c>
      <x:c r="E3933" s="7" t="str">
        <x:v>Hold Ledger!J1459</x:v>
      </x:c>
      <x:c r="F3933" s="7" t="str">
        <x:f>'Hold Ledger'!J1459</x:f>
        <x:v>OPEN</x:v>
      </x:c>
    </x:row>
    <x:row r="3934">
      <x:c r="B3934" s="7" t="str">
        <x:v>PHY-3928</x:v>
      </x:c>
      <x:c r="C3934" s="7" t="str">
        <x:v>hold record</x:v>
      </x:c>
      <x:c r="D3934" s="7" t="str">
        <x:v>RAE-E-46-HP-14</x:v>
      </x:c>
      <x:c r="E3934" s="7" t="str">
        <x:v>Hold Ledger!J1460</x:v>
      </x:c>
      <x:c r="F3934" s="7" t="str">
        <x:f>'Hold Ledger'!J1460</x:f>
        <x:v>OPEN</x:v>
      </x:c>
    </x:row>
    <x:row r="3935">
      <x:c r="B3935" s="7" t="str">
        <x:v>PHY-3929</x:v>
      </x:c>
      <x:c r="C3935" s="7" t="str">
        <x:v>hold record</x:v>
      </x:c>
      <x:c r="D3935" s="7" t="str">
        <x:v>RAE-E-46-HP-15</x:v>
      </x:c>
      <x:c r="E3935" s="7" t="str">
        <x:v>Hold Ledger!J1461</x:v>
      </x:c>
      <x:c r="F3935" s="7" t="str">
        <x:f>'Hold Ledger'!J1461</x:f>
        <x:v>OPEN</x:v>
      </x:c>
    </x:row>
    <x:row r="3936">
      <x:c r="B3936" s="7" t="str">
        <x:v>PHY-3930</x:v>
      </x:c>
      <x:c r="C3936" s="7" t="str">
        <x:v>hold record</x:v>
      </x:c>
      <x:c r="D3936" s="7" t="str">
        <x:v>RAE-E-46-HP-16</x:v>
      </x:c>
      <x:c r="E3936" s="7" t="str">
        <x:v>Hold Ledger!J1462</x:v>
      </x:c>
      <x:c r="F3936" s="7" t="str">
        <x:f>'Hold Ledger'!J1462</x:f>
        <x:v>OPEN</x:v>
      </x:c>
    </x:row>
    <x:row r="3937">
      <x:c r="B3937" s="7" t="str">
        <x:v>PHY-3931</x:v>
      </x:c>
      <x:c r="C3937" s="7" t="str">
        <x:v>hold record</x:v>
      </x:c>
      <x:c r="D3937" s="7" t="str">
        <x:v>RAE-E-46-HP-17</x:v>
      </x:c>
      <x:c r="E3937" s="7" t="str">
        <x:v>Hold Ledger!J1463</x:v>
      </x:c>
      <x:c r="F3937" s="7" t="str">
        <x:f>'Hold Ledger'!J1463</x:f>
        <x:v>OPEN</x:v>
      </x:c>
    </x:row>
    <x:row r="3938">
      <x:c r="B3938" s="7" t="str">
        <x:v>PHY-3932</x:v>
      </x:c>
      <x:c r="C3938" s="7" t="str">
        <x:v>hold record</x:v>
      </x:c>
      <x:c r="D3938" s="7" t="str">
        <x:v>RAE-E-46-HP-18</x:v>
      </x:c>
      <x:c r="E3938" s="7" t="str">
        <x:v>Hold Ledger!J1464</x:v>
      </x:c>
      <x:c r="F3938" s="7" t="str">
        <x:f>'Hold Ledger'!J1464</x:f>
        <x:v>OPEN</x:v>
      </x:c>
    </x:row>
    <x:row r="3939">
      <x:c r="B3939" s="7" t="str">
        <x:v>PHY-3933</x:v>
      </x:c>
      <x:c r="C3939" s="7" t="str">
        <x:v>hold record</x:v>
      </x:c>
      <x:c r="D3939" s="7" t="str">
        <x:v>RAE-E-46-HP-19</x:v>
      </x:c>
      <x:c r="E3939" s="7" t="str">
        <x:v>Hold Ledger!J1465</x:v>
      </x:c>
      <x:c r="F3939" s="7" t="str">
        <x:f>'Hold Ledger'!J1465</x:f>
        <x:v>OPEN</x:v>
      </x:c>
    </x:row>
    <x:row r="3940">
      <x:c r="B3940" s="7" t="str">
        <x:v>PHY-3934</x:v>
      </x:c>
      <x:c r="C3940" s="7" t="str">
        <x:v>hold record</x:v>
      </x:c>
      <x:c r="D3940" s="7" t="str">
        <x:v>RAE-E-46-HP-20</x:v>
      </x:c>
      <x:c r="E3940" s="7" t="str">
        <x:v>Hold Ledger!J1466</x:v>
      </x:c>
      <x:c r="F3940" s="7" t="str">
        <x:f>'Hold Ledger'!J1466</x:f>
        <x:v>OPEN</x:v>
      </x:c>
    </x:row>
    <x:row r="3941">
      <x:c r="B3941" s="7" t="str">
        <x:v>PHY-3935</x:v>
      </x:c>
      <x:c r="C3941" s="7" t="str">
        <x:v>hold record</x:v>
      </x:c>
      <x:c r="D3941" s="7" t="str">
        <x:v>RAE-E-46-HP-21</x:v>
      </x:c>
      <x:c r="E3941" s="7" t="str">
        <x:v>Hold Ledger!J1467</x:v>
      </x:c>
      <x:c r="F3941" s="7" t="str">
        <x:f>'Hold Ledger'!J1467</x:f>
        <x:v>OPEN</x:v>
      </x:c>
    </x:row>
    <x:row r="3942">
      <x:c r="B3942" s="7" t="str">
        <x:v>PHY-3936</x:v>
      </x:c>
      <x:c r="C3942" s="7" t="str">
        <x:v>hold record</x:v>
      </x:c>
      <x:c r="D3942" s="7" t="str">
        <x:v>RAE-E-46-HP-22</x:v>
      </x:c>
      <x:c r="E3942" s="7" t="str">
        <x:v>Hold Ledger!J1468</x:v>
      </x:c>
      <x:c r="F3942" s="7" t="str">
        <x:f>'Hold Ledger'!J1468</x:f>
        <x:v>OPEN</x:v>
      </x:c>
    </x:row>
    <x:row r="3943">
      <x:c r="B3943" s="7" t="str">
        <x:v>PHY-3937</x:v>
      </x:c>
      <x:c r="C3943" s="7" t="str">
        <x:v>hold record</x:v>
      </x:c>
      <x:c r="D3943" s="7" t="str">
        <x:v>RAE-E-46-HP-23</x:v>
      </x:c>
      <x:c r="E3943" s="7" t="str">
        <x:v>Hold Ledger!J1469</x:v>
      </x:c>
      <x:c r="F3943" s="7" t="str">
        <x:f>'Hold Ledger'!J1469</x:f>
        <x:v>OPEN</x:v>
      </x:c>
    </x:row>
    <x:row r="3944">
      <x:c r="B3944" s="7" t="str">
        <x:v>PHY-3938</x:v>
      </x:c>
      <x:c r="C3944" s="7" t="str">
        <x:v>hold record</x:v>
      </x:c>
      <x:c r="D3944" s="7" t="str">
        <x:v>RAE-E-46-HP-24</x:v>
      </x:c>
      <x:c r="E3944" s="7" t="str">
        <x:v>Hold Ledger!J1470</x:v>
      </x:c>
      <x:c r="F3944" s="7" t="str">
        <x:f>'Hold Ledger'!J1470</x:f>
        <x:v>OPEN</x:v>
      </x:c>
    </x:row>
    <x:row r="3945">
      <x:c r="B3945" s="7" t="str">
        <x:v>PHY-3939</x:v>
      </x:c>
      <x:c r="C3945" s="7" t="str">
        <x:v>hold record</x:v>
      </x:c>
      <x:c r="D3945" s="7" t="str">
        <x:v>RAE-E-46-HP-25</x:v>
      </x:c>
      <x:c r="E3945" s="7" t="str">
        <x:v>Hold Ledger!J1471</x:v>
      </x:c>
      <x:c r="F3945" s="7" t="str">
        <x:f>'Hold Ledger'!J1471</x:f>
        <x:v>OPEN</x:v>
      </x:c>
    </x:row>
    <x:row r="3946">
      <x:c r="B3946" s="7" t="str">
        <x:v>PHY-3940</x:v>
      </x:c>
      <x:c r="C3946" s="7" t="str">
        <x:v>hold record</x:v>
      </x:c>
      <x:c r="D3946" s="7" t="str">
        <x:v>RAE-E-46-HP-26</x:v>
      </x:c>
      <x:c r="E3946" s="7" t="str">
        <x:v>Hold Ledger!J1472</x:v>
      </x:c>
      <x:c r="F3946" s="7" t="str">
        <x:f>'Hold Ledger'!J1472</x:f>
        <x:v>OPEN</x:v>
      </x:c>
    </x:row>
    <x:row r="3947">
      <x:c r="B3947" s="7" t="str">
        <x:v>PHY-3941</x:v>
      </x:c>
      <x:c r="C3947" s="7" t="str">
        <x:v>hold record</x:v>
      </x:c>
      <x:c r="D3947" s="7" t="str">
        <x:v>RAE-E-46-HP-27</x:v>
      </x:c>
      <x:c r="E3947" s="7" t="str">
        <x:v>Hold Ledger!J1473</x:v>
      </x:c>
      <x:c r="F3947" s="7" t="str">
        <x:f>'Hold Ledger'!J1473</x:f>
        <x:v>OPEN</x:v>
      </x:c>
    </x:row>
    <x:row r="3948">
      <x:c r="B3948" s="7" t="str">
        <x:v>PHY-3942</x:v>
      </x:c>
      <x:c r="C3948" s="7" t="str">
        <x:v>hold record</x:v>
      </x:c>
      <x:c r="D3948" s="7" t="str">
        <x:v>RAE-E-46-HP-28</x:v>
      </x:c>
      <x:c r="E3948" s="7" t="str">
        <x:v>Hold Ledger!J1474</x:v>
      </x:c>
      <x:c r="F3948" s="7" t="str">
        <x:f>'Hold Ledger'!J1474</x:f>
        <x:v>OPEN</x:v>
      </x:c>
    </x:row>
    <x:row r="3949">
      <x:c r="B3949" s="7" t="str">
        <x:v>PHY-3943</x:v>
      </x:c>
      <x:c r="C3949" s="7" t="str">
        <x:v>hold record</x:v>
      </x:c>
      <x:c r="D3949" s="7" t="str">
        <x:v>RAE-E-46-HP-29</x:v>
      </x:c>
      <x:c r="E3949" s="7" t="str">
        <x:v>Hold Ledger!J1475</x:v>
      </x:c>
      <x:c r="F3949" s="7" t="str">
        <x:f>'Hold Ledger'!J1475</x:f>
        <x:v>OPEN</x:v>
      </x:c>
    </x:row>
    <x:row r="3950">
      <x:c r="B3950" s="7" t="str">
        <x:v>PHY-3944</x:v>
      </x:c>
      <x:c r="C3950" s="7" t="str">
        <x:v>hold record</x:v>
      </x:c>
      <x:c r="D3950" s="7" t="str">
        <x:v>RAE-E-46-HP-30</x:v>
      </x:c>
      <x:c r="E3950" s="7" t="str">
        <x:v>Hold Ledger!J1476</x:v>
      </x:c>
      <x:c r="F3950" s="7" t="str">
        <x:f>'Hold Ledger'!J1476</x:f>
        <x:v>OPEN</x:v>
      </x:c>
    </x:row>
    <x:row r="3951">
      <x:c r="B3951" s="7" t="str">
        <x:v>PHY-3945</x:v>
      </x:c>
      <x:c r="C3951" s="7" t="str">
        <x:v>hold record</x:v>
      </x:c>
      <x:c r="D3951" s="7" t="str">
        <x:v>RAE-E-46-HP-31</x:v>
      </x:c>
      <x:c r="E3951" s="7" t="str">
        <x:v>Hold Ledger!J1477</x:v>
      </x:c>
      <x:c r="F3951" s="7" t="str">
        <x:f>'Hold Ledger'!J1477</x:f>
        <x:v>OPEN</x:v>
      </x:c>
    </x:row>
    <x:row r="3952">
      <x:c r="B3952" s="7" t="str">
        <x:v>PHY-3946</x:v>
      </x:c>
      <x:c r="C3952" s="7" t="str">
        <x:v>hold record</x:v>
      </x:c>
      <x:c r="D3952" s="7" t="str">
        <x:v>RAE-E-46-HP-32</x:v>
      </x:c>
      <x:c r="E3952" s="7" t="str">
        <x:v>Hold Ledger!J1478</x:v>
      </x:c>
      <x:c r="F3952" s="7" t="str">
        <x:f>'Hold Ledger'!J1478</x:f>
        <x:v>OPEN</x:v>
      </x:c>
    </x:row>
    <x:row r="3953">
      <x:c r="B3953" s="7" t="str">
        <x:v>PHY-3947</x:v>
      </x:c>
      <x:c r="C3953" s="7" t="str">
        <x:v>hold record</x:v>
      </x:c>
      <x:c r="D3953" s="7" t="str">
        <x:v>RAE-E-47-HP-01</x:v>
      </x:c>
      <x:c r="E3953" s="7" t="str">
        <x:v>Hold Ledger!J1479</x:v>
      </x:c>
      <x:c r="F3953" s="7" t="str">
        <x:f>'Hold Ledger'!J1479</x:f>
        <x:v>OPEN</x:v>
      </x:c>
    </x:row>
    <x:row r="3954">
      <x:c r="B3954" s="7" t="str">
        <x:v>PHY-3948</x:v>
      </x:c>
      <x:c r="C3954" s="7" t="str">
        <x:v>hold record</x:v>
      </x:c>
      <x:c r="D3954" s="7" t="str">
        <x:v>RAE-E-47-HP-02</x:v>
      </x:c>
      <x:c r="E3954" s="7" t="str">
        <x:v>Hold Ledger!J1480</x:v>
      </x:c>
      <x:c r="F3954" s="7" t="str">
        <x:f>'Hold Ledger'!J1480</x:f>
        <x:v>OPEN</x:v>
      </x:c>
    </x:row>
    <x:row r="3955">
      <x:c r="B3955" s="7" t="str">
        <x:v>PHY-3949</x:v>
      </x:c>
      <x:c r="C3955" s="7" t="str">
        <x:v>hold record</x:v>
      </x:c>
      <x:c r="D3955" s="7" t="str">
        <x:v>RAE-E-47-HP-03</x:v>
      </x:c>
      <x:c r="E3955" s="7" t="str">
        <x:v>Hold Ledger!J1481</x:v>
      </x:c>
      <x:c r="F3955" s="7" t="str">
        <x:f>'Hold Ledger'!J1481</x:f>
        <x:v>OPEN</x:v>
      </x:c>
    </x:row>
    <x:row r="3956">
      <x:c r="B3956" s="7" t="str">
        <x:v>PHY-3950</x:v>
      </x:c>
      <x:c r="C3956" s="7" t="str">
        <x:v>hold record</x:v>
      </x:c>
      <x:c r="D3956" s="7" t="str">
        <x:v>RAE-E-47-HP-04</x:v>
      </x:c>
      <x:c r="E3956" s="7" t="str">
        <x:v>Hold Ledger!J1482</x:v>
      </x:c>
      <x:c r="F3956" s="7" t="str">
        <x:f>'Hold Ledger'!J1482</x:f>
        <x:v>OPEN</x:v>
      </x:c>
    </x:row>
    <x:row r="3957">
      <x:c r="B3957" s="7" t="str">
        <x:v>PHY-3951</x:v>
      </x:c>
      <x:c r="C3957" s="7" t="str">
        <x:v>hold record</x:v>
      </x:c>
      <x:c r="D3957" s="7" t="str">
        <x:v>RAE-E-47-HP-05</x:v>
      </x:c>
      <x:c r="E3957" s="7" t="str">
        <x:v>Hold Ledger!J1483</x:v>
      </x:c>
      <x:c r="F3957" s="7" t="str">
        <x:f>'Hold Ledger'!J1483</x:f>
        <x:v>OPEN</x:v>
      </x:c>
    </x:row>
    <x:row r="3958">
      <x:c r="B3958" s="7" t="str">
        <x:v>PHY-3952</x:v>
      </x:c>
      <x:c r="C3958" s="7" t="str">
        <x:v>hold record</x:v>
      </x:c>
      <x:c r="D3958" s="7" t="str">
        <x:v>RAE-E-47-HP-06</x:v>
      </x:c>
      <x:c r="E3958" s="7" t="str">
        <x:v>Hold Ledger!J1484</x:v>
      </x:c>
      <x:c r="F3958" s="7" t="str">
        <x:f>'Hold Ledger'!J1484</x:f>
        <x:v>OPEN</x:v>
      </x:c>
    </x:row>
    <x:row r="3959">
      <x:c r="B3959" s="7" t="str">
        <x:v>PHY-3953</x:v>
      </x:c>
      <x:c r="C3959" s="7" t="str">
        <x:v>hold record</x:v>
      </x:c>
      <x:c r="D3959" s="7" t="str">
        <x:v>RAE-E-47-HP-07</x:v>
      </x:c>
      <x:c r="E3959" s="7" t="str">
        <x:v>Hold Ledger!J1485</x:v>
      </x:c>
      <x:c r="F3959" s="7" t="str">
        <x:f>'Hold Ledger'!J1485</x:f>
        <x:v>OPEN</x:v>
      </x:c>
    </x:row>
    <x:row r="3960">
      <x:c r="B3960" s="7" t="str">
        <x:v>PHY-3954</x:v>
      </x:c>
      <x:c r="C3960" s="7" t="str">
        <x:v>hold record</x:v>
      </x:c>
      <x:c r="D3960" s="7" t="str">
        <x:v>RAE-E-47-HP-08</x:v>
      </x:c>
      <x:c r="E3960" s="7" t="str">
        <x:v>Hold Ledger!J1486</x:v>
      </x:c>
      <x:c r="F3960" s="7" t="str">
        <x:f>'Hold Ledger'!J1486</x:f>
        <x:v>OPEN</x:v>
      </x:c>
    </x:row>
    <x:row r="3961">
      <x:c r="B3961" s="7" t="str">
        <x:v>PHY-3955</x:v>
      </x:c>
      <x:c r="C3961" s="7" t="str">
        <x:v>hold record</x:v>
      </x:c>
      <x:c r="D3961" s="7" t="str">
        <x:v>RAE-E-47-HP-09</x:v>
      </x:c>
      <x:c r="E3961" s="7" t="str">
        <x:v>Hold Ledger!J1487</x:v>
      </x:c>
      <x:c r="F3961" s="7" t="str">
        <x:f>'Hold Ledger'!J1487</x:f>
        <x:v>OPEN</x:v>
      </x:c>
    </x:row>
    <x:row r="3962">
      <x:c r="B3962" s="7" t="str">
        <x:v>PHY-3956</x:v>
      </x:c>
      <x:c r="C3962" s="7" t="str">
        <x:v>hold record</x:v>
      </x:c>
      <x:c r="D3962" s="7" t="str">
        <x:v>RAE-E-47-HP-10</x:v>
      </x:c>
      <x:c r="E3962" s="7" t="str">
        <x:v>Hold Ledger!J1488</x:v>
      </x:c>
      <x:c r="F3962" s="7" t="str">
        <x:f>'Hold Ledger'!J1488</x:f>
        <x:v>OPEN</x:v>
      </x:c>
    </x:row>
    <x:row r="3963">
      <x:c r="B3963" s="7" t="str">
        <x:v>PHY-3957</x:v>
      </x:c>
      <x:c r="C3963" s="7" t="str">
        <x:v>hold record</x:v>
      </x:c>
      <x:c r="D3963" s="7" t="str">
        <x:v>RAE-E-47-HP-11</x:v>
      </x:c>
      <x:c r="E3963" s="7" t="str">
        <x:v>Hold Ledger!J1489</x:v>
      </x:c>
      <x:c r="F3963" s="7" t="str">
        <x:f>'Hold Ledger'!J1489</x:f>
        <x:v>OPEN</x:v>
      </x:c>
    </x:row>
    <x:row r="3964">
      <x:c r="B3964" s="7" t="str">
        <x:v>PHY-3958</x:v>
      </x:c>
      <x:c r="C3964" s="7" t="str">
        <x:v>hold record</x:v>
      </x:c>
      <x:c r="D3964" s="7" t="str">
        <x:v>RAE-E-47-HP-12</x:v>
      </x:c>
      <x:c r="E3964" s="7" t="str">
        <x:v>Hold Ledger!J1490</x:v>
      </x:c>
      <x:c r="F3964" s="7" t="str">
        <x:f>'Hold Ledger'!J1490</x:f>
        <x:v>OPEN</x:v>
      </x:c>
    </x:row>
    <x:row r="3965">
      <x:c r="B3965" s="7" t="str">
        <x:v>PHY-3959</x:v>
      </x:c>
      <x:c r="C3965" s="7" t="str">
        <x:v>hold record</x:v>
      </x:c>
      <x:c r="D3965" s="7" t="str">
        <x:v>RAE-E-47-HP-13</x:v>
      </x:c>
      <x:c r="E3965" s="7" t="str">
        <x:v>Hold Ledger!J1491</x:v>
      </x:c>
      <x:c r="F3965" s="7" t="str">
        <x:f>'Hold Ledger'!J1491</x:f>
        <x:v>OPEN</x:v>
      </x:c>
    </x:row>
    <x:row r="3966">
      <x:c r="B3966" s="7" t="str">
        <x:v>PHY-3960</x:v>
      </x:c>
      <x:c r="C3966" s="7" t="str">
        <x:v>hold record</x:v>
      </x:c>
      <x:c r="D3966" s="7" t="str">
        <x:v>RAE-E-47-HP-14</x:v>
      </x:c>
      <x:c r="E3966" s="7" t="str">
        <x:v>Hold Ledger!J1492</x:v>
      </x:c>
      <x:c r="F3966" s="7" t="str">
        <x:f>'Hold Ledger'!J1492</x:f>
        <x:v>OPEN</x:v>
      </x:c>
    </x:row>
    <x:row r="3967">
      <x:c r="B3967" s="7" t="str">
        <x:v>PHY-3961</x:v>
      </x:c>
      <x:c r="C3967" s="7" t="str">
        <x:v>hold record</x:v>
      </x:c>
      <x:c r="D3967" s="7" t="str">
        <x:v>RAE-E-47-HP-15</x:v>
      </x:c>
      <x:c r="E3967" s="7" t="str">
        <x:v>Hold Ledger!J1493</x:v>
      </x:c>
      <x:c r="F3967" s="7" t="str">
        <x:f>'Hold Ledger'!J1493</x:f>
        <x:v>OPEN</x:v>
      </x:c>
    </x:row>
    <x:row r="3968">
      <x:c r="B3968" s="7" t="str">
        <x:v>PHY-3962</x:v>
      </x:c>
      <x:c r="C3968" s="7" t="str">
        <x:v>hold record</x:v>
      </x:c>
      <x:c r="D3968" s="7" t="str">
        <x:v>RAE-E-47-HP-16</x:v>
      </x:c>
      <x:c r="E3968" s="7" t="str">
        <x:v>Hold Ledger!J1494</x:v>
      </x:c>
      <x:c r="F3968" s="7" t="str">
        <x:f>'Hold Ledger'!J1494</x:f>
        <x:v>OPEN</x:v>
      </x:c>
    </x:row>
    <x:row r="3969">
      <x:c r="B3969" s="7" t="str">
        <x:v>PHY-3963</x:v>
      </x:c>
      <x:c r="C3969" s="7" t="str">
        <x:v>hold record</x:v>
      </x:c>
      <x:c r="D3969" s="7" t="str">
        <x:v>RAE-E-47-HP-17</x:v>
      </x:c>
      <x:c r="E3969" s="7" t="str">
        <x:v>Hold Ledger!J1495</x:v>
      </x:c>
      <x:c r="F3969" s="7" t="str">
        <x:f>'Hold Ledger'!J1495</x:f>
        <x:v>OPEN</x:v>
      </x:c>
    </x:row>
    <x:row r="3970">
      <x:c r="B3970" s="7" t="str">
        <x:v>PHY-3964</x:v>
      </x:c>
      <x:c r="C3970" s="7" t="str">
        <x:v>hold record</x:v>
      </x:c>
      <x:c r="D3970" s="7" t="str">
        <x:v>RAE-E-47-HP-18</x:v>
      </x:c>
      <x:c r="E3970" s="7" t="str">
        <x:v>Hold Ledger!J1496</x:v>
      </x:c>
      <x:c r="F3970" s="7" t="str">
        <x:f>'Hold Ledger'!J1496</x:f>
        <x:v>OPEN</x:v>
      </x:c>
    </x:row>
    <x:row r="3971">
      <x:c r="B3971" s="7" t="str">
        <x:v>PHY-3965</x:v>
      </x:c>
      <x:c r="C3971" s="7" t="str">
        <x:v>hold record</x:v>
      </x:c>
      <x:c r="D3971" s="7" t="str">
        <x:v>RAE-E-47-HP-19</x:v>
      </x:c>
      <x:c r="E3971" s="7" t="str">
        <x:v>Hold Ledger!J1497</x:v>
      </x:c>
      <x:c r="F3971" s="7" t="str">
        <x:f>'Hold Ledger'!J1497</x:f>
        <x:v>OPEN</x:v>
      </x:c>
    </x:row>
    <x:row r="3972">
      <x:c r="B3972" s="7" t="str">
        <x:v>PHY-3966</x:v>
      </x:c>
      <x:c r="C3972" s="7" t="str">
        <x:v>hold record</x:v>
      </x:c>
      <x:c r="D3972" s="7" t="str">
        <x:v>RAE-E-47-HP-20</x:v>
      </x:c>
      <x:c r="E3972" s="7" t="str">
        <x:v>Hold Ledger!J1498</x:v>
      </x:c>
      <x:c r="F3972" s="7" t="str">
        <x:f>'Hold Ledger'!J1498</x:f>
        <x:v>OPEN</x:v>
      </x:c>
    </x:row>
    <x:row r="3973">
      <x:c r="B3973" s="7" t="str">
        <x:v>PHY-3967</x:v>
      </x:c>
      <x:c r="C3973" s="7" t="str">
        <x:v>hold record</x:v>
      </x:c>
      <x:c r="D3973" s="7" t="str">
        <x:v>RAE-E-47-HP-21</x:v>
      </x:c>
      <x:c r="E3973" s="7" t="str">
        <x:v>Hold Ledger!J1499</x:v>
      </x:c>
      <x:c r="F3973" s="7" t="str">
        <x:f>'Hold Ledger'!J1499</x:f>
        <x:v>OPEN</x:v>
      </x:c>
    </x:row>
    <x:row r="3974">
      <x:c r="B3974" s="7" t="str">
        <x:v>PHY-3968</x:v>
      </x:c>
      <x:c r="C3974" s="7" t="str">
        <x:v>hold record</x:v>
      </x:c>
      <x:c r="D3974" s="7" t="str">
        <x:v>RAE-E-47-HP-22</x:v>
      </x:c>
      <x:c r="E3974" s="7" t="str">
        <x:v>Hold Ledger!J1500</x:v>
      </x:c>
      <x:c r="F3974" s="7" t="str">
        <x:f>'Hold Ledger'!J1500</x:f>
        <x:v>OPEN</x:v>
      </x:c>
    </x:row>
    <x:row r="3975">
      <x:c r="B3975" s="7" t="str">
        <x:v>PHY-3969</x:v>
      </x:c>
      <x:c r="C3975" s="7" t="str">
        <x:v>hold record</x:v>
      </x:c>
      <x:c r="D3975" s="7" t="str">
        <x:v>RAE-E-47-HP-23</x:v>
      </x:c>
      <x:c r="E3975" s="7" t="str">
        <x:v>Hold Ledger!J1501</x:v>
      </x:c>
      <x:c r="F3975" s="7" t="str">
        <x:f>'Hold Ledger'!J1501</x:f>
        <x:v>OPEN</x:v>
      </x:c>
    </x:row>
    <x:row r="3976">
      <x:c r="B3976" s="7" t="str">
        <x:v>PHY-3970</x:v>
      </x:c>
      <x:c r="C3976" s="7" t="str">
        <x:v>hold record</x:v>
      </x:c>
      <x:c r="D3976" s="7" t="str">
        <x:v>RAE-E-47-HP-24</x:v>
      </x:c>
      <x:c r="E3976" s="7" t="str">
        <x:v>Hold Ledger!J1502</x:v>
      </x:c>
      <x:c r="F3976" s="7" t="str">
        <x:f>'Hold Ledger'!J1502</x:f>
        <x:v>OPEN</x:v>
      </x:c>
    </x:row>
    <x:row r="3977">
      <x:c r="B3977" s="7" t="str">
        <x:v>PHY-3971</x:v>
      </x:c>
      <x:c r="C3977" s="7" t="str">
        <x:v>hold record</x:v>
      </x:c>
      <x:c r="D3977" s="7" t="str">
        <x:v>RAE-E-47-HP-25</x:v>
      </x:c>
      <x:c r="E3977" s="7" t="str">
        <x:v>Hold Ledger!J1503</x:v>
      </x:c>
      <x:c r="F3977" s="7" t="str">
        <x:f>'Hold Ledger'!J1503</x:f>
        <x:v>OPEN</x:v>
      </x:c>
    </x:row>
    <x:row r="3978">
      <x:c r="B3978" s="7" t="str">
        <x:v>PHY-3972</x:v>
      </x:c>
      <x:c r="C3978" s="7" t="str">
        <x:v>hold record</x:v>
      </x:c>
      <x:c r="D3978" s="7" t="str">
        <x:v>RAE-E-47-HP-26</x:v>
      </x:c>
      <x:c r="E3978" s="7" t="str">
        <x:v>Hold Ledger!J1504</x:v>
      </x:c>
      <x:c r="F3978" s="7" t="str">
        <x:f>'Hold Ledger'!J1504</x:f>
        <x:v>OPEN</x:v>
      </x:c>
    </x:row>
    <x:row r="3979">
      <x:c r="B3979" s="7" t="str">
        <x:v>PHY-3973</x:v>
      </x:c>
      <x:c r="C3979" s="7" t="str">
        <x:v>hold record</x:v>
      </x:c>
      <x:c r="D3979" s="7" t="str">
        <x:v>RAE-E-47-HP-27</x:v>
      </x:c>
      <x:c r="E3979" s="7" t="str">
        <x:v>Hold Ledger!J1505</x:v>
      </x:c>
      <x:c r="F3979" s="7" t="str">
        <x:f>'Hold Ledger'!J1505</x:f>
        <x:v>OPEN</x:v>
      </x:c>
    </x:row>
    <x:row r="3980">
      <x:c r="B3980" s="7" t="str">
        <x:v>PHY-3974</x:v>
      </x:c>
      <x:c r="C3980" s="7" t="str">
        <x:v>hold record</x:v>
      </x:c>
      <x:c r="D3980" s="7" t="str">
        <x:v>RAE-E-47-HP-28</x:v>
      </x:c>
      <x:c r="E3980" s="7" t="str">
        <x:v>Hold Ledger!J1506</x:v>
      </x:c>
      <x:c r="F3980" s="7" t="str">
        <x:f>'Hold Ledger'!J1506</x:f>
        <x:v>OPEN</x:v>
      </x:c>
    </x:row>
    <x:row r="3981">
      <x:c r="B3981" s="7" t="str">
        <x:v>PHY-3975</x:v>
      </x:c>
      <x:c r="C3981" s="7" t="str">
        <x:v>hold record</x:v>
      </x:c>
      <x:c r="D3981" s="7" t="str">
        <x:v>RAE-E-47-HP-29</x:v>
      </x:c>
      <x:c r="E3981" s="7" t="str">
        <x:v>Hold Ledger!J1507</x:v>
      </x:c>
      <x:c r="F3981" s="7" t="str">
        <x:f>'Hold Ledger'!J1507</x:f>
        <x:v>OPEN</x:v>
      </x:c>
    </x:row>
    <x:row r="3982">
      <x:c r="B3982" s="7" t="str">
        <x:v>PHY-3976</x:v>
      </x:c>
      <x:c r="C3982" s="7" t="str">
        <x:v>hold record</x:v>
      </x:c>
      <x:c r="D3982" s="7" t="str">
        <x:v>RAE-E-47-HP-30</x:v>
      </x:c>
      <x:c r="E3982" s="7" t="str">
        <x:v>Hold Ledger!J1508</x:v>
      </x:c>
      <x:c r="F3982" s="7" t="str">
        <x:f>'Hold Ledger'!J1508</x:f>
        <x:v>OPEN</x:v>
      </x:c>
    </x:row>
    <x:row r="3983">
      <x:c r="B3983" s="7" t="str">
        <x:v>PHY-3977</x:v>
      </x:c>
      <x:c r="C3983" s="7" t="str">
        <x:v>hold record</x:v>
      </x:c>
      <x:c r="D3983" s="7" t="str">
        <x:v>RAE-E-47-HP-31</x:v>
      </x:c>
      <x:c r="E3983" s="7" t="str">
        <x:v>Hold Ledger!J1509</x:v>
      </x:c>
      <x:c r="F3983" s="7" t="str">
        <x:f>'Hold Ledger'!J1509</x:f>
        <x:v>OPEN</x:v>
      </x:c>
    </x:row>
    <x:row r="3984">
      <x:c r="B3984" s="7" t="str">
        <x:v>PHY-3978</x:v>
      </x:c>
      <x:c r="C3984" s="7" t="str">
        <x:v>hold record</x:v>
      </x:c>
      <x:c r="D3984" s="7" t="str">
        <x:v>RAE-E-47-HP-32</x:v>
      </x:c>
      <x:c r="E3984" s="7" t="str">
        <x:v>Hold Ledger!J1510</x:v>
      </x:c>
      <x:c r="F3984" s="7" t="str">
        <x:f>'Hold Ledger'!J1510</x:f>
        <x:v>OPEN</x:v>
      </x:c>
    </x:row>
    <x:row r="3985">
      <x:c r="B3985" s="7" t="str">
        <x:v>PHY-3979</x:v>
      </x:c>
      <x:c r="C3985" s="7" t="str">
        <x:v>hold record</x:v>
      </x:c>
      <x:c r="D3985" s="7" t="str">
        <x:v>RAE-E-48-HP-01</x:v>
      </x:c>
      <x:c r="E3985" s="7" t="str">
        <x:v>Hold Ledger!J1511</x:v>
      </x:c>
      <x:c r="F3985" s="7" t="str">
        <x:f>'Hold Ledger'!J1511</x:f>
        <x:v>OPEN</x:v>
      </x:c>
    </x:row>
    <x:row r="3986">
      <x:c r="B3986" s="7" t="str">
        <x:v>PHY-3980</x:v>
      </x:c>
      <x:c r="C3986" s="7" t="str">
        <x:v>hold record</x:v>
      </x:c>
      <x:c r="D3986" s="7" t="str">
        <x:v>RAE-E-48-HP-02</x:v>
      </x:c>
      <x:c r="E3986" s="7" t="str">
        <x:v>Hold Ledger!J1512</x:v>
      </x:c>
      <x:c r="F3986" s="7" t="str">
        <x:f>'Hold Ledger'!J1512</x:f>
        <x:v>OPEN</x:v>
      </x:c>
    </x:row>
    <x:row r="3987">
      <x:c r="B3987" s="7" t="str">
        <x:v>PHY-3981</x:v>
      </x:c>
      <x:c r="C3987" s="7" t="str">
        <x:v>hold record</x:v>
      </x:c>
      <x:c r="D3987" s="7" t="str">
        <x:v>RAE-E-48-HP-03</x:v>
      </x:c>
      <x:c r="E3987" s="7" t="str">
        <x:v>Hold Ledger!J1513</x:v>
      </x:c>
      <x:c r="F3987" s="7" t="str">
        <x:f>'Hold Ledger'!J1513</x:f>
        <x:v>OPEN</x:v>
      </x:c>
    </x:row>
    <x:row r="3988">
      <x:c r="B3988" s="7" t="str">
        <x:v>PHY-3982</x:v>
      </x:c>
      <x:c r="C3988" s="7" t="str">
        <x:v>hold record</x:v>
      </x:c>
      <x:c r="D3988" s="7" t="str">
        <x:v>RAE-E-48-HP-04</x:v>
      </x:c>
      <x:c r="E3988" s="7" t="str">
        <x:v>Hold Ledger!J1514</x:v>
      </x:c>
      <x:c r="F3988" s="7" t="str">
        <x:f>'Hold Ledger'!J1514</x:f>
        <x:v>OPEN</x:v>
      </x:c>
    </x:row>
    <x:row r="3989">
      <x:c r="B3989" s="7" t="str">
        <x:v>PHY-3983</x:v>
      </x:c>
      <x:c r="C3989" s="7" t="str">
        <x:v>hold record</x:v>
      </x:c>
      <x:c r="D3989" s="7" t="str">
        <x:v>RAE-E-48-HP-05</x:v>
      </x:c>
      <x:c r="E3989" s="7" t="str">
        <x:v>Hold Ledger!J1515</x:v>
      </x:c>
      <x:c r="F3989" s="7" t="str">
        <x:f>'Hold Ledger'!J1515</x:f>
        <x:v>OPEN</x:v>
      </x:c>
    </x:row>
    <x:row r="3990">
      <x:c r="B3990" s="7" t="str">
        <x:v>PHY-3984</x:v>
      </x:c>
      <x:c r="C3990" s="7" t="str">
        <x:v>hold record</x:v>
      </x:c>
      <x:c r="D3990" s="7" t="str">
        <x:v>RAE-E-48-HP-06</x:v>
      </x:c>
      <x:c r="E3990" s="7" t="str">
        <x:v>Hold Ledger!J1516</x:v>
      </x:c>
      <x:c r="F3990" s="7" t="str">
        <x:f>'Hold Ledger'!J1516</x:f>
        <x:v>OPEN</x:v>
      </x:c>
    </x:row>
    <x:row r="3991">
      <x:c r="B3991" s="7" t="str">
        <x:v>PHY-3985</x:v>
      </x:c>
      <x:c r="C3991" s="7" t="str">
        <x:v>hold record</x:v>
      </x:c>
      <x:c r="D3991" s="7" t="str">
        <x:v>RAE-E-48-HP-07</x:v>
      </x:c>
      <x:c r="E3991" s="7" t="str">
        <x:v>Hold Ledger!J1517</x:v>
      </x:c>
      <x:c r="F3991" s="7" t="str">
        <x:f>'Hold Ledger'!J1517</x:f>
        <x:v>OPEN</x:v>
      </x:c>
    </x:row>
    <x:row r="3992">
      <x:c r="B3992" s="7" t="str">
        <x:v>PHY-3986</x:v>
      </x:c>
      <x:c r="C3992" s="7" t="str">
        <x:v>hold record</x:v>
      </x:c>
      <x:c r="D3992" s="7" t="str">
        <x:v>RAE-E-48-HP-08</x:v>
      </x:c>
      <x:c r="E3992" s="7" t="str">
        <x:v>Hold Ledger!J1518</x:v>
      </x:c>
      <x:c r="F3992" s="7" t="str">
        <x:f>'Hold Ledger'!J1518</x:f>
        <x:v>OPEN</x:v>
      </x:c>
    </x:row>
    <x:row r="3993">
      <x:c r="B3993" s="7" t="str">
        <x:v>PHY-3987</x:v>
      </x:c>
      <x:c r="C3993" s="7" t="str">
        <x:v>hold record</x:v>
      </x:c>
      <x:c r="D3993" s="7" t="str">
        <x:v>RAE-E-48-HP-09</x:v>
      </x:c>
      <x:c r="E3993" s="7" t="str">
        <x:v>Hold Ledger!J1519</x:v>
      </x:c>
      <x:c r="F3993" s="7" t="str">
        <x:f>'Hold Ledger'!J1519</x:f>
        <x:v>OPEN</x:v>
      </x:c>
    </x:row>
    <x:row r="3994">
      <x:c r="B3994" s="7" t="str">
        <x:v>PHY-3988</x:v>
      </x:c>
      <x:c r="C3994" s="7" t="str">
        <x:v>hold record</x:v>
      </x:c>
      <x:c r="D3994" s="7" t="str">
        <x:v>RAE-E-48-HP-10</x:v>
      </x:c>
      <x:c r="E3994" s="7" t="str">
        <x:v>Hold Ledger!J1520</x:v>
      </x:c>
      <x:c r="F3994" s="7" t="str">
        <x:f>'Hold Ledger'!J1520</x:f>
        <x:v>OPEN</x:v>
      </x:c>
    </x:row>
    <x:row r="3995">
      <x:c r="B3995" s="7" t="str">
        <x:v>PHY-3989</x:v>
      </x:c>
      <x:c r="C3995" s="7" t="str">
        <x:v>hold record</x:v>
      </x:c>
      <x:c r="D3995" s="7" t="str">
        <x:v>RAE-E-48-HP-11</x:v>
      </x:c>
      <x:c r="E3995" s="7" t="str">
        <x:v>Hold Ledger!J1521</x:v>
      </x:c>
      <x:c r="F3995" s="7" t="str">
        <x:f>'Hold Ledger'!J1521</x:f>
        <x:v>OPEN</x:v>
      </x:c>
    </x:row>
    <x:row r="3996">
      <x:c r="B3996" s="7" t="str">
        <x:v>PHY-3990</x:v>
      </x:c>
      <x:c r="C3996" s="7" t="str">
        <x:v>hold record</x:v>
      </x:c>
      <x:c r="D3996" s="7" t="str">
        <x:v>RAE-E-48-HP-12</x:v>
      </x:c>
      <x:c r="E3996" s="7" t="str">
        <x:v>Hold Ledger!J1522</x:v>
      </x:c>
      <x:c r="F3996" s="7" t="str">
        <x:f>'Hold Ledger'!J1522</x:f>
        <x:v>OPEN</x:v>
      </x:c>
    </x:row>
    <x:row r="3997">
      <x:c r="B3997" s="7" t="str">
        <x:v>PHY-3991</x:v>
      </x:c>
      <x:c r="C3997" s="7" t="str">
        <x:v>hold record</x:v>
      </x:c>
      <x:c r="D3997" s="7" t="str">
        <x:v>RAE-E-48-HP-13</x:v>
      </x:c>
      <x:c r="E3997" s="7" t="str">
        <x:v>Hold Ledger!J1523</x:v>
      </x:c>
      <x:c r="F3997" s="7" t="str">
        <x:f>'Hold Ledger'!J1523</x:f>
        <x:v>OPEN</x:v>
      </x:c>
    </x:row>
    <x:row r="3998">
      <x:c r="B3998" s="7" t="str">
        <x:v>PHY-3992</x:v>
      </x:c>
      <x:c r="C3998" s="7" t="str">
        <x:v>hold record</x:v>
      </x:c>
      <x:c r="D3998" s="7" t="str">
        <x:v>RAE-E-48-HP-14</x:v>
      </x:c>
      <x:c r="E3998" s="7" t="str">
        <x:v>Hold Ledger!J1524</x:v>
      </x:c>
      <x:c r="F3998" s="7" t="str">
        <x:f>'Hold Ledger'!J1524</x:f>
        <x:v>OPEN</x:v>
      </x:c>
    </x:row>
    <x:row r="3999">
      <x:c r="B3999" s="7" t="str">
        <x:v>PHY-3993</x:v>
      </x:c>
      <x:c r="C3999" s="7" t="str">
        <x:v>hold record</x:v>
      </x:c>
      <x:c r="D3999" s="7" t="str">
        <x:v>RAE-E-48-HP-15</x:v>
      </x:c>
      <x:c r="E3999" s="7" t="str">
        <x:v>Hold Ledger!J1525</x:v>
      </x:c>
      <x:c r="F3999" s="7" t="str">
        <x:f>'Hold Ledger'!J1525</x:f>
        <x:v>OPEN</x:v>
      </x:c>
    </x:row>
    <x:row r="4000">
      <x:c r="B4000" s="7" t="str">
        <x:v>PHY-3994</x:v>
      </x:c>
      <x:c r="C4000" s="7" t="str">
        <x:v>hold record</x:v>
      </x:c>
      <x:c r="D4000" s="7" t="str">
        <x:v>RAE-E-48-HP-16</x:v>
      </x:c>
      <x:c r="E4000" s="7" t="str">
        <x:v>Hold Ledger!J1526</x:v>
      </x:c>
      <x:c r="F4000" s="7" t="str">
        <x:f>'Hold Ledger'!J1526</x:f>
        <x:v>OPEN</x:v>
      </x:c>
    </x:row>
    <x:row r="4001">
      <x:c r="B4001" s="7" t="str">
        <x:v>PHY-3995</x:v>
      </x:c>
      <x:c r="C4001" s="7" t="str">
        <x:v>hold record</x:v>
      </x:c>
      <x:c r="D4001" s="7" t="str">
        <x:v>RAE-E-48-HP-17</x:v>
      </x:c>
      <x:c r="E4001" s="7" t="str">
        <x:v>Hold Ledger!J1527</x:v>
      </x:c>
      <x:c r="F4001" s="7" t="str">
        <x:f>'Hold Ledger'!J1527</x:f>
        <x:v>OPEN</x:v>
      </x:c>
    </x:row>
    <x:row r="4002">
      <x:c r="B4002" s="7" t="str">
        <x:v>PHY-3996</x:v>
      </x:c>
      <x:c r="C4002" s="7" t="str">
        <x:v>hold record</x:v>
      </x:c>
      <x:c r="D4002" s="7" t="str">
        <x:v>RAE-E-48-HP-18</x:v>
      </x:c>
      <x:c r="E4002" s="7" t="str">
        <x:v>Hold Ledger!J1528</x:v>
      </x:c>
      <x:c r="F4002" s="7" t="str">
        <x:f>'Hold Ledger'!J1528</x:f>
        <x:v>OPEN</x:v>
      </x:c>
    </x:row>
    <x:row r="4003">
      <x:c r="B4003" s="7" t="str">
        <x:v>PHY-3997</x:v>
      </x:c>
      <x:c r="C4003" s="7" t="str">
        <x:v>hold record</x:v>
      </x:c>
      <x:c r="D4003" s="7" t="str">
        <x:v>RAE-E-48-HP-19</x:v>
      </x:c>
      <x:c r="E4003" s="7" t="str">
        <x:v>Hold Ledger!J1529</x:v>
      </x:c>
      <x:c r="F4003" s="7" t="str">
        <x:f>'Hold Ledger'!J1529</x:f>
        <x:v>OPEN</x:v>
      </x:c>
    </x:row>
    <x:row r="4004">
      <x:c r="B4004" s="7" t="str">
        <x:v>PHY-3998</x:v>
      </x:c>
      <x:c r="C4004" s="7" t="str">
        <x:v>hold record</x:v>
      </x:c>
      <x:c r="D4004" s="7" t="str">
        <x:v>RAE-E-48-HP-20</x:v>
      </x:c>
      <x:c r="E4004" s="7" t="str">
        <x:v>Hold Ledger!J1530</x:v>
      </x:c>
      <x:c r="F4004" s="7" t="str">
        <x:f>'Hold Ledger'!J1530</x:f>
        <x:v>OPEN</x:v>
      </x:c>
    </x:row>
    <x:row r="4005">
      <x:c r="B4005" s="7" t="str">
        <x:v>PHY-3999</x:v>
      </x:c>
      <x:c r="C4005" s="7" t="str">
        <x:v>hold record</x:v>
      </x:c>
      <x:c r="D4005" s="7" t="str">
        <x:v>RAE-E-48-HP-21</x:v>
      </x:c>
      <x:c r="E4005" s="7" t="str">
        <x:v>Hold Ledger!J1531</x:v>
      </x:c>
      <x:c r="F4005" s="7" t="str">
        <x:f>'Hold Ledger'!J1531</x:f>
        <x:v>OPEN</x:v>
      </x:c>
    </x:row>
    <x:row r="4006">
      <x:c r="B4006" s="7" t="str">
        <x:v>PHY-4000</x:v>
      </x:c>
      <x:c r="C4006" s="7" t="str">
        <x:v>hold record</x:v>
      </x:c>
      <x:c r="D4006" s="7" t="str">
        <x:v>RAE-E-48-HP-22</x:v>
      </x:c>
      <x:c r="E4006" s="7" t="str">
        <x:v>Hold Ledger!J1532</x:v>
      </x:c>
      <x:c r="F4006" s="7" t="str">
        <x:f>'Hold Ledger'!J1532</x:f>
        <x:v>OPEN</x:v>
      </x:c>
    </x:row>
    <x:row r="4007">
      <x:c r="B4007" s="7" t="str">
        <x:v>PHY-4001</x:v>
      </x:c>
      <x:c r="C4007" s="7" t="str">
        <x:v>hold record</x:v>
      </x:c>
      <x:c r="D4007" s="7" t="str">
        <x:v>RAE-E-48-HP-23</x:v>
      </x:c>
      <x:c r="E4007" s="7" t="str">
        <x:v>Hold Ledger!J1533</x:v>
      </x:c>
      <x:c r="F4007" s="7" t="str">
        <x:f>'Hold Ledger'!J1533</x:f>
        <x:v>OPEN</x:v>
      </x:c>
    </x:row>
    <x:row r="4008">
      <x:c r="B4008" s="7" t="str">
        <x:v>PHY-4002</x:v>
      </x:c>
      <x:c r="C4008" s="7" t="str">
        <x:v>hold record</x:v>
      </x:c>
      <x:c r="D4008" s="7" t="str">
        <x:v>RAE-E-48-HP-24</x:v>
      </x:c>
      <x:c r="E4008" s="7" t="str">
        <x:v>Hold Ledger!J1534</x:v>
      </x:c>
      <x:c r="F4008" s="7" t="str">
        <x:f>'Hold Ledger'!J1534</x:f>
        <x:v>OPEN</x:v>
      </x:c>
    </x:row>
    <x:row r="4009">
      <x:c r="B4009" s="7" t="str">
        <x:v>PHY-4003</x:v>
      </x:c>
      <x:c r="C4009" s="7" t="str">
        <x:v>hold record</x:v>
      </x:c>
      <x:c r="D4009" s="7" t="str">
        <x:v>RAE-E-48-HP-25</x:v>
      </x:c>
      <x:c r="E4009" s="7" t="str">
        <x:v>Hold Ledger!J1535</x:v>
      </x:c>
      <x:c r="F4009" s="7" t="str">
        <x:f>'Hold Ledger'!J1535</x:f>
        <x:v>OPEN</x:v>
      </x:c>
    </x:row>
    <x:row r="4010">
      <x:c r="B4010" s="7" t="str">
        <x:v>PHY-4004</x:v>
      </x:c>
      <x:c r="C4010" s="7" t="str">
        <x:v>hold record</x:v>
      </x:c>
      <x:c r="D4010" s="7" t="str">
        <x:v>RAE-E-48-HP-26</x:v>
      </x:c>
      <x:c r="E4010" s="7" t="str">
        <x:v>Hold Ledger!J1536</x:v>
      </x:c>
      <x:c r="F4010" s="7" t="str">
        <x:f>'Hold Ledger'!J1536</x:f>
        <x:v>OPEN</x:v>
      </x:c>
    </x:row>
    <x:row r="4011">
      <x:c r="B4011" s="7" t="str">
        <x:v>PHY-4005</x:v>
      </x:c>
      <x:c r="C4011" s="7" t="str">
        <x:v>hold record</x:v>
      </x:c>
      <x:c r="D4011" s="7" t="str">
        <x:v>RAE-E-48-HP-27</x:v>
      </x:c>
      <x:c r="E4011" s="7" t="str">
        <x:v>Hold Ledger!J1537</x:v>
      </x:c>
      <x:c r="F4011" s="7" t="str">
        <x:f>'Hold Ledger'!J1537</x:f>
        <x:v>OPEN</x:v>
      </x:c>
    </x:row>
    <x:row r="4012">
      <x:c r="B4012" s="7" t="str">
        <x:v>PHY-4006</x:v>
      </x:c>
      <x:c r="C4012" s="7" t="str">
        <x:v>hold record</x:v>
      </x:c>
      <x:c r="D4012" s="7" t="str">
        <x:v>RAE-E-48-HP-28</x:v>
      </x:c>
      <x:c r="E4012" s="7" t="str">
        <x:v>Hold Ledger!J1538</x:v>
      </x:c>
      <x:c r="F4012" s="7" t="str">
        <x:f>'Hold Ledger'!J1538</x:f>
        <x:v>OPEN</x:v>
      </x:c>
    </x:row>
    <x:row r="4013">
      <x:c r="B4013" s="7" t="str">
        <x:v>PHY-4007</x:v>
      </x:c>
      <x:c r="C4013" s="7" t="str">
        <x:v>hold record</x:v>
      </x:c>
      <x:c r="D4013" s="7" t="str">
        <x:v>RAE-E-48-HP-29</x:v>
      </x:c>
      <x:c r="E4013" s="7" t="str">
        <x:v>Hold Ledger!J1539</x:v>
      </x:c>
      <x:c r="F4013" s="7" t="str">
        <x:f>'Hold Ledger'!J1539</x:f>
        <x:v>OPEN</x:v>
      </x:c>
    </x:row>
    <x:row r="4014">
      <x:c r="B4014" s="7" t="str">
        <x:v>PHY-4008</x:v>
      </x:c>
      <x:c r="C4014" s="7" t="str">
        <x:v>hold record</x:v>
      </x:c>
      <x:c r="D4014" s="7" t="str">
        <x:v>RAE-E-48-HP-30</x:v>
      </x:c>
      <x:c r="E4014" s="7" t="str">
        <x:v>Hold Ledger!J1540</x:v>
      </x:c>
      <x:c r="F4014" s="7" t="str">
        <x:f>'Hold Ledger'!J1540</x:f>
        <x:v>OPEN</x:v>
      </x:c>
    </x:row>
    <x:row r="4015">
      <x:c r="B4015" s="7" t="str">
        <x:v>PHY-4009</x:v>
      </x:c>
      <x:c r="C4015" s="7" t="str">
        <x:v>hold record</x:v>
      </x:c>
      <x:c r="D4015" s="7" t="str">
        <x:v>RAE-E-48-HP-31</x:v>
      </x:c>
      <x:c r="E4015" s="7" t="str">
        <x:v>Hold Ledger!J1541</x:v>
      </x:c>
      <x:c r="F4015" s="7" t="str">
        <x:f>'Hold Ledger'!J1541</x:f>
        <x:v>OPEN</x:v>
      </x:c>
    </x:row>
    <x:row r="4016">
      <x:c r="B4016" s="7" t="str">
        <x:v>PHY-4010</x:v>
      </x:c>
      <x:c r="C4016" s="7" t="str">
        <x:v>hold record</x:v>
      </x:c>
      <x:c r="D4016" s="7" t="str">
        <x:v>RAE-E-48-HP-32</x:v>
      </x:c>
      <x:c r="E4016" s="7" t="str">
        <x:v>Hold Ledger!J1542</x:v>
      </x:c>
      <x:c r="F4016" s="7" t="str">
        <x:f>'Hold Ledger'!J1542</x:f>
        <x:v>OPEN</x:v>
      </x:c>
    </x:row>
    <x:row r="4017">
      <x:c r="B4017" s="7" t="str">
        <x:v>PHY-4011</x:v>
      </x:c>
      <x:c r="C4017" s="7" t="str">
        <x:v>evidence obligation</x:v>
      </x:c>
      <x:c r="D4017" s="7" t="str">
        <x:v>RAE-E-01-EV-01</x:v>
      </x:c>
      <x:c r="E4017" s="7" t="str">
        <x:v>Evidence Obligations!L7</x:v>
      </x:c>
      <x:c r="F4017" s="7" t="str">
        <x:f>'Evidence Obligations'!L7</x:f>
        <x:v>OPEN</x:v>
      </x:c>
    </x:row>
    <x:row r="4018">
      <x:c r="B4018" s="7" t="str">
        <x:v>PHY-4012</x:v>
      </x:c>
      <x:c r="C4018" s="7" t="str">
        <x:v>evidence obligation</x:v>
      </x:c>
      <x:c r="D4018" s="7" t="str">
        <x:v>RAE-E-01-EV-02</x:v>
      </x:c>
      <x:c r="E4018" s="7" t="str">
        <x:v>Evidence Obligations!L8</x:v>
      </x:c>
      <x:c r="F4018" s="7" t="str">
        <x:f>'Evidence Obligations'!L8</x:f>
        <x:v>OPEN</x:v>
      </x:c>
    </x:row>
    <x:row r="4019">
      <x:c r="B4019" s="7" t="str">
        <x:v>PHY-4013</x:v>
      </x:c>
      <x:c r="C4019" s="7" t="str">
        <x:v>evidence obligation</x:v>
      </x:c>
      <x:c r="D4019" s="7" t="str">
        <x:v>RAE-E-01-EV-03</x:v>
      </x:c>
      <x:c r="E4019" s="7" t="str">
        <x:v>Evidence Obligations!L9</x:v>
      </x:c>
      <x:c r="F4019" s="7" t="str">
        <x:f>'Evidence Obligations'!L9</x:f>
        <x:v>OPEN</x:v>
      </x:c>
    </x:row>
    <x:row r="4020">
      <x:c r="B4020" s="7" t="str">
        <x:v>PHY-4014</x:v>
      </x:c>
      <x:c r="C4020" s="7" t="str">
        <x:v>evidence obligation</x:v>
      </x:c>
      <x:c r="D4020" s="7" t="str">
        <x:v>RAE-E-01-EV-04</x:v>
      </x:c>
      <x:c r="E4020" s="7" t="str">
        <x:v>Evidence Obligations!L10</x:v>
      </x:c>
      <x:c r="F4020" s="7" t="str">
        <x:f>'Evidence Obligations'!L10</x:f>
        <x:v>OPEN</x:v>
      </x:c>
    </x:row>
    <x:row r="4021">
      <x:c r="B4021" s="7" t="str">
        <x:v>PHY-4015</x:v>
      </x:c>
      <x:c r="C4021" s="7" t="str">
        <x:v>evidence obligation</x:v>
      </x:c>
      <x:c r="D4021" s="7" t="str">
        <x:v>RAE-E-01-EV-05</x:v>
      </x:c>
      <x:c r="E4021" s="7" t="str">
        <x:v>Evidence Obligations!L11</x:v>
      </x:c>
      <x:c r="F4021" s="7" t="str">
        <x:f>'Evidence Obligations'!L11</x:f>
        <x:v>OPEN</x:v>
      </x:c>
    </x:row>
    <x:row r="4022">
      <x:c r="B4022" s="7" t="str">
        <x:v>PHY-4016</x:v>
      </x:c>
      <x:c r="C4022" s="7" t="str">
        <x:v>evidence obligation</x:v>
      </x:c>
      <x:c r="D4022" s="7" t="str">
        <x:v>RAE-E-01-EV-06</x:v>
      </x:c>
      <x:c r="E4022" s="7" t="str">
        <x:v>Evidence Obligations!L12</x:v>
      </x:c>
      <x:c r="F4022" s="7" t="str">
        <x:f>'Evidence Obligations'!L12</x:f>
        <x:v>OPEN</x:v>
      </x:c>
    </x:row>
    <x:row r="4023">
      <x:c r="B4023" s="7" t="str">
        <x:v>PHY-4017</x:v>
      </x:c>
      <x:c r="C4023" s="7" t="str">
        <x:v>evidence obligation</x:v>
      </x:c>
      <x:c r="D4023" s="7" t="str">
        <x:v>RAE-E-01-EV-07</x:v>
      </x:c>
      <x:c r="E4023" s="7" t="str">
        <x:v>Evidence Obligations!L13</x:v>
      </x:c>
      <x:c r="F4023" s="7" t="str">
        <x:f>'Evidence Obligations'!L13</x:f>
        <x:v>OPEN</x:v>
      </x:c>
    </x:row>
    <x:row r="4024">
      <x:c r="B4024" s="7" t="str">
        <x:v>PHY-4018</x:v>
      </x:c>
      <x:c r="C4024" s="7" t="str">
        <x:v>evidence obligation</x:v>
      </x:c>
      <x:c r="D4024" s="7" t="str">
        <x:v>RAE-E-01-EV-08</x:v>
      </x:c>
      <x:c r="E4024" s="7" t="str">
        <x:v>Evidence Obligations!L14</x:v>
      </x:c>
      <x:c r="F4024" s="7" t="str">
        <x:f>'Evidence Obligations'!L14</x:f>
        <x:v>OPEN</x:v>
      </x:c>
    </x:row>
    <x:row r="4025">
      <x:c r="B4025" s="7" t="str">
        <x:v>PHY-4019</x:v>
      </x:c>
      <x:c r="C4025" s="7" t="str">
        <x:v>evidence obligation</x:v>
      </x:c>
      <x:c r="D4025" s="7" t="str">
        <x:v>RAE-E-01-EV-09</x:v>
      </x:c>
      <x:c r="E4025" s="7" t="str">
        <x:v>Evidence Obligations!L15</x:v>
      </x:c>
      <x:c r="F4025" s="7" t="str">
        <x:f>'Evidence Obligations'!L15</x:f>
        <x:v>OPEN</x:v>
      </x:c>
    </x:row>
    <x:row r="4026">
      <x:c r="B4026" s="7" t="str">
        <x:v>PHY-4020</x:v>
      </x:c>
      <x:c r="C4026" s="7" t="str">
        <x:v>evidence obligation</x:v>
      </x:c>
      <x:c r="D4026" s="7" t="str">
        <x:v>RAE-E-01-EV-10</x:v>
      </x:c>
      <x:c r="E4026" s="7" t="str">
        <x:v>Evidence Obligations!L16</x:v>
      </x:c>
      <x:c r="F4026" s="7" t="str">
        <x:f>'Evidence Obligations'!L16</x:f>
        <x:v>OPEN</x:v>
      </x:c>
    </x:row>
    <x:row r="4027">
      <x:c r="B4027" s="7" t="str">
        <x:v>PHY-4021</x:v>
      </x:c>
      <x:c r="C4027" s="7" t="str">
        <x:v>evidence obligation</x:v>
      </x:c>
      <x:c r="D4027" s="7" t="str">
        <x:v>RAE-E-01-EV-11</x:v>
      </x:c>
      <x:c r="E4027" s="7" t="str">
        <x:v>Evidence Obligations!L17</x:v>
      </x:c>
      <x:c r="F4027" s="7" t="str">
        <x:f>'Evidence Obligations'!L17</x:f>
        <x:v>OPEN</x:v>
      </x:c>
    </x:row>
    <x:row r="4028">
      <x:c r="B4028" s="7" t="str">
        <x:v>PHY-4022</x:v>
      </x:c>
      <x:c r="C4028" s="7" t="str">
        <x:v>evidence obligation</x:v>
      </x:c>
      <x:c r="D4028" s="7" t="str">
        <x:v>RAE-E-01-EV-12</x:v>
      </x:c>
      <x:c r="E4028" s="7" t="str">
        <x:v>Evidence Obligations!L18</x:v>
      </x:c>
      <x:c r="F4028" s="7" t="str">
        <x:f>'Evidence Obligations'!L18</x:f>
        <x:v>OPEN</x:v>
      </x:c>
    </x:row>
    <x:row r="4029">
      <x:c r="B4029" s="7" t="str">
        <x:v>PHY-4023</x:v>
      </x:c>
      <x:c r="C4029" s="7" t="str">
        <x:v>evidence obligation</x:v>
      </x:c>
      <x:c r="D4029" s="7" t="str">
        <x:v>RAE-E-02-EV-01</x:v>
      </x:c>
      <x:c r="E4029" s="7" t="str">
        <x:v>Evidence Obligations!L19</x:v>
      </x:c>
      <x:c r="F4029" s="7" t="str">
        <x:f>'Evidence Obligations'!L19</x:f>
        <x:v>OPEN</x:v>
      </x:c>
    </x:row>
    <x:row r="4030">
      <x:c r="B4030" s="7" t="str">
        <x:v>PHY-4024</x:v>
      </x:c>
      <x:c r="C4030" s="7" t="str">
        <x:v>evidence obligation</x:v>
      </x:c>
      <x:c r="D4030" s="7" t="str">
        <x:v>RAE-E-02-EV-02</x:v>
      </x:c>
      <x:c r="E4030" s="7" t="str">
        <x:v>Evidence Obligations!L20</x:v>
      </x:c>
      <x:c r="F4030" s="7" t="str">
        <x:f>'Evidence Obligations'!L20</x:f>
        <x:v>OPEN</x:v>
      </x:c>
    </x:row>
    <x:row r="4031">
      <x:c r="B4031" s="7" t="str">
        <x:v>PHY-4025</x:v>
      </x:c>
      <x:c r="C4031" s="7" t="str">
        <x:v>evidence obligation</x:v>
      </x:c>
      <x:c r="D4031" s="7" t="str">
        <x:v>RAE-E-02-EV-03</x:v>
      </x:c>
      <x:c r="E4031" s="7" t="str">
        <x:v>Evidence Obligations!L21</x:v>
      </x:c>
      <x:c r="F4031" s="7" t="str">
        <x:f>'Evidence Obligations'!L21</x:f>
        <x:v>OPEN</x:v>
      </x:c>
    </x:row>
    <x:row r="4032">
      <x:c r="B4032" s="7" t="str">
        <x:v>PHY-4026</x:v>
      </x:c>
      <x:c r="C4032" s="7" t="str">
        <x:v>evidence obligation</x:v>
      </x:c>
      <x:c r="D4032" s="7" t="str">
        <x:v>RAE-E-02-EV-04</x:v>
      </x:c>
      <x:c r="E4032" s="7" t="str">
        <x:v>Evidence Obligations!L22</x:v>
      </x:c>
      <x:c r="F4032" s="7" t="str">
        <x:f>'Evidence Obligations'!L22</x:f>
        <x:v>OPEN</x:v>
      </x:c>
    </x:row>
    <x:row r="4033">
      <x:c r="B4033" s="7" t="str">
        <x:v>PHY-4027</x:v>
      </x:c>
      <x:c r="C4033" s="7" t="str">
        <x:v>evidence obligation</x:v>
      </x:c>
      <x:c r="D4033" s="7" t="str">
        <x:v>RAE-E-02-EV-05</x:v>
      </x:c>
      <x:c r="E4033" s="7" t="str">
        <x:v>Evidence Obligations!L23</x:v>
      </x:c>
      <x:c r="F4033" s="7" t="str">
        <x:f>'Evidence Obligations'!L23</x:f>
        <x:v>OPEN</x:v>
      </x:c>
    </x:row>
    <x:row r="4034">
      <x:c r="B4034" s="7" t="str">
        <x:v>PHY-4028</x:v>
      </x:c>
      <x:c r="C4034" s="7" t="str">
        <x:v>evidence obligation</x:v>
      </x:c>
      <x:c r="D4034" s="7" t="str">
        <x:v>RAE-E-02-EV-06</x:v>
      </x:c>
      <x:c r="E4034" s="7" t="str">
        <x:v>Evidence Obligations!L24</x:v>
      </x:c>
      <x:c r="F4034" s="7" t="str">
        <x:f>'Evidence Obligations'!L24</x:f>
        <x:v>OPEN</x:v>
      </x:c>
    </x:row>
    <x:row r="4035">
      <x:c r="B4035" s="7" t="str">
        <x:v>PHY-4029</x:v>
      </x:c>
      <x:c r="C4035" s="7" t="str">
        <x:v>evidence obligation</x:v>
      </x:c>
      <x:c r="D4035" s="7" t="str">
        <x:v>RAE-E-02-EV-07</x:v>
      </x:c>
      <x:c r="E4035" s="7" t="str">
        <x:v>Evidence Obligations!L25</x:v>
      </x:c>
      <x:c r="F4035" s="7" t="str">
        <x:f>'Evidence Obligations'!L25</x:f>
        <x:v>OPEN</x:v>
      </x:c>
    </x:row>
    <x:row r="4036">
      <x:c r="B4036" s="7" t="str">
        <x:v>PHY-4030</x:v>
      </x:c>
      <x:c r="C4036" s="7" t="str">
        <x:v>evidence obligation</x:v>
      </x:c>
      <x:c r="D4036" s="7" t="str">
        <x:v>RAE-E-02-EV-08</x:v>
      </x:c>
      <x:c r="E4036" s="7" t="str">
        <x:v>Evidence Obligations!L26</x:v>
      </x:c>
      <x:c r="F4036" s="7" t="str">
        <x:f>'Evidence Obligations'!L26</x:f>
        <x:v>OPEN</x:v>
      </x:c>
    </x:row>
    <x:row r="4037">
      <x:c r="B4037" s="7" t="str">
        <x:v>PHY-4031</x:v>
      </x:c>
      <x:c r="C4037" s="7" t="str">
        <x:v>evidence obligation</x:v>
      </x:c>
      <x:c r="D4037" s="7" t="str">
        <x:v>RAE-E-02-EV-09</x:v>
      </x:c>
      <x:c r="E4037" s="7" t="str">
        <x:v>Evidence Obligations!L27</x:v>
      </x:c>
      <x:c r="F4037" s="7" t="str">
        <x:f>'Evidence Obligations'!L27</x:f>
        <x:v>OPEN</x:v>
      </x:c>
    </x:row>
    <x:row r="4038">
      <x:c r="B4038" s="7" t="str">
        <x:v>PHY-4032</x:v>
      </x:c>
      <x:c r="C4038" s="7" t="str">
        <x:v>evidence obligation</x:v>
      </x:c>
      <x:c r="D4038" s="7" t="str">
        <x:v>RAE-E-02-EV-10</x:v>
      </x:c>
      <x:c r="E4038" s="7" t="str">
        <x:v>Evidence Obligations!L28</x:v>
      </x:c>
      <x:c r="F4038" s="7" t="str">
        <x:f>'Evidence Obligations'!L28</x:f>
        <x:v>OPEN</x:v>
      </x:c>
    </x:row>
    <x:row r="4039">
      <x:c r="B4039" s="7" t="str">
        <x:v>PHY-4033</x:v>
      </x:c>
      <x:c r="C4039" s="7" t="str">
        <x:v>evidence obligation</x:v>
      </x:c>
      <x:c r="D4039" s="7" t="str">
        <x:v>RAE-E-02-EV-11</x:v>
      </x:c>
      <x:c r="E4039" s="7" t="str">
        <x:v>Evidence Obligations!L29</x:v>
      </x:c>
      <x:c r="F4039" s="7" t="str">
        <x:f>'Evidence Obligations'!L29</x:f>
        <x:v>OPEN</x:v>
      </x:c>
    </x:row>
    <x:row r="4040">
      <x:c r="B4040" s="7" t="str">
        <x:v>PHY-4034</x:v>
      </x:c>
      <x:c r="C4040" s="7" t="str">
        <x:v>evidence obligation</x:v>
      </x:c>
      <x:c r="D4040" s="7" t="str">
        <x:v>RAE-E-02-EV-12</x:v>
      </x:c>
      <x:c r="E4040" s="7" t="str">
        <x:v>Evidence Obligations!L30</x:v>
      </x:c>
      <x:c r="F4040" s="7" t="str">
        <x:f>'Evidence Obligations'!L30</x:f>
        <x:v>OPEN</x:v>
      </x:c>
    </x:row>
    <x:row r="4041">
      <x:c r="B4041" s="7" t="str">
        <x:v>PHY-4035</x:v>
      </x:c>
      <x:c r="C4041" s="7" t="str">
        <x:v>evidence obligation</x:v>
      </x:c>
      <x:c r="D4041" s="7" t="str">
        <x:v>RAE-E-03-EV-01</x:v>
      </x:c>
      <x:c r="E4041" s="7" t="str">
        <x:v>Evidence Obligations!L31</x:v>
      </x:c>
      <x:c r="F4041" s="7" t="str">
        <x:f>'Evidence Obligations'!L31</x:f>
        <x:v>OPEN</x:v>
      </x:c>
    </x:row>
    <x:row r="4042">
      <x:c r="B4042" s="7" t="str">
        <x:v>PHY-4036</x:v>
      </x:c>
      <x:c r="C4042" s="7" t="str">
        <x:v>evidence obligation</x:v>
      </x:c>
      <x:c r="D4042" s="7" t="str">
        <x:v>RAE-E-03-EV-02</x:v>
      </x:c>
      <x:c r="E4042" s="7" t="str">
        <x:v>Evidence Obligations!L32</x:v>
      </x:c>
      <x:c r="F4042" s="7" t="str">
        <x:f>'Evidence Obligations'!L32</x:f>
        <x:v>OPEN</x:v>
      </x:c>
    </x:row>
    <x:row r="4043">
      <x:c r="B4043" s="7" t="str">
        <x:v>PHY-4037</x:v>
      </x:c>
      <x:c r="C4043" s="7" t="str">
        <x:v>evidence obligation</x:v>
      </x:c>
      <x:c r="D4043" s="7" t="str">
        <x:v>RAE-E-03-EV-03</x:v>
      </x:c>
      <x:c r="E4043" s="7" t="str">
        <x:v>Evidence Obligations!L33</x:v>
      </x:c>
      <x:c r="F4043" s="7" t="str">
        <x:f>'Evidence Obligations'!L33</x:f>
        <x:v>OPEN</x:v>
      </x:c>
    </x:row>
    <x:row r="4044">
      <x:c r="B4044" s="7" t="str">
        <x:v>PHY-4038</x:v>
      </x:c>
      <x:c r="C4044" s="7" t="str">
        <x:v>evidence obligation</x:v>
      </x:c>
      <x:c r="D4044" s="7" t="str">
        <x:v>RAE-E-03-EV-04</x:v>
      </x:c>
      <x:c r="E4044" s="7" t="str">
        <x:v>Evidence Obligations!L34</x:v>
      </x:c>
      <x:c r="F4044" s="7" t="str">
        <x:f>'Evidence Obligations'!L34</x:f>
        <x:v>OPEN</x:v>
      </x:c>
    </x:row>
    <x:row r="4045">
      <x:c r="B4045" s="7" t="str">
        <x:v>PHY-4039</x:v>
      </x:c>
      <x:c r="C4045" s="7" t="str">
        <x:v>evidence obligation</x:v>
      </x:c>
      <x:c r="D4045" s="7" t="str">
        <x:v>RAE-E-03-EV-05</x:v>
      </x:c>
      <x:c r="E4045" s="7" t="str">
        <x:v>Evidence Obligations!L35</x:v>
      </x:c>
      <x:c r="F4045" s="7" t="str">
        <x:f>'Evidence Obligations'!L35</x:f>
        <x:v>OPEN</x:v>
      </x:c>
    </x:row>
    <x:row r="4046">
      <x:c r="B4046" s="7" t="str">
        <x:v>PHY-4040</x:v>
      </x:c>
      <x:c r="C4046" s="7" t="str">
        <x:v>evidence obligation</x:v>
      </x:c>
      <x:c r="D4046" s="7" t="str">
        <x:v>RAE-E-03-EV-06</x:v>
      </x:c>
      <x:c r="E4046" s="7" t="str">
        <x:v>Evidence Obligations!L36</x:v>
      </x:c>
      <x:c r="F4046" s="7" t="str">
        <x:f>'Evidence Obligations'!L36</x:f>
        <x:v>OPEN</x:v>
      </x:c>
    </x:row>
    <x:row r="4047">
      <x:c r="B4047" s="7" t="str">
        <x:v>PHY-4041</x:v>
      </x:c>
      <x:c r="C4047" s="7" t="str">
        <x:v>evidence obligation</x:v>
      </x:c>
      <x:c r="D4047" s="7" t="str">
        <x:v>RAE-E-03-EV-07</x:v>
      </x:c>
      <x:c r="E4047" s="7" t="str">
        <x:v>Evidence Obligations!L37</x:v>
      </x:c>
      <x:c r="F4047" s="7" t="str">
        <x:f>'Evidence Obligations'!L37</x:f>
        <x:v>OPEN</x:v>
      </x:c>
    </x:row>
    <x:row r="4048">
      <x:c r="B4048" s="7" t="str">
        <x:v>PHY-4042</x:v>
      </x:c>
      <x:c r="C4048" s="7" t="str">
        <x:v>evidence obligation</x:v>
      </x:c>
      <x:c r="D4048" s="7" t="str">
        <x:v>RAE-E-03-EV-08</x:v>
      </x:c>
      <x:c r="E4048" s="7" t="str">
        <x:v>Evidence Obligations!L38</x:v>
      </x:c>
      <x:c r="F4048" s="7" t="str">
        <x:f>'Evidence Obligations'!L38</x:f>
        <x:v>OPEN</x:v>
      </x:c>
    </x:row>
    <x:row r="4049">
      <x:c r="B4049" s="7" t="str">
        <x:v>PHY-4043</x:v>
      </x:c>
      <x:c r="C4049" s="7" t="str">
        <x:v>evidence obligation</x:v>
      </x:c>
      <x:c r="D4049" s="7" t="str">
        <x:v>RAE-E-03-EV-09</x:v>
      </x:c>
      <x:c r="E4049" s="7" t="str">
        <x:v>Evidence Obligations!L39</x:v>
      </x:c>
      <x:c r="F4049" s="7" t="str">
        <x:f>'Evidence Obligations'!L39</x:f>
        <x:v>OPEN</x:v>
      </x:c>
    </x:row>
    <x:row r="4050">
      <x:c r="B4050" s="7" t="str">
        <x:v>PHY-4044</x:v>
      </x:c>
      <x:c r="C4050" s="7" t="str">
        <x:v>evidence obligation</x:v>
      </x:c>
      <x:c r="D4050" s="7" t="str">
        <x:v>RAE-E-03-EV-10</x:v>
      </x:c>
      <x:c r="E4050" s="7" t="str">
        <x:v>Evidence Obligations!L40</x:v>
      </x:c>
      <x:c r="F4050" s="7" t="str">
        <x:f>'Evidence Obligations'!L40</x:f>
        <x:v>OPEN</x:v>
      </x:c>
    </x:row>
    <x:row r="4051">
      <x:c r="B4051" s="7" t="str">
        <x:v>PHY-4045</x:v>
      </x:c>
      <x:c r="C4051" s="7" t="str">
        <x:v>evidence obligation</x:v>
      </x:c>
      <x:c r="D4051" s="7" t="str">
        <x:v>RAE-E-03-EV-11</x:v>
      </x:c>
      <x:c r="E4051" s="7" t="str">
        <x:v>Evidence Obligations!L41</x:v>
      </x:c>
      <x:c r="F4051" s="7" t="str">
        <x:f>'Evidence Obligations'!L41</x:f>
        <x:v>OPEN</x:v>
      </x:c>
    </x:row>
    <x:row r="4052">
      <x:c r="B4052" s="7" t="str">
        <x:v>PHY-4046</x:v>
      </x:c>
      <x:c r="C4052" s="7" t="str">
        <x:v>evidence obligation</x:v>
      </x:c>
      <x:c r="D4052" s="7" t="str">
        <x:v>RAE-E-03-EV-12</x:v>
      </x:c>
      <x:c r="E4052" s="7" t="str">
        <x:v>Evidence Obligations!L42</x:v>
      </x:c>
      <x:c r="F4052" s="7" t="str">
        <x:f>'Evidence Obligations'!L42</x:f>
        <x:v>OPEN</x:v>
      </x:c>
    </x:row>
    <x:row r="4053">
      <x:c r="B4053" s="7" t="str">
        <x:v>PHY-4047</x:v>
      </x:c>
      <x:c r="C4053" s="7" t="str">
        <x:v>evidence obligation</x:v>
      </x:c>
      <x:c r="D4053" s="7" t="str">
        <x:v>RAE-E-04-EV-01</x:v>
      </x:c>
      <x:c r="E4053" s="7" t="str">
        <x:v>Evidence Obligations!L43</x:v>
      </x:c>
      <x:c r="F4053" s="7" t="str">
        <x:f>'Evidence Obligations'!L43</x:f>
        <x:v>OPEN</x:v>
      </x:c>
    </x:row>
    <x:row r="4054">
      <x:c r="B4054" s="7" t="str">
        <x:v>PHY-4048</x:v>
      </x:c>
      <x:c r="C4054" s="7" t="str">
        <x:v>evidence obligation</x:v>
      </x:c>
      <x:c r="D4054" s="7" t="str">
        <x:v>RAE-E-04-EV-02</x:v>
      </x:c>
      <x:c r="E4054" s="7" t="str">
        <x:v>Evidence Obligations!L44</x:v>
      </x:c>
      <x:c r="F4054" s="7" t="str">
        <x:f>'Evidence Obligations'!L44</x:f>
        <x:v>OPEN</x:v>
      </x:c>
    </x:row>
    <x:row r="4055">
      <x:c r="B4055" s="7" t="str">
        <x:v>PHY-4049</x:v>
      </x:c>
      <x:c r="C4055" s="7" t="str">
        <x:v>evidence obligation</x:v>
      </x:c>
      <x:c r="D4055" s="7" t="str">
        <x:v>RAE-E-04-EV-03</x:v>
      </x:c>
      <x:c r="E4055" s="7" t="str">
        <x:v>Evidence Obligations!L45</x:v>
      </x:c>
      <x:c r="F4055" s="7" t="str">
        <x:f>'Evidence Obligations'!L45</x:f>
        <x:v>OPEN</x:v>
      </x:c>
    </x:row>
    <x:row r="4056">
      <x:c r="B4056" s="7" t="str">
        <x:v>PHY-4050</x:v>
      </x:c>
      <x:c r="C4056" s="7" t="str">
        <x:v>evidence obligation</x:v>
      </x:c>
      <x:c r="D4056" s="7" t="str">
        <x:v>RAE-E-04-EV-04</x:v>
      </x:c>
      <x:c r="E4056" s="7" t="str">
        <x:v>Evidence Obligations!L46</x:v>
      </x:c>
      <x:c r="F4056" s="7" t="str">
        <x:f>'Evidence Obligations'!L46</x:f>
        <x:v>OPEN</x:v>
      </x:c>
    </x:row>
    <x:row r="4057">
      <x:c r="B4057" s="7" t="str">
        <x:v>PHY-4051</x:v>
      </x:c>
      <x:c r="C4057" s="7" t="str">
        <x:v>evidence obligation</x:v>
      </x:c>
      <x:c r="D4057" s="7" t="str">
        <x:v>RAE-E-04-EV-05</x:v>
      </x:c>
      <x:c r="E4057" s="7" t="str">
        <x:v>Evidence Obligations!L47</x:v>
      </x:c>
      <x:c r="F4057" s="7" t="str">
        <x:f>'Evidence Obligations'!L47</x:f>
        <x:v>OPEN</x:v>
      </x:c>
    </x:row>
    <x:row r="4058">
      <x:c r="B4058" s="7" t="str">
        <x:v>PHY-4052</x:v>
      </x:c>
      <x:c r="C4058" s="7" t="str">
        <x:v>evidence obligation</x:v>
      </x:c>
      <x:c r="D4058" s="7" t="str">
        <x:v>RAE-E-04-EV-06</x:v>
      </x:c>
      <x:c r="E4058" s="7" t="str">
        <x:v>Evidence Obligations!L48</x:v>
      </x:c>
      <x:c r="F4058" s="7" t="str">
        <x:f>'Evidence Obligations'!L48</x:f>
        <x:v>OPEN</x:v>
      </x:c>
    </x:row>
    <x:row r="4059">
      <x:c r="B4059" s="7" t="str">
        <x:v>PHY-4053</x:v>
      </x:c>
      <x:c r="C4059" s="7" t="str">
        <x:v>evidence obligation</x:v>
      </x:c>
      <x:c r="D4059" s="7" t="str">
        <x:v>RAE-E-04-EV-07</x:v>
      </x:c>
      <x:c r="E4059" s="7" t="str">
        <x:v>Evidence Obligations!L49</x:v>
      </x:c>
      <x:c r="F4059" s="7" t="str">
        <x:f>'Evidence Obligations'!L49</x:f>
        <x:v>OPEN</x:v>
      </x:c>
    </x:row>
    <x:row r="4060">
      <x:c r="B4060" s="7" t="str">
        <x:v>PHY-4054</x:v>
      </x:c>
      <x:c r="C4060" s="7" t="str">
        <x:v>evidence obligation</x:v>
      </x:c>
      <x:c r="D4060" s="7" t="str">
        <x:v>RAE-E-04-EV-08</x:v>
      </x:c>
      <x:c r="E4060" s="7" t="str">
        <x:v>Evidence Obligations!L50</x:v>
      </x:c>
      <x:c r="F4060" s="7" t="str">
        <x:f>'Evidence Obligations'!L50</x:f>
        <x:v>OPEN</x:v>
      </x:c>
    </x:row>
    <x:row r="4061">
      <x:c r="B4061" s="7" t="str">
        <x:v>PHY-4055</x:v>
      </x:c>
      <x:c r="C4061" s="7" t="str">
        <x:v>evidence obligation</x:v>
      </x:c>
      <x:c r="D4061" s="7" t="str">
        <x:v>RAE-E-04-EV-09</x:v>
      </x:c>
      <x:c r="E4061" s="7" t="str">
        <x:v>Evidence Obligations!L51</x:v>
      </x:c>
      <x:c r="F4061" s="7" t="str">
        <x:f>'Evidence Obligations'!L51</x:f>
        <x:v>OPEN</x:v>
      </x:c>
    </x:row>
    <x:row r="4062">
      <x:c r="B4062" s="7" t="str">
        <x:v>PHY-4056</x:v>
      </x:c>
      <x:c r="C4062" s="7" t="str">
        <x:v>evidence obligation</x:v>
      </x:c>
      <x:c r="D4062" s="7" t="str">
        <x:v>RAE-E-04-EV-10</x:v>
      </x:c>
      <x:c r="E4062" s="7" t="str">
        <x:v>Evidence Obligations!L52</x:v>
      </x:c>
      <x:c r="F4062" s="7" t="str">
        <x:f>'Evidence Obligations'!L52</x:f>
        <x:v>OPEN</x:v>
      </x:c>
    </x:row>
    <x:row r="4063">
      <x:c r="B4063" s="7" t="str">
        <x:v>PHY-4057</x:v>
      </x:c>
      <x:c r="C4063" s="7" t="str">
        <x:v>evidence obligation</x:v>
      </x:c>
      <x:c r="D4063" s="7" t="str">
        <x:v>RAE-E-04-EV-11</x:v>
      </x:c>
      <x:c r="E4063" s="7" t="str">
        <x:v>Evidence Obligations!L53</x:v>
      </x:c>
      <x:c r="F4063" s="7" t="str">
        <x:f>'Evidence Obligations'!L53</x:f>
        <x:v>OPEN</x:v>
      </x:c>
    </x:row>
    <x:row r="4064">
      <x:c r="B4064" s="7" t="str">
        <x:v>PHY-4058</x:v>
      </x:c>
      <x:c r="C4064" s="7" t="str">
        <x:v>evidence obligation</x:v>
      </x:c>
      <x:c r="D4064" s="7" t="str">
        <x:v>RAE-E-04-EV-12</x:v>
      </x:c>
      <x:c r="E4064" s="7" t="str">
        <x:v>Evidence Obligations!L54</x:v>
      </x:c>
      <x:c r="F4064" s="7" t="str">
        <x:f>'Evidence Obligations'!L54</x:f>
        <x:v>OPEN</x:v>
      </x:c>
    </x:row>
    <x:row r="4065">
      <x:c r="B4065" s="7" t="str">
        <x:v>PHY-4059</x:v>
      </x:c>
      <x:c r="C4065" s="7" t="str">
        <x:v>evidence obligation</x:v>
      </x:c>
      <x:c r="D4065" s="7" t="str">
        <x:v>RAE-E-05-EV-01</x:v>
      </x:c>
      <x:c r="E4065" s="7" t="str">
        <x:v>Evidence Obligations!L55</x:v>
      </x:c>
      <x:c r="F4065" s="7" t="str">
        <x:f>'Evidence Obligations'!L55</x:f>
        <x:v>OPEN</x:v>
      </x:c>
    </x:row>
    <x:row r="4066">
      <x:c r="B4066" s="7" t="str">
        <x:v>PHY-4060</x:v>
      </x:c>
      <x:c r="C4066" s="7" t="str">
        <x:v>evidence obligation</x:v>
      </x:c>
      <x:c r="D4066" s="7" t="str">
        <x:v>RAE-E-05-EV-02</x:v>
      </x:c>
      <x:c r="E4066" s="7" t="str">
        <x:v>Evidence Obligations!L56</x:v>
      </x:c>
      <x:c r="F4066" s="7" t="str">
        <x:f>'Evidence Obligations'!L56</x:f>
        <x:v>OPEN</x:v>
      </x:c>
    </x:row>
    <x:row r="4067">
      <x:c r="B4067" s="7" t="str">
        <x:v>PHY-4061</x:v>
      </x:c>
      <x:c r="C4067" s="7" t="str">
        <x:v>evidence obligation</x:v>
      </x:c>
      <x:c r="D4067" s="7" t="str">
        <x:v>RAE-E-05-EV-03</x:v>
      </x:c>
      <x:c r="E4067" s="7" t="str">
        <x:v>Evidence Obligations!L57</x:v>
      </x:c>
      <x:c r="F4067" s="7" t="str">
        <x:f>'Evidence Obligations'!L57</x:f>
        <x:v>OPEN</x:v>
      </x:c>
    </x:row>
    <x:row r="4068">
      <x:c r="B4068" s="7" t="str">
        <x:v>PHY-4062</x:v>
      </x:c>
      <x:c r="C4068" s="7" t="str">
        <x:v>evidence obligation</x:v>
      </x:c>
      <x:c r="D4068" s="7" t="str">
        <x:v>RAE-E-05-EV-04</x:v>
      </x:c>
      <x:c r="E4068" s="7" t="str">
        <x:v>Evidence Obligations!L58</x:v>
      </x:c>
      <x:c r="F4068" s="7" t="str">
        <x:f>'Evidence Obligations'!L58</x:f>
        <x:v>OPEN</x:v>
      </x:c>
    </x:row>
    <x:row r="4069">
      <x:c r="B4069" s="7" t="str">
        <x:v>PHY-4063</x:v>
      </x:c>
      <x:c r="C4069" s="7" t="str">
        <x:v>evidence obligation</x:v>
      </x:c>
      <x:c r="D4069" s="7" t="str">
        <x:v>RAE-E-05-EV-05</x:v>
      </x:c>
      <x:c r="E4069" s="7" t="str">
        <x:v>Evidence Obligations!L59</x:v>
      </x:c>
      <x:c r="F4069" s="7" t="str">
        <x:f>'Evidence Obligations'!L59</x:f>
        <x:v>OPEN</x:v>
      </x:c>
    </x:row>
    <x:row r="4070">
      <x:c r="B4070" s="7" t="str">
        <x:v>PHY-4064</x:v>
      </x:c>
      <x:c r="C4070" s="7" t="str">
        <x:v>evidence obligation</x:v>
      </x:c>
      <x:c r="D4070" s="7" t="str">
        <x:v>RAE-E-05-EV-06</x:v>
      </x:c>
      <x:c r="E4070" s="7" t="str">
        <x:v>Evidence Obligations!L60</x:v>
      </x:c>
      <x:c r="F4070" s="7" t="str">
        <x:f>'Evidence Obligations'!L60</x:f>
        <x:v>OPEN</x:v>
      </x:c>
    </x:row>
    <x:row r="4071">
      <x:c r="B4071" s="7" t="str">
        <x:v>PHY-4065</x:v>
      </x:c>
      <x:c r="C4071" s="7" t="str">
        <x:v>evidence obligation</x:v>
      </x:c>
      <x:c r="D4071" s="7" t="str">
        <x:v>RAE-E-05-EV-07</x:v>
      </x:c>
      <x:c r="E4071" s="7" t="str">
        <x:v>Evidence Obligations!L61</x:v>
      </x:c>
      <x:c r="F4071" s="7" t="str">
        <x:f>'Evidence Obligations'!L61</x:f>
        <x:v>OPEN</x:v>
      </x:c>
    </x:row>
    <x:row r="4072">
      <x:c r="B4072" s="7" t="str">
        <x:v>PHY-4066</x:v>
      </x:c>
      <x:c r="C4072" s="7" t="str">
        <x:v>evidence obligation</x:v>
      </x:c>
      <x:c r="D4072" s="7" t="str">
        <x:v>RAE-E-05-EV-08</x:v>
      </x:c>
      <x:c r="E4072" s="7" t="str">
        <x:v>Evidence Obligations!L62</x:v>
      </x:c>
      <x:c r="F4072" s="7" t="str">
        <x:f>'Evidence Obligations'!L62</x:f>
        <x:v>OPEN</x:v>
      </x:c>
    </x:row>
    <x:row r="4073">
      <x:c r="B4073" s="7" t="str">
        <x:v>PHY-4067</x:v>
      </x:c>
      <x:c r="C4073" s="7" t="str">
        <x:v>evidence obligation</x:v>
      </x:c>
      <x:c r="D4073" s="7" t="str">
        <x:v>RAE-E-05-EV-09</x:v>
      </x:c>
      <x:c r="E4073" s="7" t="str">
        <x:v>Evidence Obligations!L63</x:v>
      </x:c>
      <x:c r="F4073" s="7" t="str">
        <x:f>'Evidence Obligations'!L63</x:f>
        <x:v>OPEN</x:v>
      </x:c>
    </x:row>
    <x:row r="4074">
      <x:c r="B4074" s="7" t="str">
        <x:v>PHY-4068</x:v>
      </x:c>
      <x:c r="C4074" s="7" t="str">
        <x:v>evidence obligation</x:v>
      </x:c>
      <x:c r="D4074" s="7" t="str">
        <x:v>RAE-E-05-EV-10</x:v>
      </x:c>
      <x:c r="E4074" s="7" t="str">
        <x:v>Evidence Obligations!L64</x:v>
      </x:c>
      <x:c r="F4074" s="7" t="str">
        <x:f>'Evidence Obligations'!L64</x:f>
        <x:v>OPEN</x:v>
      </x:c>
    </x:row>
    <x:row r="4075">
      <x:c r="B4075" s="7" t="str">
        <x:v>PHY-4069</x:v>
      </x:c>
      <x:c r="C4075" s="7" t="str">
        <x:v>evidence obligation</x:v>
      </x:c>
      <x:c r="D4075" s="7" t="str">
        <x:v>RAE-E-05-EV-11</x:v>
      </x:c>
      <x:c r="E4075" s="7" t="str">
        <x:v>Evidence Obligations!L65</x:v>
      </x:c>
      <x:c r="F4075" s="7" t="str">
        <x:f>'Evidence Obligations'!L65</x:f>
        <x:v>OPEN</x:v>
      </x:c>
    </x:row>
    <x:row r="4076">
      <x:c r="B4076" s="7" t="str">
        <x:v>PHY-4070</x:v>
      </x:c>
      <x:c r="C4076" s="7" t="str">
        <x:v>evidence obligation</x:v>
      </x:c>
      <x:c r="D4076" s="7" t="str">
        <x:v>RAE-E-05-EV-12</x:v>
      </x:c>
      <x:c r="E4076" s="7" t="str">
        <x:v>Evidence Obligations!L66</x:v>
      </x:c>
      <x:c r="F4076" s="7" t="str">
        <x:f>'Evidence Obligations'!L66</x:f>
        <x:v>OPEN</x:v>
      </x:c>
    </x:row>
    <x:row r="4077">
      <x:c r="B4077" s="7" t="str">
        <x:v>PHY-4071</x:v>
      </x:c>
      <x:c r="C4077" s="7" t="str">
        <x:v>evidence obligation</x:v>
      </x:c>
      <x:c r="D4077" s="7" t="str">
        <x:v>RAE-E-06-EV-01</x:v>
      </x:c>
      <x:c r="E4077" s="7" t="str">
        <x:v>Evidence Obligations!L67</x:v>
      </x:c>
      <x:c r="F4077" s="7" t="str">
        <x:f>'Evidence Obligations'!L67</x:f>
        <x:v>OPEN</x:v>
      </x:c>
    </x:row>
    <x:row r="4078">
      <x:c r="B4078" s="7" t="str">
        <x:v>PHY-4072</x:v>
      </x:c>
      <x:c r="C4078" s="7" t="str">
        <x:v>evidence obligation</x:v>
      </x:c>
      <x:c r="D4078" s="7" t="str">
        <x:v>RAE-E-06-EV-02</x:v>
      </x:c>
      <x:c r="E4078" s="7" t="str">
        <x:v>Evidence Obligations!L68</x:v>
      </x:c>
      <x:c r="F4078" s="7" t="str">
        <x:f>'Evidence Obligations'!L68</x:f>
        <x:v>OPEN</x:v>
      </x:c>
    </x:row>
    <x:row r="4079">
      <x:c r="B4079" s="7" t="str">
        <x:v>PHY-4073</x:v>
      </x:c>
      <x:c r="C4079" s="7" t="str">
        <x:v>evidence obligation</x:v>
      </x:c>
      <x:c r="D4079" s="7" t="str">
        <x:v>RAE-E-06-EV-03</x:v>
      </x:c>
      <x:c r="E4079" s="7" t="str">
        <x:v>Evidence Obligations!L69</x:v>
      </x:c>
      <x:c r="F4079" s="7" t="str">
        <x:f>'Evidence Obligations'!L69</x:f>
        <x:v>OPEN</x:v>
      </x:c>
    </x:row>
    <x:row r="4080">
      <x:c r="B4080" s="7" t="str">
        <x:v>PHY-4074</x:v>
      </x:c>
      <x:c r="C4080" s="7" t="str">
        <x:v>evidence obligation</x:v>
      </x:c>
      <x:c r="D4080" s="7" t="str">
        <x:v>RAE-E-06-EV-04</x:v>
      </x:c>
      <x:c r="E4080" s="7" t="str">
        <x:v>Evidence Obligations!L70</x:v>
      </x:c>
      <x:c r="F4080" s="7" t="str">
        <x:f>'Evidence Obligations'!L70</x:f>
        <x:v>OPEN</x:v>
      </x:c>
    </x:row>
    <x:row r="4081">
      <x:c r="B4081" s="7" t="str">
        <x:v>PHY-4075</x:v>
      </x:c>
      <x:c r="C4081" s="7" t="str">
        <x:v>evidence obligation</x:v>
      </x:c>
      <x:c r="D4081" s="7" t="str">
        <x:v>RAE-E-06-EV-05</x:v>
      </x:c>
      <x:c r="E4081" s="7" t="str">
        <x:v>Evidence Obligations!L71</x:v>
      </x:c>
      <x:c r="F4081" s="7" t="str">
        <x:f>'Evidence Obligations'!L71</x:f>
        <x:v>OPEN</x:v>
      </x:c>
    </x:row>
    <x:row r="4082">
      <x:c r="B4082" s="7" t="str">
        <x:v>PHY-4076</x:v>
      </x:c>
      <x:c r="C4082" s="7" t="str">
        <x:v>evidence obligation</x:v>
      </x:c>
      <x:c r="D4082" s="7" t="str">
        <x:v>RAE-E-06-EV-06</x:v>
      </x:c>
      <x:c r="E4082" s="7" t="str">
        <x:v>Evidence Obligations!L72</x:v>
      </x:c>
      <x:c r="F4082" s="7" t="str">
        <x:f>'Evidence Obligations'!L72</x:f>
        <x:v>OPEN</x:v>
      </x:c>
    </x:row>
    <x:row r="4083">
      <x:c r="B4083" s="7" t="str">
        <x:v>PHY-4077</x:v>
      </x:c>
      <x:c r="C4083" s="7" t="str">
        <x:v>evidence obligation</x:v>
      </x:c>
      <x:c r="D4083" s="7" t="str">
        <x:v>RAE-E-06-EV-07</x:v>
      </x:c>
      <x:c r="E4083" s="7" t="str">
        <x:v>Evidence Obligations!L73</x:v>
      </x:c>
      <x:c r="F4083" s="7" t="str">
        <x:f>'Evidence Obligations'!L73</x:f>
        <x:v>OPEN</x:v>
      </x:c>
    </x:row>
    <x:row r="4084">
      <x:c r="B4084" s="7" t="str">
        <x:v>PHY-4078</x:v>
      </x:c>
      <x:c r="C4084" s="7" t="str">
        <x:v>evidence obligation</x:v>
      </x:c>
      <x:c r="D4084" s="7" t="str">
        <x:v>RAE-E-06-EV-08</x:v>
      </x:c>
      <x:c r="E4084" s="7" t="str">
        <x:v>Evidence Obligations!L74</x:v>
      </x:c>
      <x:c r="F4084" s="7" t="str">
        <x:f>'Evidence Obligations'!L74</x:f>
        <x:v>OPEN</x:v>
      </x:c>
    </x:row>
    <x:row r="4085">
      <x:c r="B4085" s="7" t="str">
        <x:v>PHY-4079</x:v>
      </x:c>
      <x:c r="C4085" s="7" t="str">
        <x:v>evidence obligation</x:v>
      </x:c>
      <x:c r="D4085" s="7" t="str">
        <x:v>RAE-E-06-EV-09</x:v>
      </x:c>
      <x:c r="E4085" s="7" t="str">
        <x:v>Evidence Obligations!L75</x:v>
      </x:c>
      <x:c r="F4085" s="7" t="str">
        <x:f>'Evidence Obligations'!L75</x:f>
        <x:v>OPEN</x:v>
      </x:c>
    </x:row>
    <x:row r="4086">
      <x:c r="B4086" s="7" t="str">
        <x:v>PHY-4080</x:v>
      </x:c>
      <x:c r="C4086" s="7" t="str">
        <x:v>evidence obligation</x:v>
      </x:c>
      <x:c r="D4086" s="7" t="str">
        <x:v>RAE-E-06-EV-10</x:v>
      </x:c>
      <x:c r="E4086" s="7" t="str">
        <x:v>Evidence Obligations!L76</x:v>
      </x:c>
      <x:c r="F4086" s="7" t="str">
        <x:f>'Evidence Obligations'!L76</x:f>
        <x:v>OPEN</x:v>
      </x:c>
    </x:row>
    <x:row r="4087">
      <x:c r="B4087" s="7" t="str">
        <x:v>PHY-4081</x:v>
      </x:c>
      <x:c r="C4087" s="7" t="str">
        <x:v>evidence obligation</x:v>
      </x:c>
      <x:c r="D4087" s="7" t="str">
        <x:v>RAE-E-06-EV-11</x:v>
      </x:c>
      <x:c r="E4087" s="7" t="str">
        <x:v>Evidence Obligations!L77</x:v>
      </x:c>
      <x:c r="F4087" s="7" t="str">
        <x:f>'Evidence Obligations'!L77</x:f>
        <x:v>OPEN</x:v>
      </x:c>
    </x:row>
    <x:row r="4088">
      <x:c r="B4088" s="7" t="str">
        <x:v>PHY-4082</x:v>
      </x:c>
      <x:c r="C4088" s="7" t="str">
        <x:v>evidence obligation</x:v>
      </x:c>
      <x:c r="D4088" s="7" t="str">
        <x:v>RAE-E-06-EV-12</x:v>
      </x:c>
      <x:c r="E4088" s="7" t="str">
        <x:v>Evidence Obligations!L78</x:v>
      </x:c>
      <x:c r="F4088" s="7" t="str">
        <x:f>'Evidence Obligations'!L78</x:f>
        <x:v>OPEN</x:v>
      </x:c>
    </x:row>
    <x:row r="4089">
      <x:c r="B4089" s="7" t="str">
        <x:v>PHY-4083</x:v>
      </x:c>
      <x:c r="C4089" s="7" t="str">
        <x:v>evidence obligation</x:v>
      </x:c>
      <x:c r="D4089" s="7" t="str">
        <x:v>RAE-E-07-EV-01</x:v>
      </x:c>
      <x:c r="E4089" s="7" t="str">
        <x:v>Evidence Obligations!L79</x:v>
      </x:c>
      <x:c r="F4089" s="7" t="str">
        <x:f>'Evidence Obligations'!L79</x:f>
        <x:v>OPEN</x:v>
      </x:c>
    </x:row>
    <x:row r="4090">
      <x:c r="B4090" s="7" t="str">
        <x:v>PHY-4084</x:v>
      </x:c>
      <x:c r="C4090" s="7" t="str">
        <x:v>evidence obligation</x:v>
      </x:c>
      <x:c r="D4090" s="7" t="str">
        <x:v>RAE-E-07-EV-02</x:v>
      </x:c>
      <x:c r="E4090" s="7" t="str">
        <x:v>Evidence Obligations!L80</x:v>
      </x:c>
      <x:c r="F4090" s="7" t="str">
        <x:f>'Evidence Obligations'!L80</x:f>
        <x:v>OPEN</x:v>
      </x:c>
    </x:row>
    <x:row r="4091">
      <x:c r="B4091" s="7" t="str">
        <x:v>PHY-4085</x:v>
      </x:c>
      <x:c r="C4091" s="7" t="str">
        <x:v>evidence obligation</x:v>
      </x:c>
      <x:c r="D4091" s="7" t="str">
        <x:v>RAE-E-07-EV-03</x:v>
      </x:c>
      <x:c r="E4091" s="7" t="str">
        <x:v>Evidence Obligations!L81</x:v>
      </x:c>
      <x:c r="F4091" s="7" t="str">
        <x:f>'Evidence Obligations'!L81</x:f>
        <x:v>OPEN</x:v>
      </x:c>
    </x:row>
    <x:row r="4092">
      <x:c r="B4092" s="7" t="str">
        <x:v>PHY-4086</x:v>
      </x:c>
      <x:c r="C4092" s="7" t="str">
        <x:v>evidence obligation</x:v>
      </x:c>
      <x:c r="D4092" s="7" t="str">
        <x:v>RAE-E-07-EV-04</x:v>
      </x:c>
      <x:c r="E4092" s="7" t="str">
        <x:v>Evidence Obligations!L82</x:v>
      </x:c>
      <x:c r="F4092" s="7" t="str">
        <x:f>'Evidence Obligations'!L82</x:f>
        <x:v>OPEN</x:v>
      </x:c>
    </x:row>
    <x:row r="4093">
      <x:c r="B4093" s="7" t="str">
        <x:v>PHY-4087</x:v>
      </x:c>
      <x:c r="C4093" s="7" t="str">
        <x:v>evidence obligation</x:v>
      </x:c>
      <x:c r="D4093" s="7" t="str">
        <x:v>RAE-E-07-EV-05</x:v>
      </x:c>
      <x:c r="E4093" s="7" t="str">
        <x:v>Evidence Obligations!L83</x:v>
      </x:c>
      <x:c r="F4093" s="7" t="str">
        <x:f>'Evidence Obligations'!L83</x:f>
        <x:v>OPEN</x:v>
      </x:c>
    </x:row>
    <x:row r="4094">
      <x:c r="B4094" s="7" t="str">
        <x:v>PHY-4088</x:v>
      </x:c>
      <x:c r="C4094" s="7" t="str">
        <x:v>evidence obligation</x:v>
      </x:c>
      <x:c r="D4094" s="7" t="str">
        <x:v>RAE-E-07-EV-06</x:v>
      </x:c>
      <x:c r="E4094" s="7" t="str">
        <x:v>Evidence Obligations!L84</x:v>
      </x:c>
      <x:c r="F4094" s="7" t="str">
        <x:f>'Evidence Obligations'!L84</x:f>
        <x:v>OPEN</x:v>
      </x:c>
    </x:row>
    <x:row r="4095">
      <x:c r="B4095" s="7" t="str">
        <x:v>PHY-4089</x:v>
      </x:c>
      <x:c r="C4095" s="7" t="str">
        <x:v>evidence obligation</x:v>
      </x:c>
      <x:c r="D4095" s="7" t="str">
        <x:v>RAE-E-07-EV-07</x:v>
      </x:c>
      <x:c r="E4095" s="7" t="str">
        <x:v>Evidence Obligations!L85</x:v>
      </x:c>
      <x:c r="F4095" s="7" t="str">
        <x:f>'Evidence Obligations'!L85</x:f>
        <x:v>OPEN</x:v>
      </x:c>
    </x:row>
    <x:row r="4096">
      <x:c r="B4096" s="7" t="str">
        <x:v>PHY-4090</x:v>
      </x:c>
      <x:c r="C4096" s="7" t="str">
        <x:v>evidence obligation</x:v>
      </x:c>
      <x:c r="D4096" s="7" t="str">
        <x:v>RAE-E-07-EV-08</x:v>
      </x:c>
      <x:c r="E4096" s="7" t="str">
        <x:v>Evidence Obligations!L86</x:v>
      </x:c>
      <x:c r="F4096" s="7" t="str">
        <x:f>'Evidence Obligations'!L86</x:f>
        <x:v>OPEN</x:v>
      </x:c>
    </x:row>
    <x:row r="4097">
      <x:c r="B4097" s="7" t="str">
        <x:v>PHY-4091</x:v>
      </x:c>
      <x:c r="C4097" s="7" t="str">
        <x:v>evidence obligation</x:v>
      </x:c>
      <x:c r="D4097" s="7" t="str">
        <x:v>RAE-E-07-EV-09</x:v>
      </x:c>
      <x:c r="E4097" s="7" t="str">
        <x:v>Evidence Obligations!L87</x:v>
      </x:c>
      <x:c r="F4097" s="7" t="str">
        <x:f>'Evidence Obligations'!L87</x:f>
        <x:v>OPEN</x:v>
      </x:c>
    </x:row>
    <x:row r="4098">
      <x:c r="B4098" s="7" t="str">
        <x:v>PHY-4092</x:v>
      </x:c>
      <x:c r="C4098" s="7" t="str">
        <x:v>evidence obligation</x:v>
      </x:c>
      <x:c r="D4098" s="7" t="str">
        <x:v>RAE-E-07-EV-10</x:v>
      </x:c>
      <x:c r="E4098" s="7" t="str">
        <x:v>Evidence Obligations!L88</x:v>
      </x:c>
      <x:c r="F4098" s="7" t="str">
        <x:f>'Evidence Obligations'!L88</x:f>
        <x:v>OPEN</x:v>
      </x:c>
    </x:row>
    <x:row r="4099">
      <x:c r="B4099" s="7" t="str">
        <x:v>PHY-4093</x:v>
      </x:c>
      <x:c r="C4099" s="7" t="str">
        <x:v>evidence obligation</x:v>
      </x:c>
      <x:c r="D4099" s="7" t="str">
        <x:v>RAE-E-07-EV-11</x:v>
      </x:c>
      <x:c r="E4099" s="7" t="str">
        <x:v>Evidence Obligations!L89</x:v>
      </x:c>
      <x:c r="F4099" s="7" t="str">
        <x:f>'Evidence Obligations'!L89</x:f>
        <x:v>OPEN</x:v>
      </x:c>
    </x:row>
    <x:row r="4100">
      <x:c r="B4100" s="7" t="str">
        <x:v>PHY-4094</x:v>
      </x:c>
      <x:c r="C4100" s="7" t="str">
        <x:v>evidence obligation</x:v>
      </x:c>
      <x:c r="D4100" s="7" t="str">
        <x:v>RAE-E-07-EV-12</x:v>
      </x:c>
      <x:c r="E4100" s="7" t="str">
        <x:v>Evidence Obligations!L90</x:v>
      </x:c>
      <x:c r="F4100" s="7" t="str">
        <x:f>'Evidence Obligations'!L90</x:f>
        <x:v>OPEN</x:v>
      </x:c>
    </x:row>
    <x:row r="4101">
      <x:c r="B4101" s="7" t="str">
        <x:v>PHY-4095</x:v>
      </x:c>
      <x:c r="C4101" s="7" t="str">
        <x:v>evidence obligation</x:v>
      </x:c>
      <x:c r="D4101" s="7" t="str">
        <x:v>RAE-E-08-EV-01</x:v>
      </x:c>
      <x:c r="E4101" s="7" t="str">
        <x:v>Evidence Obligations!L91</x:v>
      </x:c>
      <x:c r="F4101" s="7" t="str">
        <x:f>'Evidence Obligations'!L91</x:f>
        <x:v>OPEN</x:v>
      </x:c>
    </x:row>
    <x:row r="4102">
      <x:c r="B4102" s="7" t="str">
        <x:v>PHY-4096</x:v>
      </x:c>
      <x:c r="C4102" s="7" t="str">
        <x:v>evidence obligation</x:v>
      </x:c>
      <x:c r="D4102" s="7" t="str">
        <x:v>RAE-E-08-EV-02</x:v>
      </x:c>
      <x:c r="E4102" s="7" t="str">
        <x:v>Evidence Obligations!L92</x:v>
      </x:c>
      <x:c r="F4102" s="7" t="str">
        <x:f>'Evidence Obligations'!L92</x:f>
        <x:v>OPEN</x:v>
      </x:c>
    </x:row>
    <x:row r="4103">
      <x:c r="B4103" s="7" t="str">
        <x:v>PHY-4097</x:v>
      </x:c>
      <x:c r="C4103" s="7" t="str">
        <x:v>evidence obligation</x:v>
      </x:c>
      <x:c r="D4103" s="7" t="str">
        <x:v>RAE-E-08-EV-03</x:v>
      </x:c>
      <x:c r="E4103" s="7" t="str">
        <x:v>Evidence Obligations!L93</x:v>
      </x:c>
      <x:c r="F4103" s="7" t="str">
        <x:f>'Evidence Obligations'!L93</x:f>
        <x:v>OPEN</x:v>
      </x:c>
    </x:row>
    <x:row r="4104">
      <x:c r="B4104" s="7" t="str">
        <x:v>PHY-4098</x:v>
      </x:c>
      <x:c r="C4104" s="7" t="str">
        <x:v>evidence obligation</x:v>
      </x:c>
      <x:c r="D4104" s="7" t="str">
        <x:v>RAE-E-08-EV-04</x:v>
      </x:c>
      <x:c r="E4104" s="7" t="str">
        <x:v>Evidence Obligations!L94</x:v>
      </x:c>
      <x:c r="F4104" s="7" t="str">
        <x:f>'Evidence Obligations'!L94</x:f>
        <x:v>OPEN</x:v>
      </x:c>
    </x:row>
    <x:row r="4105">
      <x:c r="B4105" s="7" t="str">
        <x:v>PHY-4099</x:v>
      </x:c>
      <x:c r="C4105" s="7" t="str">
        <x:v>evidence obligation</x:v>
      </x:c>
      <x:c r="D4105" s="7" t="str">
        <x:v>RAE-E-08-EV-05</x:v>
      </x:c>
      <x:c r="E4105" s="7" t="str">
        <x:v>Evidence Obligations!L95</x:v>
      </x:c>
      <x:c r="F4105" s="7" t="str">
        <x:f>'Evidence Obligations'!L95</x:f>
        <x:v>OPEN</x:v>
      </x:c>
    </x:row>
    <x:row r="4106">
      <x:c r="B4106" s="7" t="str">
        <x:v>PHY-4100</x:v>
      </x:c>
      <x:c r="C4106" s="7" t="str">
        <x:v>evidence obligation</x:v>
      </x:c>
      <x:c r="D4106" s="7" t="str">
        <x:v>RAE-E-08-EV-06</x:v>
      </x:c>
      <x:c r="E4106" s="7" t="str">
        <x:v>Evidence Obligations!L96</x:v>
      </x:c>
      <x:c r="F4106" s="7" t="str">
        <x:f>'Evidence Obligations'!L96</x:f>
        <x:v>OPEN</x:v>
      </x:c>
    </x:row>
    <x:row r="4107">
      <x:c r="B4107" s="7" t="str">
        <x:v>PHY-4101</x:v>
      </x:c>
      <x:c r="C4107" s="7" t="str">
        <x:v>evidence obligation</x:v>
      </x:c>
      <x:c r="D4107" s="7" t="str">
        <x:v>RAE-E-08-EV-07</x:v>
      </x:c>
      <x:c r="E4107" s="7" t="str">
        <x:v>Evidence Obligations!L97</x:v>
      </x:c>
      <x:c r="F4107" s="7" t="str">
        <x:f>'Evidence Obligations'!L97</x:f>
        <x:v>OPEN</x:v>
      </x:c>
    </x:row>
    <x:row r="4108">
      <x:c r="B4108" s="7" t="str">
        <x:v>PHY-4102</x:v>
      </x:c>
      <x:c r="C4108" s="7" t="str">
        <x:v>evidence obligation</x:v>
      </x:c>
      <x:c r="D4108" s="7" t="str">
        <x:v>RAE-E-08-EV-08</x:v>
      </x:c>
      <x:c r="E4108" s="7" t="str">
        <x:v>Evidence Obligations!L98</x:v>
      </x:c>
      <x:c r="F4108" s="7" t="str">
        <x:f>'Evidence Obligations'!L98</x:f>
        <x:v>OPEN</x:v>
      </x:c>
    </x:row>
    <x:row r="4109">
      <x:c r="B4109" s="7" t="str">
        <x:v>PHY-4103</x:v>
      </x:c>
      <x:c r="C4109" s="7" t="str">
        <x:v>evidence obligation</x:v>
      </x:c>
      <x:c r="D4109" s="7" t="str">
        <x:v>RAE-E-08-EV-09</x:v>
      </x:c>
      <x:c r="E4109" s="7" t="str">
        <x:v>Evidence Obligations!L99</x:v>
      </x:c>
      <x:c r="F4109" s="7" t="str">
        <x:f>'Evidence Obligations'!L99</x:f>
        <x:v>OPEN</x:v>
      </x:c>
    </x:row>
    <x:row r="4110">
      <x:c r="B4110" s="7" t="str">
        <x:v>PHY-4104</x:v>
      </x:c>
      <x:c r="C4110" s="7" t="str">
        <x:v>evidence obligation</x:v>
      </x:c>
      <x:c r="D4110" s="7" t="str">
        <x:v>RAE-E-08-EV-10</x:v>
      </x:c>
      <x:c r="E4110" s="7" t="str">
        <x:v>Evidence Obligations!L100</x:v>
      </x:c>
      <x:c r="F4110" s="7" t="str">
        <x:f>'Evidence Obligations'!L100</x:f>
        <x:v>OPEN</x:v>
      </x:c>
    </x:row>
    <x:row r="4111">
      <x:c r="B4111" s="7" t="str">
        <x:v>PHY-4105</x:v>
      </x:c>
      <x:c r="C4111" s="7" t="str">
        <x:v>evidence obligation</x:v>
      </x:c>
      <x:c r="D4111" s="7" t="str">
        <x:v>RAE-E-08-EV-11</x:v>
      </x:c>
      <x:c r="E4111" s="7" t="str">
        <x:v>Evidence Obligations!L101</x:v>
      </x:c>
      <x:c r="F4111" s="7" t="str">
        <x:f>'Evidence Obligations'!L101</x:f>
        <x:v>OPEN</x:v>
      </x:c>
    </x:row>
    <x:row r="4112">
      <x:c r="B4112" s="7" t="str">
        <x:v>PHY-4106</x:v>
      </x:c>
      <x:c r="C4112" s="7" t="str">
        <x:v>evidence obligation</x:v>
      </x:c>
      <x:c r="D4112" s="7" t="str">
        <x:v>RAE-E-08-EV-12</x:v>
      </x:c>
      <x:c r="E4112" s="7" t="str">
        <x:v>Evidence Obligations!L102</x:v>
      </x:c>
      <x:c r="F4112" s="7" t="str">
        <x:f>'Evidence Obligations'!L102</x:f>
        <x:v>OPEN</x:v>
      </x:c>
    </x:row>
    <x:row r="4113">
      <x:c r="B4113" s="7" t="str">
        <x:v>PHY-4107</x:v>
      </x:c>
      <x:c r="C4113" s="7" t="str">
        <x:v>evidence obligation</x:v>
      </x:c>
      <x:c r="D4113" s="7" t="str">
        <x:v>RAE-E-09-EV-01</x:v>
      </x:c>
      <x:c r="E4113" s="7" t="str">
        <x:v>Evidence Obligations!L103</x:v>
      </x:c>
      <x:c r="F4113" s="7" t="str">
        <x:f>'Evidence Obligations'!L103</x:f>
        <x:v>OPEN</x:v>
      </x:c>
    </x:row>
    <x:row r="4114">
      <x:c r="B4114" s="7" t="str">
        <x:v>PHY-4108</x:v>
      </x:c>
      <x:c r="C4114" s="7" t="str">
        <x:v>evidence obligation</x:v>
      </x:c>
      <x:c r="D4114" s="7" t="str">
        <x:v>RAE-E-09-EV-02</x:v>
      </x:c>
      <x:c r="E4114" s="7" t="str">
        <x:v>Evidence Obligations!L104</x:v>
      </x:c>
      <x:c r="F4114" s="7" t="str">
        <x:f>'Evidence Obligations'!L104</x:f>
        <x:v>OPEN</x:v>
      </x:c>
    </x:row>
    <x:row r="4115">
      <x:c r="B4115" s="7" t="str">
        <x:v>PHY-4109</x:v>
      </x:c>
      <x:c r="C4115" s="7" t="str">
        <x:v>evidence obligation</x:v>
      </x:c>
      <x:c r="D4115" s="7" t="str">
        <x:v>RAE-E-09-EV-03</x:v>
      </x:c>
      <x:c r="E4115" s="7" t="str">
        <x:v>Evidence Obligations!L105</x:v>
      </x:c>
      <x:c r="F4115" s="7" t="str">
        <x:f>'Evidence Obligations'!L105</x:f>
        <x:v>OPEN</x:v>
      </x:c>
    </x:row>
    <x:row r="4116">
      <x:c r="B4116" s="7" t="str">
        <x:v>PHY-4110</x:v>
      </x:c>
      <x:c r="C4116" s="7" t="str">
        <x:v>evidence obligation</x:v>
      </x:c>
      <x:c r="D4116" s="7" t="str">
        <x:v>RAE-E-09-EV-04</x:v>
      </x:c>
      <x:c r="E4116" s="7" t="str">
        <x:v>Evidence Obligations!L106</x:v>
      </x:c>
      <x:c r="F4116" s="7" t="str">
        <x:f>'Evidence Obligations'!L106</x:f>
        <x:v>OPEN</x:v>
      </x:c>
    </x:row>
    <x:row r="4117">
      <x:c r="B4117" s="7" t="str">
        <x:v>PHY-4111</x:v>
      </x:c>
      <x:c r="C4117" s="7" t="str">
        <x:v>evidence obligation</x:v>
      </x:c>
      <x:c r="D4117" s="7" t="str">
        <x:v>RAE-E-09-EV-05</x:v>
      </x:c>
      <x:c r="E4117" s="7" t="str">
        <x:v>Evidence Obligations!L107</x:v>
      </x:c>
      <x:c r="F4117" s="7" t="str">
        <x:f>'Evidence Obligations'!L107</x:f>
        <x:v>OPEN</x:v>
      </x:c>
    </x:row>
    <x:row r="4118">
      <x:c r="B4118" s="7" t="str">
        <x:v>PHY-4112</x:v>
      </x:c>
      <x:c r="C4118" s="7" t="str">
        <x:v>evidence obligation</x:v>
      </x:c>
      <x:c r="D4118" s="7" t="str">
        <x:v>RAE-E-09-EV-06</x:v>
      </x:c>
      <x:c r="E4118" s="7" t="str">
        <x:v>Evidence Obligations!L108</x:v>
      </x:c>
      <x:c r="F4118" s="7" t="str">
        <x:f>'Evidence Obligations'!L108</x:f>
        <x:v>OPEN</x:v>
      </x:c>
    </x:row>
    <x:row r="4119">
      <x:c r="B4119" s="7" t="str">
        <x:v>PHY-4113</x:v>
      </x:c>
      <x:c r="C4119" s="7" t="str">
        <x:v>evidence obligation</x:v>
      </x:c>
      <x:c r="D4119" s="7" t="str">
        <x:v>RAE-E-09-EV-07</x:v>
      </x:c>
      <x:c r="E4119" s="7" t="str">
        <x:v>Evidence Obligations!L109</x:v>
      </x:c>
      <x:c r="F4119" s="7" t="str">
        <x:f>'Evidence Obligations'!L109</x:f>
        <x:v>OPEN</x:v>
      </x:c>
    </x:row>
    <x:row r="4120">
      <x:c r="B4120" s="7" t="str">
        <x:v>PHY-4114</x:v>
      </x:c>
      <x:c r="C4120" s="7" t="str">
        <x:v>evidence obligation</x:v>
      </x:c>
      <x:c r="D4120" s="7" t="str">
        <x:v>RAE-E-09-EV-08</x:v>
      </x:c>
      <x:c r="E4120" s="7" t="str">
        <x:v>Evidence Obligations!L110</x:v>
      </x:c>
      <x:c r="F4120" s="7" t="str">
        <x:f>'Evidence Obligations'!L110</x:f>
        <x:v>OPEN</x:v>
      </x:c>
    </x:row>
    <x:row r="4121">
      <x:c r="B4121" s="7" t="str">
        <x:v>PHY-4115</x:v>
      </x:c>
      <x:c r="C4121" s="7" t="str">
        <x:v>evidence obligation</x:v>
      </x:c>
      <x:c r="D4121" s="7" t="str">
        <x:v>RAE-E-09-EV-09</x:v>
      </x:c>
      <x:c r="E4121" s="7" t="str">
        <x:v>Evidence Obligations!L111</x:v>
      </x:c>
      <x:c r="F4121" s="7" t="str">
        <x:f>'Evidence Obligations'!L111</x:f>
        <x:v>OPEN</x:v>
      </x:c>
    </x:row>
    <x:row r="4122">
      <x:c r="B4122" s="7" t="str">
        <x:v>PHY-4116</x:v>
      </x:c>
      <x:c r="C4122" s="7" t="str">
        <x:v>evidence obligation</x:v>
      </x:c>
      <x:c r="D4122" s="7" t="str">
        <x:v>RAE-E-09-EV-10</x:v>
      </x:c>
      <x:c r="E4122" s="7" t="str">
        <x:v>Evidence Obligations!L112</x:v>
      </x:c>
      <x:c r="F4122" s="7" t="str">
        <x:f>'Evidence Obligations'!L112</x:f>
        <x:v>OPEN</x:v>
      </x:c>
    </x:row>
    <x:row r="4123">
      <x:c r="B4123" s="7" t="str">
        <x:v>PHY-4117</x:v>
      </x:c>
      <x:c r="C4123" s="7" t="str">
        <x:v>evidence obligation</x:v>
      </x:c>
      <x:c r="D4123" s="7" t="str">
        <x:v>RAE-E-09-EV-11</x:v>
      </x:c>
      <x:c r="E4123" s="7" t="str">
        <x:v>Evidence Obligations!L113</x:v>
      </x:c>
      <x:c r="F4123" s="7" t="str">
        <x:f>'Evidence Obligations'!L113</x:f>
        <x:v>OPEN</x:v>
      </x:c>
    </x:row>
    <x:row r="4124">
      <x:c r="B4124" s="7" t="str">
        <x:v>PHY-4118</x:v>
      </x:c>
      <x:c r="C4124" s="7" t="str">
        <x:v>evidence obligation</x:v>
      </x:c>
      <x:c r="D4124" s="7" t="str">
        <x:v>RAE-E-09-EV-12</x:v>
      </x:c>
      <x:c r="E4124" s="7" t="str">
        <x:v>Evidence Obligations!L114</x:v>
      </x:c>
      <x:c r="F4124" s="7" t="str">
        <x:f>'Evidence Obligations'!L114</x:f>
        <x:v>OPEN</x:v>
      </x:c>
    </x:row>
    <x:row r="4125">
      <x:c r="B4125" s="7" t="str">
        <x:v>PHY-4119</x:v>
      </x:c>
      <x:c r="C4125" s="7" t="str">
        <x:v>evidence obligation</x:v>
      </x:c>
      <x:c r="D4125" s="7" t="str">
        <x:v>RAE-E-10-EV-01</x:v>
      </x:c>
      <x:c r="E4125" s="7" t="str">
        <x:v>Evidence Obligations!L115</x:v>
      </x:c>
      <x:c r="F4125" s="7" t="str">
        <x:f>'Evidence Obligations'!L115</x:f>
        <x:v>OPEN</x:v>
      </x:c>
    </x:row>
    <x:row r="4126">
      <x:c r="B4126" s="7" t="str">
        <x:v>PHY-4120</x:v>
      </x:c>
      <x:c r="C4126" s="7" t="str">
        <x:v>evidence obligation</x:v>
      </x:c>
      <x:c r="D4126" s="7" t="str">
        <x:v>RAE-E-10-EV-02</x:v>
      </x:c>
      <x:c r="E4126" s="7" t="str">
        <x:v>Evidence Obligations!L116</x:v>
      </x:c>
      <x:c r="F4126" s="7" t="str">
        <x:f>'Evidence Obligations'!L116</x:f>
        <x:v>OPEN</x:v>
      </x:c>
    </x:row>
    <x:row r="4127">
      <x:c r="B4127" s="7" t="str">
        <x:v>PHY-4121</x:v>
      </x:c>
      <x:c r="C4127" s="7" t="str">
        <x:v>evidence obligation</x:v>
      </x:c>
      <x:c r="D4127" s="7" t="str">
        <x:v>RAE-E-10-EV-03</x:v>
      </x:c>
      <x:c r="E4127" s="7" t="str">
        <x:v>Evidence Obligations!L117</x:v>
      </x:c>
      <x:c r="F4127" s="7" t="str">
        <x:f>'Evidence Obligations'!L117</x:f>
        <x:v>OPEN</x:v>
      </x:c>
    </x:row>
    <x:row r="4128">
      <x:c r="B4128" s="7" t="str">
        <x:v>PHY-4122</x:v>
      </x:c>
      <x:c r="C4128" s="7" t="str">
        <x:v>evidence obligation</x:v>
      </x:c>
      <x:c r="D4128" s="7" t="str">
        <x:v>RAE-E-10-EV-04</x:v>
      </x:c>
      <x:c r="E4128" s="7" t="str">
        <x:v>Evidence Obligations!L118</x:v>
      </x:c>
      <x:c r="F4128" s="7" t="str">
        <x:f>'Evidence Obligations'!L118</x:f>
        <x:v>OPEN</x:v>
      </x:c>
    </x:row>
    <x:row r="4129">
      <x:c r="B4129" s="7" t="str">
        <x:v>PHY-4123</x:v>
      </x:c>
      <x:c r="C4129" s="7" t="str">
        <x:v>evidence obligation</x:v>
      </x:c>
      <x:c r="D4129" s="7" t="str">
        <x:v>RAE-E-10-EV-05</x:v>
      </x:c>
      <x:c r="E4129" s="7" t="str">
        <x:v>Evidence Obligations!L119</x:v>
      </x:c>
      <x:c r="F4129" s="7" t="str">
        <x:f>'Evidence Obligations'!L119</x:f>
        <x:v>OPEN</x:v>
      </x:c>
    </x:row>
    <x:row r="4130">
      <x:c r="B4130" s="7" t="str">
        <x:v>PHY-4124</x:v>
      </x:c>
      <x:c r="C4130" s="7" t="str">
        <x:v>evidence obligation</x:v>
      </x:c>
      <x:c r="D4130" s="7" t="str">
        <x:v>RAE-E-10-EV-06</x:v>
      </x:c>
      <x:c r="E4130" s="7" t="str">
        <x:v>Evidence Obligations!L120</x:v>
      </x:c>
      <x:c r="F4130" s="7" t="str">
        <x:f>'Evidence Obligations'!L120</x:f>
        <x:v>OPEN</x:v>
      </x:c>
    </x:row>
    <x:row r="4131">
      <x:c r="B4131" s="7" t="str">
        <x:v>PHY-4125</x:v>
      </x:c>
      <x:c r="C4131" s="7" t="str">
        <x:v>evidence obligation</x:v>
      </x:c>
      <x:c r="D4131" s="7" t="str">
        <x:v>RAE-E-10-EV-07</x:v>
      </x:c>
      <x:c r="E4131" s="7" t="str">
        <x:v>Evidence Obligations!L121</x:v>
      </x:c>
      <x:c r="F4131" s="7" t="str">
        <x:f>'Evidence Obligations'!L121</x:f>
        <x:v>OPEN</x:v>
      </x:c>
    </x:row>
    <x:row r="4132">
      <x:c r="B4132" s="7" t="str">
        <x:v>PHY-4126</x:v>
      </x:c>
      <x:c r="C4132" s="7" t="str">
        <x:v>evidence obligation</x:v>
      </x:c>
      <x:c r="D4132" s="7" t="str">
        <x:v>RAE-E-10-EV-08</x:v>
      </x:c>
      <x:c r="E4132" s="7" t="str">
        <x:v>Evidence Obligations!L122</x:v>
      </x:c>
      <x:c r="F4132" s="7" t="str">
        <x:f>'Evidence Obligations'!L122</x:f>
        <x:v>OPEN</x:v>
      </x:c>
    </x:row>
    <x:row r="4133">
      <x:c r="B4133" s="7" t="str">
        <x:v>PHY-4127</x:v>
      </x:c>
      <x:c r="C4133" s="7" t="str">
        <x:v>evidence obligation</x:v>
      </x:c>
      <x:c r="D4133" s="7" t="str">
        <x:v>RAE-E-10-EV-09</x:v>
      </x:c>
      <x:c r="E4133" s="7" t="str">
        <x:v>Evidence Obligations!L123</x:v>
      </x:c>
      <x:c r="F4133" s="7" t="str">
        <x:f>'Evidence Obligations'!L123</x:f>
        <x:v>OPEN</x:v>
      </x:c>
    </x:row>
    <x:row r="4134">
      <x:c r="B4134" s="7" t="str">
        <x:v>PHY-4128</x:v>
      </x:c>
      <x:c r="C4134" s="7" t="str">
        <x:v>evidence obligation</x:v>
      </x:c>
      <x:c r="D4134" s="7" t="str">
        <x:v>RAE-E-10-EV-10</x:v>
      </x:c>
      <x:c r="E4134" s="7" t="str">
        <x:v>Evidence Obligations!L124</x:v>
      </x:c>
      <x:c r="F4134" s="7" t="str">
        <x:f>'Evidence Obligations'!L124</x:f>
        <x:v>OPEN</x:v>
      </x:c>
    </x:row>
    <x:row r="4135">
      <x:c r="B4135" s="7" t="str">
        <x:v>PHY-4129</x:v>
      </x:c>
      <x:c r="C4135" s="7" t="str">
        <x:v>evidence obligation</x:v>
      </x:c>
      <x:c r="D4135" s="7" t="str">
        <x:v>RAE-E-10-EV-11</x:v>
      </x:c>
      <x:c r="E4135" s="7" t="str">
        <x:v>Evidence Obligations!L125</x:v>
      </x:c>
      <x:c r="F4135" s="7" t="str">
        <x:f>'Evidence Obligations'!L125</x:f>
        <x:v>OPEN</x:v>
      </x:c>
    </x:row>
    <x:row r="4136">
      <x:c r="B4136" s="7" t="str">
        <x:v>PHY-4130</x:v>
      </x:c>
      <x:c r="C4136" s="7" t="str">
        <x:v>evidence obligation</x:v>
      </x:c>
      <x:c r="D4136" s="7" t="str">
        <x:v>RAE-E-10-EV-12</x:v>
      </x:c>
      <x:c r="E4136" s="7" t="str">
        <x:v>Evidence Obligations!L126</x:v>
      </x:c>
      <x:c r="F4136" s="7" t="str">
        <x:f>'Evidence Obligations'!L126</x:f>
        <x:v>OPEN</x:v>
      </x:c>
    </x:row>
    <x:row r="4137">
      <x:c r="B4137" s="7" t="str">
        <x:v>PHY-4131</x:v>
      </x:c>
      <x:c r="C4137" s="7" t="str">
        <x:v>evidence obligation</x:v>
      </x:c>
      <x:c r="D4137" s="7" t="str">
        <x:v>RAE-E-11-EV-01</x:v>
      </x:c>
      <x:c r="E4137" s="7" t="str">
        <x:v>Evidence Obligations!L127</x:v>
      </x:c>
      <x:c r="F4137" s="7" t="str">
        <x:f>'Evidence Obligations'!L127</x:f>
        <x:v>OPEN</x:v>
      </x:c>
    </x:row>
    <x:row r="4138">
      <x:c r="B4138" s="7" t="str">
        <x:v>PHY-4132</x:v>
      </x:c>
      <x:c r="C4138" s="7" t="str">
        <x:v>evidence obligation</x:v>
      </x:c>
      <x:c r="D4138" s="7" t="str">
        <x:v>RAE-E-11-EV-02</x:v>
      </x:c>
      <x:c r="E4138" s="7" t="str">
        <x:v>Evidence Obligations!L128</x:v>
      </x:c>
      <x:c r="F4138" s="7" t="str">
        <x:f>'Evidence Obligations'!L128</x:f>
        <x:v>OPEN</x:v>
      </x:c>
    </x:row>
    <x:row r="4139">
      <x:c r="B4139" s="7" t="str">
        <x:v>PHY-4133</x:v>
      </x:c>
      <x:c r="C4139" s="7" t="str">
        <x:v>evidence obligation</x:v>
      </x:c>
      <x:c r="D4139" s="7" t="str">
        <x:v>RAE-E-11-EV-03</x:v>
      </x:c>
      <x:c r="E4139" s="7" t="str">
        <x:v>Evidence Obligations!L129</x:v>
      </x:c>
      <x:c r="F4139" s="7" t="str">
        <x:f>'Evidence Obligations'!L129</x:f>
        <x:v>OPEN</x:v>
      </x:c>
    </x:row>
    <x:row r="4140">
      <x:c r="B4140" s="7" t="str">
        <x:v>PHY-4134</x:v>
      </x:c>
      <x:c r="C4140" s="7" t="str">
        <x:v>evidence obligation</x:v>
      </x:c>
      <x:c r="D4140" s="7" t="str">
        <x:v>RAE-E-11-EV-04</x:v>
      </x:c>
      <x:c r="E4140" s="7" t="str">
        <x:v>Evidence Obligations!L130</x:v>
      </x:c>
      <x:c r="F4140" s="7" t="str">
        <x:f>'Evidence Obligations'!L130</x:f>
        <x:v>OPEN</x:v>
      </x:c>
    </x:row>
    <x:row r="4141">
      <x:c r="B4141" s="7" t="str">
        <x:v>PHY-4135</x:v>
      </x:c>
      <x:c r="C4141" s="7" t="str">
        <x:v>evidence obligation</x:v>
      </x:c>
      <x:c r="D4141" s="7" t="str">
        <x:v>RAE-E-11-EV-05</x:v>
      </x:c>
      <x:c r="E4141" s="7" t="str">
        <x:v>Evidence Obligations!L131</x:v>
      </x:c>
      <x:c r="F4141" s="7" t="str">
        <x:f>'Evidence Obligations'!L131</x:f>
        <x:v>OPEN</x:v>
      </x:c>
    </x:row>
    <x:row r="4142">
      <x:c r="B4142" s="7" t="str">
        <x:v>PHY-4136</x:v>
      </x:c>
      <x:c r="C4142" s="7" t="str">
        <x:v>evidence obligation</x:v>
      </x:c>
      <x:c r="D4142" s="7" t="str">
        <x:v>RAE-E-11-EV-06</x:v>
      </x:c>
      <x:c r="E4142" s="7" t="str">
        <x:v>Evidence Obligations!L132</x:v>
      </x:c>
      <x:c r="F4142" s="7" t="str">
        <x:f>'Evidence Obligations'!L132</x:f>
        <x:v>OPEN</x:v>
      </x:c>
    </x:row>
    <x:row r="4143">
      <x:c r="B4143" s="7" t="str">
        <x:v>PHY-4137</x:v>
      </x:c>
      <x:c r="C4143" s="7" t="str">
        <x:v>evidence obligation</x:v>
      </x:c>
      <x:c r="D4143" s="7" t="str">
        <x:v>RAE-E-11-EV-07</x:v>
      </x:c>
      <x:c r="E4143" s="7" t="str">
        <x:v>Evidence Obligations!L133</x:v>
      </x:c>
      <x:c r="F4143" s="7" t="str">
        <x:f>'Evidence Obligations'!L133</x:f>
        <x:v>OPEN</x:v>
      </x:c>
    </x:row>
    <x:row r="4144">
      <x:c r="B4144" s="7" t="str">
        <x:v>PHY-4138</x:v>
      </x:c>
      <x:c r="C4144" s="7" t="str">
        <x:v>evidence obligation</x:v>
      </x:c>
      <x:c r="D4144" s="7" t="str">
        <x:v>RAE-E-11-EV-08</x:v>
      </x:c>
      <x:c r="E4144" s="7" t="str">
        <x:v>Evidence Obligations!L134</x:v>
      </x:c>
      <x:c r="F4144" s="7" t="str">
        <x:f>'Evidence Obligations'!L134</x:f>
        <x:v>OPEN</x:v>
      </x:c>
    </x:row>
    <x:row r="4145">
      <x:c r="B4145" s="7" t="str">
        <x:v>PHY-4139</x:v>
      </x:c>
      <x:c r="C4145" s="7" t="str">
        <x:v>evidence obligation</x:v>
      </x:c>
      <x:c r="D4145" s="7" t="str">
        <x:v>RAE-E-11-EV-09</x:v>
      </x:c>
      <x:c r="E4145" s="7" t="str">
        <x:v>Evidence Obligations!L135</x:v>
      </x:c>
      <x:c r="F4145" s="7" t="str">
        <x:f>'Evidence Obligations'!L135</x:f>
        <x:v>OPEN</x:v>
      </x:c>
    </x:row>
    <x:row r="4146">
      <x:c r="B4146" s="7" t="str">
        <x:v>PHY-4140</x:v>
      </x:c>
      <x:c r="C4146" s="7" t="str">
        <x:v>evidence obligation</x:v>
      </x:c>
      <x:c r="D4146" s="7" t="str">
        <x:v>RAE-E-11-EV-10</x:v>
      </x:c>
      <x:c r="E4146" s="7" t="str">
        <x:v>Evidence Obligations!L136</x:v>
      </x:c>
      <x:c r="F4146" s="7" t="str">
        <x:f>'Evidence Obligations'!L136</x:f>
        <x:v>OPEN</x:v>
      </x:c>
    </x:row>
    <x:row r="4147">
      <x:c r="B4147" s="7" t="str">
        <x:v>PHY-4141</x:v>
      </x:c>
      <x:c r="C4147" s="7" t="str">
        <x:v>evidence obligation</x:v>
      </x:c>
      <x:c r="D4147" s="7" t="str">
        <x:v>RAE-E-11-EV-11</x:v>
      </x:c>
      <x:c r="E4147" s="7" t="str">
        <x:v>Evidence Obligations!L137</x:v>
      </x:c>
      <x:c r="F4147" s="7" t="str">
        <x:f>'Evidence Obligations'!L137</x:f>
        <x:v>OPEN</x:v>
      </x:c>
    </x:row>
    <x:row r="4148">
      <x:c r="B4148" s="7" t="str">
        <x:v>PHY-4142</x:v>
      </x:c>
      <x:c r="C4148" s="7" t="str">
        <x:v>evidence obligation</x:v>
      </x:c>
      <x:c r="D4148" s="7" t="str">
        <x:v>RAE-E-11-EV-12</x:v>
      </x:c>
      <x:c r="E4148" s="7" t="str">
        <x:v>Evidence Obligations!L138</x:v>
      </x:c>
      <x:c r="F4148" s="7" t="str">
        <x:f>'Evidence Obligations'!L138</x:f>
        <x:v>OPEN</x:v>
      </x:c>
    </x:row>
    <x:row r="4149">
      <x:c r="B4149" s="7" t="str">
        <x:v>PHY-4143</x:v>
      </x:c>
      <x:c r="C4149" s="7" t="str">
        <x:v>evidence obligation</x:v>
      </x:c>
      <x:c r="D4149" s="7" t="str">
        <x:v>RAE-E-12-EV-01</x:v>
      </x:c>
      <x:c r="E4149" s="7" t="str">
        <x:v>Evidence Obligations!L139</x:v>
      </x:c>
      <x:c r="F4149" s="7" t="str">
        <x:f>'Evidence Obligations'!L139</x:f>
        <x:v>OPEN</x:v>
      </x:c>
    </x:row>
    <x:row r="4150">
      <x:c r="B4150" s="7" t="str">
        <x:v>PHY-4144</x:v>
      </x:c>
      <x:c r="C4150" s="7" t="str">
        <x:v>evidence obligation</x:v>
      </x:c>
      <x:c r="D4150" s="7" t="str">
        <x:v>RAE-E-12-EV-02</x:v>
      </x:c>
      <x:c r="E4150" s="7" t="str">
        <x:v>Evidence Obligations!L140</x:v>
      </x:c>
      <x:c r="F4150" s="7" t="str">
        <x:f>'Evidence Obligations'!L140</x:f>
        <x:v>OPEN</x:v>
      </x:c>
    </x:row>
    <x:row r="4151">
      <x:c r="B4151" s="7" t="str">
        <x:v>PHY-4145</x:v>
      </x:c>
      <x:c r="C4151" s="7" t="str">
        <x:v>evidence obligation</x:v>
      </x:c>
      <x:c r="D4151" s="7" t="str">
        <x:v>RAE-E-12-EV-03</x:v>
      </x:c>
      <x:c r="E4151" s="7" t="str">
        <x:v>Evidence Obligations!L141</x:v>
      </x:c>
      <x:c r="F4151" s="7" t="str">
        <x:f>'Evidence Obligations'!L141</x:f>
        <x:v>OPEN</x:v>
      </x:c>
    </x:row>
    <x:row r="4152">
      <x:c r="B4152" s="7" t="str">
        <x:v>PHY-4146</x:v>
      </x:c>
      <x:c r="C4152" s="7" t="str">
        <x:v>evidence obligation</x:v>
      </x:c>
      <x:c r="D4152" s="7" t="str">
        <x:v>RAE-E-12-EV-04</x:v>
      </x:c>
      <x:c r="E4152" s="7" t="str">
        <x:v>Evidence Obligations!L142</x:v>
      </x:c>
      <x:c r="F4152" s="7" t="str">
        <x:f>'Evidence Obligations'!L142</x:f>
        <x:v>OPEN</x:v>
      </x:c>
    </x:row>
    <x:row r="4153">
      <x:c r="B4153" s="7" t="str">
        <x:v>PHY-4147</x:v>
      </x:c>
      <x:c r="C4153" s="7" t="str">
        <x:v>evidence obligation</x:v>
      </x:c>
      <x:c r="D4153" s="7" t="str">
        <x:v>RAE-E-12-EV-05</x:v>
      </x:c>
      <x:c r="E4153" s="7" t="str">
        <x:v>Evidence Obligations!L143</x:v>
      </x:c>
      <x:c r="F4153" s="7" t="str">
        <x:f>'Evidence Obligations'!L143</x:f>
        <x:v>OPEN</x:v>
      </x:c>
    </x:row>
    <x:row r="4154">
      <x:c r="B4154" s="7" t="str">
        <x:v>PHY-4148</x:v>
      </x:c>
      <x:c r="C4154" s="7" t="str">
        <x:v>evidence obligation</x:v>
      </x:c>
      <x:c r="D4154" s="7" t="str">
        <x:v>RAE-E-12-EV-06</x:v>
      </x:c>
      <x:c r="E4154" s="7" t="str">
        <x:v>Evidence Obligations!L144</x:v>
      </x:c>
      <x:c r="F4154" s="7" t="str">
        <x:f>'Evidence Obligations'!L144</x:f>
        <x:v>OPEN</x:v>
      </x:c>
    </x:row>
    <x:row r="4155">
      <x:c r="B4155" s="7" t="str">
        <x:v>PHY-4149</x:v>
      </x:c>
      <x:c r="C4155" s="7" t="str">
        <x:v>evidence obligation</x:v>
      </x:c>
      <x:c r="D4155" s="7" t="str">
        <x:v>RAE-E-12-EV-07</x:v>
      </x:c>
      <x:c r="E4155" s="7" t="str">
        <x:v>Evidence Obligations!L145</x:v>
      </x:c>
      <x:c r="F4155" s="7" t="str">
        <x:f>'Evidence Obligations'!L145</x:f>
        <x:v>OPEN</x:v>
      </x:c>
    </x:row>
    <x:row r="4156">
      <x:c r="B4156" s="7" t="str">
        <x:v>PHY-4150</x:v>
      </x:c>
      <x:c r="C4156" s="7" t="str">
        <x:v>evidence obligation</x:v>
      </x:c>
      <x:c r="D4156" s="7" t="str">
        <x:v>RAE-E-12-EV-08</x:v>
      </x:c>
      <x:c r="E4156" s="7" t="str">
        <x:v>Evidence Obligations!L146</x:v>
      </x:c>
      <x:c r="F4156" s="7" t="str">
        <x:f>'Evidence Obligations'!L146</x:f>
        <x:v>OPEN</x:v>
      </x:c>
    </x:row>
    <x:row r="4157">
      <x:c r="B4157" s="7" t="str">
        <x:v>PHY-4151</x:v>
      </x:c>
      <x:c r="C4157" s="7" t="str">
        <x:v>evidence obligation</x:v>
      </x:c>
      <x:c r="D4157" s="7" t="str">
        <x:v>RAE-E-12-EV-09</x:v>
      </x:c>
      <x:c r="E4157" s="7" t="str">
        <x:v>Evidence Obligations!L147</x:v>
      </x:c>
      <x:c r="F4157" s="7" t="str">
        <x:f>'Evidence Obligations'!L147</x:f>
        <x:v>OPEN</x:v>
      </x:c>
    </x:row>
    <x:row r="4158">
      <x:c r="B4158" s="7" t="str">
        <x:v>PHY-4152</x:v>
      </x:c>
      <x:c r="C4158" s="7" t="str">
        <x:v>evidence obligation</x:v>
      </x:c>
      <x:c r="D4158" s="7" t="str">
        <x:v>RAE-E-12-EV-10</x:v>
      </x:c>
      <x:c r="E4158" s="7" t="str">
        <x:v>Evidence Obligations!L148</x:v>
      </x:c>
      <x:c r="F4158" s="7" t="str">
        <x:f>'Evidence Obligations'!L148</x:f>
        <x:v>OPEN</x:v>
      </x:c>
    </x:row>
    <x:row r="4159">
      <x:c r="B4159" s="7" t="str">
        <x:v>PHY-4153</x:v>
      </x:c>
      <x:c r="C4159" s="7" t="str">
        <x:v>evidence obligation</x:v>
      </x:c>
      <x:c r="D4159" s="7" t="str">
        <x:v>RAE-E-12-EV-11</x:v>
      </x:c>
      <x:c r="E4159" s="7" t="str">
        <x:v>Evidence Obligations!L149</x:v>
      </x:c>
      <x:c r="F4159" s="7" t="str">
        <x:f>'Evidence Obligations'!L149</x:f>
        <x:v>OPEN</x:v>
      </x:c>
    </x:row>
    <x:row r="4160">
      <x:c r="B4160" s="7" t="str">
        <x:v>PHY-4154</x:v>
      </x:c>
      <x:c r="C4160" s="7" t="str">
        <x:v>evidence obligation</x:v>
      </x:c>
      <x:c r="D4160" s="7" t="str">
        <x:v>RAE-E-12-EV-12</x:v>
      </x:c>
      <x:c r="E4160" s="7" t="str">
        <x:v>Evidence Obligations!L150</x:v>
      </x:c>
      <x:c r="F4160" s="7" t="str">
        <x:f>'Evidence Obligations'!L150</x:f>
        <x:v>OPEN</x:v>
      </x:c>
    </x:row>
    <x:row r="4161">
      <x:c r="B4161" s="7" t="str">
        <x:v>PHY-4155</x:v>
      </x:c>
      <x:c r="C4161" s="7" t="str">
        <x:v>evidence obligation</x:v>
      </x:c>
      <x:c r="D4161" s="7" t="str">
        <x:v>RAE-E-13-EV-01</x:v>
      </x:c>
      <x:c r="E4161" s="7" t="str">
        <x:v>Evidence Obligations!L151</x:v>
      </x:c>
      <x:c r="F4161" s="7" t="str">
        <x:f>'Evidence Obligations'!L151</x:f>
        <x:v>OPEN</x:v>
      </x:c>
    </x:row>
    <x:row r="4162">
      <x:c r="B4162" s="7" t="str">
        <x:v>PHY-4156</x:v>
      </x:c>
      <x:c r="C4162" s="7" t="str">
        <x:v>evidence obligation</x:v>
      </x:c>
      <x:c r="D4162" s="7" t="str">
        <x:v>RAE-E-13-EV-02</x:v>
      </x:c>
      <x:c r="E4162" s="7" t="str">
        <x:v>Evidence Obligations!L152</x:v>
      </x:c>
      <x:c r="F4162" s="7" t="str">
        <x:f>'Evidence Obligations'!L152</x:f>
        <x:v>OPEN</x:v>
      </x:c>
    </x:row>
    <x:row r="4163">
      <x:c r="B4163" s="7" t="str">
        <x:v>PHY-4157</x:v>
      </x:c>
      <x:c r="C4163" s="7" t="str">
        <x:v>evidence obligation</x:v>
      </x:c>
      <x:c r="D4163" s="7" t="str">
        <x:v>RAE-E-13-EV-03</x:v>
      </x:c>
      <x:c r="E4163" s="7" t="str">
        <x:v>Evidence Obligations!L153</x:v>
      </x:c>
      <x:c r="F4163" s="7" t="str">
        <x:f>'Evidence Obligations'!L153</x:f>
        <x:v>OPEN</x:v>
      </x:c>
    </x:row>
    <x:row r="4164">
      <x:c r="B4164" s="7" t="str">
        <x:v>PHY-4158</x:v>
      </x:c>
      <x:c r="C4164" s="7" t="str">
        <x:v>evidence obligation</x:v>
      </x:c>
      <x:c r="D4164" s="7" t="str">
        <x:v>RAE-E-13-EV-04</x:v>
      </x:c>
      <x:c r="E4164" s="7" t="str">
        <x:v>Evidence Obligations!L154</x:v>
      </x:c>
      <x:c r="F4164" s="7" t="str">
        <x:f>'Evidence Obligations'!L154</x:f>
        <x:v>OPEN</x:v>
      </x:c>
    </x:row>
    <x:row r="4165">
      <x:c r="B4165" s="7" t="str">
        <x:v>PHY-4159</x:v>
      </x:c>
      <x:c r="C4165" s="7" t="str">
        <x:v>evidence obligation</x:v>
      </x:c>
      <x:c r="D4165" s="7" t="str">
        <x:v>RAE-E-13-EV-05</x:v>
      </x:c>
      <x:c r="E4165" s="7" t="str">
        <x:v>Evidence Obligations!L155</x:v>
      </x:c>
      <x:c r="F4165" s="7" t="str">
        <x:f>'Evidence Obligations'!L155</x:f>
        <x:v>OPEN</x:v>
      </x:c>
    </x:row>
    <x:row r="4166">
      <x:c r="B4166" s="7" t="str">
        <x:v>PHY-4160</x:v>
      </x:c>
      <x:c r="C4166" s="7" t="str">
        <x:v>evidence obligation</x:v>
      </x:c>
      <x:c r="D4166" s="7" t="str">
        <x:v>RAE-E-13-EV-06</x:v>
      </x:c>
      <x:c r="E4166" s="7" t="str">
        <x:v>Evidence Obligations!L156</x:v>
      </x:c>
      <x:c r="F4166" s="7" t="str">
        <x:f>'Evidence Obligations'!L156</x:f>
        <x:v>OPEN</x:v>
      </x:c>
    </x:row>
    <x:row r="4167">
      <x:c r="B4167" s="7" t="str">
        <x:v>PHY-4161</x:v>
      </x:c>
      <x:c r="C4167" s="7" t="str">
        <x:v>evidence obligation</x:v>
      </x:c>
      <x:c r="D4167" s="7" t="str">
        <x:v>RAE-E-13-EV-07</x:v>
      </x:c>
      <x:c r="E4167" s="7" t="str">
        <x:v>Evidence Obligations!L157</x:v>
      </x:c>
      <x:c r="F4167" s="7" t="str">
        <x:f>'Evidence Obligations'!L157</x:f>
        <x:v>OPEN</x:v>
      </x:c>
    </x:row>
    <x:row r="4168">
      <x:c r="B4168" s="7" t="str">
        <x:v>PHY-4162</x:v>
      </x:c>
      <x:c r="C4168" s="7" t="str">
        <x:v>evidence obligation</x:v>
      </x:c>
      <x:c r="D4168" s="7" t="str">
        <x:v>RAE-E-13-EV-08</x:v>
      </x:c>
      <x:c r="E4168" s="7" t="str">
        <x:v>Evidence Obligations!L158</x:v>
      </x:c>
      <x:c r="F4168" s="7" t="str">
        <x:f>'Evidence Obligations'!L158</x:f>
        <x:v>OPEN</x:v>
      </x:c>
    </x:row>
    <x:row r="4169">
      <x:c r="B4169" s="7" t="str">
        <x:v>PHY-4163</x:v>
      </x:c>
      <x:c r="C4169" s="7" t="str">
        <x:v>evidence obligation</x:v>
      </x:c>
      <x:c r="D4169" s="7" t="str">
        <x:v>RAE-E-13-EV-09</x:v>
      </x:c>
      <x:c r="E4169" s="7" t="str">
        <x:v>Evidence Obligations!L159</x:v>
      </x:c>
      <x:c r="F4169" s="7" t="str">
        <x:f>'Evidence Obligations'!L159</x:f>
        <x:v>OPEN</x:v>
      </x:c>
    </x:row>
    <x:row r="4170">
      <x:c r="B4170" s="7" t="str">
        <x:v>PHY-4164</x:v>
      </x:c>
      <x:c r="C4170" s="7" t="str">
        <x:v>evidence obligation</x:v>
      </x:c>
      <x:c r="D4170" s="7" t="str">
        <x:v>RAE-E-13-EV-10</x:v>
      </x:c>
      <x:c r="E4170" s="7" t="str">
        <x:v>Evidence Obligations!L160</x:v>
      </x:c>
      <x:c r="F4170" s="7" t="str">
        <x:f>'Evidence Obligations'!L160</x:f>
        <x:v>OPEN</x:v>
      </x:c>
    </x:row>
    <x:row r="4171">
      <x:c r="B4171" s="7" t="str">
        <x:v>PHY-4165</x:v>
      </x:c>
      <x:c r="C4171" s="7" t="str">
        <x:v>evidence obligation</x:v>
      </x:c>
      <x:c r="D4171" s="7" t="str">
        <x:v>RAE-E-13-EV-11</x:v>
      </x:c>
      <x:c r="E4171" s="7" t="str">
        <x:v>Evidence Obligations!L161</x:v>
      </x:c>
      <x:c r="F4171" s="7" t="str">
        <x:f>'Evidence Obligations'!L161</x:f>
        <x:v>OPEN</x:v>
      </x:c>
    </x:row>
    <x:row r="4172">
      <x:c r="B4172" s="7" t="str">
        <x:v>PHY-4166</x:v>
      </x:c>
      <x:c r="C4172" s="7" t="str">
        <x:v>evidence obligation</x:v>
      </x:c>
      <x:c r="D4172" s="7" t="str">
        <x:v>RAE-E-13-EV-12</x:v>
      </x:c>
      <x:c r="E4172" s="7" t="str">
        <x:v>Evidence Obligations!L162</x:v>
      </x:c>
      <x:c r="F4172" s="7" t="str">
        <x:f>'Evidence Obligations'!L162</x:f>
        <x:v>OPEN</x:v>
      </x:c>
    </x:row>
    <x:row r="4173">
      <x:c r="B4173" s="7" t="str">
        <x:v>PHY-4167</x:v>
      </x:c>
      <x:c r="C4173" s="7" t="str">
        <x:v>evidence obligation</x:v>
      </x:c>
      <x:c r="D4173" s="7" t="str">
        <x:v>RAE-E-14-EV-01</x:v>
      </x:c>
      <x:c r="E4173" s="7" t="str">
        <x:v>Evidence Obligations!L163</x:v>
      </x:c>
      <x:c r="F4173" s="7" t="str">
        <x:f>'Evidence Obligations'!L163</x:f>
        <x:v>OPEN</x:v>
      </x:c>
    </x:row>
    <x:row r="4174">
      <x:c r="B4174" s="7" t="str">
        <x:v>PHY-4168</x:v>
      </x:c>
      <x:c r="C4174" s="7" t="str">
        <x:v>evidence obligation</x:v>
      </x:c>
      <x:c r="D4174" s="7" t="str">
        <x:v>RAE-E-14-EV-02</x:v>
      </x:c>
      <x:c r="E4174" s="7" t="str">
        <x:v>Evidence Obligations!L164</x:v>
      </x:c>
      <x:c r="F4174" s="7" t="str">
        <x:f>'Evidence Obligations'!L164</x:f>
        <x:v>OPEN</x:v>
      </x:c>
    </x:row>
    <x:row r="4175">
      <x:c r="B4175" s="7" t="str">
        <x:v>PHY-4169</x:v>
      </x:c>
      <x:c r="C4175" s="7" t="str">
        <x:v>evidence obligation</x:v>
      </x:c>
      <x:c r="D4175" s="7" t="str">
        <x:v>RAE-E-14-EV-03</x:v>
      </x:c>
      <x:c r="E4175" s="7" t="str">
        <x:v>Evidence Obligations!L165</x:v>
      </x:c>
      <x:c r="F4175" s="7" t="str">
        <x:f>'Evidence Obligations'!L165</x:f>
        <x:v>OPEN</x:v>
      </x:c>
    </x:row>
    <x:row r="4176">
      <x:c r="B4176" s="7" t="str">
        <x:v>PHY-4170</x:v>
      </x:c>
      <x:c r="C4176" s="7" t="str">
        <x:v>evidence obligation</x:v>
      </x:c>
      <x:c r="D4176" s="7" t="str">
        <x:v>RAE-E-14-EV-04</x:v>
      </x:c>
      <x:c r="E4176" s="7" t="str">
        <x:v>Evidence Obligations!L166</x:v>
      </x:c>
      <x:c r="F4176" s="7" t="str">
        <x:f>'Evidence Obligations'!L166</x:f>
        <x:v>OPEN</x:v>
      </x:c>
    </x:row>
    <x:row r="4177">
      <x:c r="B4177" s="7" t="str">
        <x:v>PHY-4171</x:v>
      </x:c>
      <x:c r="C4177" s="7" t="str">
        <x:v>evidence obligation</x:v>
      </x:c>
      <x:c r="D4177" s="7" t="str">
        <x:v>RAE-E-14-EV-05</x:v>
      </x:c>
      <x:c r="E4177" s="7" t="str">
        <x:v>Evidence Obligations!L167</x:v>
      </x:c>
      <x:c r="F4177" s="7" t="str">
        <x:f>'Evidence Obligations'!L167</x:f>
        <x:v>OPEN</x:v>
      </x:c>
    </x:row>
    <x:row r="4178">
      <x:c r="B4178" s="7" t="str">
        <x:v>PHY-4172</x:v>
      </x:c>
      <x:c r="C4178" s="7" t="str">
        <x:v>evidence obligation</x:v>
      </x:c>
      <x:c r="D4178" s="7" t="str">
        <x:v>RAE-E-14-EV-06</x:v>
      </x:c>
      <x:c r="E4178" s="7" t="str">
        <x:v>Evidence Obligations!L168</x:v>
      </x:c>
      <x:c r="F4178" s="7" t="str">
        <x:f>'Evidence Obligations'!L168</x:f>
        <x:v>OPEN</x:v>
      </x:c>
    </x:row>
    <x:row r="4179">
      <x:c r="B4179" s="7" t="str">
        <x:v>PHY-4173</x:v>
      </x:c>
      <x:c r="C4179" s="7" t="str">
        <x:v>evidence obligation</x:v>
      </x:c>
      <x:c r="D4179" s="7" t="str">
        <x:v>RAE-E-14-EV-07</x:v>
      </x:c>
      <x:c r="E4179" s="7" t="str">
        <x:v>Evidence Obligations!L169</x:v>
      </x:c>
      <x:c r="F4179" s="7" t="str">
        <x:f>'Evidence Obligations'!L169</x:f>
        <x:v>OPEN</x:v>
      </x:c>
    </x:row>
    <x:row r="4180">
      <x:c r="B4180" s="7" t="str">
        <x:v>PHY-4174</x:v>
      </x:c>
      <x:c r="C4180" s="7" t="str">
        <x:v>evidence obligation</x:v>
      </x:c>
      <x:c r="D4180" s="7" t="str">
        <x:v>RAE-E-14-EV-08</x:v>
      </x:c>
      <x:c r="E4180" s="7" t="str">
        <x:v>Evidence Obligations!L170</x:v>
      </x:c>
      <x:c r="F4180" s="7" t="str">
        <x:f>'Evidence Obligations'!L170</x:f>
        <x:v>OPEN</x:v>
      </x:c>
    </x:row>
    <x:row r="4181">
      <x:c r="B4181" s="7" t="str">
        <x:v>PHY-4175</x:v>
      </x:c>
      <x:c r="C4181" s="7" t="str">
        <x:v>evidence obligation</x:v>
      </x:c>
      <x:c r="D4181" s="7" t="str">
        <x:v>RAE-E-14-EV-09</x:v>
      </x:c>
      <x:c r="E4181" s="7" t="str">
        <x:v>Evidence Obligations!L171</x:v>
      </x:c>
      <x:c r="F4181" s="7" t="str">
        <x:f>'Evidence Obligations'!L171</x:f>
        <x:v>OPEN</x:v>
      </x:c>
    </x:row>
    <x:row r="4182">
      <x:c r="B4182" s="7" t="str">
        <x:v>PHY-4176</x:v>
      </x:c>
      <x:c r="C4182" s="7" t="str">
        <x:v>evidence obligation</x:v>
      </x:c>
      <x:c r="D4182" s="7" t="str">
        <x:v>RAE-E-14-EV-10</x:v>
      </x:c>
      <x:c r="E4182" s="7" t="str">
        <x:v>Evidence Obligations!L172</x:v>
      </x:c>
      <x:c r="F4182" s="7" t="str">
        <x:f>'Evidence Obligations'!L172</x:f>
        <x:v>OPEN</x:v>
      </x:c>
    </x:row>
    <x:row r="4183">
      <x:c r="B4183" s="7" t="str">
        <x:v>PHY-4177</x:v>
      </x:c>
      <x:c r="C4183" s="7" t="str">
        <x:v>evidence obligation</x:v>
      </x:c>
      <x:c r="D4183" s="7" t="str">
        <x:v>RAE-E-14-EV-11</x:v>
      </x:c>
      <x:c r="E4183" s="7" t="str">
        <x:v>Evidence Obligations!L173</x:v>
      </x:c>
      <x:c r="F4183" s="7" t="str">
        <x:f>'Evidence Obligations'!L173</x:f>
        <x:v>OPEN</x:v>
      </x:c>
    </x:row>
    <x:row r="4184">
      <x:c r="B4184" s="7" t="str">
        <x:v>PHY-4178</x:v>
      </x:c>
      <x:c r="C4184" s="7" t="str">
        <x:v>evidence obligation</x:v>
      </x:c>
      <x:c r="D4184" s="7" t="str">
        <x:v>RAE-E-14-EV-12</x:v>
      </x:c>
      <x:c r="E4184" s="7" t="str">
        <x:v>Evidence Obligations!L174</x:v>
      </x:c>
      <x:c r="F4184" s="7" t="str">
        <x:f>'Evidence Obligations'!L174</x:f>
        <x:v>OPEN</x:v>
      </x:c>
    </x:row>
    <x:row r="4185">
      <x:c r="B4185" s="7" t="str">
        <x:v>PHY-4179</x:v>
      </x:c>
      <x:c r="C4185" s="7" t="str">
        <x:v>evidence obligation</x:v>
      </x:c>
      <x:c r="D4185" s="7" t="str">
        <x:v>RAE-E-15-EV-01</x:v>
      </x:c>
      <x:c r="E4185" s="7" t="str">
        <x:v>Evidence Obligations!L175</x:v>
      </x:c>
      <x:c r="F4185" s="7" t="str">
        <x:f>'Evidence Obligations'!L175</x:f>
        <x:v>OPEN</x:v>
      </x:c>
    </x:row>
    <x:row r="4186">
      <x:c r="B4186" s="7" t="str">
        <x:v>PHY-4180</x:v>
      </x:c>
      <x:c r="C4186" s="7" t="str">
        <x:v>evidence obligation</x:v>
      </x:c>
      <x:c r="D4186" s="7" t="str">
        <x:v>RAE-E-15-EV-02</x:v>
      </x:c>
      <x:c r="E4186" s="7" t="str">
        <x:v>Evidence Obligations!L176</x:v>
      </x:c>
      <x:c r="F4186" s="7" t="str">
        <x:f>'Evidence Obligations'!L176</x:f>
        <x:v>OPEN</x:v>
      </x:c>
    </x:row>
    <x:row r="4187">
      <x:c r="B4187" s="7" t="str">
        <x:v>PHY-4181</x:v>
      </x:c>
      <x:c r="C4187" s="7" t="str">
        <x:v>evidence obligation</x:v>
      </x:c>
      <x:c r="D4187" s="7" t="str">
        <x:v>RAE-E-15-EV-03</x:v>
      </x:c>
      <x:c r="E4187" s="7" t="str">
        <x:v>Evidence Obligations!L177</x:v>
      </x:c>
      <x:c r="F4187" s="7" t="str">
        <x:f>'Evidence Obligations'!L177</x:f>
        <x:v>OPEN</x:v>
      </x:c>
    </x:row>
    <x:row r="4188">
      <x:c r="B4188" s="7" t="str">
        <x:v>PHY-4182</x:v>
      </x:c>
      <x:c r="C4188" s="7" t="str">
        <x:v>evidence obligation</x:v>
      </x:c>
      <x:c r="D4188" s="7" t="str">
        <x:v>RAE-E-15-EV-04</x:v>
      </x:c>
      <x:c r="E4188" s="7" t="str">
        <x:v>Evidence Obligations!L178</x:v>
      </x:c>
      <x:c r="F4188" s="7" t="str">
        <x:f>'Evidence Obligations'!L178</x:f>
        <x:v>OPEN</x:v>
      </x:c>
    </x:row>
    <x:row r="4189">
      <x:c r="B4189" s="7" t="str">
        <x:v>PHY-4183</x:v>
      </x:c>
      <x:c r="C4189" s="7" t="str">
        <x:v>evidence obligation</x:v>
      </x:c>
      <x:c r="D4189" s="7" t="str">
        <x:v>RAE-E-15-EV-05</x:v>
      </x:c>
      <x:c r="E4189" s="7" t="str">
        <x:v>Evidence Obligations!L179</x:v>
      </x:c>
      <x:c r="F4189" s="7" t="str">
        <x:f>'Evidence Obligations'!L179</x:f>
        <x:v>OPEN</x:v>
      </x:c>
    </x:row>
    <x:row r="4190">
      <x:c r="B4190" s="7" t="str">
        <x:v>PHY-4184</x:v>
      </x:c>
      <x:c r="C4190" s="7" t="str">
        <x:v>evidence obligation</x:v>
      </x:c>
      <x:c r="D4190" s="7" t="str">
        <x:v>RAE-E-15-EV-06</x:v>
      </x:c>
      <x:c r="E4190" s="7" t="str">
        <x:v>Evidence Obligations!L180</x:v>
      </x:c>
      <x:c r="F4190" s="7" t="str">
        <x:f>'Evidence Obligations'!L180</x:f>
        <x:v>OPEN</x:v>
      </x:c>
    </x:row>
    <x:row r="4191">
      <x:c r="B4191" s="7" t="str">
        <x:v>PHY-4185</x:v>
      </x:c>
      <x:c r="C4191" s="7" t="str">
        <x:v>evidence obligation</x:v>
      </x:c>
      <x:c r="D4191" s="7" t="str">
        <x:v>RAE-E-15-EV-07</x:v>
      </x:c>
      <x:c r="E4191" s="7" t="str">
        <x:v>Evidence Obligations!L181</x:v>
      </x:c>
      <x:c r="F4191" s="7" t="str">
        <x:f>'Evidence Obligations'!L181</x:f>
        <x:v>OPEN</x:v>
      </x:c>
    </x:row>
    <x:row r="4192">
      <x:c r="B4192" s="7" t="str">
        <x:v>PHY-4186</x:v>
      </x:c>
      <x:c r="C4192" s="7" t="str">
        <x:v>evidence obligation</x:v>
      </x:c>
      <x:c r="D4192" s="7" t="str">
        <x:v>RAE-E-15-EV-08</x:v>
      </x:c>
      <x:c r="E4192" s="7" t="str">
        <x:v>Evidence Obligations!L182</x:v>
      </x:c>
      <x:c r="F4192" s="7" t="str">
        <x:f>'Evidence Obligations'!L182</x:f>
        <x:v>OPEN</x:v>
      </x:c>
    </x:row>
    <x:row r="4193">
      <x:c r="B4193" s="7" t="str">
        <x:v>PHY-4187</x:v>
      </x:c>
      <x:c r="C4193" s="7" t="str">
        <x:v>evidence obligation</x:v>
      </x:c>
      <x:c r="D4193" s="7" t="str">
        <x:v>RAE-E-15-EV-09</x:v>
      </x:c>
      <x:c r="E4193" s="7" t="str">
        <x:v>Evidence Obligations!L183</x:v>
      </x:c>
      <x:c r="F4193" s="7" t="str">
        <x:f>'Evidence Obligations'!L183</x:f>
        <x:v>OPEN</x:v>
      </x:c>
    </x:row>
    <x:row r="4194">
      <x:c r="B4194" s="7" t="str">
        <x:v>PHY-4188</x:v>
      </x:c>
      <x:c r="C4194" s="7" t="str">
        <x:v>evidence obligation</x:v>
      </x:c>
      <x:c r="D4194" s="7" t="str">
        <x:v>RAE-E-15-EV-10</x:v>
      </x:c>
      <x:c r="E4194" s="7" t="str">
        <x:v>Evidence Obligations!L184</x:v>
      </x:c>
      <x:c r="F4194" s="7" t="str">
        <x:f>'Evidence Obligations'!L184</x:f>
        <x:v>OPEN</x:v>
      </x:c>
    </x:row>
    <x:row r="4195">
      <x:c r="B4195" s="7" t="str">
        <x:v>PHY-4189</x:v>
      </x:c>
      <x:c r="C4195" s="7" t="str">
        <x:v>evidence obligation</x:v>
      </x:c>
      <x:c r="D4195" s="7" t="str">
        <x:v>RAE-E-15-EV-11</x:v>
      </x:c>
      <x:c r="E4195" s="7" t="str">
        <x:v>Evidence Obligations!L185</x:v>
      </x:c>
      <x:c r="F4195" s="7" t="str">
        <x:f>'Evidence Obligations'!L185</x:f>
        <x:v>OPEN</x:v>
      </x:c>
    </x:row>
    <x:row r="4196">
      <x:c r="B4196" s="7" t="str">
        <x:v>PHY-4190</x:v>
      </x:c>
      <x:c r="C4196" s="7" t="str">
        <x:v>evidence obligation</x:v>
      </x:c>
      <x:c r="D4196" s="7" t="str">
        <x:v>RAE-E-15-EV-12</x:v>
      </x:c>
      <x:c r="E4196" s="7" t="str">
        <x:v>Evidence Obligations!L186</x:v>
      </x:c>
      <x:c r="F4196" s="7" t="str">
        <x:f>'Evidence Obligations'!L186</x:f>
        <x:v>OPEN</x:v>
      </x:c>
    </x:row>
    <x:row r="4197">
      <x:c r="B4197" s="7" t="str">
        <x:v>PHY-4191</x:v>
      </x:c>
      <x:c r="C4197" s="7" t="str">
        <x:v>evidence obligation</x:v>
      </x:c>
      <x:c r="D4197" s="7" t="str">
        <x:v>RAE-E-16-EV-01</x:v>
      </x:c>
      <x:c r="E4197" s="7" t="str">
        <x:v>Evidence Obligations!L187</x:v>
      </x:c>
      <x:c r="F4197" s="7" t="str">
        <x:f>'Evidence Obligations'!L187</x:f>
        <x:v>OPEN</x:v>
      </x:c>
    </x:row>
    <x:row r="4198">
      <x:c r="B4198" s="7" t="str">
        <x:v>PHY-4192</x:v>
      </x:c>
      <x:c r="C4198" s="7" t="str">
        <x:v>evidence obligation</x:v>
      </x:c>
      <x:c r="D4198" s="7" t="str">
        <x:v>RAE-E-16-EV-02</x:v>
      </x:c>
      <x:c r="E4198" s="7" t="str">
        <x:v>Evidence Obligations!L188</x:v>
      </x:c>
      <x:c r="F4198" s="7" t="str">
        <x:f>'Evidence Obligations'!L188</x:f>
        <x:v>OPEN</x:v>
      </x:c>
    </x:row>
    <x:row r="4199">
      <x:c r="B4199" s="7" t="str">
        <x:v>PHY-4193</x:v>
      </x:c>
      <x:c r="C4199" s="7" t="str">
        <x:v>evidence obligation</x:v>
      </x:c>
      <x:c r="D4199" s="7" t="str">
        <x:v>RAE-E-16-EV-03</x:v>
      </x:c>
      <x:c r="E4199" s="7" t="str">
        <x:v>Evidence Obligations!L189</x:v>
      </x:c>
      <x:c r="F4199" s="7" t="str">
        <x:f>'Evidence Obligations'!L189</x:f>
        <x:v>OPEN</x:v>
      </x:c>
    </x:row>
    <x:row r="4200">
      <x:c r="B4200" s="7" t="str">
        <x:v>PHY-4194</x:v>
      </x:c>
      <x:c r="C4200" s="7" t="str">
        <x:v>evidence obligation</x:v>
      </x:c>
      <x:c r="D4200" s="7" t="str">
        <x:v>RAE-E-16-EV-04</x:v>
      </x:c>
      <x:c r="E4200" s="7" t="str">
        <x:v>Evidence Obligations!L190</x:v>
      </x:c>
      <x:c r="F4200" s="7" t="str">
        <x:f>'Evidence Obligations'!L190</x:f>
        <x:v>OPEN</x:v>
      </x:c>
    </x:row>
    <x:row r="4201">
      <x:c r="B4201" s="7" t="str">
        <x:v>PHY-4195</x:v>
      </x:c>
      <x:c r="C4201" s="7" t="str">
        <x:v>evidence obligation</x:v>
      </x:c>
      <x:c r="D4201" s="7" t="str">
        <x:v>RAE-E-16-EV-05</x:v>
      </x:c>
      <x:c r="E4201" s="7" t="str">
        <x:v>Evidence Obligations!L191</x:v>
      </x:c>
      <x:c r="F4201" s="7" t="str">
        <x:f>'Evidence Obligations'!L191</x:f>
        <x:v>OPEN</x:v>
      </x:c>
    </x:row>
    <x:row r="4202">
      <x:c r="B4202" s="7" t="str">
        <x:v>PHY-4196</x:v>
      </x:c>
      <x:c r="C4202" s="7" t="str">
        <x:v>evidence obligation</x:v>
      </x:c>
      <x:c r="D4202" s="7" t="str">
        <x:v>RAE-E-16-EV-06</x:v>
      </x:c>
      <x:c r="E4202" s="7" t="str">
        <x:v>Evidence Obligations!L192</x:v>
      </x:c>
      <x:c r="F4202" s="7" t="str">
        <x:f>'Evidence Obligations'!L192</x:f>
        <x:v>OPEN</x:v>
      </x:c>
    </x:row>
    <x:row r="4203">
      <x:c r="B4203" s="7" t="str">
        <x:v>PHY-4197</x:v>
      </x:c>
      <x:c r="C4203" s="7" t="str">
        <x:v>evidence obligation</x:v>
      </x:c>
      <x:c r="D4203" s="7" t="str">
        <x:v>RAE-E-16-EV-07</x:v>
      </x:c>
      <x:c r="E4203" s="7" t="str">
        <x:v>Evidence Obligations!L193</x:v>
      </x:c>
      <x:c r="F4203" s="7" t="str">
        <x:f>'Evidence Obligations'!L193</x:f>
        <x:v>OPEN</x:v>
      </x:c>
    </x:row>
    <x:row r="4204">
      <x:c r="B4204" s="7" t="str">
        <x:v>PHY-4198</x:v>
      </x:c>
      <x:c r="C4204" s="7" t="str">
        <x:v>evidence obligation</x:v>
      </x:c>
      <x:c r="D4204" s="7" t="str">
        <x:v>RAE-E-16-EV-08</x:v>
      </x:c>
      <x:c r="E4204" s="7" t="str">
        <x:v>Evidence Obligations!L194</x:v>
      </x:c>
      <x:c r="F4204" s="7" t="str">
        <x:f>'Evidence Obligations'!L194</x:f>
        <x:v>OPEN</x:v>
      </x:c>
    </x:row>
    <x:row r="4205">
      <x:c r="B4205" s="7" t="str">
        <x:v>PHY-4199</x:v>
      </x:c>
      <x:c r="C4205" s="7" t="str">
        <x:v>evidence obligation</x:v>
      </x:c>
      <x:c r="D4205" s="7" t="str">
        <x:v>RAE-E-16-EV-09</x:v>
      </x:c>
      <x:c r="E4205" s="7" t="str">
        <x:v>Evidence Obligations!L195</x:v>
      </x:c>
      <x:c r="F4205" s="7" t="str">
        <x:f>'Evidence Obligations'!L195</x:f>
        <x:v>OPEN</x:v>
      </x:c>
    </x:row>
    <x:row r="4206">
      <x:c r="B4206" s="7" t="str">
        <x:v>PHY-4200</x:v>
      </x:c>
      <x:c r="C4206" s="7" t="str">
        <x:v>evidence obligation</x:v>
      </x:c>
      <x:c r="D4206" s="7" t="str">
        <x:v>RAE-E-16-EV-10</x:v>
      </x:c>
      <x:c r="E4206" s="7" t="str">
        <x:v>Evidence Obligations!L196</x:v>
      </x:c>
      <x:c r="F4206" s="7" t="str">
        <x:f>'Evidence Obligations'!L196</x:f>
        <x:v>OPEN</x:v>
      </x:c>
    </x:row>
    <x:row r="4207">
      <x:c r="B4207" s="7" t="str">
        <x:v>PHY-4201</x:v>
      </x:c>
      <x:c r="C4207" s="7" t="str">
        <x:v>evidence obligation</x:v>
      </x:c>
      <x:c r="D4207" s="7" t="str">
        <x:v>RAE-E-16-EV-11</x:v>
      </x:c>
      <x:c r="E4207" s="7" t="str">
        <x:v>Evidence Obligations!L197</x:v>
      </x:c>
      <x:c r="F4207" s="7" t="str">
        <x:f>'Evidence Obligations'!L197</x:f>
        <x:v>OPEN</x:v>
      </x:c>
    </x:row>
    <x:row r="4208">
      <x:c r="B4208" s="7" t="str">
        <x:v>PHY-4202</x:v>
      </x:c>
      <x:c r="C4208" s="7" t="str">
        <x:v>evidence obligation</x:v>
      </x:c>
      <x:c r="D4208" s="7" t="str">
        <x:v>RAE-E-16-EV-12</x:v>
      </x:c>
      <x:c r="E4208" s="7" t="str">
        <x:v>Evidence Obligations!L198</x:v>
      </x:c>
      <x:c r="F4208" s="7" t="str">
        <x:f>'Evidence Obligations'!L198</x:f>
        <x:v>OPEN</x:v>
      </x:c>
    </x:row>
    <x:row r="4209">
      <x:c r="B4209" s="7" t="str">
        <x:v>PHY-4203</x:v>
      </x:c>
      <x:c r="C4209" s="7" t="str">
        <x:v>evidence obligation</x:v>
      </x:c>
      <x:c r="D4209" s="7" t="str">
        <x:v>RAE-E-17-EV-01</x:v>
      </x:c>
      <x:c r="E4209" s="7" t="str">
        <x:v>Evidence Obligations!L199</x:v>
      </x:c>
      <x:c r="F4209" s="7" t="str">
        <x:f>'Evidence Obligations'!L199</x:f>
        <x:v>OPEN</x:v>
      </x:c>
    </x:row>
    <x:row r="4210">
      <x:c r="B4210" s="7" t="str">
        <x:v>PHY-4204</x:v>
      </x:c>
      <x:c r="C4210" s="7" t="str">
        <x:v>evidence obligation</x:v>
      </x:c>
      <x:c r="D4210" s="7" t="str">
        <x:v>RAE-E-17-EV-02</x:v>
      </x:c>
      <x:c r="E4210" s="7" t="str">
        <x:v>Evidence Obligations!L200</x:v>
      </x:c>
      <x:c r="F4210" s="7" t="str">
        <x:f>'Evidence Obligations'!L200</x:f>
        <x:v>OPEN</x:v>
      </x:c>
    </x:row>
    <x:row r="4211">
      <x:c r="B4211" s="7" t="str">
        <x:v>PHY-4205</x:v>
      </x:c>
      <x:c r="C4211" s="7" t="str">
        <x:v>evidence obligation</x:v>
      </x:c>
      <x:c r="D4211" s="7" t="str">
        <x:v>RAE-E-17-EV-03</x:v>
      </x:c>
      <x:c r="E4211" s="7" t="str">
        <x:v>Evidence Obligations!L201</x:v>
      </x:c>
      <x:c r="F4211" s="7" t="str">
        <x:f>'Evidence Obligations'!L201</x:f>
        <x:v>OPEN</x:v>
      </x:c>
    </x:row>
    <x:row r="4212">
      <x:c r="B4212" s="7" t="str">
        <x:v>PHY-4206</x:v>
      </x:c>
      <x:c r="C4212" s="7" t="str">
        <x:v>evidence obligation</x:v>
      </x:c>
      <x:c r="D4212" s="7" t="str">
        <x:v>RAE-E-17-EV-04</x:v>
      </x:c>
      <x:c r="E4212" s="7" t="str">
        <x:v>Evidence Obligations!L202</x:v>
      </x:c>
      <x:c r="F4212" s="7" t="str">
        <x:f>'Evidence Obligations'!L202</x:f>
        <x:v>OPEN</x:v>
      </x:c>
    </x:row>
    <x:row r="4213">
      <x:c r="B4213" s="7" t="str">
        <x:v>PHY-4207</x:v>
      </x:c>
      <x:c r="C4213" s="7" t="str">
        <x:v>evidence obligation</x:v>
      </x:c>
      <x:c r="D4213" s="7" t="str">
        <x:v>RAE-E-17-EV-05</x:v>
      </x:c>
      <x:c r="E4213" s="7" t="str">
        <x:v>Evidence Obligations!L203</x:v>
      </x:c>
      <x:c r="F4213" s="7" t="str">
        <x:f>'Evidence Obligations'!L203</x:f>
        <x:v>OPEN</x:v>
      </x:c>
    </x:row>
    <x:row r="4214">
      <x:c r="B4214" s="7" t="str">
        <x:v>PHY-4208</x:v>
      </x:c>
      <x:c r="C4214" s="7" t="str">
        <x:v>evidence obligation</x:v>
      </x:c>
      <x:c r="D4214" s="7" t="str">
        <x:v>RAE-E-17-EV-06</x:v>
      </x:c>
      <x:c r="E4214" s="7" t="str">
        <x:v>Evidence Obligations!L204</x:v>
      </x:c>
      <x:c r="F4214" s="7" t="str">
        <x:f>'Evidence Obligations'!L204</x:f>
        <x:v>OPEN</x:v>
      </x:c>
    </x:row>
    <x:row r="4215">
      <x:c r="B4215" s="7" t="str">
        <x:v>PHY-4209</x:v>
      </x:c>
      <x:c r="C4215" s="7" t="str">
        <x:v>evidence obligation</x:v>
      </x:c>
      <x:c r="D4215" s="7" t="str">
        <x:v>RAE-E-17-EV-07</x:v>
      </x:c>
      <x:c r="E4215" s="7" t="str">
        <x:v>Evidence Obligations!L205</x:v>
      </x:c>
      <x:c r="F4215" s="7" t="str">
        <x:f>'Evidence Obligations'!L205</x:f>
        <x:v>OPEN</x:v>
      </x:c>
    </x:row>
    <x:row r="4216">
      <x:c r="B4216" s="7" t="str">
        <x:v>PHY-4210</x:v>
      </x:c>
      <x:c r="C4216" s="7" t="str">
        <x:v>evidence obligation</x:v>
      </x:c>
      <x:c r="D4216" s="7" t="str">
        <x:v>RAE-E-17-EV-08</x:v>
      </x:c>
      <x:c r="E4216" s="7" t="str">
        <x:v>Evidence Obligations!L206</x:v>
      </x:c>
      <x:c r="F4216" s="7" t="str">
        <x:f>'Evidence Obligations'!L206</x:f>
        <x:v>OPEN</x:v>
      </x:c>
    </x:row>
    <x:row r="4217">
      <x:c r="B4217" s="7" t="str">
        <x:v>PHY-4211</x:v>
      </x:c>
      <x:c r="C4217" s="7" t="str">
        <x:v>evidence obligation</x:v>
      </x:c>
      <x:c r="D4217" s="7" t="str">
        <x:v>RAE-E-17-EV-09</x:v>
      </x:c>
      <x:c r="E4217" s="7" t="str">
        <x:v>Evidence Obligations!L207</x:v>
      </x:c>
      <x:c r="F4217" s="7" t="str">
        <x:f>'Evidence Obligations'!L207</x:f>
        <x:v>OPEN</x:v>
      </x:c>
    </x:row>
    <x:row r="4218">
      <x:c r="B4218" s="7" t="str">
        <x:v>PHY-4212</x:v>
      </x:c>
      <x:c r="C4218" s="7" t="str">
        <x:v>evidence obligation</x:v>
      </x:c>
      <x:c r="D4218" s="7" t="str">
        <x:v>RAE-E-17-EV-10</x:v>
      </x:c>
      <x:c r="E4218" s="7" t="str">
        <x:v>Evidence Obligations!L208</x:v>
      </x:c>
      <x:c r="F4218" s="7" t="str">
        <x:f>'Evidence Obligations'!L208</x:f>
        <x:v>OPEN</x:v>
      </x:c>
    </x:row>
    <x:row r="4219">
      <x:c r="B4219" s="7" t="str">
        <x:v>PHY-4213</x:v>
      </x:c>
      <x:c r="C4219" s="7" t="str">
        <x:v>evidence obligation</x:v>
      </x:c>
      <x:c r="D4219" s="7" t="str">
        <x:v>RAE-E-17-EV-11</x:v>
      </x:c>
      <x:c r="E4219" s="7" t="str">
        <x:v>Evidence Obligations!L209</x:v>
      </x:c>
      <x:c r="F4219" s="7" t="str">
        <x:f>'Evidence Obligations'!L209</x:f>
        <x:v>OPEN</x:v>
      </x:c>
    </x:row>
    <x:row r="4220">
      <x:c r="B4220" s="7" t="str">
        <x:v>PHY-4214</x:v>
      </x:c>
      <x:c r="C4220" s="7" t="str">
        <x:v>evidence obligation</x:v>
      </x:c>
      <x:c r="D4220" s="7" t="str">
        <x:v>RAE-E-17-EV-12</x:v>
      </x:c>
      <x:c r="E4220" s="7" t="str">
        <x:v>Evidence Obligations!L210</x:v>
      </x:c>
      <x:c r="F4220" s="7" t="str">
        <x:f>'Evidence Obligations'!L210</x:f>
        <x:v>OPEN</x:v>
      </x:c>
    </x:row>
    <x:row r="4221">
      <x:c r="B4221" s="7" t="str">
        <x:v>PHY-4215</x:v>
      </x:c>
      <x:c r="C4221" s="7" t="str">
        <x:v>evidence obligation</x:v>
      </x:c>
      <x:c r="D4221" s="7" t="str">
        <x:v>RAE-E-18-EV-01</x:v>
      </x:c>
      <x:c r="E4221" s="7" t="str">
        <x:v>Evidence Obligations!L211</x:v>
      </x:c>
      <x:c r="F4221" s="7" t="str">
        <x:f>'Evidence Obligations'!L211</x:f>
        <x:v>OPEN</x:v>
      </x:c>
    </x:row>
    <x:row r="4222">
      <x:c r="B4222" s="7" t="str">
        <x:v>PHY-4216</x:v>
      </x:c>
      <x:c r="C4222" s="7" t="str">
        <x:v>evidence obligation</x:v>
      </x:c>
      <x:c r="D4222" s="7" t="str">
        <x:v>RAE-E-18-EV-02</x:v>
      </x:c>
      <x:c r="E4222" s="7" t="str">
        <x:v>Evidence Obligations!L212</x:v>
      </x:c>
      <x:c r="F4222" s="7" t="str">
        <x:f>'Evidence Obligations'!L212</x:f>
        <x:v>OPEN</x:v>
      </x:c>
    </x:row>
    <x:row r="4223">
      <x:c r="B4223" s="7" t="str">
        <x:v>PHY-4217</x:v>
      </x:c>
      <x:c r="C4223" s="7" t="str">
        <x:v>evidence obligation</x:v>
      </x:c>
      <x:c r="D4223" s="7" t="str">
        <x:v>RAE-E-18-EV-03</x:v>
      </x:c>
      <x:c r="E4223" s="7" t="str">
        <x:v>Evidence Obligations!L213</x:v>
      </x:c>
      <x:c r="F4223" s="7" t="str">
        <x:f>'Evidence Obligations'!L213</x:f>
        <x:v>OPEN</x:v>
      </x:c>
    </x:row>
    <x:row r="4224">
      <x:c r="B4224" s="7" t="str">
        <x:v>PHY-4218</x:v>
      </x:c>
      <x:c r="C4224" s="7" t="str">
        <x:v>evidence obligation</x:v>
      </x:c>
      <x:c r="D4224" s="7" t="str">
        <x:v>RAE-E-18-EV-04</x:v>
      </x:c>
      <x:c r="E4224" s="7" t="str">
        <x:v>Evidence Obligations!L214</x:v>
      </x:c>
      <x:c r="F4224" s="7" t="str">
        <x:f>'Evidence Obligations'!L214</x:f>
        <x:v>OPEN</x:v>
      </x:c>
    </x:row>
    <x:row r="4225">
      <x:c r="B4225" s="7" t="str">
        <x:v>PHY-4219</x:v>
      </x:c>
      <x:c r="C4225" s="7" t="str">
        <x:v>evidence obligation</x:v>
      </x:c>
      <x:c r="D4225" s="7" t="str">
        <x:v>RAE-E-18-EV-05</x:v>
      </x:c>
      <x:c r="E4225" s="7" t="str">
        <x:v>Evidence Obligations!L215</x:v>
      </x:c>
      <x:c r="F4225" s="7" t="str">
        <x:f>'Evidence Obligations'!L215</x:f>
        <x:v>OPEN</x:v>
      </x:c>
    </x:row>
    <x:row r="4226">
      <x:c r="B4226" s="7" t="str">
        <x:v>PHY-4220</x:v>
      </x:c>
      <x:c r="C4226" s="7" t="str">
        <x:v>evidence obligation</x:v>
      </x:c>
      <x:c r="D4226" s="7" t="str">
        <x:v>RAE-E-18-EV-06</x:v>
      </x:c>
      <x:c r="E4226" s="7" t="str">
        <x:v>Evidence Obligations!L216</x:v>
      </x:c>
      <x:c r="F4226" s="7" t="str">
        <x:f>'Evidence Obligations'!L216</x:f>
        <x:v>OPEN</x:v>
      </x:c>
    </x:row>
    <x:row r="4227">
      <x:c r="B4227" s="7" t="str">
        <x:v>PHY-4221</x:v>
      </x:c>
      <x:c r="C4227" s="7" t="str">
        <x:v>evidence obligation</x:v>
      </x:c>
      <x:c r="D4227" s="7" t="str">
        <x:v>RAE-E-18-EV-07</x:v>
      </x:c>
      <x:c r="E4227" s="7" t="str">
        <x:v>Evidence Obligations!L217</x:v>
      </x:c>
      <x:c r="F4227" s="7" t="str">
        <x:f>'Evidence Obligations'!L217</x:f>
        <x:v>OPEN</x:v>
      </x:c>
    </x:row>
    <x:row r="4228">
      <x:c r="B4228" s="7" t="str">
        <x:v>PHY-4222</x:v>
      </x:c>
      <x:c r="C4228" s="7" t="str">
        <x:v>evidence obligation</x:v>
      </x:c>
      <x:c r="D4228" s="7" t="str">
        <x:v>RAE-E-18-EV-08</x:v>
      </x:c>
      <x:c r="E4228" s="7" t="str">
        <x:v>Evidence Obligations!L218</x:v>
      </x:c>
      <x:c r="F4228" s="7" t="str">
        <x:f>'Evidence Obligations'!L218</x:f>
        <x:v>OPEN</x:v>
      </x:c>
    </x:row>
    <x:row r="4229">
      <x:c r="B4229" s="7" t="str">
        <x:v>PHY-4223</x:v>
      </x:c>
      <x:c r="C4229" s="7" t="str">
        <x:v>evidence obligation</x:v>
      </x:c>
      <x:c r="D4229" s="7" t="str">
        <x:v>RAE-E-18-EV-09</x:v>
      </x:c>
      <x:c r="E4229" s="7" t="str">
        <x:v>Evidence Obligations!L219</x:v>
      </x:c>
      <x:c r="F4229" s="7" t="str">
        <x:f>'Evidence Obligations'!L219</x:f>
        <x:v>OPEN</x:v>
      </x:c>
    </x:row>
    <x:row r="4230">
      <x:c r="B4230" s="7" t="str">
        <x:v>PHY-4224</x:v>
      </x:c>
      <x:c r="C4230" s="7" t="str">
        <x:v>evidence obligation</x:v>
      </x:c>
      <x:c r="D4230" s="7" t="str">
        <x:v>RAE-E-18-EV-10</x:v>
      </x:c>
      <x:c r="E4230" s="7" t="str">
        <x:v>Evidence Obligations!L220</x:v>
      </x:c>
      <x:c r="F4230" s="7" t="str">
        <x:f>'Evidence Obligations'!L220</x:f>
        <x:v>OPEN</x:v>
      </x:c>
    </x:row>
    <x:row r="4231">
      <x:c r="B4231" s="7" t="str">
        <x:v>PHY-4225</x:v>
      </x:c>
      <x:c r="C4231" s="7" t="str">
        <x:v>evidence obligation</x:v>
      </x:c>
      <x:c r="D4231" s="7" t="str">
        <x:v>RAE-E-18-EV-11</x:v>
      </x:c>
      <x:c r="E4231" s="7" t="str">
        <x:v>Evidence Obligations!L221</x:v>
      </x:c>
      <x:c r="F4231" s="7" t="str">
        <x:f>'Evidence Obligations'!L221</x:f>
        <x:v>OPEN</x:v>
      </x:c>
    </x:row>
    <x:row r="4232">
      <x:c r="B4232" s="7" t="str">
        <x:v>PHY-4226</x:v>
      </x:c>
      <x:c r="C4232" s="7" t="str">
        <x:v>evidence obligation</x:v>
      </x:c>
      <x:c r="D4232" s="7" t="str">
        <x:v>RAE-E-18-EV-12</x:v>
      </x:c>
      <x:c r="E4232" s="7" t="str">
        <x:v>Evidence Obligations!L222</x:v>
      </x:c>
      <x:c r="F4232" s="7" t="str">
        <x:f>'Evidence Obligations'!L222</x:f>
        <x:v>OPEN</x:v>
      </x:c>
    </x:row>
    <x:row r="4233">
      <x:c r="B4233" s="7" t="str">
        <x:v>PHY-4227</x:v>
      </x:c>
      <x:c r="C4233" s="7" t="str">
        <x:v>evidence obligation</x:v>
      </x:c>
      <x:c r="D4233" s="7" t="str">
        <x:v>RAE-E-19-EV-01</x:v>
      </x:c>
      <x:c r="E4233" s="7" t="str">
        <x:v>Evidence Obligations!L223</x:v>
      </x:c>
      <x:c r="F4233" s="7" t="str">
        <x:f>'Evidence Obligations'!L223</x:f>
        <x:v>OPEN</x:v>
      </x:c>
    </x:row>
    <x:row r="4234">
      <x:c r="B4234" s="7" t="str">
        <x:v>PHY-4228</x:v>
      </x:c>
      <x:c r="C4234" s="7" t="str">
        <x:v>evidence obligation</x:v>
      </x:c>
      <x:c r="D4234" s="7" t="str">
        <x:v>RAE-E-19-EV-02</x:v>
      </x:c>
      <x:c r="E4234" s="7" t="str">
        <x:v>Evidence Obligations!L224</x:v>
      </x:c>
      <x:c r="F4234" s="7" t="str">
        <x:f>'Evidence Obligations'!L224</x:f>
        <x:v>OPEN</x:v>
      </x:c>
    </x:row>
    <x:row r="4235">
      <x:c r="B4235" s="7" t="str">
        <x:v>PHY-4229</x:v>
      </x:c>
      <x:c r="C4235" s="7" t="str">
        <x:v>evidence obligation</x:v>
      </x:c>
      <x:c r="D4235" s="7" t="str">
        <x:v>RAE-E-19-EV-03</x:v>
      </x:c>
      <x:c r="E4235" s="7" t="str">
        <x:v>Evidence Obligations!L225</x:v>
      </x:c>
      <x:c r="F4235" s="7" t="str">
        <x:f>'Evidence Obligations'!L225</x:f>
        <x:v>OPEN</x:v>
      </x:c>
    </x:row>
    <x:row r="4236">
      <x:c r="B4236" s="7" t="str">
        <x:v>PHY-4230</x:v>
      </x:c>
      <x:c r="C4236" s="7" t="str">
        <x:v>evidence obligation</x:v>
      </x:c>
      <x:c r="D4236" s="7" t="str">
        <x:v>RAE-E-19-EV-04</x:v>
      </x:c>
      <x:c r="E4236" s="7" t="str">
        <x:v>Evidence Obligations!L226</x:v>
      </x:c>
      <x:c r="F4236" s="7" t="str">
        <x:f>'Evidence Obligations'!L226</x:f>
        <x:v>OPEN</x:v>
      </x:c>
    </x:row>
    <x:row r="4237">
      <x:c r="B4237" s="7" t="str">
        <x:v>PHY-4231</x:v>
      </x:c>
      <x:c r="C4237" s="7" t="str">
        <x:v>evidence obligation</x:v>
      </x:c>
      <x:c r="D4237" s="7" t="str">
        <x:v>RAE-E-19-EV-05</x:v>
      </x:c>
      <x:c r="E4237" s="7" t="str">
        <x:v>Evidence Obligations!L227</x:v>
      </x:c>
      <x:c r="F4237" s="7" t="str">
        <x:f>'Evidence Obligations'!L227</x:f>
        <x:v>OPEN</x:v>
      </x:c>
    </x:row>
    <x:row r="4238">
      <x:c r="B4238" s="7" t="str">
        <x:v>PHY-4232</x:v>
      </x:c>
      <x:c r="C4238" s="7" t="str">
        <x:v>evidence obligation</x:v>
      </x:c>
      <x:c r="D4238" s="7" t="str">
        <x:v>RAE-E-19-EV-06</x:v>
      </x:c>
      <x:c r="E4238" s="7" t="str">
        <x:v>Evidence Obligations!L228</x:v>
      </x:c>
      <x:c r="F4238" s="7" t="str">
        <x:f>'Evidence Obligations'!L228</x:f>
        <x:v>OPEN</x:v>
      </x:c>
    </x:row>
    <x:row r="4239">
      <x:c r="B4239" s="7" t="str">
        <x:v>PHY-4233</x:v>
      </x:c>
      <x:c r="C4239" s="7" t="str">
        <x:v>evidence obligation</x:v>
      </x:c>
      <x:c r="D4239" s="7" t="str">
        <x:v>RAE-E-19-EV-07</x:v>
      </x:c>
      <x:c r="E4239" s="7" t="str">
        <x:v>Evidence Obligations!L229</x:v>
      </x:c>
      <x:c r="F4239" s="7" t="str">
        <x:f>'Evidence Obligations'!L229</x:f>
        <x:v>OPEN</x:v>
      </x:c>
    </x:row>
    <x:row r="4240">
      <x:c r="B4240" s="7" t="str">
        <x:v>PHY-4234</x:v>
      </x:c>
      <x:c r="C4240" s="7" t="str">
        <x:v>evidence obligation</x:v>
      </x:c>
      <x:c r="D4240" s="7" t="str">
        <x:v>RAE-E-19-EV-08</x:v>
      </x:c>
      <x:c r="E4240" s="7" t="str">
        <x:v>Evidence Obligations!L230</x:v>
      </x:c>
      <x:c r="F4240" s="7" t="str">
        <x:f>'Evidence Obligations'!L230</x:f>
        <x:v>OPEN</x:v>
      </x:c>
    </x:row>
    <x:row r="4241">
      <x:c r="B4241" s="7" t="str">
        <x:v>PHY-4235</x:v>
      </x:c>
      <x:c r="C4241" s="7" t="str">
        <x:v>evidence obligation</x:v>
      </x:c>
      <x:c r="D4241" s="7" t="str">
        <x:v>RAE-E-19-EV-09</x:v>
      </x:c>
      <x:c r="E4241" s="7" t="str">
        <x:v>Evidence Obligations!L231</x:v>
      </x:c>
      <x:c r="F4241" s="7" t="str">
        <x:f>'Evidence Obligations'!L231</x:f>
        <x:v>OPEN</x:v>
      </x:c>
    </x:row>
    <x:row r="4242">
      <x:c r="B4242" s="7" t="str">
        <x:v>PHY-4236</x:v>
      </x:c>
      <x:c r="C4242" s="7" t="str">
        <x:v>evidence obligation</x:v>
      </x:c>
      <x:c r="D4242" s="7" t="str">
        <x:v>RAE-E-19-EV-10</x:v>
      </x:c>
      <x:c r="E4242" s="7" t="str">
        <x:v>Evidence Obligations!L232</x:v>
      </x:c>
      <x:c r="F4242" s="7" t="str">
        <x:f>'Evidence Obligations'!L232</x:f>
        <x:v>OPEN</x:v>
      </x:c>
    </x:row>
    <x:row r="4243">
      <x:c r="B4243" s="7" t="str">
        <x:v>PHY-4237</x:v>
      </x:c>
      <x:c r="C4243" s="7" t="str">
        <x:v>evidence obligation</x:v>
      </x:c>
      <x:c r="D4243" s="7" t="str">
        <x:v>RAE-E-19-EV-11</x:v>
      </x:c>
      <x:c r="E4243" s="7" t="str">
        <x:v>Evidence Obligations!L233</x:v>
      </x:c>
      <x:c r="F4243" s="7" t="str">
        <x:f>'Evidence Obligations'!L233</x:f>
        <x:v>OPEN</x:v>
      </x:c>
    </x:row>
    <x:row r="4244">
      <x:c r="B4244" s="7" t="str">
        <x:v>PHY-4238</x:v>
      </x:c>
      <x:c r="C4244" s="7" t="str">
        <x:v>evidence obligation</x:v>
      </x:c>
      <x:c r="D4244" s="7" t="str">
        <x:v>RAE-E-19-EV-12</x:v>
      </x:c>
      <x:c r="E4244" s="7" t="str">
        <x:v>Evidence Obligations!L234</x:v>
      </x:c>
      <x:c r="F4244" s="7" t="str">
        <x:f>'Evidence Obligations'!L234</x:f>
        <x:v>OPEN</x:v>
      </x:c>
    </x:row>
    <x:row r="4245">
      <x:c r="B4245" s="7" t="str">
        <x:v>PHY-4239</x:v>
      </x:c>
      <x:c r="C4245" s="7" t="str">
        <x:v>evidence obligation</x:v>
      </x:c>
      <x:c r="D4245" s="7" t="str">
        <x:v>RAE-E-20-EV-01</x:v>
      </x:c>
      <x:c r="E4245" s="7" t="str">
        <x:v>Evidence Obligations!L235</x:v>
      </x:c>
      <x:c r="F4245" s="7" t="str">
        <x:f>'Evidence Obligations'!L235</x:f>
        <x:v>OPEN</x:v>
      </x:c>
    </x:row>
    <x:row r="4246">
      <x:c r="B4246" s="7" t="str">
        <x:v>PHY-4240</x:v>
      </x:c>
      <x:c r="C4246" s="7" t="str">
        <x:v>evidence obligation</x:v>
      </x:c>
      <x:c r="D4246" s="7" t="str">
        <x:v>RAE-E-20-EV-02</x:v>
      </x:c>
      <x:c r="E4246" s="7" t="str">
        <x:v>Evidence Obligations!L236</x:v>
      </x:c>
      <x:c r="F4246" s="7" t="str">
        <x:f>'Evidence Obligations'!L236</x:f>
        <x:v>OPEN</x:v>
      </x:c>
    </x:row>
    <x:row r="4247">
      <x:c r="B4247" s="7" t="str">
        <x:v>PHY-4241</x:v>
      </x:c>
      <x:c r="C4247" s="7" t="str">
        <x:v>evidence obligation</x:v>
      </x:c>
      <x:c r="D4247" s="7" t="str">
        <x:v>RAE-E-20-EV-03</x:v>
      </x:c>
      <x:c r="E4247" s="7" t="str">
        <x:v>Evidence Obligations!L237</x:v>
      </x:c>
      <x:c r="F4247" s="7" t="str">
        <x:f>'Evidence Obligations'!L237</x:f>
        <x:v>OPEN</x:v>
      </x:c>
    </x:row>
    <x:row r="4248">
      <x:c r="B4248" s="7" t="str">
        <x:v>PHY-4242</x:v>
      </x:c>
      <x:c r="C4248" s="7" t="str">
        <x:v>evidence obligation</x:v>
      </x:c>
      <x:c r="D4248" s="7" t="str">
        <x:v>RAE-E-20-EV-04</x:v>
      </x:c>
      <x:c r="E4248" s="7" t="str">
        <x:v>Evidence Obligations!L238</x:v>
      </x:c>
      <x:c r="F4248" s="7" t="str">
        <x:f>'Evidence Obligations'!L238</x:f>
        <x:v>OPEN</x:v>
      </x:c>
    </x:row>
    <x:row r="4249">
      <x:c r="B4249" s="7" t="str">
        <x:v>PHY-4243</x:v>
      </x:c>
      <x:c r="C4249" s="7" t="str">
        <x:v>evidence obligation</x:v>
      </x:c>
      <x:c r="D4249" s="7" t="str">
        <x:v>RAE-E-20-EV-05</x:v>
      </x:c>
      <x:c r="E4249" s="7" t="str">
        <x:v>Evidence Obligations!L239</x:v>
      </x:c>
      <x:c r="F4249" s="7" t="str">
        <x:f>'Evidence Obligations'!L239</x:f>
        <x:v>OPEN</x:v>
      </x:c>
    </x:row>
    <x:row r="4250">
      <x:c r="B4250" s="7" t="str">
        <x:v>PHY-4244</x:v>
      </x:c>
      <x:c r="C4250" s="7" t="str">
        <x:v>evidence obligation</x:v>
      </x:c>
      <x:c r="D4250" s="7" t="str">
        <x:v>RAE-E-20-EV-06</x:v>
      </x:c>
      <x:c r="E4250" s="7" t="str">
        <x:v>Evidence Obligations!L240</x:v>
      </x:c>
      <x:c r="F4250" s="7" t="str">
        <x:f>'Evidence Obligations'!L240</x:f>
        <x:v>OPEN</x:v>
      </x:c>
    </x:row>
    <x:row r="4251">
      <x:c r="B4251" s="7" t="str">
        <x:v>PHY-4245</x:v>
      </x:c>
      <x:c r="C4251" s="7" t="str">
        <x:v>evidence obligation</x:v>
      </x:c>
      <x:c r="D4251" s="7" t="str">
        <x:v>RAE-E-20-EV-07</x:v>
      </x:c>
      <x:c r="E4251" s="7" t="str">
        <x:v>Evidence Obligations!L241</x:v>
      </x:c>
      <x:c r="F4251" s="7" t="str">
        <x:f>'Evidence Obligations'!L241</x:f>
        <x:v>OPEN</x:v>
      </x:c>
    </x:row>
    <x:row r="4252">
      <x:c r="B4252" s="7" t="str">
        <x:v>PHY-4246</x:v>
      </x:c>
      <x:c r="C4252" s="7" t="str">
        <x:v>evidence obligation</x:v>
      </x:c>
      <x:c r="D4252" s="7" t="str">
        <x:v>RAE-E-20-EV-08</x:v>
      </x:c>
      <x:c r="E4252" s="7" t="str">
        <x:v>Evidence Obligations!L242</x:v>
      </x:c>
      <x:c r="F4252" s="7" t="str">
        <x:f>'Evidence Obligations'!L242</x:f>
        <x:v>OPEN</x:v>
      </x:c>
    </x:row>
    <x:row r="4253">
      <x:c r="B4253" s="7" t="str">
        <x:v>PHY-4247</x:v>
      </x:c>
      <x:c r="C4253" s="7" t="str">
        <x:v>evidence obligation</x:v>
      </x:c>
      <x:c r="D4253" s="7" t="str">
        <x:v>RAE-E-20-EV-09</x:v>
      </x:c>
      <x:c r="E4253" s="7" t="str">
        <x:v>Evidence Obligations!L243</x:v>
      </x:c>
      <x:c r="F4253" s="7" t="str">
        <x:f>'Evidence Obligations'!L243</x:f>
        <x:v>OPEN</x:v>
      </x:c>
    </x:row>
    <x:row r="4254">
      <x:c r="B4254" s="7" t="str">
        <x:v>PHY-4248</x:v>
      </x:c>
      <x:c r="C4254" s="7" t="str">
        <x:v>evidence obligation</x:v>
      </x:c>
      <x:c r="D4254" s="7" t="str">
        <x:v>RAE-E-20-EV-10</x:v>
      </x:c>
      <x:c r="E4254" s="7" t="str">
        <x:v>Evidence Obligations!L244</x:v>
      </x:c>
      <x:c r="F4254" s="7" t="str">
        <x:f>'Evidence Obligations'!L244</x:f>
        <x:v>OPEN</x:v>
      </x:c>
    </x:row>
    <x:row r="4255">
      <x:c r="B4255" s="7" t="str">
        <x:v>PHY-4249</x:v>
      </x:c>
      <x:c r="C4255" s="7" t="str">
        <x:v>evidence obligation</x:v>
      </x:c>
      <x:c r="D4255" s="7" t="str">
        <x:v>RAE-E-20-EV-11</x:v>
      </x:c>
      <x:c r="E4255" s="7" t="str">
        <x:v>Evidence Obligations!L245</x:v>
      </x:c>
      <x:c r="F4255" s="7" t="str">
        <x:f>'Evidence Obligations'!L245</x:f>
        <x:v>OPEN</x:v>
      </x:c>
    </x:row>
    <x:row r="4256">
      <x:c r="B4256" s="7" t="str">
        <x:v>PHY-4250</x:v>
      </x:c>
      <x:c r="C4256" s="7" t="str">
        <x:v>evidence obligation</x:v>
      </x:c>
      <x:c r="D4256" s="7" t="str">
        <x:v>RAE-E-20-EV-12</x:v>
      </x:c>
      <x:c r="E4256" s="7" t="str">
        <x:v>Evidence Obligations!L246</x:v>
      </x:c>
      <x:c r="F4256" s="7" t="str">
        <x:f>'Evidence Obligations'!L246</x:f>
        <x:v>OPEN</x:v>
      </x:c>
    </x:row>
    <x:row r="4257">
      <x:c r="B4257" s="7" t="str">
        <x:v>PHY-4251</x:v>
      </x:c>
      <x:c r="C4257" s="7" t="str">
        <x:v>evidence obligation</x:v>
      </x:c>
      <x:c r="D4257" s="7" t="str">
        <x:v>RAE-E-21-EV-01</x:v>
      </x:c>
      <x:c r="E4257" s="7" t="str">
        <x:v>Evidence Obligations!L247</x:v>
      </x:c>
      <x:c r="F4257" s="7" t="str">
        <x:f>'Evidence Obligations'!L247</x:f>
        <x:v>OPEN</x:v>
      </x:c>
    </x:row>
    <x:row r="4258">
      <x:c r="B4258" s="7" t="str">
        <x:v>PHY-4252</x:v>
      </x:c>
      <x:c r="C4258" s="7" t="str">
        <x:v>evidence obligation</x:v>
      </x:c>
      <x:c r="D4258" s="7" t="str">
        <x:v>RAE-E-21-EV-02</x:v>
      </x:c>
      <x:c r="E4258" s="7" t="str">
        <x:v>Evidence Obligations!L248</x:v>
      </x:c>
      <x:c r="F4258" s="7" t="str">
        <x:f>'Evidence Obligations'!L248</x:f>
        <x:v>OPEN</x:v>
      </x:c>
    </x:row>
    <x:row r="4259">
      <x:c r="B4259" s="7" t="str">
        <x:v>PHY-4253</x:v>
      </x:c>
      <x:c r="C4259" s="7" t="str">
        <x:v>evidence obligation</x:v>
      </x:c>
      <x:c r="D4259" s="7" t="str">
        <x:v>RAE-E-21-EV-03</x:v>
      </x:c>
      <x:c r="E4259" s="7" t="str">
        <x:v>Evidence Obligations!L249</x:v>
      </x:c>
      <x:c r="F4259" s="7" t="str">
        <x:f>'Evidence Obligations'!L249</x:f>
        <x:v>OPEN</x:v>
      </x:c>
    </x:row>
    <x:row r="4260">
      <x:c r="B4260" s="7" t="str">
        <x:v>PHY-4254</x:v>
      </x:c>
      <x:c r="C4260" s="7" t="str">
        <x:v>evidence obligation</x:v>
      </x:c>
      <x:c r="D4260" s="7" t="str">
        <x:v>RAE-E-21-EV-04</x:v>
      </x:c>
      <x:c r="E4260" s="7" t="str">
        <x:v>Evidence Obligations!L250</x:v>
      </x:c>
      <x:c r="F4260" s="7" t="str">
        <x:f>'Evidence Obligations'!L250</x:f>
        <x:v>OPEN</x:v>
      </x:c>
    </x:row>
    <x:row r="4261">
      <x:c r="B4261" s="7" t="str">
        <x:v>PHY-4255</x:v>
      </x:c>
      <x:c r="C4261" s="7" t="str">
        <x:v>evidence obligation</x:v>
      </x:c>
      <x:c r="D4261" s="7" t="str">
        <x:v>RAE-E-21-EV-05</x:v>
      </x:c>
      <x:c r="E4261" s="7" t="str">
        <x:v>Evidence Obligations!L251</x:v>
      </x:c>
      <x:c r="F4261" s="7" t="str">
        <x:f>'Evidence Obligations'!L251</x:f>
        <x:v>OPEN</x:v>
      </x:c>
    </x:row>
    <x:row r="4262">
      <x:c r="B4262" s="7" t="str">
        <x:v>PHY-4256</x:v>
      </x:c>
      <x:c r="C4262" s="7" t="str">
        <x:v>evidence obligation</x:v>
      </x:c>
      <x:c r="D4262" s="7" t="str">
        <x:v>RAE-E-21-EV-06</x:v>
      </x:c>
      <x:c r="E4262" s="7" t="str">
        <x:v>Evidence Obligations!L252</x:v>
      </x:c>
      <x:c r="F4262" s="7" t="str">
        <x:f>'Evidence Obligations'!L252</x:f>
        <x:v>OPEN</x:v>
      </x:c>
    </x:row>
    <x:row r="4263">
      <x:c r="B4263" s="7" t="str">
        <x:v>PHY-4257</x:v>
      </x:c>
      <x:c r="C4263" s="7" t="str">
        <x:v>evidence obligation</x:v>
      </x:c>
      <x:c r="D4263" s="7" t="str">
        <x:v>RAE-E-21-EV-07</x:v>
      </x:c>
      <x:c r="E4263" s="7" t="str">
        <x:v>Evidence Obligations!L253</x:v>
      </x:c>
      <x:c r="F4263" s="7" t="str">
        <x:f>'Evidence Obligations'!L253</x:f>
        <x:v>OPEN</x:v>
      </x:c>
    </x:row>
    <x:row r="4264">
      <x:c r="B4264" s="7" t="str">
        <x:v>PHY-4258</x:v>
      </x:c>
      <x:c r="C4264" s="7" t="str">
        <x:v>evidence obligation</x:v>
      </x:c>
      <x:c r="D4264" s="7" t="str">
        <x:v>RAE-E-21-EV-08</x:v>
      </x:c>
      <x:c r="E4264" s="7" t="str">
        <x:v>Evidence Obligations!L254</x:v>
      </x:c>
      <x:c r="F4264" s="7" t="str">
        <x:f>'Evidence Obligations'!L254</x:f>
        <x:v>OPEN</x:v>
      </x:c>
    </x:row>
    <x:row r="4265">
      <x:c r="B4265" s="7" t="str">
        <x:v>PHY-4259</x:v>
      </x:c>
      <x:c r="C4265" s="7" t="str">
        <x:v>evidence obligation</x:v>
      </x:c>
      <x:c r="D4265" s="7" t="str">
        <x:v>RAE-E-21-EV-09</x:v>
      </x:c>
      <x:c r="E4265" s="7" t="str">
        <x:v>Evidence Obligations!L255</x:v>
      </x:c>
      <x:c r="F4265" s="7" t="str">
        <x:f>'Evidence Obligations'!L255</x:f>
        <x:v>OPEN</x:v>
      </x:c>
    </x:row>
    <x:row r="4266">
      <x:c r="B4266" s="7" t="str">
        <x:v>PHY-4260</x:v>
      </x:c>
      <x:c r="C4266" s="7" t="str">
        <x:v>evidence obligation</x:v>
      </x:c>
      <x:c r="D4266" s="7" t="str">
        <x:v>RAE-E-21-EV-10</x:v>
      </x:c>
      <x:c r="E4266" s="7" t="str">
        <x:v>Evidence Obligations!L256</x:v>
      </x:c>
      <x:c r="F4266" s="7" t="str">
        <x:f>'Evidence Obligations'!L256</x:f>
        <x:v>OPEN</x:v>
      </x:c>
    </x:row>
    <x:row r="4267">
      <x:c r="B4267" s="7" t="str">
        <x:v>PHY-4261</x:v>
      </x:c>
      <x:c r="C4267" s="7" t="str">
        <x:v>evidence obligation</x:v>
      </x:c>
      <x:c r="D4267" s="7" t="str">
        <x:v>RAE-E-21-EV-11</x:v>
      </x:c>
      <x:c r="E4267" s="7" t="str">
        <x:v>Evidence Obligations!L257</x:v>
      </x:c>
      <x:c r="F4267" s="7" t="str">
        <x:f>'Evidence Obligations'!L257</x:f>
        <x:v>OPEN</x:v>
      </x:c>
    </x:row>
    <x:row r="4268">
      <x:c r="B4268" s="7" t="str">
        <x:v>PHY-4262</x:v>
      </x:c>
      <x:c r="C4268" s="7" t="str">
        <x:v>evidence obligation</x:v>
      </x:c>
      <x:c r="D4268" s="7" t="str">
        <x:v>RAE-E-21-EV-12</x:v>
      </x:c>
      <x:c r="E4268" s="7" t="str">
        <x:v>Evidence Obligations!L258</x:v>
      </x:c>
      <x:c r="F4268" s="7" t="str">
        <x:f>'Evidence Obligations'!L258</x:f>
        <x:v>OPEN</x:v>
      </x:c>
    </x:row>
    <x:row r="4269">
      <x:c r="B4269" s="7" t="str">
        <x:v>PHY-4263</x:v>
      </x:c>
      <x:c r="C4269" s="7" t="str">
        <x:v>evidence obligation</x:v>
      </x:c>
      <x:c r="D4269" s="7" t="str">
        <x:v>RAE-E-22-EV-01</x:v>
      </x:c>
      <x:c r="E4269" s="7" t="str">
        <x:v>Evidence Obligations!L259</x:v>
      </x:c>
      <x:c r="F4269" s="7" t="str">
        <x:f>'Evidence Obligations'!L259</x:f>
        <x:v>OPEN</x:v>
      </x:c>
    </x:row>
    <x:row r="4270">
      <x:c r="B4270" s="7" t="str">
        <x:v>PHY-4264</x:v>
      </x:c>
      <x:c r="C4270" s="7" t="str">
        <x:v>evidence obligation</x:v>
      </x:c>
      <x:c r="D4270" s="7" t="str">
        <x:v>RAE-E-22-EV-02</x:v>
      </x:c>
      <x:c r="E4270" s="7" t="str">
        <x:v>Evidence Obligations!L260</x:v>
      </x:c>
      <x:c r="F4270" s="7" t="str">
        <x:f>'Evidence Obligations'!L260</x:f>
        <x:v>OPEN</x:v>
      </x:c>
    </x:row>
    <x:row r="4271">
      <x:c r="B4271" s="7" t="str">
        <x:v>PHY-4265</x:v>
      </x:c>
      <x:c r="C4271" s="7" t="str">
        <x:v>evidence obligation</x:v>
      </x:c>
      <x:c r="D4271" s="7" t="str">
        <x:v>RAE-E-22-EV-03</x:v>
      </x:c>
      <x:c r="E4271" s="7" t="str">
        <x:v>Evidence Obligations!L261</x:v>
      </x:c>
      <x:c r="F4271" s="7" t="str">
        <x:f>'Evidence Obligations'!L261</x:f>
        <x:v>OPEN</x:v>
      </x:c>
    </x:row>
    <x:row r="4272">
      <x:c r="B4272" s="7" t="str">
        <x:v>PHY-4266</x:v>
      </x:c>
      <x:c r="C4272" s="7" t="str">
        <x:v>evidence obligation</x:v>
      </x:c>
      <x:c r="D4272" s="7" t="str">
        <x:v>RAE-E-22-EV-04</x:v>
      </x:c>
      <x:c r="E4272" s="7" t="str">
        <x:v>Evidence Obligations!L262</x:v>
      </x:c>
      <x:c r="F4272" s="7" t="str">
        <x:f>'Evidence Obligations'!L262</x:f>
        <x:v>OPEN</x:v>
      </x:c>
    </x:row>
    <x:row r="4273">
      <x:c r="B4273" s="7" t="str">
        <x:v>PHY-4267</x:v>
      </x:c>
      <x:c r="C4273" s="7" t="str">
        <x:v>evidence obligation</x:v>
      </x:c>
      <x:c r="D4273" s="7" t="str">
        <x:v>RAE-E-22-EV-05</x:v>
      </x:c>
      <x:c r="E4273" s="7" t="str">
        <x:v>Evidence Obligations!L263</x:v>
      </x:c>
      <x:c r="F4273" s="7" t="str">
        <x:f>'Evidence Obligations'!L263</x:f>
        <x:v>OPEN</x:v>
      </x:c>
    </x:row>
    <x:row r="4274">
      <x:c r="B4274" s="7" t="str">
        <x:v>PHY-4268</x:v>
      </x:c>
      <x:c r="C4274" s="7" t="str">
        <x:v>evidence obligation</x:v>
      </x:c>
      <x:c r="D4274" s="7" t="str">
        <x:v>RAE-E-22-EV-06</x:v>
      </x:c>
      <x:c r="E4274" s="7" t="str">
        <x:v>Evidence Obligations!L264</x:v>
      </x:c>
      <x:c r="F4274" s="7" t="str">
        <x:f>'Evidence Obligations'!L264</x:f>
        <x:v>OPEN</x:v>
      </x:c>
    </x:row>
    <x:row r="4275">
      <x:c r="B4275" s="7" t="str">
        <x:v>PHY-4269</x:v>
      </x:c>
      <x:c r="C4275" s="7" t="str">
        <x:v>evidence obligation</x:v>
      </x:c>
      <x:c r="D4275" s="7" t="str">
        <x:v>RAE-E-22-EV-07</x:v>
      </x:c>
      <x:c r="E4275" s="7" t="str">
        <x:v>Evidence Obligations!L265</x:v>
      </x:c>
      <x:c r="F4275" s="7" t="str">
        <x:f>'Evidence Obligations'!L265</x:f>
        <x:v>OPEN</x:v>
      </x:c>
    </x:row>
    <x:row r="4276">
      <x:c r="B4276" s="7" t="str">
        <x:v>PHY-4270</x:v>
      </x:c>
      <x:c r="C4276" s="7" t="str">
        <x:v>evidence obligation</x:v>
      </x:c>
      <x:c r="D4276" s="7" t="str">
        <x:v>RAE-E-22-EV-08</x:v>
      </x:c>
      <x:c r="E4276" s="7" t="str">
        <x:v>Evidence Obligations!L266</x:v>
      </x:c>
      <x:c r="F4276" s="7" t="str">
        <x:f>'Evidence Obligations'!L266</x:f>
        <x:v>OPEN</x:v>
      </x:c>
    </x:row>
    <x:row r="4277">
      <x:c r="B4277" s="7" t="str">
        <x:v>PHY-4271</x:v>
      </x:c>
      <x:c r="C4277" s="7" t="str">
        <x:v>evidence obligation</x:v>
      </x:c>
      <x:c r="D4277" s="7" t="str">
        <x:v>RAE-E-22-EV-09</x:v>
      </x:c>
      <x:c r="E4277" s="7" t="str">
        <x:v>Evidence Obligations!L267</x:v>
      </x:c>
      <x:c r="F4277" s="7" t="str">
        <x:f>'Evidence Obligations'!L267</x:f>
        <x:v>OPEN</x:v>
      </x:c>
    </x:row>
    <x:row r="4278">
      <x:c r="B4278" s="7" t="str">
        <x:v>PHY-4272</x:v>
      </x:c>
      <x:c r="C4278" s="7" t="str">
        <x:v>evidence obligation</x:v>
      </x:c>
      <x:c r="D4278" s="7" t="str">
        <x:v>RAE-E-22-EV-10</x:v>
      </x:c>
      <x:c r="E4278" s="7" t="str">
        <x:v>Evidence Obligations!L268</x:v>
      </x:c>
      <x:c r="F4278" s="7" t="str">
        <x:f>'Evidence Obligations'!L268</x:f>
        <x:v>OPEN</x:v>
      </x:c>
    </x:row>
    <x:row r="4279">
      <x:c r="B4279" s="7" t="str">
        <x:v>PHY-4273</x:v>
      </x:c>
      <x:c r="C4279" s="7" t="str">
        <x:v>evidence obligation</x:v>
      </x:c>
      <x:c r="D4279" s="7" t="str">
        <x:v>RAE-E-22-EV-11</x:v>
      </x:c>
      <x:c r="E4279" s="7" t="str">
        <x:v>Evidence Obligations!L269</x:v>
      </x:c>
      <x:c r="F4279" s="7" t="str">
        <x:f>'Evidence Obligations'!L269</x:f>
        <x:v>OPEN</x:v>
      </x:c>
    </x:row>
    <x:row r="4280">
      <x:c r="B4280" s="7" t="str">
        <x:v>PHY-4274</x:v>
      </x:c>
      <x:c r="C4280" s="7" t="str">
        <x:v>evidence obligation</x:v>
      </x:c>
      <x:c r="D4280" s="7" t="str">
        <x:v>RAE-E-22-EV-12</x:v>
      </x:c>
      <x:c r="E4280" s="7" t="str">
        <x:v>Evidence Obligations!L270</x:v>
      </x:c>
      <x:c r="F4280" s="7" t="str">
        <x:f>'Evidence Obligations'!L270</x:f>
        <x:v>OPEN</x:v>
      </x:c>
    </x:row>
    <x:row r="4281">
      <x:c r="B4281" s="7" t="str">
        <x:v>PHY-4275</x:v>
      </x:c>
      <x:c r="C4281" s="7" t="str">
        <x:v>evidence obligation</x:v>
      </x:c>
      <x:c r="D4281" s="7" t="str">
        <x:v>RAE-E-23-EV-01</x:v>
      </x:c>
      <x:c r="E4281" s="7" t="str">
        <x:v>Evidence Obligations!L271</x:v>
      </x:c>
      <x:c r="F4281" s="7" t="str">
        <x:f>'Evidence Obligations'!L271</x:f>
        <x:v>OPEN</x:v>
      </x:c>
    </x:row>
    <x:row r="4282">
      <x:c r="B4282" s="7" t="str">
        <x:v>PHY-4276</x:v>
      </x:c>
      <x:c r="C4282" s="7" t="str">
        <x:v>evidence obligation</x:v>
      </x:c>
      <x:c r="D4282" s="7" t="str">
        <x:v>RAE-E-23-EV-02</x:v>
      </x:c>
      <x:c r="E4282" s="7" t="str">
        <x:v>Evidence Obligations!L272</x:v>
      </x:c>
      <x:c r="F4282" s="7" t="str">
        <x:f>'Evidence Obligations'!L272</x:f>
        <x:v>OPEN</x:v>
      </x:c>
    </x:row>
    <x:row r="4283">
      <x:c r="B4283" s="7" t="str">
        <x:v>PHY-4277</x:v>
      </x:c>
      <x:c r="C4283" s="7" t="str">
        <x:v>evidence obligation</x:v>
      </x:c>
      <x:c r="D4283" s="7" t="str">
        <x:v>RAE-E-23-EV-03</x:v>
      </x:c>
      <x:c r="E4283" s="7" t="str">
        <x:v>Evidence Obligations!L273</x:v>
      </x:c>
      <x:c r="F4283" s="7" t="str">
        <x:f>'Evidence Obligations'!L273</x:f>
        <x:v>OPEN</x:v>
      </x:c>
    </x:row>
    <x:row r="4284">
      <x:c r="B4284" s="7" t="str">
        <x:v>PHY-4278</x:v>
      </x:c>
      <x:c r="C4284" s="7" t="str">
        <x:v>evidence obligation</x:v>
      </x:c>
      <x:c r="D4284" s="7" t="str">
        <x:v>RAE-E-23-EV-04</x:v>
      </x:c>
      <x:c r="E4284" s="7" t="str">
        <x:v>Evidence Obligations!L274</x:v>
      </x:c>
      <x:c r="F4284" s="7" t="str">
        <x:f>'Evidence Obligations'!L274</x:f>
        <x:v>OPEN</x:v>
      </x:c>
    </x:row>
    <x:row r="4285">
      <x:c r="B4285" s="7" t="str">
        <x:v>PHY-4279</x:v>
      </x:c>
      <x:c r="C4285" s="7" t="str">
        <x:v>evidence obligation</x:v>
      </x:c>
      <x:c r="D4285" s="7" t="str">
        <x:v>RAE-E-23-EV-05</x:v>
      </x:c>
      <x:c r="E4285" s="7" t="str">
        <x:v>Evidence Obligations!L275</x:v>
      </x:c>
      <x:c r="F4285" s="7" t="str">
        <x:f>'Evidence Obligations'!L275</x:f>
        <x:v>OPEN</x:v>
      </x:c>
    </x:row>
    <x:row r="4286">
      <x:c r="B4286" s="7" t="str">
        <x:v>PHY-4280</x:v>
      </x:c>
      <x:c r="C4286" s="7" t="str">
        <x:v>evidence obligation</x:v>
      </x:c>
      <x:c r="D4286" s="7" t="str">
        <x:v>RAE-E-23-EV-06</x:v>
      </x:c>
      <x:c r="E4286" s="7" t="str">
        <x:v>Evidence Obligations!L276</x:v>
      </x:c>
      <x:c r="F4286" s="7" t="str">
        <x:f>'Evidence Obligations'!L276</x:f>
        <x:v>OPEN</x:v>
      </x:c>
    </x:row>
    <x:row r="4287">
      <x:c r="B4287" s="7" t="str">
        <x:v>PHY-4281</x:v>
      </x:c>
      <x:c r="C4287" s="7" t="str">
        <x:v>evidence obligation</x:v>
      </x:c>
      <x:c r="D4287" s="7" t="str">
        <x:v>RAE-E-23-EV-07</x:v>
      </x:c>
      <x:c r="E4287" s="7" t="str">
        <x:v>Evidence Obligations!L277</x:v>
      </x:c>
      <x:c r="F4287" s="7" t="str">
        <x:f>'Evidence Obligations'!L277</x:f>
        <x:v>OPEN</x:v>
      </x:c>
    </x:row>
    <x:row r="4288">
      <x:c r="B4288" s="7" t="str">
        <x:v>PHY-4282</x:v>
      </x:c>
      <x:c r="C4288" s="7" t="str">
        <x:v>evidence obligation</x:v>
      </x:c>
      <x:c r="D4288" s="7" t="str">
        <x:v>RAE-E-23-EV-08</x:v>
      </x:c>
      <x:c r="E4288" s="7" t="str">
        <x:v>Evidence Obligations!L278</x:v>
      </x:c>
      <x:c r="F4288" s="7" t="str">
        <x:f>'Evidence Obligations'!L278</x:f>
        <x:v>OPEN</x:v>
      </x:c>
    </x:row>
    <x:row r="4289">
      <x:c r="B4289" s="7" t="str">
        <x:v>PHY-4283</x:v>
      </x:c>
      <x:c r="C4289" s="7" t="str">
        <x:v>evidence obligation</x:v>
      </x:c>
      <x:c r="D4289" s="7" t="str">
        <x:v>RAE-E-23-EV-09</x:v>
      </x:c>
      <x:c r="E4289" s="7" t="str">
        <x:v>Evidence Obligations!L279</x:v>
      </x:c>
      <x:c r="F4289" s="7" t="str">
        <x:f>'Evidence Obligations'!L279</x:f>
        <x:v>OPEN</x:v>
      </x:c>
    </x:row>
    <x:row r="4290">
      <x:c r="B4290" s="7" t="str">
        <x:v>PHY-4284</x:v>
      </x:c>
      <x:c r="C4290" s="7" t="str">
        <x:v>evidence obligation</x:v>
      </x:c>
      <x:c r="D4290" s="7" t="str">
        <x:v>RAE-E-23-EV-10</x:v>
      </x:c>
      <x:c r="E4290" s="7" t="str">
        <x:v>Evidence Obligations!L280</x:v>
      </x:c>
      <x:c r="F4290" s="7" t="str">
        <x:f>'Evidence Obligations'!L280</x:f>
        <x:v>OPEN</x:v>
      </x:c>
    </x:row>
    <x:row r="4291">
      <x:c r="B4291" s="7" t="str">
        <x:v>PHY-4285</x:v>
      </x:c>
      <x:c r="C4291" s="7" t="str">
        <x:v>evidence obligation</x:v>
      </x:c>
      <x:c r="D4291" s="7" t="str">
        <x:v>RAE-E-23-EV-11</x:v>
      </x:c>
      <x:c r="E4291" s="7" t="str">
        <x:v>Evidence Obligations!L281</x:v>
      </x:c>
      <x:c r="F4291" s="7" t="str">
        <x:f>'Evidence Obligations'!L281</x:f>
        <x:v>OPEN</x:v>
      </x:c>
    </x:row>
    <x:row r="4292">
      <x:c r="B4292" s="7" t="str">
        <x:v>PHY-4286</x:v>
      </x:c>
      <x:c r="C4292" s="7" t="str">
        <x:v>evidence obligation</x:v>
      </x:c>
      <x:c r="D4292" s="7" t="str">
        <x:v>RAE-E-23-EV-12</x:v>
      </x:c>
      <x:c r="E4292" s="7" t="str">
        <x:v>Evidence Obligations!L282</x:v>
      </x:c>
      <x:c r="F4292" s="7" t="str">
        <x:f>'Evidence Obligations'!L282</x:f>
        <x:v>OPEN</x:v>
      </x:c>
    </x:row>
    <x:row r="4293">
      <x:c r="B4293" s="7" t="str">
        <x:v>PHY-4287</x:v>
      </x:c>
      <x:c r="C4293" s="7" t="str">
        <x:v>evidence obligation</x:v>
      </x:c>
      <x:c r="D4293" s="7" t="str">
        <x:v>RAE-E-24-EV-01</x:v>
      </x:c>
      <x:c r="E4293" s="7" t="str">
        <x:v>Evidence Obligations!L283</x:v>
      </x:c>
      <x:c r="F4293" s="7" t="str">
        <x:f>'Evidence Obligations'!L283</x:f>
        <x:v>OPEN</x:v>
      </x:c>
    </x:row>
    <x:row r="4294">
      <x:c r="B4294" s="7" t="str">
        <x:v>PHY-4288</x:v>
      </x:c>
      <x:c r="C4294" s="7" t="str">
        <x:v>evidence obligation</x:v>
      </x:c>
      <x:c r="D4294" s="7" t="str">
        <x:v>RAE-E-24-EV-02</x:v>
      </x:c>
      <x:c r="E4294" s="7" t="str">
        <x:v>Evidence Obligations!L284</x:v>
      </x:c>
      <x:c r="F4294" s="7" t="str">
        <x:f>'Evidence Obligations'!L284</x:f>
        <x:v>OPEN</x:v>
      </x:c>
    </x:row>
    <x:row r="4295">
      <x:c r="B4295" s="7" t="str">
        <x:v>PHY-4289</x:v>
      </x:c>
      <x:c r="C4295" s="7" t="str">
        <x:v>evidence obligation</x:v>
      </x:c>
      <x:c r="D4295" s="7" t="str">
        <x:v>RAE-E-24-EV-03</x:v>
      </x:c>
      <x:c r="E4295" s="7" t="str">
        <x:v>Evidence Obligations!L285</x:v>
      </x:c>
      <x:c r="F4295" s="7" t="str">
        <x:f>'Evidence Obligations'!L285</x:f>
        <x:v>OPEN</x:v>
      </x:c>
    </x:row>
    <x:row r="4296">
      <x:c r="B4296" s="7" t="str">
        <x:v>PHY-4290</x:v>
      </x:c>
      <x:c r="C4296" s="7" t="str">
        <x:v>evidence obligation</x:v>
      </x:c>
      <x:c r="D4296" s="7" t="str">
        <x:v>RAE-E-24-EV-04</x:v>
      </x:c>
      <x:c r="E4296" s="7" t="str">
        <x:v>Evidence Obligations!L286</x:v>
      </x:c>
      <x:c r="F4296" s="7" t="str">
        <x:f>'Evidence Obligations'!L286</x:f>
        <x:v>OPEN</x:v>
      </x:c>
    </x:row>
    <x:row r="4297">
      <x:c r="B4297" s="7" t="str">
        <x:v>PHY-4291</x:v>
      </x:c>
      <x:c r="C4297" s="7" t="str">
        <x:v>evidence obligation</x:v>
      </x:c>
      <x:c r="D4297" s="7" t="str">
        <x:v>RAE-E-24-EV-05</x:v>
      </x:c>
      <x:c r="E4297" s="7" t="str">
        <x:v>Evidence Obligations!L287</x:v>
      </x:c>
      <x:c r="F4297" s="7" t="str">
        <x:f>'Evidence Obligations'!L287</x:f>
        <x:v>OPEN</x:v>
      </x:c>
    </x:row>
    <x:row r="4298">
      <x:c r="B4298" s="7" t="str">
        <x:v>PHY-4292</x:v>
      </x:c>
      <x:c r="C4298" s="7" t="str">
        <x:v>evidence obligation</x:v>
      </x:c>
      <x:c r="D4298" s="7" t="str">
        <x:v>RAE-E-24-EV-06</x:v>
      </x:c>
      <x:c r="E4298" s="7" t="str">
        <x:v>Evidence Obligations!L288</x:v>
      </x:c>
      <x:c r="F4298" s="7" t="str">
        <x:f>'Evidence Obligations'!L288</x:f>
        <x:v>OPEN</x:v>
      </x:c>
    </x:row>
    <x:row r="4299">
      <x:c r="B4299" s="7" t="str">
        <x:v>PHY-4293</x:v>
      </x:c>
      <x:c r="C4299" s="7" t="str">
        <x:v>evidence obligation</x:v>
      </x:c>
      <x:c r="D4299" s="7" t="str">
        <x:v>RAE-E-24-EV-07</x:v>
      </x:c>
      <x:c r="E4299" s="7" t="str">
        <x:v>Evidence Obligations!L289</x:v>
      </x:c>
      <x:c r="F4299" s="7" t="str">
        <x:f>'Evidence Obligations'!L289</x:f>
        <x:v>OPEN</x:v>
      </x:c>
    </x:row>
    <x:row r="4300">
      <x:c r="B4300" s="7" t="str">
        <x:v>PHY-4294</x:v>
      </x:c>
      <x:c r="C4300" s="7" t="str">
        <x:v>evidence obligation</x:v>
      </x:c>
      <x:c r="D4300" s="7" t="str">
        <x:v>RAE-E-24-EV-08</x:v>
      </x:c>
      <x:c r="E4300" s="7" t="str">
        <x:v>Evidence Obligations!L290</x:v>
      </x:c>
      <x:c r="F4300" s="7" t="str">
        <x:f>'Evidence Obligations'!L290</x:f>
        <x:v>OPEN</x:v>
      </x:c>
    </x:row>
    <x:row r="4301">
      <x:c r="B4301" s="7" t="str">
        <x:v>PHY-4295</x:v>
      </x:c>
      <x:c r="C4301" s="7" t="str">
        <x:v>evidence obligation</x:v>
      </x:c>
      <x:c r="D4301" s="7" t="str">
        <x:v>RAE-E-24-EV-09</x:v>
      </x:c>
      <x:c r="E4301" s="7" t="str">
        <x:v>Evidence Obligations!L291</x:v>
      </x:c>
      <x:c r="F4301" s="7" t="str">
        <x:f>'Evidence Obligations'!L291</x:f>
        <x:v>OPEN</x:v>
      </x:c>
    </x:row>
    <x:row r="4302">
      <x:c r="B4302" s="7" t="str">
        <x:v>PHY-4296</x:v>
      </x:c>
      <x:c r="C4302" s="7" t="str">
        <x:v>evidence obligation</x:v>
      </x:c>
      <x:c r="D4302" s="7" t="str">
        <x:v>RAE-E-24-EV-10</x:v>
      </x:c>
      <x:c r="E4302" s="7" t="str">
        <x:v>Evidence Obligations!L292</x:v>
      </x:c>
      <x:c r="F4302" s="7" t="str">
        <x:f>'Evidence Obligations'!L292</x:f>
        <x:v>OPEN</x:v>
      </x:c>
    </x:row>
    <x:row r="4303">
      <x:c r="B4303" s="7" t="str">
        <x:v>PHY-4297</x:v>
      </x:c>
      <x:c r="C4303" s="7" t="str">
        <x:v>evidence obligation</x:v>
      </x:c>
      <x:c r="D4303" s="7" t="str">
        <x:v>RAE-E-24-EV-11</x:v>
      </x:c>
      <x:c r="E4303" s="7" t="str">
        <x:v>Evidence Obligations!L293</x:v>
      </x:c>
      <x:c r="F4303" s="7" t="str">
        <x:f>'Evidence Obligations'!L293</x:f>
        <x:v>OPEN</x:v>
      </x:c>
    </x:row>
    <x:row r="4304">
      <x:c r="B4304" s="7" t="str">
        <x:v>PHY-4298</x:v>
      </x:c>
      <x:c r="C4304" s="7" t="str">
        <x:v>evidence obligation</x:v>
      </x:c>
      <x:c r="D4304" s="7" t="str">
        <x:v>RAE-E-24-EV-12</x:v>
      </x:c>
      <x:c r="E4304" s="7" t="str">
        <x:v>Evidence Obligations!L294</x:v>
      </x:c>
      <x:c r="F4304" s="7" t="str">
        <x:f>'Evidence Obligations'!L294</x:f>
        <x:v>OPEN</x:v>
      </x:c>
    </x:row>
    <x:row r="4305">
      <x:c r="B4305" s="7" t="str">
        <x:v>PHY-4299</x:v>
      </x:c>
      <x:c r="C4305" s="7" t="str">
        <x:v>evidence obligation</x:v>
      </x:c>
      <x:c r="D4305" s="7" t="str">
        <x:v>RAE-E-25-EV-01</x:v>
      </x:c>
      <x:c r="E4305" s="7" t="str">
        <x:v>Evidence Obligations!L295</x:v>
      </x:c>
      <x:c r="F4305" s="7" t="str">
        <x:f>'Evidence Obligations'!L295</x:f>
        <x:v>OPEN</x:v>
      </x:c>
    </x:row>
    <x:row r="4306">
      <x:c r="B4306" s="7" t="str">
        <x:v>PHY-4300</x:v>
      </x:c>
      <x:c r="C4306" s="7" t="str">
        <x:v>evidence obligation</x:v>
      </x:c>
      <x:c r="D4306" s="7" t="str">
        <x:v>RAE-E-25-EV-02</x:v>
      </x:c>
      <x:c r="E4306" s="7" t="str">
        <x:v>Evidence Obligations!L296</x:v>
      </x:c>
      <x:c r="F4306" s="7" t="str">
        <x:f>'Evidence Obligations'!L296</x:f>
        <x:v>OPEN</x:v>
      </x:c>
    </x:row>
    <x:row r="4307">
      <x:c r="B4307" s="7" t="str">
        <x:v>PHY-4301</x:v>
      </x:c>
      <x:c r="C4307" s="7" t="str">
        <x:v>evidence obligation</x:v>
      </x:c>
      <x:c r="D4307" s="7" t="str">
        <x:v>RAE-E-25-EV-03</x:v>
      </x:c>
      <x:c r="E4307" s="7" t="str">
        <x:v>Evidence Obligations!L297</x:v>
      </x:c>
      <x:c r="F4307" s="7" t="str">
        <x:f>'Evidence Obligations'!L297</x:f>
        <x:v>OPEN</x:v>
      </x:c>
    </x:row>
    <x:row r="4308">
      <x:c r="B4308" s="7" t="str">
        <x:v>PHY-4302</x:v>
      </x:c>
      <x:c r="C4308" s="7" t="str">
        <x:v>evidence obligation</x:v>
      </x:c>
      <x:c r="D4308" s="7" t="str">
        <x:v>RAE-E-25-EV-04</x:v>
      </x:c>
      <x:c r="E4308" s="7" t="str">
        <x:v>Evidence Obligations!L298</x:v>
      </x:c>
      <x:c r="F4308" s="7" t="str">
        <x:f>'Evidence Obligations'!L298</x:f>
        <x:v>OPEN</x:v>
      </x:c>
    </x:row>
    <x:row r="4309">
      <x:c r="B4309" s="7" t="str">
        <x:v>PHY-4303</x:v>
      </x:c>
      <x:c r="C4309" s="7" t="str">
        <x:v>evidence obligation</x:v>
      </x:c>
      <x:c r="D4309" s="7" t="str">
        <x:v>RAE-E-25-EV-05</x:v>
      </x:c>
      <x:c r="E4309" s="7" t="str">
        <x:v>Evidence Obligations!L299</x:v>
      </x:c>
      <x:c r="F4309" s="7" t="str">
        <x:f>'Evidence Obligations'!L299</x:f>
        <x:v>OPEN</x:v>
      </x:c>
    </x:row>
    <x:row r="4310">
      <x:c r="B4310" s="7" t="str">
        <x:v>PHY-4304</x:v>
      </x:c>
      <x:c r="C4310" s="7" t="str">
        <x:v>evidence obligation</x:v>
      </x:c>
      <x:c r="D4310" s="7" t="str">
        <x:v>RAE-E-25-EV-06</x:v>
      </x:c>
      <x:c r="E4310" s="7" t="str">
        <x:v>Evidence Obligations!L300</x:v>
      </x:c>
      <x:c r="F4310" s="7" t="str">
        <x:f>'Evidence Obligations'!L300</x:f>
        <x:v>OPEN</x:v>
      </x:c>
    </x:row>
    <x:row r="4311">
      <x:c r="B4311" s="7" t="str">
        <x:v>PHY-4305</x:v>
      </x:c>
      <x:c r="C4311" s="7" t="str">
        <x:v>evidence obligation</x:v>
      </x:c>
      <x:c r="D4311" s="7" t="str">
        <x:v>RAE-E-25-EV-07</x:v>
      </x:c>
      <x:c r="E4311" s="7" t="str">
        <x:v>Evidence Obligations!L301</x:v>
      </x:c>
      <x:c r="F4311" s="7" t="str">
        <x:f>'Evidence Obligations'!L301</x:f>
        <x:v>OPEN</x:v>
      </x:c>
    </x:row>
    <x:row r="4312">
      <x:c r="B4312" s="7" t="str">
        <x:v>PHY-4306</x:v>
      </x:c>
      <x:c r="C4312" s="7" t="str">
        <x:v>evidence obligation</x:v>
      </x:c>
      <x:c r="D4312" s="7" t="str">
        <x:v>RAE-E-25-EV-08</x:v>
      </x:c>
      <x:c r="E4312" s="7" t="str">
        <x:v>Evidence Obligations!L302</x:v>
      </x:c>
      <x:c r="F4312" s="7" t="str">
        <x:f>'Evidence Obligations'!L302</x:f>
        <x:v>OPEN</x:v>
      </x:c>
    </x:row>
    <x:row r="4313">
      <x:c r="B4313" s="7" t="str">
        <x:v>PHY-4307</x:v>
      </x:c>
      <x:c r="C4313" s="7" t="str">
        <x:v>evidence obligation</x:v>
      </x:c>
      <x:c r="D4313" s="7" t="str">
        <x:v>RAE-E-25-EV-09</x:v>
      </x:c>
      <x:c r="E4313" s="7" t="str">
        <x:v>Evidence Obligations!L303</x:v>
      </x:c>
      <x:c r="F4313" s="7" t="str">
        <x:f>'Evidence Obligations'!L303</x:f>
        <x:v>OPEN</x:v>
      </x:c>
    </x:row>
    <x:row r="4314">
      <x:c r="B4314" s="7" t="str">
        <x:v>PHY-4308</x:v>
      </x:c>
      <x:c r="C4314" s="7" t="str">
        <x:v>evidence obligation</x:v>
      </x:c>
      <x:c r="D4314" s="7" t="str">
        <x:v>RAE-E-25-EV-10</x:v>
      </x:c>
      <x:c r="E4314" s="7" t="str">
        <x:v>Evidence Obligations!L304</x:v>
      </x:c>
      <x:c r="F4314" s="7" t="str">
        <x:f>'Evidence Obligations'!L304</x:f>
        <x:v>OPEN</x:v>
      </x:c>
    </x:row>
    <x:row r="4315">
      <x:c r="B4315" s="7" t="str">
        <x:v>PHY-4309</x:v>
      </x:c>
      <x:c r="C4315" s="7" t="str">
        <x:v>evidence obligation</x:v>
      </x:c>
      <x:c r="D4315" s="7" t="str">
        <x:v>RAE-E-25-EV-11</x:v>
      </x:c>
      <x:c r="E4315" s="7" t="str">
        <x:v>Evidence Obligations!L305</x:v>
      </x:c>
      <x:c r="F4315" s="7" t="str">
        <x:f>'Evidence Obligations'!L305</x:f>
        <x:v>OPEN</x:v>
      </x:c>
    </x:row>
    <x:row r="4316">
      <x:c r="B4316" s="7" t="str">
        <x:v>PHY-4310</x:v>
      </x:c>
      <x:c r="C4316" s="7" t="str">
        <x:v>evidence obligation</x:v>
      </x:c>
      <x:c r="D4316" s="7" t="str">
        <x:v>RAE-E-25-EV-12</x:v>
      </x:c>
      <x:c r="E4316" s="7" t="str">
        <x:v>Evidence Obligations!L306</x:v>
      </x:c>
      <x:c r="F4316" s="7" t="str">
        <x:f>'Evidence Obligations'!L306</x:f>
        <x:v>OPEN</x:v>
      </x:c>
    </x:row>
    <x:row r="4317">
      <x:c r="B4317" s="7" t="str">
        <x:v>PHY-4311</x:v>
      </x:c>
      <x:c r="C4317" s="7" t="str">
        <x:v>evidence obligation</x:v>
      </x:c>
      <x:c r="D4317" s="7" t="str">
        <x:v>RAE-E-26-EV-01</x:v>
      </x:c>
      <x:c r="E4317" s="7" t="str">
        <x:v>Evidence Obligations!L307</x:v>
      </x:c>
      <x:c r="F4317" s="7" t="str">
        <x:f>'Evidence Obligations'!L307</x:f>
        <x:v>OPEN</x:v>
      </x:c>
    </x:row>
    <x:row r="4318">
      <x:c r="B4318" s="7" t="str">
        <x:v>PHY-4312</x:v>
      </x:c>
      <x:c r="C4318" s="7" t="str">
        <x:v>evidence obligation</x:v>
      </x:c>
      <x:c r="D4318" s="7" t="str">
        <x:v>RAE-E-26-EV-02</x:v>
      </x:c>
      <x:c r="E4318" s="7" t="str">
        <x:v>Evidence Obligations!L308</x:v>
      </x:c>
      <x:c r="F4318" s="7" t="str">
        <x:f>'Evidence Obligations'!L308</x:f>
        <x:v>OPEN</x:v>
      </x:c>
    </x:row>
    <x:row r="4319">
      <x:c r="B4319" s="7" t="str">
        <x:v>PHY-4313</x:v>
      </x:c>
      <x:c r="C4319" s="7" t="str">
        <x:v>evidence obligation</x:v>
      </x:c>
      <x:c r="D4319" s="7" t="str">
        <x:v>RAE-E-26-EV-03</x:v>
      </x:c>
      <x:c r="E4319" s="7" t="str">
        <x:v>Evidence Obligations!L309</x:v>
      </x:c>
      <x:c r="F4319" s="7" t="str">
        <x:f>'Evidence Obligations'!L309</x:f>
        <x:v>OPEN</x:v>
      </x:c>
    </x:row>
    <x:row r="4320">
      <x:c r="B4320" s="7" t="str">
        <x:v>PHY-4314</x:v>
      </x:c>
      <x:c r="C4320" s="7" t="str">
        <x:v>evidence obligation</x:v>
      </x:c>
      <x:c r="D4320" s="7" t="str">
        <x:v>RAE-E-26-EV-04</x:v>
      </x:c>
      <x:c r="E4320" s="7" t="str">
        <x:v>Evidence Obligations!L310</x:v>
      </x:c>
      <x:c r="F4320" s="7" t="str">
        <x:f>'Evidence Obligations'!L310</x:f>
        <x:v>OPEN</x:v>
      </x:c>
    </x:row>
    <x:row r="4321">
      <x:c r="B4321" s="7" t="str">
        <x:v>PHY-4315</x:v>
      </x:c>
      <x:c r="C4321" s="7" t="str">
        <x:v>evidence obligation</x:v>
      </x:c>
      <x:c r="D4321" s="7" t="str">
        <x:v>RAE-E-26-EV-05</x:v>
      </x:c>
      <x:c r="E4321" s="7" t="str">
        <x:v>Evidence Obligations!L311</x:v>
      </x:c>
      <x:c r="F4321" s="7" t="str">
        <x:f>'Evidence Obligations'!L311</x:f>
        <x:v>OPEN</x:v>
      </x:c>
    </x:row>
    <x:row r="4322">
      <x:c r="B4322" s="7" t="str">
        <x:v>PHY-4316</x:v>
      </x:c>
      <x:c r="C4322" s="7" t="str">
        <x:v>evidence obligation</x:v>
      </x:c>
      <x:c r="D4322" s="7" t="str">
        <x:v>RAE-E-26-EV-06</x:v>
      </x:c>
      <x:c r="E4322" s="7" t="str">
        <x:v>Evidence Obligations!L312</x:v>
      </x:c>
      <x:c r="F4322" s="7" t="str">
        <x:f>'Evidence Obligations'!L312</x:f>
        <x:v>OPEN</x:v>
      </x:c>
    </x:row>
    <x:row r="4323">
      <x:c r="B4323" s="7" t="str">
        <x:v>PHY-4317</x:v>
      </x:c>
      <x:c r="C4323" s="7" t="str">
        <x:v>evidence obligation</x:v>
      </x:c>
      <x:c r="D4323" s="7" t="str">
        <x:v>RAE-E-26-EV-07</x:v>
      </x:c>
      <x:c r="E4323" s="7" t="str">
        <x:v>Evidence Obligations!L313</x:v>
      </x:c>
      <x:c r="F4323" s="7" t="str">
        <x:f>'Evidence Obligations'!L313</x:f>
        <x:v>OPEN</x:v>
      </x:c>
    </x:row>
    <x:row r="4324">
      <x:c r="B4324" s="7" t="str">
        <x:v>PHY-4318</x:v>
      </x:c>
      <x:c r="C4324" s="7" t="str">
        <x:v>evidence obligation</x:v>
      </x:c>
      <x:c r="D4324" s="7" t="str">
        <x:v>RAE-E-26-EV-08</x:v>
      </x:c>
      <x:c r="E4324" s="7" t="str">
        <x:v>Evidence Obligations!L314</x:v>
      </x:c>
      <x:c r="F4324" s="7" t="str">
        <x:f>'Evidence Obligations'!L314</x:f>
        <x:v>OPEN</x:v>
      </x:c>
    </x:row>
    <x:row r="4325">
      <x:c r="B4325" s="7" t="str">
        <x:v>PHY-4319</x:v>
      </x:c>
      <x:c r="C4325" s="7" t="str">
        <x:v>evidence obligation</x:v>
      </x:c>
      <x:c r="D4325" s="7" t="str">
        <x:v>RAE-E-26-EV-09</x:v>
      </x:c>
      <x:c r="E4325" s="7" t="str">
        <x:v>Evidence Obligations!L315</x:v>
      </x:c>
      <x:c r="F4325" s="7" t="str">
        <x:f>'Evidence Obligations'!L315</x:f>
        <x:v>OPEN</x:v>
      </x:c>
    </x:row>
    <x:row r="4326">
      <x:c r="B4326" s="7" t="str">
        <x:v>PHY-4320</x:v>
      </x:c>
      <x:c r="C4326" s="7" t="str">
        <x:v>evidence obligation</x:v>
      </x:c>
      <x:c r="D4326" s="7" t="str">
        <x:v>RAE-E-26-EV-10</x:v>
      </x:c>
      <x:c r="E4326" s="7" t="str">
        <x:v>Evidence Obligations!L316</x:v>
      </x:c>
      <x:c r="F4326" s="7" t="str">
        <x:f>'Evidence Obligations'!L316</x:f>
        <x:v>OPEN</x:v>
      </x:c>
    </x:row>
    <x:row r="4327">
      <x:c r="B4327" s="7" t="str">
        <x:v>PHY-4321</x:v>
      </x:c>
      <x:c r="C4327" s="7" t="str">
        <x:v>evidence obligation</x:v>
      </x:c>
      <x:c r="D4327" s="7" t="str">
        <x:v>RAE-E-26-EV-11</x:v>
      </x:c>
      <x:c r="E4327" s="7" t="str">
        <x:v>Evidence Obligations!L317</x:v>
      </x:c>
      <x:c r="F4327" s="7" t="str">
        <x:f>'Evidence Obligations'!L317</x:f>
        <x:v>OPEN</x:v>
      </x:c>
    </x:row>
    <x:row r="4328">
      <x:c r="B4328" s="7" t="str">
        <x:v>PHY-4322</x:v>
      </x:c>
      <x:c r="C4328" s="7" t="str">
        <x:v>evidence obligation</x:v>
      </x:c>
      <x:c r="D4328" s="7" t="str">
        <x:v>RAE-E-26-EV-12</x:v>
      </x:c>
      <x:c r="E4328" s="7" t="str">
        <x:v>Evidence Obligations!L318</x:v>
      </x:c>
      <x:c r="F4328" s="7" t="str">
        <x:f>'Evidence Obligations'!L318</x:f>
        <x:v>OPEN</x:v>
      </x:c>
    </x:row>
    <x:row r="4329">
      <x:c r="B4329" s="7" t="str">
        <x:v>PHY-4323</x:v>
      </x:c>
      <x:c r="C4329" s="7" t="str">
        <x:v>evidence obligation</x:v>
      </x:c>
      <x:c r="D4329" s="7" t="str">
        <x:v>RAE-E-27-EV-01</x:v>
      </x:c>
      <x:c r="E4329" s="7" t="str">
        <x:v>Evidence Obligations!L319</x:v>
      </x:c>
      <x:c r="F4329" s="7" t="str">
        <x:f>'Evidence Obligations'!L319</x:f>
        <x:v>OPEN</x:v>
      </x:c>
    </x:row>
    <x:row r="4330">
      <x:c r="B4330" s="7" t="str">
        <x:v>PHY-4324</x:v>
      </x:c>
      <x:c r="C4330" s="7" t="str">
        <x:v>evidence obligation</x:v>
      </x:c>
      <x:c r="D4330" s="7" t="str">
        <x:v>RAE-E-27-EV-02</x:v>
      </x:c>
      <x:c r="E4330" s="7" t="str">
        <x:v>Evidence Obligations!L320</x:v>
      </x:c>
      <x:c r="F4330" s="7" t="str">
        <x:f>'Evidence Obligations'!L320</x:f>
        <x:v>OPEN</x:v>
      </x:c>
    </x:row>
    <x:row r="4331">
      <x:c r="B4331" s="7" t="str">
        <x:v>PHY-4325</x:v>
      </x:c>
      <x:c r="C4331" s="7" t="str">
        <x:v>evidence obligation</x:v>
      </x:c>
      <x:c r="D4331" s="7" t="str">
        <x:v>RAE-E-27-EV-03</x:v>
      </x:c>
      <x:c r="E4331" s="7" t="str">
        <x:v>Evidence Obligations!L321</x:v>
      </x:c>
      <x:c r="F4331" s="7" t="str">
        <x:f>'Evidence Obligations'!L321</x:f>
        <x:v>OPEN</x:v>
      </x:c>
    </x:row>
    <x:row r="4332">
      <x:c r="B4332" s="7" t="str">
        <x:v>PHY-4326</x:v>
      </x:c>
      <x:c r="C4332" s="7" t="str">
        <x:v>evidence obligation</x:v>
      </x:c>
      <x:c r="D4332" s="7" t="str">
        <x:v>RAE-E-27-EV-04</x:v>
      </x:c>
      <x:c r="E4332" s="7" t="str">
        <x:v>Evidence Obligations!L322</x:v>
      </x:c>
      <x:c r="F4332" s="7" t="str">
        <x:f>'Evidence Obligations'!L322</x:f>
        <x:v>OPEN</x:v>
      </x:c>
    </x:row>
    <x:row r="4333">
      <x:c r="B4333" s="7" t="str">
        <x:v>PHY-4327</x:v>
      </x:c>
      <x:c r="C4333" s="7" t="str">
        <x:v>evidence obligation</x:v>
      </x:c>
      <x:c r="D4333" s="7" t="str">
        <x:v>RAE-E-27-EV-05</x:v>
      </x:c>
      <x:c r="E4333" s="7" t="str">
        <x:v>Evidence Obligations!L323</x:v>
      </x:c>
      <x:c r="F4333" s="7" t="str">
        <x:f>'Evidence Obligations'!L323</x:f>
        <x:v>OPEN</x:v>
      </x:c>
    </x:row>
    <x:row r="4334">
      <x:c r="B4334" s="7" t="str">
        <x:v>PHY-4328</x:v>
      </x:c>
      <x:c r="C4334" s="7" t="str">
        <x:v>evidence obligation</x:v>
      </x:c>
      <x:c r="D4334" s="7" t="str">
        <x:v>RAE-E-27-EV-06</x:v>
      </x:c>
      <x:c r="E4334" s="7" t="str">
        <x:v>Evidence Obligations!L324</x:v>
      </x:c>
      <x:c r="F4334" s="7" t="str">
        <x:f>'Evidence Obligations'!L324</x:f>
        <x:v>OPEN</x:v>
      </x:c>
    </x:row>
    <x:row r="4335">
      <x:c r="B4335" s="7" t="str">
        <x:v>PHY-4329</x:v>
      </x:c>
      <x:c r="C4335" s="7" t="str">
        <x:v>evidence obligation</x:v>
      </x:c>
      <x:c r="D4335" s="7" t="str">
        <x:v>RAE-E-27-EV-07</x:v>
      </x:c>
      <x:c r="E4335" s="7" t="str">
        <x:v>Evidence Obligations!L325</x:v>
      </x:c>
      <x:c r="F4335" s="7" t="str">
        <x:f>'Evidence Obligations'!L325</x:f>
        <x:v>OPEN</x:v>
      </x:c>
    </x:row>
    <x:row r="4336">
      <x:c r="B4336" s="7" t="str">
        <x:v>PHY-4330</x:v>
      </x:c>
      <x:c r="C4336" s="7" t="str">
        <x:v>evidence obligation</x:v>
      </x:c>
      <x:c r="D4336" s="7" t="str">
        <x:v>RAE-E-27-EV-08</x:v>
      </x:c>
      <x:c r="E4336" s="7" t="str">
        <x:v>Evidence Obligations!L326</x:v>
      </x:c>
      <x:c r="F4336" s="7" t="str">
        <x:f>'Evidence Obligations'!L326</x:f>
        <x:v>OPEN</x:v>
      </x:c>
    </x:row>
    <x:row r="4337">
      <x:c r="B4337" s="7" t="str">
        <x:v>PHY-4331</x:v>
      </x:c>
      <x:c r="C4337" s="7" t="str">
        <x:v>evidence obligation</x:v>
      </x:c>
      <x:c r="D4337" s="7" t="str">
        <x:v>RAE-E-27-EV-09</x:v>
      </x:c>
      <x:c r="E4337" s="7" t="str">
        <x:v>Evidence Obligations!L327</x:v>
      </x:c>
      <x:c r="F4337" s="7" t="str">
        <x:f>'Evidence Obligations'!L327</x:f>
        <x:v>OPEN</x:v>
      </x:c>
    </x:row>
    <x:row r="4338">
      <x:c r="B4338" s="7" t="str">
        <x:v>PHY-4332</x:v>
      </x:c>
      <x:c r="C4338" s="7" t="str">
        <x:v>evidence obligation</x:v>
      </x:c>
      <x:c r="D4338" s="7" t="str">
        <x:v>RAE-E-27-EV-10</x:v>
      </x:c>
      <x:c r="E4338" s="7" t="str">
        <x:v>Evidence Obligations!L328</x:v>
      </x:c>
      <x:c r="F4338" s="7" t="str">
        <x:f>'Evidence Obligations'!L328</x:f>
        <x:v>OPEN</x:v>
      </x:c>
    </x:row>
    <x:row r="4339">
      <x:c r="B4339" s="7" t="str">
        <x:v>PHY-4333</x:v>
      </x:c>
      <x:c r="C4339" s="7" t="str">
        <x:v>evidence obligation</x:v>
      </x:c>
      <x:c r="D4339" s="7" t="str">
        <x:v>RAE-E-27-EV-11</x:v>
      </x:c>
      <x:c r="E4339" s="7" t="str">
        <x:v>Evidence Obligations!L329</x:v>
      </x:c>
      <x:c r="F4339" s="7" t="str">
        <x:f>'Evidence Obligations'!L329</x:f>
        <x:v>OPEN</x:v>
      </x:c>
    </x:row>
    <x:row r="4340">
      <x:c r="B4340" s="7" t="str">
        <x:v>PHY-4334</x:v>
      </x:c>
      <x:c r="C4340" s="7" t="str">
        <x:v>evidence obligation</x:v>
      </x:c>
      <x:c r="D4340" s="7" t="str">
        <x:v>RAE-E-27-EV-12</x:v>
      </x:c>
      <x:c r="E4340" s="7" t="str">
        <x:v>Evidence Obligations!L330</x:v>
      </x:c>
      <x:c r="F4340" s="7" t="str">
        <x:f>'Evidence Obligations'!L330</x:f>
        <x:v>OPEN</x:v>
      </x:c>
    </x:row>
    <x:row r="4341">
      <x:c r="B4341" s="7" t="str">
        <x:v>PHY-4335</x:v>
      </x:c>
      <x:c r="C4341" s="7" t="str">
        <x:v>evidence obligation</x:v>
      </x:c>
      <x:c r="D4341" s="7" t="str">
        <x:v>RAE-E-28-EV-01</x:v>
      </x:c>
      <x:c r="E4341" s="7" t="str">
        <x:v>Evidence Obligations!L331</x:v>
      </x:c>
      <x:c r="F4341" s="7" t="str">
        <x:f>'Evidence Obligations'!L331</x:f>
        <x:v>OPEN</x:v>
      </x:c>
    </x:row>
    <x:row r="4342">
      <x:c r="B4342" s="7" t="str">
        <x:v>PHY-4336</x:v>
      </x:c>
      <x:c r="C4342" s="7" t="str">
        <x:v>evidence obligation</x:v>
      </x:c>
      <x:c r="D4342" s="7" t="str">
        <x:v>RAE-E-28-EV-02</x:v>
      </x:c>
      <x:c r="E4342" s="7" t="str">
        <x:v>Evidence Obligations!L332</x:v>
      </x:c>
      <x:c r="F4342" s="7" t="str">
        <x:f>'Evidence Obligations'!L332</x:f>
        <x:v>OPEN</x:v>
      </x:c>
    </x:row>
    <x:row r="4343">
      <x:c r="B4343" s="7" t="str">
        <x:v>PHY-4337</x:v>
      </x:c>
      <x:c r="C4343" s="7" t="str">
        <x:v>evidence obligation</x:v>
      </x:c>
      <x:c r="D4343" s="7" t="str">
        <x:v>RAE-E-28-EV-03</x:v>
      </x:c>
      <x:c r="E4343" s="7" t="str">
        <x:v>Evidence Obligations!L333</x:v>
      </x:c>
      <x:c r="F4343" s="7" t="str">
        <x:f>'Evidence Obligations'!L333</x:f>
        <x:v>OPEN</x:v>
      </x:c>
    </x:row>
    <x:row r="4344">
      <x:c r="B4344" s="7" t="str">
        <x:v>PHY-4338</x:v>
      </x:c>
      <x:c r="C4344" s="7" t="str">
        <x:v>evidence obligation</x:v>
      </x:c>
      <x:c r="D4344" s="7" t="str">
        <x:v>RAE-E-28-EV-04</x:v>
      </x:c>
      <x:c r="E4344" s="7" t="str">
        <x:v>Evidence Obligations!L334</x:v>
      </x:c>
      <x:c r="F4344" s="7" t="str">
        <x:f>'Evidence Obligations'!L334</x:f>
        <x:v>OPEN</x:v>
      </x:c>
    </x:row>
    <x:row r="4345">
      <x:c r="B4345" s="7" t="str">
        <x:v>PHY-4339</x:v>
      </x:c>
      <x:c r="C4345" s="7" t="str">
        <x:v>evidence obligation</x:v>
      </x:c>
      <x:c r="D4345" s="7" t="str">
        <x:v>RAE-E-28-EV-05</x:v>
      </x:c>
      <x:c r="E4345" s="7" t="str">
        <x:v>Evidence Obligations!L335</x:v>
      </x:c>
      <x:c r="F4345" s="7" t="str">
        <x:f>'Evidence Obligations'!L335</x:f>
        <x:v>OPEN</x:v>
      </x:c>
    </x:row>
    <x:row r="4346">
      <x:c r="B4346" s="7" t="str">
        <x:v>PHY-4340</x:v>
      </x:c>
      <x:c r="C4346" s="7" t="str">
        <x:v>evidence obligation</x:v>
      </x:c>
      <x:c r="D4346" s="7" t="str">
        <x:v>RAE-E-28-EV-06</x:v>
      </x:c>
      <x:c r="E4346" s="7" t="str">
        <x:v>Evidence Obligations!L336</x:v>
      </x:c>
      <x:c r="F4346" s="7" t="str">
        <x:f>'Evidence Obligations'!L336</x:f>
        <x:v>OPEN</x:v>
      </x:c>
    </x:row>
    <x:row r="4347">
      <x:c r="B4347" s="7" t="str">
        <x:v>PHY-4341</x:v>
      </x:c>
      <x:c r="C4347" s="7" t="str">
        <x:v>evidence obligation</x:v>
      </x:c>
      <x:c r="D4347" s="7" t="str">
        <x:v>RAE-E-28-EV-07</x:v>
      </x:c>
      <x:c r="E4347" s="7" t="str">
        <x:v>Evidence Obligations!L337</x:v>
      </x:c>
      <x:c r="F4347" s="7" t="str">
        <x:f>'Evidence Obligations'!L337</x:f>
        <x:v>OPEN</x:v>
      </x:c>
    </x:row>
    <x:row r="4348">
      <x:c r="B4348" s="7" t="str">
        <x:v>PHY-4342</x:v>
      </x:c>
      <x:c r="C4348" s="7" t="str">
        <x:v>evidence obligation</x:v>
      </x:c>
      <x:c r="D4348" s="7" t="str">
        <x:v>RAE-E-28-EV-08</x:v>
      </x:c>
      <x:c r="E4348" s="7" t="str">
        <x:v>Evidence Obligations!L338</x:v>
      </x:c>
      <x:c r="F4348" s="7" t="str">
        <x:f>'Evidence Obligations'!L338</x:f>
        <x:v>OPEN</x:v>
      </x:c>
    </x:row>
    <x:row r="4349">
      <x:c r="B4349" s="7" t="str">
        <x:v>PHY-4343</x:v>
      </x:c>
      <x:c r="C4349" s="7" t="str">
        <x:v>evidence obligation</x:v>
      </x:c>
      <x:c r="D4349" s="7" t="str">
        <x:v>RAE-E-28-EV-09</x:v>
      </x:c>
      <x:c r="E4349" s="7" t="str">
        <x:v>Evidence Obligations!L339</x:v>
      </x:c>
      <x:c r="F4349" s="7" t="str">
        <x:f>'Evidence Obligations'!L339</x:f>
        <x:v>OPEN</x:v>
      </x:c>
    </x:row>
    <x:row r="4350">
      <x:c r="B4350" s="7" t="str">
        <x:v>PHY-4344</x:v>
      </x:c>
      <x:c r="C4350" s="7" t="str">
        <x:v>evidence obligation</x:v>
      </x:c>
      <x:c r="D4350" s="7" t="str">
        <x:v>RAE-E-28-EV-10</x:v>
      </x:c>
      <x:c r="E4350" s="7" t="str">
        <x:v>Evidence Obligations!L340</x:v>
      </x:c>
      <x:c r="F4350" s="7" t="str">
        <x:f>'Evidence Obligations'!L340</x:f>
        <x:v>OPEN</x:v>
      </x:c>
    </x:row>
    <x:row r="4351">
      <x:c r="B4351" s="7" t="str">
        <x:v>PHY-4345</x:v>
      </x:c>
      <x:c r="C4351" s="7" t="str">
        <x:v>evidence obligation</x:v>
      </x:c>
      <x:c r="D4351" s="7" t="str">
        <x:v>RAE-E-28-EV-11</x:v>
      </x:c>
      <x:c r="E4351" s="7" t="str">
        <x:v>Evidence Obligations!L341</x:v>
      </x:c>
      <x:c r="F4351" s="7" t="str">
        <x:f>'Evidence Obligations'!L341</x:f>
        <x:v>OPEN</x:v>
      </x:c>
    </x:row>
    <x:row r="4352">
      <x:c r="B4352" s="7" t="str">
        <x:v>PHY-4346</x:v>
      </x:c>
      <x:c r="C4352" s="7" t="str">
        <x:v>evidence obligation</x:v>
      </x:c>
      <x:c r="D4352" s="7" t="str">
        <x:v>RAE-E-28-EV-12</x:v>
      </x:c>
      <x:c r="E4352" s="7" t="str">
        <x:v>Evidence Obligations!L342</x:v>
      </x:c>
      <x:c r="F4352" s="7" t="str">
        <x:f>'Evidence Obligations'!L342</x:f>
        <x:v>OPEN</x:v>
      </x:c>
    </x:row>
    <x:row r="4353">
      <x:c r="B4353" s="7" t="str">
        <x:v>PHY-4347</x:v>
      </x:c>
      <x:c r="C4353" s="7" t="str">
        <x:v>evidence obligation</x:v>
      </x:c>
      <x:c r="D4353" s="7" t="str">
        <x:v>RAE-E-29-EV-01</x:v>
      </x:c>
      <x:c r="E4353" s="7" t="str">
        <x:v>Evidence Obligations!L343</x:v>
      </x:c>
      <x:c r="F4353" s="7" t="str">
        <x:f>'Evidence Obligations'!L343</x:f>
        <x:v>OPEN</x:v>
      </x:c>
    </x:row>
    <x:row r="4354">
      <x:c r="B4354" s="7" t="str">
        <x:v>PHY-4348</x:v>
      </x:c>
      <x:c r="C4354" s="7" t="str">
        <x:v>evidence obligation</x:v>
      </x:c>
      <x:c r="D4354" s="7" t="str">
        <x:v>RAE-E-29-EV-02</x:v>
      </x:c>
      <x:c r="E4354" s="7" t="str">
        <x:v>Evidence Obligations!L344</x:v>
      </x:c>
      <x:c r="F4354" s="7" t="str">
        <x:f>'Evidence Obligations'!L344</x:f>
        <x:v>OPEN</x:v>
      </x:c>
    </x:row>
    <x:row r="4355">
      <x:c r="B4355" s="7" t="str">
        <x:v>PHY-4349</x:v>
      </x:c>
      <x:c r="C4355" s="7" t="str">
        <x:v>evidence obligation</x:v>
      </x:c>
      <x:c r="D4355" s="7" t="str">
        <x:v>RAE-E-29-EV-03</x:v>
      </x:c>
      <x:c r="E4355" s="7" t="str">
        <x:v>Evidence Obligations!L345</x:v>
      </x:c>
      <x:c r="F4355" s="7" t="str">
        <x:f>'Evidence Obligations'!L345</x:f>
        <x:v>OPEN</x:v>
      </x:c>
    </x:row>
    <x:row r="4356">
      <x:c r="B4356" s="7" t="str">
        <x:v>PHY-4350</x:v>
      </x:c>
      <x:c r="C4356" s="7" t="str">
        <x:v>evidence obligation</x:v>
      </x:c>
      <x:c r="D4356" s="7" t="str">
        <x:v>RAE-E-29-EV-04</x:v>
      </x:c>
      <x:c r="E4356" s="7" t="str">
        <x:v>Evidence Obligations!L346</x:v>
      </x:c>
      <x:c r="F4356" s="7" t="str">
        <x:f>'Evidence Obligations'!L346</x:f>
        <x:v>OPEN</x:v>
      </x:c>
    </x:row>
    <x:row r="4357">
      <x:c r="B4357" s="7" t="str">
        <x:v>PHY-4351</x:v>
      </x:c>
      <x:c r="C4357" s="7" t="str">
        <x:v>evidence obligation</x:v>
      </x:c>
      <x:c r="D4357" s="7" t="str">
        <x:v>RAE-E-29-EV-05</x:v>
      </x:c>
      <x:c r="E4357" s="7" t="str">
        <x:v>Evidence Obligations!L347</x:v>
      </x:c>
      <x:c r="F4357" s="7" t="str">
        <x:f>'Evidence Obligations'!L347</x:f>
        <x:v>OPEN</x:v>
      </x:c>
    </x:row>
    <x:row r="4358">
      <x:c r="B4358" s="7" t="str">
        <x:v>PHY-4352</x:v>
      </x:c>
      <x:c r="C4358" s="7" t="str">
        <x:v>evidence obligation</x:v>
      </x:c>
      <x:c r="D4358" s="7" t="str">
        <x:v>RAE-E-29-EV-06</x:v>
      </x:c>
      <x:c r="E4358" s="7" t="str">
        <x:v>Evidence Obligations!L348</x:v>
      </x:c>
      <x:c r="F4358" s="7" t="str">
        <x:f>'Evidence Obligations'!L348</x:f>
        <x:v>OPEN</x:v>
      </x:c>
    </x:row>
    <x:row r="4359">
      <x:c r="B4359" s="7" t="str">
        <x:v>PHY-4353</x:v>
      </x:c>
      <x:c r="C4359" s="7" t="str">
        <x:v>evidence obligation</x:v>
      </x:c>
      <x:c r="D4359" s="7" t="str">
        <x:v>RAE-E-29-EV-07</x:v>
      </x:c>
      <x:c r="E4359" s="7" t="str">
        <x:v>Evidence Obligations!L349</x:v>
      </x:c>
      <x:c r="F4359" s="7" t="str">
        <x:f>'Evidence Obligations'!L349</x:f>
        <x:v>OPEN</x:v>
      </x:c>
    </x:row>
    <x:row r="4360">
      <x:c r="B4360" s="7" t="str">
        <x:v>PHY-4354</x:v>
      </x:c>
      <x:c r="C4360" s="7" t="str">
        <x:v>evidence obligation</x:v>
      </x:c>
      <x:c r="D4360" s="7" t="str">
        <x:v>RAE-E-29-EV-08</x:v>
      </x:c>
      <x:c r="E4360" s="7" t="str">
        <x:v>Evidence Obligations!L350</x:v>
      </x:c>
      <x:c r="F4360" s="7" t="str">
        <x:f>'Evidence Obligations'!L350</x:f>
        <x:v>OPEN</x:v>
      </x:c>
    </x:row>
    <x:row r="4361">
      <x:c r="B4361" s="7" t="str">
        <x:v>PHY-4355</x:v>
      </x:c>
      <x:c r="C4361" s="7" t="str">
        <x:v>evidence obligation</x:v>
      </x:c>
      <x:c r="D4361" s="7" t="str">
        <x:v>RAE-E-29-EV-09</x:v>
      </x:c>
      <x:c r="E4361" s="7" t="str">
        <x:v>Evidence Obligations!L351</x:v>
      </x:c>
      <x:c r="F4361" s="7" t="str">
        <x:f>'Evidence Obligations'!L351</x:f>
        <x:v>OPEN</x:v>
      </x:c>
    </x:row>
    <x:row r="4362">
      <x:c r="B4362" s="7" t="str">
        <x:v>PHY-4356</x:v>
      </x:c>
      <x:c r="C4362" s="7" t="str">
        <x:v>evidence obligation</x:v>
      </x:c>
      <x:c r="D4362" s="7" t="str">
        <x:v>RAE-E-29-EV-10</x:v>
      </x:c>
      <x:c r="E4362" s="7" t="str">
        <x:v>Evidence Obligations!L352</x:v>
      </x:c>
      <x:c r="F4362" s="7" t="str">
        <x:f>'Evidence Obligations'!L352</x:f>
        <x:v>OPEN</x:v>
      </x:c>
    </x:row>
    <x:row r="4363">
      <x:c r="B4363" s="7" t="str">
        <x:v>PHY-4357</x:v>
      </x:c>
      <x:c r="C4363" s="7" t="str">
        <x:v>evidence obligation</x:v>
      </x:c>
      <x:c r="D4363" s="7" t="str">
        <x:v>RAE-E-29-EV-11</x:v>
      </x:c>
      <x:c r="E4363" s="7" t="str">
        <x:v>Evidence Obligations!L353</x:v>
      </x:c>
      <x:c r="F4363" s="7" t="str">
        <x:f>'Evidence Obligations'!L353</x:f>
        <x:v>OPEN</x:v>
      </x:c>
    </x:row>
    <x:row r="4364">
      <x:c r="B4364" s="7" t="str">
        <x:v>PHY-4358</x:v>
      </x:c>
      <x:c r="C4364" s="7" t="str">
        <x:v>evidence obligation</x:v>
      </x:c>
      <x:c r="D4364" s="7" t="str">
        <x:v>RAE-E-29-EV-12</x:v>
      </x:c>
      <x:c r="E4364" s="7" t="str">
        <x:v>Evidence Obligations!L354</x:v>
      </x:c>
      <x:c r="F4364" s="7" t="str">
        <x:f>'Evidence Obligations'!L354</x:f>
        <x:v>OPEN</x:v>
      </x:c>
    </x:row>
    <x:row r="4365">
      <x:c r="B4365" s="7" t="str">
        <x:v>PHY-4359</x:v>
      </x:c>
      <x:c r="C4365" s="7" t="str">
        <x:v>evidence obligation</x:v>
      </x:c>
      <x:c r="D4365" s="7" t="str">
        <x:v>RAE-E-30-EV-01</x:v>
      </x:c>
      <x:c r="E4365" s="7" t="str">
        <x:v>Evidence Obligations!L355</x:v>
      </x:c>
      <x:c r="F4365" s="7" t="str">
        <x:f>'Evidence Obligations'!L355</x:f>
        <x:v>OPEN</x:v>
      </x:c>
    </x:row>
    <x:row r="4366">
      <x:c r="B4366" s="7" t="str">
        <x:v>PHY-4360</x:v>
      </x:c>
      <x:c r="C4366" s="7" t="str">
        <x:v>evidence obligation</x:v>
      </x:c>
      <x:c r="D4366" s="7" t="str">
        <x:v>RAE-E-30-EV-02</x:v>
      </x:c>
      <x:c r="E4366" s="7" t="str">
        <x:v>Evidence Obligations!L356</x:v>
      </x:c>
      <x:c r="F4366" s="7" t="str">
        <x:f>'Evidence Obligations'!L356</x:f>
        <x:v>OPEN</x:v>
      </x:c>
    </x:row>
    <x:row r="4367">
      <x:c r="B4367" s="7" t="str">
        <x:v>PHY-4361</x:v>
      </x:c>
      <x:c r="C4367" s="7" t="str">
        <x:v>evidence obligation</x:v>
      </x:c>
      <x:c r="D4367" s="7" t="str">
        <x:v>RAE-E-30-EV-03</x:v>
      </x:c>
      <x:c r="E4367" s="7" t="str">
        <x:v>Evidence Obligations!L357</x:v>
      </x:c>
      <x:c r="F4367" s="7" t="str">
        <x:f>'Evidence Obligations'!L357</x:f>
        <x:v>OPEN</x:v>
      </x:c>
    </x:row>
    <x:row r="4368">
      <x:c r="B4368" s="7" t="str">
        <x:v>PHY-4362</x:v>
      </x:c>
      <x:c r="C4368" s="7" t="str">
        <x:v>evidence obligation</x:v>
      </x:c>
      <x:c r="D4368" s="7" t="str">
        <x:v>RAE-E-30-EV-04</x:v>
      </x:c>
      <x:c r="E4368" s="7" t="str">
        <x:v>Evidence Obligations!L358</x:v>
      </x:c>
      <x:c r="F4368" s="7" t="str">
        <x:f>'Evidence Obligations'!L358</x:f>
        <x:v>OPEN</x:v>
      </x:c>
    </x:row>
    <x:row r="4369">
      <x:c r="B4369" s="7" t="str">
        <x:v>PHY-4363</x:v>
      </x:c>
      <x:c r="C4369" s="7" t="str">
        <x:v>evidence obligation</x:v>
      </x:c>
      <x:c r="D4369" s="7" t="str">
        <x:v>RAE-E-30-EV-05</x:v>
      </x:c>
      <x:c r="E4369" s="7" t="str">
        <x:v>Evidence Obligations!L359</x:v>
      </x:c>
      <x:c r="F4369" s="7" t="str">
        <x:f>'Evidence Obligations'!L359</x:f>
        <x:v>OPEN</x:v>
      </x:c>
    </x:row>
    <x:row r="4370">
      <x:c r="B4370" s="7" t="str">
        <x:v>PHY-4364</x:v>
      </x:c>
      <x:c r="C4370" s="7" t="str">
        <x:v>evidence obligation</x:v>
      </x:c>
      <x:c r="D4370" s="7" t="str">
        <x:v>RAE-E-30-EV-06</x:v>
      </x:c>
      <x:c r="E4370" s="7" t="str">
        <x:v>Evidence Obligations!L360</x:v>
      </x:c>
      <x:c r="F4370" s="7" t="str">
        <x:f>'Evidence Obligations'!L360</x:f>
        <x:v>OPEN</x:v>
      </x:c>
    </x:row>
    <x:row r="4371">
      <x:c r="B4371" s="7" t="str">
        <x:v>PHY-4365</x:v>
      </x:c>
      <x:c r="C4371" s="7" t="str">
        <x:v>evidence obligation</x:v>
      </x:c>
      <x:c r="D4371" s="7" t="str">
        <x:v>RAE-E-30-EV-07</x:v>
      </x:c>
      <x:c r="E4371" s="7" t="str">
        <x:v>Evidence Obligations!L361</x:v>
      </x:c>
      <x:c r="F4371" s="7" t="str">
        <x:f>'Evidence Obligations'!L361</x:f>
        <x:v>OPEN</x:v>
      </x:c>
    </x:row>
    <x:row r="4372">
      <x:c r="B4372" s="7" t="str">
        <x:v>PHY-4366</x:v>
      </x:c>
      <x:c r="C4372" s="7" t="str">
        <x:v>evidence obligation</x:v>
      </x:c>
      <x:c r="D4372" s="7" t="str">
        <x:v>RAE-E-30-EV-08</x:v>
      </x:c>
      <x:c r="E4372" s="7" t="str">
        <x:v>Evidence Obligations!L362</x:v>
      </x:c>
      <x:c r="F4372" s="7" t="str">
        <x:f>'Evidence Obligations'!L362</x:f>
        <x:v>OPEN</x:v>
      </x:c>
    </x:row>
    <x:row r="4373">
      <x:c r="B4373" s="7" t="str">
        <x:v>PHY-4367</x:v>
      </x:c>
      <x:c r="C4373" s="7" t="str">
        <x:v>evidence obligation</x:v>
      </x:c>
      <x:c r="D4373" s="7" t="str">
        <x:v>RAE-E-30-EV-09</x:v>
      </x:c>
      <x:c r="E4373" s="7" t="str">
        <x:v>Evidence Obligations!L363</x:v>
      </x:c>
      <x:c r="F4373" s="7" t="str">
        <x:f>'Evidence Obligations'!L363</x:f>
        <x:v>OPEN</x:v>
      </x:c>
    </x:row>
    <x:row r="4374">
      <x:c r="B4374" s="7" t="str">
        <x:v>PHY-4368</x:v>
      </x:c>
      <x:c r="C4374" s="7" t="str">
        <x:v>evidence obligation</x:v>
      </x:c>
      <x:c r="D4374" s="7" t="str">
        <x:v>RAE-E-30-EV-10</x:v>
      </x:c>
      <x:c r="E4374" s="7" t="str">
        <x:v>Evidence Obligations!L364</x:v>
      </x:c>
      <x:c r="F4374" s="7" t="str">
        <x:f>'Evidence Obligations'!L364</x:f>
        <x:v>OPEN</x:v>
      </x:c>
    </x:row>
    <x:row r="4375">
      <x:c r="B4375" s="7" t="str">
        <x:v>PHY-4369</x:v>
      </x:c>
      <x:c r="C4375" s="7" t="str">
        <x:v>evidence obligation</x:v>
      </x:c>
      <x:c r="D4375" s="7" t="str">
        <x:v>RAE-E-30-EV-11</x:v>
      </x:c>
      <x:c r="E4375" s="7" t="str">
        <x:v>Evidence Obligations!L365</x:v>
      </x:c>
      <x:c r="F4375" s="7" t="str">
        <x:f>'Evidence Obligations'!L365</x:f>
        <x:v>OPEN</x:v>
      </x:c>
    </x:row>
    <x:row r="4376">
      <x:c r="B4376" s="7" t="str">
        <x:v>PHY-4370</x:v>
      </x:c>
      <x:c r="C4376" s="7" t="str">
        <x:v>evidence obligation</x:v>
      </x:c>
      <x:c r="D4376" s="7" t="str">
        <x:v>RAE-E-30-EV-12</x:v>
      </x:c>
      <x:c r="E4376" s="7" t="str">
        <x:v>Evidence Obligations!L366</x:v>
      </x:c>
      <x:c r="F4376" s="7" t="str">
        <x:f>'Evidence Obligations'!L366</x:f>
        <x:v>OPEN</x:v>
      </x:c>
    </x:row>
    <x:row r="4377">
      <x:c r="B4377" s="7" t="str">
        <x:v>PHY-4371</x:v>
      </x:c>
      <x:c r="C4377" s="7" t="str">
        <x:v>evidence obligation</x:v>
      </x:c>
      <x:c r="D4377" s="7" t="str">
        <x:v>RAE-E-31-EV-01</x:v>
      </x:c>
      <x:c r="E4377" s="7" t="str">
        <x:v>Evidence Obligations!L367</x:v>
      </x:c>
      <x:c r="F4377" s="7" t="str">
        <x:f>'Evidence Obligations'!L367</x:f>
        <x:v>OPEN</x:v>
      </x:c>
    </x:row>
    <x:row r="4378">
      <x:c r="B4378" s="7" t="str">
        <x:v>PHY-4372</x:v>
      </x:c>
      <x:c r="C4378" s="7" t="str">
        <x:v>evidence obligation</x:v>
      </x:c>
      <x:c r="D4378" s="7" t="str">
        <x:v>RAE-E-31-EV-02</x:v>
      </x:c>
      <x:c r="E4378" s="7" t="str">
        <x:v>Evidence Obligations!L368</x:v>
      </x:c>
      <x:c r="F4378" s="7" t="str">
        <x:f>'Evidence Obligations'!L368</x:f>
        <x:v>OPEN</x:v>
      </x:c>
    </x:row>
    <x:row r="4379">
      <x:c r="B4379" s="7" t="str">
        <x:v>PHY-4373</x:v>
      </x:c>
      <x:c r="C4379" s="7" t="str">
        <x:v>evidence obligation</x:v>
      </x:c>
      <x:c r="D4379" s="7" t="str">
        <x:v>RAE-E-31-EV-03</x:v>
      </x:c>
      <x:c r="E4379" s="7" t="str">
        <x:v>Evidence Obligations!L369</x:v>
      </x:c>
      <x:c r="F4379" s="7" t="str">
        <x:f>'Evidence Obligations'!L369</x:f>
        <x:v>OPEN</x:v>
      </x:c>
    </x:row>
    <x:row r="4380">
      <x:c r="B4380" s="7" t="str">
        <x:v>PHY-4374</x:v>
      </x:c>
      <x:c r="C4380" s="7" t="str">
        <x:v>evidence obligation</x:v>
      </x:c>
      <x:c r="D4380" s="7" t="str">
        <x:v>RAE-E-31-EV-04</x:v>
      </x:c>
      <x:c r="E4380" s="7" t="str">
        <x:v>Evidence Obligations!L370</x:v>
      </x:c>
      <x:c r="F4380" s="7" t="str">
        <x:f>'Evidence Obligations'!L370</x:f>
        <x:v>OPEN</x:v>
      </x:c>
    </x:row>
    <x:row r="4381">
      <x:c r="B4381" s="7" t="str">
        <x:v>PHY-4375</x:v>
      </x:c>
      <x:c r="C4381" s="7" t="str">
        <x:v>evidence obligation</x:v>
      </x:c>
      <x:c r="D4381" s="7" t="str">
        <x:v>RAE-E-31-EV-05</x:v>
      </x:c>
      <x:c r="E4381" s="7" t="str">
        <x:v>Evidence Obligations!L371</x:v>
      </x:c>
      <x:c r="F4381" s="7" t="str">
        <x:f>'Evidence Obligations'!L371</x:f>
        <x:v>OPEN</x:v>
      </x:c>
    </x:row>
    <x:row r="4382">
      <x:c r="B4382" s="7" t="str">
        <x:v>PHY-4376</x:v>
      </x:c>
      <x:c r="C4382" s="7" t="str">
        <x:v>evidence obligation</x:v>
      </x:c>
      <x:c r="D4382" s="7" t="str">
        <x:v>RAE-E-31-EV-06</x:v>
      </x:c>
      <x:c r="E4382" s="7" t="str">
        <x:v>Evidence Obligations!L372</x:v>
      </x:c>
      <x:c r="F4382" s="7" t="str">
        <x:f>'Evidence Obligations'!L372</x:f>
        <x:v>OPEN</x:v>
      </x:c>
    </x:row>
    <x:row r="4383">
      <x:c r="B4383" s="7" t="str">
        <x:v>PHY-4377</x:v>
      </x:c>
      <x:c r="C4383" s="7" t="str">
        <x:v>evidence obligation</x:v>
      </x:c>
      <x:c r="D4383" s="7" t="str">
        <x:v>RAE-E-31-EV-07</x:v>
      </x:c>
      <x:c r="E4383" s="7" t="str">
        <x:v>Evidence Obligations!L373</x:v>
      </x:c>
      <x:c r="F4383" s="7" t="str">
        <x:f>'Evidence Obligations'!L373</x:f>
        <x:v>OPEN</x:v>
      </x:c>
    </x:row>
    <x:row r="4384">
      <x:c r="B4384" s="7" t="str">
        <x:v>PHY-4378</x:v>
      </x:c>
      <x:c r="C4384" s="7" t="str">
        <x:v>evidence obligation</x:v>
      </x:c>
      <x:c r="D4384" s="7" t="str">
        <x:v>RAE-E-31-EV-08</x:v>
      </x:c>
      <x:c r="E4384" s="7" t="str">
        <x:v>Evidence Obligations!L374</x:v>
      </x:c>
      <x:c r="F4384" s="7" t="str">
        <x:f>'Evidence Obligations'!L374</x:f>
        <x:v>OPEN</x:v>
      </x:c>
    </x:row>
    <x:row r="4385">
      <x:c r="B4385" s="7" t="str">
        <x:v>PHY-4379</x:v>
      </x:c>
      <x:c r="C4385" s="7" t="str">
        <x:v>evidence obligation</x:v>
      </x:c>
      <x:c r="D4385" s="7" t="str">
        <x:v>RAE-E-31-EV-09</x:v>
      </x:c>
      <x:c r="E4385" s="7" t="str">
        <x:v>Evidence Obligations!L375</x:v>
      </x:c>
      <x:c r="F4385" s="7" t="str">
        <x:f>'Evidence Obligations'!L375</x:f>
        <x:v>OPEN</x:v>
      </x:c>
    </x:row>
    <x:row r="4386">
      <x:c r="B4386" s="7" t="str">
        <x:v>PHY-4380</x:v>
      </x:c>
      <x:c r="C4386" s="7" t="str">
        <x:v>evidence obligation</x:v>
      </x:c>
      <x:c r="D4386" s="7" t="str">
        <x:v>RAE-E-31-EV-10</x:v>
      </x:c>
      <x:c r="E4386" s="7" t="str">
        <x:v>Evidence Obligations!L376</x:v>
      </x:c>
      <x:c r="F4386" s="7" t="str">
        <x:f>'Evidence Obligations'!L376</x:f>
        <x:v>OPEN</x:v>
      </x:c>
    </x:row>
    <x:row r="4387">
      <x:c r="B4387" s="7" t="str">
        <x:v>PHY-4381</x:v>
      </x:c>
      <x:c r="C4387" s="7" t="str">
        <x:v>evidence obligation</x:v>
      </x:c>
      <x:c r="D4387" s="7" t="str">
        <x:v>RAE-E-31-EV-11</x:v>
      </x:c>
      <x:c r="E4387" s="7" t="str">
        <x:v>Evidence Obligations!L377</x:v>
      </x:c>
      <x:c r="F4387" s="7" t="str">
        <x:f>'Evidence Obligations'!L377</x:f>
        <x:v>OPEN</x:v>
      </x:c>
    </x:row>
    <x:row r="4388">
      <x:c r="B4388" s="7" t="str">
        <x:v>PHY-4382</x:v>
      </x:c>
      <x:c r="C4388" s="7" t="str">
        <x:v>evidence obligation</x:v>
      </x:c>
      <x:c r="D4388" s="7" t="str">
        <x:v>RAE-E-31-EV-12</x:v>
      </x:c>
      <x:c r="E4388" s="7" t="str">
        <x:v>Evidence Obligations!L378</x:v>
      </x:c>
      <x:c r="F4388" s="7" t="str">
        <x:f>'Evidence Obligations'!L378</x:f>
        <x:v>OPEN</x:v>
      </x:c>
    </x:row>
    <x:row r="4389">
      <x:c r="B4389" s="7" t="str">
        <x:v>PHY-4383</x:v>
      </x:c>
      <x:c r="C4389" s="7" t="str">
        <x:v>evidence obligation</x:v>
      </x:c>
      <x:c r="D4389" s="7" t="str">
        <x:v>RAE-E-32-EV-01</x:v>
      </x:c>
      <x:c r="E4389" s="7" t="str">
        <x:v>Evidence Obligations!L379</x:v>
      </x:c>
      <x:c r="F4389" s="7" t="str">
        <x:f>'Evidence Obligations'!L379</x:f>
        <x:v>OPEN</x:v>
      </x:c>
    </x:row>
    <x:row r="4390">
      <x:c r="B4390" s="7" t="str">
        <x:v>PHY-4384</x:v>
      </x:c>
      <x:c r="C4390" s="7" t="str">
        <x:v>evidence obligation</x:v>
      </x:c>
      <x:c r="D4390" s="7" t="str">
        <x:v>RAE-E-32-EV-02</x:v>
      </x:c>
      <x:c r="E4390" s="7" t="str">
        <x:v>Evidence Obligations!L380</x:v>
      </x:c>
      <x:c r="F4390" s="7" t="str">
        <x:f>'Evidence Obligations'!L380</x:f>
        <x:v>OPEN</x:v>
      </x:c>
    </x:row>
    <x:row r="4391">
      <x:c r="B4391" s="7" t="str">
        <x:v>PHY-4385</x:v>
      </x:c>
      <x:c r="C4391" s="7" t="str">
        <x:v>evidence obligation</x:v>
      </x:c>
      <x:c r="D4391" s="7" t="str">
        <x:v>RAE-E-32-EV-03</x:v>
      </x:c>
      <x:c r="E4391" s="7" t="str">
        <x:v>Evidence Obligations!L381</x:v>
      </x:c>
      <x:c r="F4391" s="7" t="str">
        <x:f>'Evidence Obligations'!L381</x:f>
        <x:v>OPEN</x:v>
      </x:c>
    </x:row>
    <x:row r="4392">
      <x:c r="B4392" s="7" t="str">
        <x:v>PHY-4386</x:v>
      </x:c>
      <x:c r="C4392" s="7" t="str">
        <x:v>evidence obligation</x:v>
      </x:c>
      <x:c r="D4392" s="7" t="str">
        <x:v>RAE-E-32-EV-04</x:v>
      </x:c>
      <x:c r="E4392" s="7" t="str">
        <x:v>Evidence Obligations!L382</x:v>
      </x:c>
      <x:c r="F4392" s="7" t="str">
        <x:f>'Evidence Obligations'!L382</x:f>
        <x:v>OPEN</x:v>
      </x:c>
    </x:row>
    <x:row r="4393">
      <x:c r="B4393" s="7" t="str">
        <x:v>PHY-4387</x:v>
      </x:c>
      <x:c r="C4393" s="7" t="str">
        <x:v>evidence obligation</x:v>
      </x:c>
      <x:c r="D4393" s="7" t="str">
        <x:v>RAE-E-32-EV-05</x:v>
      </x:c>
      <x:c r="E4393" s="7" t="str">
        <x:v>Evidence Obligations!L383</x:v>
      </x:c>
      <x:c r="F4393" s="7" t="str">
        <x:f>'Evidence Obligations'!L383</x:f>
        <x:v>OPEN</x:v>
      </x:c>
    </x:row>
    <x:row r="4394">
      <x:c r="B4394" s="7" t="str">
        <x:v>PHY-4388</x:v>
      </x:c>
      <x:c r="C4394" s="7" t="str">
        <x:v>evidence obligation</x:v>
      </x:c>
      <x:c r="D4394" s="7" t="str">
        <x:v>RAE-E-32-EV-06</x:v>
      </x:c>
      <x:c r="E4394" s="7" t="str">
        <x:v>Evidence Obligations!L384</x:v>
      </x:c>
      <x:c r="F4394" s="7" t="str">
        <x:f>'Evidence Obligations'!L384</x:f>
        <x:v>OPEN</x:v>
      </x:c>
    </x:row>
    <x:row r="4395">
      <x:c r="B4395" s="7" t="str">
        <x:v>PHY-4389</x:v>
      </x:c>
      <x:c r="C4395" s="7" t="str">
        <x:v>evidence obligation</x:v>
      </x:c>
      <x:c r="D4395" s="7" t="str">
        <x:v>RAE-E-32-EV-07</x:v>
      </x:c>
      <x:c r="E4395" s="7" t="str">
        <x:v>Evidence Obligations!L385</x:v>
      </x:c>
      <x:c r="F4395" s="7" t="str">
        <x:f>'Evidence Obligations'!L385</x:f>
        <x:v>OPEN</x:v>
      </x:c>
    </x:row>
    <x:row r="4396">
      <x:c r="B4396" s="7" t="str">
        <x:v>PHY-4390</x:v>
      </x:c>
      <x:c r="C4396" s="7" t="str">
        <x:v>evidence obligation</x:v>
      </x:c>
      <x:c r="D4396" s="7" t="str">
        <x:v>RAE-E-32-EV-08</x:v>
      </x:c>
      <x:c r="E4396" s="7" t="str">
        <x:v>Evidence Obligations!L386</x:v>
      </x:c>
      <x:c r="F4396" s="7" t="str">
        <x:f>'Evidence Obligations'!L386</x:f>
        <x:v>OPEN</x:v>
      </x:c>
    </x:row>
    <x:row r="4397">
      <x:c r="B4397" s="7" t="str">
        <x:v>PHY-4391</x:v>
      </x:c>
      <x:c r="C4397" s="7" t="str">
        <x:v>evidence obligation</x:v>
      </x:c>
      <x:c r="D4397" s="7" t="str">
        <x:v>RAE-E-32-EV-09</x:v>
      </x:c>
      <x:c r="E4397" s="7" t="str">
        <x:v>Evidence Obligations!L387</x:v>
      </x:c>
      <x:c r="F4397" s="7" t="str">
        <x:f>'Evidence Obligations'!L387</x:f>
        <x:v>OPEN</x:v>
      </x:c>
    </x:row>
    <x:row r="4398">
      <x:c r="B4398" s="7" t="str">
        <x:v>PHY-4392</x:v>
      </x:c>
      <x:c r="C4398" s="7" t="str">
        <x:v>evidence obligation</x:v>
      </x:c>
      <x:c r="D4398" s="7" t="str">
        <x:v>RAE-E-32-EV-10</x:v>
      </x:c>
      <x:c r="E4398" s="7" t="str">
        <x:v>Evidence Obligations!L388</x:v>
      </x:c>
      <x:c r="F4398" s="7" t="str">
        <x:f>'Evidence Obligations'!L388</x:f>
        <x:v>OPEN</x:v>
      </x:c>
    </x:row>
    <x:row r="4399">
      <x:c r="B4399" s="7" t="str">
        <x:v>PHY-4393</x:v>
      </x:c>
      <x:c r="C4399" s="7" t="str">
        <x:v>evidence obligation</x:v>
      </x:c>
      <x:c r="D4399" s="7" t="str">
        <x:v>RAE-E-32-EV-11</x:v>
      </x:c>
      <x:c r="E4399" s="7" t="str">
        <x:v>Evidence Obligations!L389</x:v>
      </x:c>
      <x:c r="F4399" s="7" t="str">
        <x:f>'Evidence Obligations'!L389</x:f>
        <x:v>OPEN</x:v>
      </x:c>
    </x:row>
    <x:row r="4400">
      <x:c r="B4400" s="7" t="str">
        <x:v>PHY-4394</x:v>
      </x:c>
      <x:c r="C4400" s="7" t="str">
        <x:v>evidence obligation</x:v>
      </x:c>
      <x:c r="D4400" s="7" t="str">
        <x:v>RAE-E-32-EV-12</x:v>
      </x:c>
      <x:c r="E4400" s="7" t="str">
        <x:v>Evidence Obligations!L390</x:v>
      </x:c>
      <x:c r="F4400" s="7" t="str">
        <x:f>'Evidence Obligations'!L390</x:f>
        <x:v>OPEN</x:v>
      </x:c>
    </x:row>
    <x:row r="4401">
      <x:c r="B4401" s="7" t="str">
        <x:v>PHY-4395</x:v>
      </x:c>
      <x:c r="C4401" s="7" t="str">
        <x:v>evidence obligation</x:v>
      </x:c>
      <x:c r="D4401" s="7" t="str">
        <x:v>RAE-E-33-EV-01</x:v>
      </x:c>
      <x:c r="E4401" s="7" t="str">
        <x:v>Evidence Obligations!L391</x:v>
      </x:c>
      <x:c r="F4401" s="7" t="str">
        <x:f>'Evidence Obligations'!L391</x:f>
        <x:v>OPEN</x:v>
      </x:c>
    </x:row>
    <x:row r="4402">
      <x:c r="B4402" s="7" t="str">
        <x:v>PHY-4396</x:v>
      </x:c>
      <x:c r="C4402" s="7" t="str">
        <x:v>evidence obligation</x:v>
      </x:c>
      <x:c r="D4402" s="7" t="str">
        <x:v>RAE-E-33-EV-02</x:v>
      </x:c>
      <x:c r="E4402" s="7" t="str">
        <x:v>Evidence Obligations!L392</x:v>
      </x:c>
      <x:c r="F4402" s="7" t="str">
        <x:f>'Evidence Obligations'!L392</x:f>
        <x:v>OPEN</x:v>
      </x:c>
    </x:row>
    <x:row r="4403">
      <x:c r="B4403" s="7" t="str">
        <x:v>PHY-4397</x:v>
      </x:c>
      <x:c r="C4403" s="7" t="str">
        <x:v>evidence obligation</x:v>
      </x:c>
      <x:c r="D4403" s="7" t="str">
        <x:v>RAE-E-33-EV-03</x:v>
      </x:c>
      <x:c r="E4403" s="7" t="str">
        <x:v>Evidence Obligations!L393</x:v>
      </x:c>
      <x:c r="F4403" s="7" t="str">
        <x:f>'Evidence Obligations'!L393</x:f>
        <x:v>OPEN</x:v>
      </x:c>
    </x:row>
    <x:row r="4404">
      <x:c r="B4404" s="7" t="str">
        <x:v>PHY-4398</x:v>
      </x:c>
      <x:c r="C4404" s="7" t="str">
        <x:v>evidence obligation</x:v>
      </x:c>
      <x:c r="D4404" s="7" t="str">
        <x:v>RAE-E-33-EV-04</x:v>
      </x:c>
      <x:c r="E4404" s="7" t="str">
        <x:v>Evidence Obligations!L394</x:v>
      </x:c>
      <x:c r="F4404" s="7" t="str">
        <x:f>'Evidence Obligations'!L394</x:f>
        <x:v>OPEN</x:v>
      </x:c>
    </x:row>
    <x:row r="4405">
      <x:c r="B4405" s="7" t="str">
        <x:v>PHY-4399</x:v>
      </x:c>
      <x:c r="C4405" s="7" t="str">
        <x:v>evidence obligation</x:v>
      </x:c>
      <x:c r="D4405" s="7" t="str">
        <x:v>RAE-E-33-EV-05</x:v>
      </x:c>
      <x:c r="E4405" s="7" t="str">
        <x:v>Evidence Obligations!L395</x:v>
      </x:c>
      <x:c r="F4405" s="7" t="str">
        <x:f>'Evidence Obligations'!L395</x:f>
        <x:v>OPEN</x:v>
      </x:c>
    </x:row>
    <x:row r="4406">
      <x:c r="B4406" s="7" t="str">
        <x:v>PHY-4400</x:v>
      </x:c>
      <x:c r="C4406" s="7" t="str">
        <x:v>evidence obligation</x:v>
      </x:c>
      <x:c r="D4406" s="7" t="str">
        <x:v>RAE-E-33-EV-06</x:v>
      </x:c>
      <x:c r="E4406" s="7" t="str">
        <x:v>Evidence Obligations!L396</x:v>
      </x:c>
      <x:c r="F4406" s="7" t="str">
        <x:f>'Evidence Obligations'!L396</x:f>
        <x:v>OPEN</x:v>
      </x:c>
    </x:row>
    <x:row r="4407">
      <x:c r="B4407" s="7" t="str">
        <x:v>PHY-4401</x:v>
      </x:c>
      <x:c r="C4407" s="7" t="str">
        <x:v>evidence obligation</x:v>
      </x:c>
      <x:c r="D4407" s="7" t="str">
        <x:v>RAE-E-33-EV-07</x:v>
      </x:c>
      <x:c r="E4407" s="7" t="str">
        <x:v>Evidence Obligations!L397</x:v>
      </x:c>
      <x:c r="F4407" s="7" t="str">
        <x:f>'Evidence Obligations'!L397</x:f>
        <x:v>OPEN</x:v>
      </x:c>
    </x:row>
    <x:row r="4408">
      <x:c r="B4408" s="7" t="str">
        <x:v>PHY-4402</x:v>
      </x:c>
      <x:c r="C4408" s="7" t="str">
        <x:v>evidence obligation</x:v>
      </x:c>
      <x:c r="D4408" s="7" t="str">
        <x:v>RAE-E-33-EV-08</x:v>
      </x:c>
      <x:c r="E4408" s="7" t="str">
        <x:v>Evidence Obligations!L398</x:v>
      </x:c>
      <x:c r="F4408" s="7" t="str">
        <x:f>'Evidence Obligations'!L398</x:f>
        <x:v>OPEN</x:v>
      </x:c>
    </x:row>
    <x:row r="4409">
      <x:c r="B4409" s="7" t="str">
        <x:v>PHY-4403</x:v>
      </x:c>
      <x:c r="C4409" s="7" t="str">
        <x:v>evidence obligation</x:v>
      </x:c>
      <x:c r="D4409" s="7" t="str">
        <x:v>RAE-E-33-EV-09</x:v>
      </x:c>
      <x:c r="E4409" s="7" t="str">
        <x:v>Evidence Obligations!L399</x:v>
      </x:c>
      <x:c r="F4409" s="7" t="str">
        <x:f>'Evidence Obligations'!L399</x:f>
        <x:v>OPEN</x:v>
      </x:c>
    </x:row>
    <x:row r="4410">
      <x:c r="B4410" s="7" t="str">
        <x:v>PHY-4404</x:v>
      </x:c>
      <x:c r="C4410" s="7" t="str">
        <x:v>evidence obligation</x:v>
      </x:c>
      <x:c r="D4410" s="7" t="str">
        <x:v>RAE-E-33-EV-10</x:v>
      </x:c>
      <x:c r="E4410" s="7" t="str">
        <x:v>Evidence Obligations!L400</x:v>
      </x:c>
      <x:c r="F4410" s="7" t="str">
        <x:f>'Evidence Obligations'!L400</x:f>
        <x:v>OPEN</x:v>
      </x:c>
    </x:row>
    <x:row r="4411">
      <x:c r="B4411" s="7" t="str">
        <x:v>PHY-4405</x:v>
      </x:c>
      <x:c r="C4411" s="7" t="str">
        <x:v>evidence obligation</x:v>
      </x:c>
      <x:c r="D4411" s="7" t="str">
        <x:v>RAE-E-33-EV-11</x:v>
      </x:c>
      <x:c r="E4411" s="7" t="str">
        <x:v>Evidence Obligations!L401</x:v>
      </x:c>
      <x:c r="F4411" s="7" t="str">
        <x:f>'Evidence Obligations'!L401</x:f>
        <x:v>OPEN</x:v>
      </x:c>
    </x:row>
    <x:row r="4412">
      <x:c r="B4412" s="7" t="str">
        <x:v>PHY-4406</x:v>
      </x:c>
      <x:c r="C4412" s="7" t="str">
        <x:v>evidence obligation</x:v>
      </x:c>
      <x:c r="D4412" s="7" t="str">
        <x:v>RAE-E-33-EV-12</x:v>
      </x:c>
      <x:c r="E4412" s="7" t="str">
        <x:v>Evidence Obligations!L402</x:v>
      </x:c>
      <x:c r="F4412" s="7" t="str">
        <x:f>'Evidence Obligations'!L402</x:f>
        <x:v>OPEN</x:v>
      </x:c>
    </x:row>
    <x:row r="4413">
      <x:c r="B4413" s="7" t="str">
        <x:v>PHY-4407</x:v>
      </x:c>
      <x:c r="C4413" s="7" t="str">
        <x:v>evidence obligation</x:v>
      </x:c>
      <x:c r="D4413" s="7" t="str">
        <x:v>RAE-E-34-EV-01</x:v>
      </x:c>
      <x:c r="E4413" s="7" t="str">
        <x:v>Evidence Obligations!L403</x:v>
      </x:c>
      <x:c r="F4413" s="7" t="str">
        <x:f>'Evidence Obligations'!L403</x:f>
        <x:v>OPEN</x:v>
      </x:c>
    </x:row>
    <x:row r="4414">
      <x:c r="B4414" s="7" t="str">
        <x:v>PHY-4408</x:v>
      </x:c>
      <x:c r="C4414" s="7" t="str">
        <x:v>evidence obligation</x:v>
      </x:c>
      <x:c r="D4414" s="7" t="str">
        <x:v>RAE-E-34-EV-02</x:v>
      </x:c>
      <x:c r="E4414" s="7" t="str">
        <x:v>Evidence Obligations!L404</x:v>
      </x:c>
      <x:c r="F4414" s="7" t="str">
        <x:f>'Evidence Obligations'!L404</x:f>
        <x:v>OPEN</x:v>
      </x:c>
    </x:row>
    <x:row r="4415">
      <x:c r="B4415" s="7" t="str">
        <x:v>PHY-4409</x:v>
      </x:c>
      <x:c r="C4415" s="7" t="str">
        <x:v>evidence obligation</x:v>
      </x:c>
      <x:c r="D4415" s="7" t="str">
        <x:v>RAE-E-34-EV-03</x:v>
      </x:c>
      <x:c r="E4415" s="7" t="str">
        <x:v>Evidence Obligations!L405</x:v>
      </x:c>
      <x:c r="F4415" s="7" t="str">
        <x:f>'Evidence Obligations'!L405</x:f>
        <x:v>OPEN</x:v>
      </x:c>
    </x:row>
    <x:row r="4416">
      <x:c r="B4416" s="7" t="str">
        <x:v>PHY-4410</x:v>
      </x:c>
      <x:c r="C4416" s="7" t="str">
        <x:v>evidence obligation</x:v>
      </x:c>
      <x:c r="D4416" s="7" t="str">
        <x:v>RAE-E-34-EV-04</x:v>
      </x:c>
      <x:c r="E4416" s="7" t="str">
        <x:v>Evidence Obligations!L406</x:v>
      </x:c>
      <x:c r="F4416" s="7" t="str">
        <x:f>'Evidence Obligations'!L406</x:f>
        <x:v>OPEN</x:v>
      </x:c>
    </x:row>
    <x:row r="4417">
      <x:c r="B4417" s="7" t="str">
        <x:v>PHY-4411</x:v>
      </x:c>
      <x:c r="C4417" s="7" t="str">
        <x:v>evidence obligation</x:v>
      </x:c>
      <x:c r="D4417" s="7" t="str">
        <x:v>RAE-E-34-EV-05</x:v>
      </x:c>
      <x:c r="E4417" s="7" t="str">
        <x:v>Evidence Obligations!L407</x:v>
      </x:c>
      <x:c r="F4417" s="7" t="str">
        <x:f>'Evidence Obligations'!L407</x:f>
        <x:v>OPEN</x:v>
      </x:c>
    </x:row>
    <x:row r="4418">
      <x:c r="B4418" s="7" t="str">
        <x:v>PHY-4412</x:v>
      </x:c>
      <x:c r="C4418" s="7" t="str">
        <x:v>evidence obligation</x:v>
      </x:c>
      <x:c r="D4418" s="7" t="str">
        <x:v>RAE-E-34-EV-06</x:v>
      </x:c>
      <x:c r="E4418" s="7" t="str">
        <x:v>Evidence Obligations!L408</x:v>
      </x:c>
      <x:c r="F4418" s="7" t="str">
        <x:f>'Evidence Obligations'!L408</x:f>
        <x:v>OPEN</x:v>
      </x:c>
    </x:row>
    <x:row r="4419">
      <x:c r="B4419" s="7" t="str">
        <x:v>PHY-4413</x:v>
      </x:c>
      <x:c r="C4419" s="7" t="str">
        <x:v>evidence obligation</x:v>
      </x:c>
      <x:c r="D4419" s="7" t="str">
        <x:v>RAE-E-34-EV-07</x:v>
      </x:c>
      <x:c r="E4419" s="7" t="str">
        <x:v>Evidence Obligations!L409</x:v>
      </x:c>
      <x:c r="F4419" s="7" t="str">
        <x:f>'Evidence Obligations'!L409</x:f>
        <x:v>OPEN</x:v>
      </x:c>
    </x:row>
    <x:row r="4420">
      <x:c r="B4420" s="7" t="str">
        <x:v>PHY-4414</x:v>
      </x:c>
      <x:c r="C4420" s="7" t="str">
        <x:v>evidence obligation</x:v>
      </x:c>
      <x:c r="D4420" s="7" t="str">
        <x:v>RAE-E-34-EV-08</x:v>
      </x:c>
      <x:c r="E4420" s="7" t="str">
        <x:v>Evidence Obligations!L410</x:v>
      </x:c>
      <x:c r="F4420" s="7" t="str">
        <x:f>'Evidence Obligations'!L410</x:f>
        <x:v>OPEN</x:v>
      </x:c>
    </x:row>
    <x:row r="4421">
      <x:c r="B4421" s="7" t="str">
        <x:v>PHY-4415</x:v>
      </x:c>
      <x:c r="C4421" s="7" t="str">
        <x:v>evidence obligation</x:v>
      </x:c>
      <x:c r="D4421" s="7" t="str">
        <x:v>RAE-E-34-EV-09</x:v>
      </x:c>
      <x:c r="E4421" s="7" t="str">
        <x:v>Evidence Obligations!L411</x:v>
      </x:c>
      <x:c r="F4421" s="7" t="str">
        <x:f>'Evidence Obligations'!L411</x:f>
        <x:v>OPEN</x:v>
      </x:c>
    </x:row>
    <x:row r="4422">
      <x:c r="B4422" s="7" t="str">
        <x:v>PHY-4416</x:v>
      </x:c>
      <x:c r="C4422" s="7" t="str">
        <x:v>evidence obligation</x:v>
      </x:c>
      <x:c r="D4422" s="7" t="str">
        <x:v>RAE-E-34-EV-10</x:v>
      </x:c>
      <x:c r="E4422" s="7" t="str">
        <x:v>Evidence Obligations!L412</x:v>
      </x:c>
      <x:c r="F4422" s="7" t="str">
        <x:f>'Evidence Obligations'!L412</x:f>
        <x:v>OPEN</x:v>
      </x:c>
    </x:row>
    <x:row r="4423">
      <x:c r="B4423" s="7" t="str">
        <x:v>PHY-4417</x:v>
      </x:c>
      <x:c r="C4423" s="7" t="str">
        <x:v>evidence obligation</x:v>
      </x:c>
      <x:c r="D4423" s="7" t="str">
        <x:v>RAE-E-34-EV-11</x:v>
      </x:c>
      <x:c r="E4423" s="7" t="str">
        <x:v>Evidence Obligations!L413</x:v>
      </x:c>
      <x:c r="F4423" s="7" t="str">
        <x:f>'Evidence Obligations'!L413</x:f>
        <x:v>OPEN</x:v>
      </x:c>
    </x:row>
    <x:row r="4424">
      <x:c r="B4424" s="7" t="str">
        <x:v>PHY-4418</x:v>
      </x:c>
      <x:c r="C4424" s="7" t="str">
        <x:v>evidence obligation</x:v>
      </x:c>
      <x:c r="D4424" s="7" t="str">
        <x:v>RAE-E-34-EV-12</x:v>
      </x:c>
      <x:c r="E4424" s="7" t="str">
        <x:v>Evidence Obligations!L414</x:v>
      </x:c>
      <x:c r="F4424" s="7" t="str">
        <x:f>'Evidence Obligations'!L414</x:f>
        <x:v>OPEN</x:v>
      </x:c>
    </x:row>
    <x:row r="4425">
      <x:c r="B4425" s="7" t="str">
        <x:v>PHY-4419</x:v>
      </x:c>
      <x:c r="C4425" s="7" t="str">
        <x:v>evidence obligation</x:v>
      </x:c>
      <x:c r="D4425" s="7" t="str">
        <x:v>RAE-E-35-EV-01</x:v>
      </x:c>
      <x:c r="E4425" s="7" t="str">
        <x:v>Evidence Obligations!L415</x:v>
      </x:c>
      <x:c r="F4425" s="7" t="str">
        <x:f>'Evidence Obligations'!L415</x:f>
        <x:v>OPEN</x:v>
      </x:c>
    </x:row>
    <x:row r="4426">
      <x:c r="B4426" s="7" t="str">
        <x:v>PHY-4420</x:v>
      </x:c>
      <x:c r="C4426" s="7" t="str">
        <x:v>evidence obligation</x:v>
      </x:c>
      <x:c r="D4426" s="7" t="str">
        <x:v>RAE-E-35-EV-02</x:v>
      </x:c>
      <x:c r="E4426" s="7" t="str">
        <x:v>Evidence Obligations!L416</x:v>
      </x:c>
      <x:c r="F4426" s="7" t="str">
        <x:f>'Evidence Obligations'!L416</x:f>
        <x:v>OPEN</x:v>
      </x:c>
    </x:row>
    <x:row r="4427">
      <x:c r="B4427" s="7" t="str">
        <x:v>PHY-4421</x:v>
      </x:c>
      <x:c r="C4427" s="7" t="str">
        <x:v>evidence obligation</x:v>
      </x:c>
      <x:c r="D4427" s="7" t="str">
        <x:v>RAE-E-35-EV-03</x:v>
      </x:c>
      <x:c r="E4427" s="7" t="str">
        <x:v>Evidence Obligations!L417</x:v>
      </x:c>
      <x:c r="F4427" s="7" t="str">
        <x:f>'Evidence Obligations'!L417</x:f>
        <x:v>OPEN</x:v>
      </x:c>
    </x:row>
    <x:row r="4428">
      <x:c r="B4428" s="7" t="str">
        <x:v>PHY-4422</x:v>
      </x:c>
      <x:c r="C4428" s="7" t="str">
        <x:v>evidence obligation</x:v>
      </x:c>
      <x:c r="D4428" s="7" t="str">
        <x:v>RAE-E-35-EV-04</x:v>
      </x:c>
      <x:c r="E4428" s="7" t="str">
        <x:v>Evidence Obligations!L418</x:v>
      </x:c>
      <x:c r="F4428" s="7" t="str">
        <x:f>'Evidence Obligations'!L418</x:f>
        <x:v>OPEN</x:v>
      </x:c>
    </x:row>
    <x:row r="4429">
      <x:c r="B4429" s="7" t="str">
        <x:v>PHY-4423</x:v>
      </x:c>
      <x:c r="C4429" s="7" t="str">
        <x:v>evidence obligation</x:v>
      </x:c>
      <x:c r="D4429" s="7" t="str">
        <x:v>RAE-E-35-EV-05</x:v>
      </x:c>
      <x:c r="E4429" s="7" t="str">
        <x:v>Evidence Obligations!L419</x:v>
      </x:c>
      <x:c r="F4429" s="7" t="str">
        <x:f>'Evidence Obligations'!L419</x:f>
        <x:v>OPEN</x:v>
      </x:c>
    </x:row>
    <x:row r="4430">
      <x:c r="B4430" s="7" t="str">
        <x:v>PHY-4424</x:v>
      </x:c>
      <x:c r="C4430" s="7" t="str">
        <x:v>evidence obligation</x:v>
      </x:c>
      <x:c r="D4430" s="7" t="str">
        <x:v>RAE-E-35-EV-06</x:v>
      </x:c>
      <x:c r="E4430" s="7" t="str">
        <x:v>Evidence Obligations!L420</x:v>
      </x:c>
      <x:c r="F4430" s="7" t="str">
        <x:f>'Evidence Obligations'!L420</x:f>
        <x:v>OPEN</x:v>
      </x:c>
    </x:row>
    <x:row r="4431">
      <x:c r="B4431" s="7" t="str">
        <x:v>PHY-4425</x:v>
      </x:c>
      <x:c r="C4431" s="7" t="str">
        <x:v>evidence obligation</x:v>
      </x:c>
      <x:c r="D4431" s="7" t="str">
        <x:v>RAE-E-35-EV-07</x:v>
      </x:c>
      <x:c r="E4431" s="7" t="str">
        <x:v>Evidence Obligations!L421</x:v>
      </x:c>
      <x:c r="F4431" s="7" t="str">
        <x:f>'Evidence Obligations'!L421</x:f>
        <x:v>OPEN</x:v>
      </x:c>
    </x:row>
    <x:row r="4432">
      <x:c r="B4432" s="7" t="str">
        <x:v>PHY-4426</x:v>
      </x:c>
      <x:c r="C4432" s="7" t="str">
        <x:v>evidence obligation</x:v>
      </x:c>
      <x:c r="D4432" s="7" t="str">
        <x:v>RAE-E-35-EV-08</x:v>
      </x:c>
      <x:c r="E4432" s="7" t="str">
        <x:v>Evidence Obligations!L422</x:v>
      </x:c>
      <x:c r="F4432" s="7" t="str">
        <x:f>'Evidence Obligations'!L422</x:f>
        <x:v>OPEN</x:v>
      </x:c>
    </x:row>
    <x:row r="4433">
      <x:c r="B4433" s="7" t="str">
        <x:v>PHY-4427</x:v>
      </x:c>
      <x:c r="C4433" s="7" t="str">
        <x:v>evidence obligation</x:v>
      </x:c>
      <x:c r="D4433" s="7" t="str">
        <x:v>RAE-E-35-EV-09</x:v>
      </x:c>
      <x:c r="E4433" s="7" t="str">
        <x:v>Evidence Obligations!L423</x:v>
      </x:c>
      <x:c r="F4433" s="7" t="str">
        <x:f>'Evidence Obligations'!L423</x:f>
        <x:v>OPEN</x:v>
      </x:c>
    </x:row>
    <x:row r="4434">
      <x:c r="B4434" s="7" t="str">
        <x:v>PHY-4428</x:v>
      </x:c>
      <x:c r="C4434" s="7" t="str">
        <x:v>evidence obligation</x:v>
      </x:c>
      <x:c r="D4434" s="7" t="str">
        <x:v>RAE-E-35-EV-10</x:v>
      </x:c>
      <x:c r="E4434" s="7" t="str">
        <x:v>Evidence Obligations!L424</x:v>
      </x:c>
      <x:c r="F4434" s="7" t="str">
        <x:f>'Evidence Obligations'!L424</x:f>
        <x:v>OPEN</x:v>
      </x:c>
    </x:row>
    <x:row r="4435">
      <x:c r="B4435" s="7" t="str">
        <x:v>PHY-4429</x:v>
      </x:c>
      <x:c r="C4435" s="7" t="str">
        <x:v>evidence obligation</x:v>
      </x:c>
      <x:c r="D4435" s="7" t="str">
        <x:v>RAE-E-35-EV-11</x:v>
      </x:c>
      <x:c r="E4435" s="7" t="str">
        <x:v>Evidence Obligations!L425</x:v>
      </x:c>
      <x:c r="F4435" s="7" t="str">
        <x:f>'Evidence Obligations'!L425</x:f>
        <x:v>OPEN</x:v>
      </x:c>
    </x:row>
    <x:row r="4436">
      <x:c r="B4436" s="7" t="str">
        <x:v>PHY-4430</x:v>
      </x:c>
      <x:c r="C4436" s="7" t="str">
        <x:v>evidence obligation</x:v>
      </x:c>
      <x:c r="D4436" s="7" t="str">
        <x:v>RAE-E-35-EV-12</x:v>
      </x:c>
      <x:c r="E4436" s="7" t="str">
        <x:v>Evidence Obligations!L426</x:v>
      </x:c>
      <x:c r="F4436" s="7" t="str">
        <x:f>'Evidence Obligations'!L426</x:f>
        <x:v>OPEN</x:v>
      </x:c>
    </x:row>
    <x:row r="4437">
      <x:c r="B4437" s="7" t="str">
        <x:v>PHY-4431</x:v>
      </x:c>
      <x:c r="C4437" s="7" t="str">
        <x:v>evidence obligation</x:v>
      </x:c>
      <x:c r="D4437" s="7" t="str">
        <x:v>RAE-E-36-EV-01</x:v>
      </x:c>
      <x:c r="E4437" s="7" t="str">
        <x:v>Evidence Obligations!L427</x:v>
      </x:c>
      <x:c r="F4437" s="7" t="str">
        <x:f>'Evidence Obligations'!L427</x:f>
        <x:v>OPEN</x:v>
      </x:c>
    </x:row>
    <x:row r="4438">
      <x:c r="B4438" s="7" t="str">
        <x:v>PHY-4432</x:v>
      </x:c>
      <x:c r="C4438" s="7" t="str">
        <x:v>evidence obligation</x:v>
      </x:c>
      <x:c r="D4438" s="7" t="str">
        <x:v>RAE-E-36-EV-02</x:v>
      </x:c>
      <x:c r="E4438" s="7" t="str">
        <x:v>Evidence Obligations!L428</x:v>
      </x:c>
      <x:c r="F4438" s="7" t="str">
        <x:f>'Evidence Obligations'!L428</x:f>
        <x:v>OPEN</x:v>
      </x:c>
    </x:row>
    <x:row r="4439">
      <x:c r="B4439" s="7" t="str">
        <x:v>PHY-4433</x:v>
      </x:c>
      <x:c r="C4439" s="7" t="str">
        <x:v>evidence obligation</x:v>
      </x:c>
      <x:c r="D4439" s="7" t="str">
        <x:v>RAE-E-36-EV-03</x:v>
      </x:c>
      <x:c r="E4439" s="7" t="str">
        <x:v>Evidence Obligations!L429</x:v>
      </x:c>
      <x:c r="F4439" s="7" t="str">
        <x:f>'Evidence Obligations'!L429</x:f>
        <x:v>OPEN</x:v>
      </x:c>
    </x:row>
    <x:row r="4440">
      <x:c r="B4440" s="7" t="str">
        <x:v>PHY-4434</x:v>
      </x:c>
      <x:c r="C4440" s="7" t="str">
        <x:v>evidence obligation</x:v>
      </x:c>
      <x:c r="D4440" s="7" t="str">
        <x:v>RAE-E-36-EV-04</x:v>
      </x:c>
      <x:c r="E4440" s="7" t="str">
        <x:v>Evidence Obligations!L430</x:v>
      </x:c>
      <x:c r="F4440" s="7" t="str">
        <x:f>'Evidence Obligations'!L430</x:f>
        <x:v>OPEN</x:v>
      </x:c>
    </x:row>
    <x:row r="4441">
      <x:c r="B4441" s="7" t="str">
        <x:v>PHY-4435</x:v>
      </x:c>
      <x:c r="C4441" s="7" t="str">
        <x:v>evidence obligation</x:v>
      </x:c>
      <x:c r="D4441" s="7" t="str">
        <x:v>RAE-E-36-EV-05</x:v>
      </x:c>
      <x:c r="E4441" s="7" t="str">
        <x:v>Evidence Obligations!L431</x:v>
      </x:c>
      <x:c r="F4441" s="7" t="str">
        <x:f>'Evidence Obligations'!L431</x:f>
        <x:v>OPEN</x:v>
      </x:c>
    </x:row>
    <x:row r="4442">
      <x:c r="B4442" s="7" t="str">
        <x:v>PHY-4436</x:v>
      </x:c>
      <x:c r="C4442" s="7" t="str">
        <x:v>evidence obligation</x:v>
      </x:c>
      <x:c r="D4442" s="7" t="str">
        <x:v>RAE-E-36-EV-06</x:v>
      </x:c>
      <x:c r="E4442" s="7" t="str">
        <x:v>Evidence Obligations!L432</x:v>
      </x:c>
      <x:c r="F4442" s="7" t="str">
        <x:f>'Evidence Obligations'!L432</x:f>
        <x:v>OPEN</x:v>
      </x:c>
    </x:row>
    <x:row r="4443">
      <x:c r="B4443" s="7" t="str">
        <x:v>PHY-4437</x:v>
      </x:c>
      <x:c r="C4443" s="7" t="str">
        <x:v>evidence obligation</x:v>
      </x:c>
      <x:c r="D4443" s="7" t="str">
        <x:v>RAE-E-36-EV-07</x:v>
      </x:c>
      <x:c r="E4443" s="7" t="str">
        <x:v>Evidence Obligations!L433</x:v>
      </x:c>
      <x:c r="F4443" s="7" t="str">
        <x:f>'Evidence Obligations'!L433</x:f>
        <x:v>OPEN</x:v>
      </x:c>
    </x:row>
    <x:row r="4444">
      <x:c r="B4444" s="7" t="str">
        <x:v>PHY-4438</x:v>
      </x:c>
      <x:c r="C4444" s="7" t="str">
        <x:v>evidence obligation</x:v>
      </x:c>
      <x:c r="D4444" s="7" t="str">
        <x:v>RAE-E-36-EV-08</x:v>
      </x:c>
      <x:c r="E4444" s="7" t="str">
        <x:v>Evidence Obligations!L434</x:v>
      </x:c>
      <x:c r="F4444" s="7" t="str">
        <x:f>'Evidence Obligations'!L434</x:f>
        <x:v>OPEN</x:v>
      </x:c>
    </x:row>
    <x:row r="4445">
      <x:c r="B4445" s="7" t="str">
        <x:v>PHY-4439</x:v>
      </x:c>
      <x:c r="C4445" s="7" t="str">
        <x:v>evidence obligation</x:v>
      </x:c>
      <x:c r="D4445" s="7" t="str">
        <x:v>RAE-E-36-EV-09</x:v>
      </x:c>
      <x:c r="E4445" s="7" t="str">
        <x:v>Evidence Obligations!L435</x:v>
      </x:c>
      <x:c r="F4445" s="7" t="str">
        <x:f>'Evidence Obligations'!L435</x:f>
        <x:v>OPEN</x:v>
      </x:c>
    </x:row>
    <x:row r="4446">
      <x:c r="B4446" s="7" t="str">
        <x:v>PHY-4440</x:v>
      </x:c>
      <x:c r="C4446" s="7" t="str">
        <x:v>evidence obligation</x:v>
      </x:c>
      <x:c r="D4446" s="7" t="str">
        <x:v>RAE-E-36-EV-10</x:v>
      </x:c>
      <x:c r="E4446" s="7" t="str">
        <x:v>Evidence Obligations!L436</x:v>
      </x:c>
      <x:c r="F4446" s="7" t="str">
        <x:f>'Evidence Obligations'!L436</x:f>
        <x:v>OPEN</x:v>
      </x:c>
    </x:row>
    <x:row r="4447">
      <x:c r="B4447" s="7" t="str">
        <x:v>PHY-4441</x:v>
      </x:c>
      <x:c r="C4447" s="7" t="str">
        <x:v>evidence obligation</x:v>
      </x:c>
      <x:c r="D4447" s="7" t="str">
        <x:v>RAE-E-36-EV-11</x:v>
      </x:c>
      <x:c r="E4447" s="7" t="str">
        <x:v>Evidence Obligations!L437</x:v>
      </x:c>
      <x:c r="F4447" s="7" t="str">
        <x:f>'Evidence Obligations'!L437</x:f>
        <x:v>OPEN</x:v>
      </x:c>
    </x:row>
    <x:row r="4448">
      <x:c r="B4448" s="7" t="str">
        <x:v>PHY-4442</x:v>
      </x:c>
      <x:c r="C4448" s="7" t="str">
        <x:v>evidence obligation</x:v>
      </x:c>
      <x:c r="D4448" s="7" t="str">
        <x:v>RAE-E-36-EV-12</x:v>
      </x:c>
      <x:c r="E4448" s="7" t="str">
        <x:v>Evidence Obligations!L438</x:v>
      </x:c>
      <x:c r="F4448" s="7" t="str">
        <x:f>'Evidence Obligations'!L438</x:f>
        <x:v>OPEN</x:v>
      </x:c>
    </x:row>
    <x:row r="4449">
      <x:c r="B4449" s="7" t="str">
        <x:v>PHY-4443</x:v>
      </x:c>
      <x:c r="C4449" s="7" t="str">
        <x:v>evidence obligation</x:v>
      </x:c>
      <x:c r="D4449" s="7" t="str">
        <x:v>RAE-E-37-EV-01</x:v>
      </x:c>
      <x:c r="E4449" s="7" t="str">
        <x:v>Evidence Obligations!L439</x:v>
      </x:c>
      <x:c r="F4449" s="7" t="str">
        <x:f>'Evidence Obligations'!L439</x:f>
        <x:v>OPEN</x:v>
      </x:c>
    </x:row>
    <x:row r="4450">
      <x:c r="B4450" s="7" t="str">
        <x:v>PHY-4444</x:v>
      </x:c>
      <x:c r="C4450" s="7" t="str">
        <x:v>evidence obligation</x:v>
      </x:c>
      <x:c r="D4450" s="7" t="str">
        <x:v>RAE-E-37-EV-02</x:v>
      </x:c>
      <x:c r="E4450" s="7" t="str">
        <x:v>Evidence Obligations!L440</x:v>
      </x:c>
      <x:c r="F4450" s="7" t="str">
        <x:f>'Evidence Obligations'!L440</x:f>
        <x:v>OPEN</x:v>
      </x:c>
    </x:row>
    <x:row r="4451">
      <x:c r="B4451" s="7" t="str">
        <x:v>PHY-4445</x:v>
      </x:c>
      <x:c r="C4451" s="7" t="str">
        <x:v>evidence obligation</x:v>
      </x:c>
      <x:c r="D4451" s="7" t="str">
        <x:v>RAE-E-37-EV-03</x:v>
      </x:c>
      <x:c r="E4451" s="7" t="str">
        <x:v>Evidence Obligations!L441</x:v>
      </x:c>
      <x:c r="F4451" s="7" t="str">
        <x:f>'Evidence Obligations'!L441</x:f>
        <x:v>OPEN</x:v>
      </x:c>
    </x:row>
    <x:row r="4452">
      <x:c r="B4452" s="7" t="str">
        <x:v>PHY-4446</x:v>
      </x:c>
      <x:c r="C4452" s="7" t="str">
        <x:v>evidence obligation</x:v>
      </x:c>
      <x:c r="D4452" s="7" t="str">
        <x:v>RAE-E-37-EV-04</x:v>
      </x:c>
      <x:c r="E4452" s="7" t="str">
        <x:v>Evidence Obligations!L442</x:v>
      </x:c>
      <x:c r="F4452" s="7" t="str">
        <x:f>'Evidence Obligations'!L442</x:f>
        <x:v>OPEN</x:v>
      </x:c>
    </x:row>
    <x:row r="4453">
      <x:c r="B4453" s="7" t="str">
        <x:v>PHY-4447</x:v>
      </x:c>
      <x:c r="C4453" s="7" t="str">
        <x:v>evidence obligation</x:v>
      </x:c>
      <x:c r="D4453" s="7" t="str">
        <x:v>RAE-E-37-EV-05</x:v>
      </x:c>
      <x:c r="E4453" s="7" t="str">
        <x:v>Evidence Obligations!L443</x:v>
      </x:c>
      <x:c r="F4453" s="7" t="str">
        <x:f>'Evidence Obligations'!L443</x:f>
        <x:v>OPEN</x:v>
      </x:c>
    </x:row>
    <x:row r="4454">
      <x:c r="B4454" s="7" t="str">
        <x:v>PHY-4448</x:v>
      </x:c>
      <x:c r="C4454" s="7" t="str">
        <x:v>evidence obligation</x:v>
      </x:c>
      <x:c r="D4454" s="7" t="str">
        <x:v>RAE-E-37-EV-06</x:v>
      </x:c>
      <x:c r="E4454" s="7" t="str">
        <x:v>Evidence Obligations!L444</x:v>
      </x:c>
      <x:c r="F4454" s="7" t="str">
        <x:f>'Evidence Obligations'!L444</x:f>
        <x:v>OPEN</x:v>
      </x:c>
    </x:row>
    <x:row r="4455">
      <x:c r="B4455" s="7" t="str">
        <x:v>PHY-4449</x:v>
      </x:c>
      <x:c r="C4455" s="7" t="str">
        <x:v>evidence obligation</x:v>
      </x:c>
      <x:c r="D4455" s="7" t="str">
        <x:v>RAE-E-37-EV-07</x:v>
      </x:c>
      <x:c r="E4455" s="7" t="str">
        <x:v>Evidence Obligations!L445</x:v>
      </x:c>
      <x:c r="F4455" s="7" t="str">
        <x:f>'Evidence Obligations'!L445</x:f>
        <x:v>OPEN</x:v>
      </x:c>
    </x:row>
    <x:row r="4456">
      <x:c r="B4456" s="7" t="str">
        <x:v>PHY-4450</x:v>
      </x:c>
      <x:c r="C4456" s="7" t="str">
        <x:v>evidence obligation</x:v>
      </x:c>
      <x:c r="D4456" s="7" t="str">
        <x:v>RAE-E-37-EV-08</x:v>
      </x:c>
      <x:c r="E4456" s="7" t="str">
        <x:v>Evidence Obligations!L446</x:v>
      </x:c>
      <x:c r="F4456" s="7" t="str">
        <x:f>'Evidence Obligations'!L446</x:f>
        <x:v>OPEN</x:v>
      </x:c>
    </x:row>
    <x:row r="4457">
      <x:c r="B4457" s="7" t="str">
        <x:v>PHY-4451</x:v>
      </x:c>
      <x:c r="C4457" s="7" t="str">
        <x:v>evidence obligation</x:v>
      </x:c>
      <x:c r="D4457" s="7" t="str">
        <x:v>RAE-E-37-EV-09</x:v>
      </x:c>
      <x:c r="E4457" s="7" t="str">
        <x:v>Evidence Obligations!L447</x:v>
      </x:c>
      <x:c r="F4457" s="7" t="str">
        <x:f>'Evidence Obligations'!L447</x:f>
        <x:v>OPEN</x:v>
      </x:c>
    </x:row>
    <x:row r="4458">
      <x:c r="B4458" s="7" t="str">
        <x:v>PHY-4452</x:v>
      </x:c>
      <x:c r="C4458" s="7" t="str">
        <x:v>evidence obligation</x:v>
      </x:c>
      <x:c r="D4458" s="7" t="str">
        <x:v>RAE-E-37-EV-10</x:v>
      </x:c>
      <x:c r="E4458" s="7" t="str">
        <x:v>Evidence Obligations!L448</x:v>
      </x:c>
      <x:c r="F4458" s="7" t="str">
        <x:f>'Evidence Obligations'!L448</x:f>
        <x:v>OPEN</x:v>
      </x:c>
    </x:row>
    <x:row r="4459">
      <x:c r="B4459" s="7" t="str">
        <x:v>PHY-4453</x:v>
      </x:c>
      <x:c r="C4459" s="7" t="str">
        <x:v>evidence obligation</x:v>
      </x:c>
      <x:c r="D4459" s="7" t="str">
        <x:v>RAE-E-37-EV-11</x:v>
      </x:c>
      <x:c r="E4459" s="7" t="str">
        <x:v>Evidence Obligations!L449</x:v>
      </x:c>
      <x:c r="F4459" s="7" t="str">
        <x:f>'Evidence Obligations'!L449</x:f>
        <x:v>OPEN</x:v>
      </x:c>
    </x:row>
    <x:row r="4460">
      <x:c r="B4460" s="7" t="str">
        <x:v>PHY-4454</x:v>
      </x:c>
      <x:c r="C4460" s="7" t="str">
        <x:v>evidence obligation</x:v>
      </x:c>
      <x:c r="D4460" s="7" t="str">
        <x:v>RAE-E-37-EV-12</x:v>
      </x:c>
      <x:c r="E4460" s="7" t="str">
        <x:v>Evidence Obligations!L450</x:v>
      </x:c>
      <x:c r="F4460" s="7" t="str">
        <x:f>'Evidence Obligations'!L450</x:f>
        <x:v>OPEN</x:v>
      </x:c>
    </x:row>
    <x:row r="4461">
      <x:c r="B4461" s="7" t="str">
        <x:v>PHY-4455</x:v>
      </x:c>
      <x:c r="C4461" s="7" t="str">
        <x:v>evidence obligation</x:v>
      </x:c>
      <x:c r="D4461" s="7" t="str">
        <x:v>RAE-E-38-EV-01</x:v>
      </x:c>
      <x:c r="E4461" s="7" t="str">
        <x:v>Evidence Obligations!L451</x:v>
      </x:c>
      <x:c r="F4461" s="7" t="str">
        <x:f>'Evidence Obligations'!L451</x:f>
        <x:v>OPEN</x:v>
      </x:c>
    </x:row>
    <x:row r="4462">
      <x:c r="B4462" s="7" t="str">
        <x:v>PHY-4456</x:v>
      </x:c>
      <x:c r="C4462" s="7" t="str">
        <x:v>evidence obligation</x:v>
      </x:c>
      <x:c r="D4462" s="7" t="str">
        <x:v>RAE-E-38-EV-02</x:v>
      </x:c>
      <x:c r="E4462" s="7" t="str">
        <x:v>Evidence Obligations!L452</x:v>
      </x:c>
      <x:c r="F4462" s="7" t="str">
        <x:f>'Evidence Obligations'!L452</x:f>
        <x:v>OPEN</x:v>
      </x:c>
    </x:row>
    <x:row r="4463">
      <x:c r="B4463" s="7" t="str">
        <x:v>PHY-4457</x:v>
      </x:c>
      <x:c r="C4463" s="7" t="str">
        <x:v>evidence obligation</x:v>
      </x:c>
      <x:c r="D4463" s="7" t="str">
        <x:v>RAE-E-38-EV-03</x:v>
      </x:c>
      <x:c r="E4463" s="7" t="str">
        <x:v>Evidence Obligations!L453</x:v>
      </x:c>
      <x:c r="F4463" s="7" t="str">
        <x:f>'Evidence Obligations'!L453</x:f>
        <x:v>OPEN</x:v>
      </x:c>
    </x:row>
    <x:row r="4464">
      <x:c r="B4464" s="7" t="str">
        <x:v>PHY-4458</x:v>
      </x:c>
      <x:c r="C4464" s="7" t="str">
        <x:v>evidence obligation</x:v>
      </x:c>
      <x:c r="D4464" s="7" t="str">
        <x:v>RAE-E-38-EV-04</x:v>
      </x:c>
      <x:c r="E4464" s="7" t="str">
        <x:v>Evidence Obligations!L454</x:v>
      </x:c>
      <x:c r="F4464" s="7" t="str">
        <x:f>'Evidence Obligations'!L454</x:f>
        <x:v>OPEN</x:v>
      </x:c>
    </x:row>
    <x:row r="4465">
      <x:c r="B4465" s="7" t="str">
        <x:v>PHY-4459</x:v>
      </x:c>
      <x:c r="C4465" s="7" t="str">
        <x:v>evidence obligation</x:v>
      </x:c>
      <x:c r="D4465" s="7" t="str">
        <x:v>RAE-E-38-EV-05</x:v>
      </x:c>
      <x:c r="E4465" s="7" t="str">
        <x:v>Evidence Obligations!L455</x:v>
      </x:c>
      <x:c r="F4465" s="7" t="str">
        <x:f>'Evidence Obligations'!L455</x:f>
        <x:v>OPEN</x:v>
      </x:c>
    </x:row>
    <x:row r="4466">
      <x:c r="B4466" s="7" t="str">
        <x:v>PHY-4460</x:v>
      </x:c>
      <x:c r="C4466" s="7" t="str">
        <x:v>evidence obligation</x:v>
      </x:c>
      <x:c r="D4466" s="7" t="str">
        <x:v>RAE-E-38-EV-06</x:v>
      </x:c>
      <x:c r="E4466" s="7" t="str">
        <x:v>Evidence Obligations!L456</x:v>
      </x:c>
      <x:c r="F4466" s="7" t="str">
        <x:f>'Evidence Obligations'!L456</x:f>
        <x:v>OPEN</x:v>
      </x:c>
    </x:row>
    <x:row r="4467">
      <x:c r="B4467" s="7" t="str">
        <x:v>PHY-4461</x:v>
      </x:c>
      <x:c r="C4467" s="7" t="str">
        <x:v>evidence obligation</x:v>
      </x:c>
      <x:c r="D4467" s="7" t="str">
        <x:v>RAE-E-38-EV-07</x:v>
      </x:c>
      <x:c r="E4467" s="7" t="str">
        <x:v>Evidence Obligations!L457</x:v>
      </x:c>
      <x:c r="F4467" s="7" t="str">
        <x:f>'Evidence Obligations'!L457</x:f>
        <x:v>OPEN</x:v>
      </x:c>
    </x:row>
    <x:row r="4468">
      <x:c r="B4468" s="7" t="str">
        <x:v>PHY-4462</x:v>
      </x:c>
      <x:c r="C4468" s="7" t="str">
        <x:v>evidence obligation</x:v>
      </x:c>
      <x:c r="D4468" s="7" t="str">
        <x:v>RAE-E-38-EV-08</x:v>
      </x:c>
      <x:c r="E4468" s="7" t="str">
        <x:v>Evidence Obligations!L458</x:v>
      </x:c>
      <x:c r="F4468" s="7" t="str">
        <x:f>'Evidence Obligations'!L458</x:f>
        <x:v>OPEN</x:v>
      </x:c>
    </x:row>
    <x:row r="4469">
      <x:c r="B4469" s="7" t="str">
        <x:v>PHY-4463</x:v>
      </x:c>
      <x:c r="C4469" s="7" t="str">
        <x:v>evidence obligation</x:v>
      </x:c>
      <x:c r="D4469" s="7" t="str">
        <x:v>RAE-E-38-EV-09</x:v>
      </x:c>
      <x:c r="E4469" s="7" t="str">
        <x:v>Evidence Obligations!L459</x:v>
      </x:c>
      <x:c r="F4469" s="7" t="str">
        <x:f>'Evidence Obligations'!L459</x:f>
        <x:v>OPEN</x:v>
      </x:c>
    </x:row>
    <x:row r="4470">
      <x:c r="B4470" s="7" t="str">
        <x:v>PHY-4464</x:v>
      </x:c>
      <x:c r="C4470" s="7" t="str">
        <x:v>evidence obligation</x:v>
      </x:c>
      <x:c r="D4470" s="7" t="str">
        <x:v>RAE-E-38-EV-10</x:v>
      </x:c>
      <x:c r="E4470" s="7" t="str">
        <x:v>Evidence Obligations!L460</x:v>
      </x:c>
      <x:c r="F4470" s="7" t="str">
        <x:f>'Evidence Obligations'!L460</x:f>
        <x:v>OPEN</x:v>
      </x:c>
    </x:row>
    <x:row r="4471">
      <x:c r="B4471" s="7" t="str">
        <x:v>PHY-4465</x:v>
      </x:c>
      <x:c r="C4471" s="7" t="str">
        <x:v>evidence obligation</x:v>
      </x:c>
      <x:c r="D4471" s="7" t="str">
        <x:v>RAE-E-38-EV-11</x:v>
      </x:c>
      <x:c r="E4471" s="7" t="str">
        <x:v>Evidence Obligations!L461</x:v>
      </x:c>
      <x:c r="F4471" s="7" t="str">
        <x:f>'Evidence Obligations'!L461</x:f>
        <x:v>OPEN</x:v>
      </x:c>
    </x:row>
    <x:row r="4472">
      <x:c r="B4472" s="7" t="str">
        <x:v>PHY-4466</x:v>
      </x:c>
      <x:c r="C4472" s="7" t="str">
        <x:v>evidence obligation</x:v>
      </x:c>
      <x:c r="D4472" s="7" t="str">
        <x:v>RAE-E-38-EV-12</x:v>
      </x:c>
      <x:c r="E4472" s="7" t="str">
        <x:v>Evidence Obligations!L462</x:v>
      </x:c>
      <x:c r="F4472" s="7" t="str">
        <x:f>'Evidence Obligations'!L462</x:f>
        <x:v>OPEN</x:v>
      </x:c>
    </x:row>
    <x:row r="4473">
      <x:c r="B4473" s="7" t="str">
        <x:v>PHY-4467</x:v>
      </x:c>
      <x:c r="C4473" s="7" t="str">
        <x:v>evidence obligation</x:v>
      </x:c>
      <x:c r="D4473" s="7" t="str">
        <x:v>RAE-E-39-EV-01</x:v>
      </x:c>
      <x:c r="E4473" s="7" t="str">
        <x:v>Evidence Obligations!L463</x:v>
      </x:c>
      <x:c r="F4473" s="7" t="str">
        <x:f>'Evidence Obligations'!L463</x:f>
        <x:v>OPEN</x:v>
      </x:c>
    </x:row>
    <x:row r="4474">
      <x:c r="B4474" s="7" t="str">
        <x:v>PHY-4468</x:v>
      </x:c>
      <x:c r="C4474" s="7" t="str">
        <x:v>evidence obligation</x:v>
      </x:c>
      <x:c r="D4474" s="7" t="str">
        <x:v>RAE-E-39-EV-02</x:v>
      </x:c>
      <x:c r="E4474" s="7" t="str">
        <x:v>Evidence Obligations!L464</x:v>
      </x:c>
      <x:c r="F4474" s="7" t="str">
        <x:f>'Evidence Obligations'!L464</x:f>
        <x:v>OPEN</x:v>
      </x:c>
    </x:row>
    <x:row r="4475">
      <x:c r="B4475" s="7" t="str">
        <x:v>PHY-4469</x:v>
      </x:c>
      <x:c r="C4475" s="7" t="str">
        <x:v>evidence obligation</x:v>
      </x:c>
      <x:c r="D4475" s="7" t="str">
        <x:v>RAE-E-39-EV-03</x:v>
      </x:c>
      <x:c r="E4475" s="7" t="str">
        <x:v>Evidence Obligations!L465</x:v>
      </x:c>
      <x:c r="F4475" s="7" t="str">
        <x:f>'Evidence Obligations'!L465</x:f>
        <x:v>OPEN</x:v>
      </x:c>
    </x:row>
    <x:row r="4476">
      <x:c r="B4476" s="7" t="str">
        <x:v>PHY-4470</x:v>
      </x:c>
      <x:c r="C4476" s="7" t="str">
        <x:v>evidence obligation</x:v>
      </x:c>
      <x:c r="D4476" s="7" t="str">
        <x:v>RAE-E-39-EV-04</x:v>
      </x:c>
      <x:c r="E4476" s="7" t="str">
        <x:v>Evidence Obligations!L466</x:v>
      </x:c>
      <x:c r="F4476" s="7" t="str">
        <x:f>'Evidence Obligations'!L466</x:f>
        <x:v>OPEN</x:v>
      </x:c>
    </x:row>
    <x:row r="4477">
      <x:c r="B4477" s="7" t="str">
        <x:v>PHY-4471</x:v>
      </x:c>
      <x:c r="C4477" s="7" t="str">
        <x:v>evidence obligation</x:v>
      </x:c>
      <x:c r="D4477" s="7" t="str">
        <x:v>RAE-E-39-EV-05</x:v>
      </x:c>
      <x:c r="E4477" s="7" t="str">
        <x:v>Evidence Obligations!L467</x:v>
      </x:c>
      <x:c r="F4477" s="7" t="str">
        <x:f>'Evidence Obligations'!L467</x:f>
        <x:v>OPEN</x:v>
      </x:c>
    </x:row>
    <x:row r="4478">
      <x:c r="B4478" s="7" t="str">
        <x:v>PHY-4472</x:v>
      </x:c>
      <x:c r="C4478" s="7" t="str">
        <x:v>evidence obligation</x:v>
      </x:c>
      <x:c r="D4478" s="7" t="str">
        <x:v>RAE-E-39-EV-06</x:v>
      </x:c>
      <x:c r="E4478" s="7" t="str">
        <x:v>Evidence Obligations!L468</x:v>
      </x:c>
      <x:c r="F4478" s="7" t="str">
        <x:f>'Evidence Obligations'!L468</x:f>
        <x:v>OPEN</x:v>
      </x:c>
    </x:row>
    <x:row r="4479">
      <x:c r="B4479" s="7" t="str">
        <x:v>PHY-4473</x:v>
      </x:c>
      <x:c r="C4479" s="7" t="str">
        <x:v>evidence obligation</x:v>
      </x:c>
      <x:c r="D4479" s="7" t="str">
        <x:v>RAE-E-39-EV-07</x:v>
      </x:c>
      <x:c r="E4479" s="7" t="str">
        <x:v>Evidence Obligations!L469</x:v>
      </x:c>
      <x:c r="F4479" s="7" t="str">
        <x:f>'Evidence Obligations'!L469</x:f>
        <x:v>OPEN</x:v>
      </x:c>
    </x:row>
    <x:row r="4480">
      <x:c r="B4480" s="7" t="str">
        <x:v>PHY-4474</x:v>
      </x:c>
      <x:c r="C4480" s="7" t="str">
        <x:v>evidence obligation</x:v>
      </x:c>
      <x:c r="D4480" s="7" t="str">
        <x:v>RAE-E-39-EV-08</x:v>
      </x:c>
      <x:c r="E4480" s="7" t="str">
        <x:v>Evidence Obligations!L470</x:v>
      </x:c>
      <x:c r="F4480" s="7" t="str">
        <x:f>'Evidence Obligations'!L470</x:f>
        <x:v>OPEN</x:v>
      </x:c>
    </x:row>
    <x:row r="4481">
      <x:c r="B4481" s="7" t="str">
        <x:v>PHY-4475</x:v>
      </x:c>
      <x:c r="C4481" s="7" t="str">
        <x:v>evidence obligation</x:v>
      </x:c>
      <x:c r="D4481" s="7" t="str">
        <x:v>RAE-E-39-EV-09</x:v>
      </x:c>
      <x:c r="E4481" s="7" t="str">
        <x:v>Evidence Obligations!L471</x:v>
      </x:c>
      <x:c r="F4481" s="7" t="str">
        <x:f>'Evidence Obligations'!L471</x:f>
        <x:v>OPEN</x:v>
      </x:c>
    </x:row>
    <x:row r="4482">
      <x:c r="B4482" s="7" t="str">
        <x:v>PHY-4476</x:v>
      </x:c>
      <x:c r="C4482" s="7" t="str">
        <x:v>evidence obligation</x:v>
      </x:c>
      <x:c r="D4482" s="7" t="str">
        <x:v>RAE-E-39-EV-10</x:v>
      </x:c>
      <x:c r="E4482" s="7" t="str">
        <x:v>Evidence Obligations!L472</x:v>
      </x:c>
      <x:c r="F4482" s="7" t="str">
        <x:f>'Evidence Obligations'!L472</x:f>
        <x:v>OPEN</x:v>
      </x:c>
    </x:row>
    <x:row r="4483">
      <x:c r="B4483" s="7" t="str">
        <x:v>PHY-4477</x:v>
      </x:c>
      <x:c r="C4483" s="7" t="str">
        <x:v>evidence obligation</x:v>
      </x:c>
      <x:c r="D4483" s="7" t="str">
        <x:v>RAE-E-39-EV-11</x:v>
      </x:c>
      <x:c r="E4483" s="7" t="str">
        <x:v>Evidence Obligations!L473</x:v>
      </x:c>
      <x:c r="F4483" s="7" t="str">
        <x:f>'Evidence Obligations'!L473</x:f>
        <x:v>OPEN</x:v>
      </x:c>
    </x:row>
    <x:row r="4484">
      <x:c r="B4484" s="7" t="str">
        <x:v>PHY-4478</x:v>
      </x:c>
      <x:c r="C4484" s="7" t="str">
        <x:v>evidence obligation</x:v>
      </x:c>
      <x:c r="D4484" s="7" t="str">
        <x:v>RAE-E-39-EV-12</x:v>
      </x:c>
      <x:c r="E4484" s="7" t="str">
        <x:v>Evidence Obligations!L474</x:v>
      </x:c>
      <x:c r="F4484" s="7" t="str">
        <x:f>'Evidence Obligations'!L474</x:f>
        <x:v>OPEN</x:v>
      </x:c>
    </x:row>
    <x:row r="4485">
      <x:c r="B4485" s="7" t="str">
        <x:v>PHY-4479</x:v>
      </x:c>
      <x:c r="C4485" s="7" t="str">
        <x:v>evidence obligation</x:v>
      </x:c>
      <x:c r="D4485" s="7" t="str">
        <x:v>RAE-E-40-EV-01</x:v>
      </x:c>
      <x:c r="E4485" s="7" t="str">
        <x:v>Evidence Obligations!L475</x:v>
      </x:c>
      <x:c r="F4485" s="7" t="str">
        <x:f>'Evidence Obligations'!L475</x:f>
        <x:v>OPEN</x:v>
      </x:c>
    </x:row>
    <x:row r="4486">
      <x:c r="B4486" s="7" t="str">
        <x:v>PHY-4480</x:v>
      </x:c>
      <x:c r="C4486" s="7" t="str">
        <x:v>evidence obligation</x:v>
      </x:c>
      <x:c r="D4486" s="7" t="str">
        <x:v>RAE-E-40-EV-02</x:v>
      </x:c>
      <x:c r="E4486" s="7" t="str">
        <x:v>Evidence Obligations!L476</x:v>
      </x:c>
      <x:c r="F4486" s="7" t="str">
        <x:f>'Evidence Obligations'!L476</x:f>
        <x:v>OPEN</x:v>
      </x:c>
    </x:row>
    <x:row r="4487">
      <x:c r="B4487" s="7" t="str">
        <x:v>PHY-4481</x:v>
      </x:c>
      <x:c r="C4487" s="7" t="str">
        <x:v>evidence obligation</x:v>
      </x:c>
      <x:c r="D4487" s="7" t="str">
        <x:v>RAE-E-40-EV-03</x:v>
      </x:c>
      <x:c r="E4487" s="7" t="str">
        <x:v>Evidence Obligations!L477</x:v>
      </x:c>
      <x:c r="F4487" s="7" t="str">
        <x:f>'Evidence Obligations'!L477</x:f>
        <x:v>OPEN</x:v>
      </x:c>
    </x:row>
    <x:row r="4488">
      <x:c r="B4488" s="7" t="str">
        <x:v>PHY-4482</x:v>
      </x:c>
      <x:c r="C4488" s="7" t="str">
        <x:v>evidence obligation</x:v>
      </x:c>
      <x:c r="D4488" s="7" t="str">
        <x:v>RAE-E-40-EV-04</x:v>
      </x:c>
      <x:c r="E4488" s="7" t="str">
        <x:v>Evidence Obligations!L478</x:v>
      </x:c>
      <x:c r="F4488" s="7" t="str">
        <x:f>'Evidence Obligations'!L478</x:f>
        <x:v>OPEN</x:v>
      </x:c>
    </x:row>
    <x:row r="4489">
      <x:c r="B4489" s="7" t="str">
        <x:v>PHY-4483</x:v>
      </x:c>
      <x:c r="C4489" s="7" t="str">
        <x:v>evidence obligation</x:v>
      </x:c>
      <x:c r="D4489" s="7" t="str">
        <x:v>RAE-E-40-EV-05</x:v>
      </x:c>
      <x:c r="E4489" s="7" t="str">
        <x:v>Evidence Obligations!L479</x:v>
      </x:c>
      <x:c r="F4489" s="7" t="str">
        <x:f>'Evidence Obligations'!L479</x:f>
        <x:v>OPEN</x:v>
      </x:c>
    </x:row>
    <x:row r="4490">
      <x:c r="B4490" s="7" t="str">
        <x:v>PHY-4484</x:v>
      </x:c>
      <x:c r="C4490" s="7" t="str">
        <x:v>evidence obligation</x:v>
      </x:c>
      <x:c r="D4490" s="7" t="str">
        <x:v>RAE-E-40-EV-06</x:v>
      </x:c>
      <x:c r="E4490" s="7" t="str">
        <x:v>Evidence Obligations!L480</x:v>
      </x:c>
      <x:c r="F4490" s="7" t="str">
        <x:f>'Evidence Obligations'!L480</x:f>
        <x:v>OPEN</x:v>
      </x:c>
    </x:row>
    <x:row r="4491">
      <x:c r="B4491" s="7" t="str">
        <x:v>PHY-4485</x:v>
      </x:c>
      <x:c r="C4491" s="7" t="str">
        <x:v>evidence obligation</x:v>
      </x:c>
      <x:c r="D4491" s="7" t="str">
        <x:v>RAE-E-40-EV-07</x:v>
      </x:c>
      <x:c r="E4491" s="7" t="str">
        <x:v>Evidence Obligations!L481</x:v>
      </x:c>
      <x:c r="F4491" s="7" t="str">
        <x:f>'Evidence Obligations'!L481</x:f>
        <x:v>OPEN</x:v>
      </x:c>
    </x:row>
    <x:row r="4492">
      <x:c r="B4492" s="7" t="str">
        <x:v>PHY-4486</x:v>
      </x:c>
      <x:c r="C4492" s="7" t="str">
        <x:v>evidence obligation</x:v>
      </x:c>
      <x:c r="D4492" s="7" t="str">
        <x:v>RAE-E-40-EV-08</x:v>
      </x:c>
      <x:c r="E4492" s="7" t="str">
        <x:v>Evidence Obligations!L482</x:v>
      </x:c>
      <x:c r="F4492" s="7" t="str">
        <x:f>'Evidence Obligations'!L482</x:f>
        <x:v>OPEN</x:v>
      </x:c>
    </x:row>
    <x:row r="4493">
      <x:c r="B4493" s="7" t="str">
        <x:v>PHY-4487</x:v>
      </x:c>
      <x:c r="C4493" s="7" t="str">
        <x:v>evidence obligation</x:v>
      </x:c>
      <x:c r="D4493" s="7" t="str">
        <x:v>RAE-E-40-EV-09</x:v>
      </x:c>
      <x:c r="E4493" s="7" t="str">
        <x:v>Evidence Obligations!L483</x:v>
      </x:c>
      <x:c r="F4493" s="7" t="str">
        <x:f>'Evidence Obligations'!L483</x:f>
        <x:v>OPEN</x:v>
      </x:c>
    </x:row>
    <x:row r="4494">
      <x:c r="B4494" s="7" t="str">
        <x:v>PHY-4488</x:v>
      </x:c>
      <x:c r="C4494" s="7" t="str">
        <x:v>evidence obligation</x:v>
      </x:c>
      <x:c r="D4494" s="7" t="str">
        <x:v>RAE-E-40-EV-10</x:v>
      </x:c>
      <x:c r="E4494" s="7" t="str">
        <x:v>Evidence Obligations!L484</x:v>
      </x:c>
      <x:c r="F4494" s="7" t="str">
        <x:f>'Evidence Obligations'!L484</x:f>
        <x:v>OPEN</x:v>
      </x:c>
    </x:row>
    <x:row r="4495">
      <x:c r="B4495" s="7" t="str">
        <x:v>PHY-4489</x:v>
      </x:c>
      <x:c r="C4495" s="7" t="str">
        <x:v>evidence obligation</x:v>
      </x:c>
      <x:c r="D4495" s="7" t="str">
        <x:v>RAE-E-40-EV-11</x:v>
      </x:c>
      <x:c r="E4495" s="7" t="str">
        <x:v>Evidence Obligations!L485</x:v>
      </x:c>
      <x:c r="F4495" s="7" t="str">
        <x:f>'Evidence Obligations'!L485</x:f>
        <x:v>OPEN</x:v>
      </x:c>
    </x:row>
    <x:row r="4496">
      <x:c r="B4496" s="7" t="str">
        <x:v>PHY-4490</x:v>
      </x:c>
      <x:c r="C4496" s="7" t="str">
        <x:v>evidence obligation</x:v>
      </x:c>
      <x:c r="D4496" s="7" t="str">
        <x:v>RAE-E-40-EV-12</x:v>
      </x:c>
      <x:c r="E4496" s="7" t="str">
        <x:v>Evidence Obligations!L486</x:v>
      </x:c>
      <x:c r="F4496" s="7" t="str">
        <x:f>'Evidence Obligations'!L486</x:f>
        <x:v>OPEN</x:v>
      </x:c>
    </x:row>
    <x:row r="4497">
      <x:c r="B4497" s="7" t="str">
        <x:v>PHY-4491</x:v>
      </x:c>
      <x:c r="C4497" s="7" t="str">
        <x:v>evidence obligation</x:v>
      </x:c>
      <x:c r="D4497" s="7" t="str">
        <x:v>RAE-E-41-EV-01</x:v>
      </x:c>
      <x:c r="E4497" s="7" t="str">
        <x:v>Evidence Obligations!L487</x:v>
      </x:c>
      <x:c r="F4497" s="7" t="str">
        <x:f>'Evidence Obligations'!L487</x:f>
        <x:v>OPEN</x:v>
      </x:c>
    </x:row>
    <x:row r="4498">
      <x:c r="B4498" s="7" t="str">
        <x:v>PHY-4492</x:v>
      </x:c>
      <x:c r="C4498" s="7" t="str">
        <x:v>evidence obligation</x:v>
      </x:c>
      <x:c r="D4498" s="7" t="str">
        <x:v>RAE-E-41-EV-02</x:v>
      </x:c>
      <x:c r="E4498" s="7" t="str">
        <x:v>Evidence Obligations!L488</x:v>
      </x:c>
      <x:c r="F4498" s="7" t="str">
        <x:f>'Evidence Obligations'!L488</x:f>
        <x:v>OPEN</x:v>
      </x:c>
    </x:row>
    <x:row r="4499">
      <x:c r="B4499" s="7" t="str">
        <x:v>PHY-4493</x:v>
      </x:c>
      <x:c r="C4499" s="7" t="str">
        <x:v>evidence obligation</x:v>
      </x:c>
      <x:c r="D4499" s="7" t="str">
        <x:v>RAE-E-41-EV-03</x:v>
      </x:c>
      <x:c r="E4499" s="7" t="str">
        <x:v>Evidence Obligations!L489</x:v>
      </x:c>
      <x:c r="F4499" s="7" t="str">
        <x:f>'Evidence Obligations'!L489</x:f>
        <x:v>OPEN</x:v>
      </x:c>
    </x:row>
    <x:row r="4500">
      <x:c r="B4500" s="7" t="str">
        <x:v>PHY-4494</x:v>
      </x:c>
      <x:c r="C4500" s="7" t="str">
        <x:v>evidence obligation</x:v>
      </x:c>
      <x:c r="D4500" s="7" t="str">
        <x:v>RAE-E-41-EV-04</x:v>
      </x:c>
      <x:c r="E4500" s="7" t="str">
        <x:v>Evidence Obligations!L490</x:v>
      </x:c>
      <x:c r="F4500" s="7" t="str">
        <x:f>'Evidence Obligations'!L490</x:f>
        <x:v>OPEN</x:v>
      </x:c>
    </x:row>
    <x:row r="4501">
      <x:c r="B4501" s="7" t="str">
        <x:v>PHY-4495</x:v>
      </x:c>
      <x:c r="C4501" s="7" t="str">
        <x:v>evidence obligation</x:v>
      </x:c>
      <x:c r="D4501" s="7" t="str">
        <x:v>RAE-E-41-EV-05</x:v>
      </x:c>
      <x:c r="E4501" s="7" t="str">
        <x:v>Evidence Obligations!L491</x:v>
      </x:c>
      <x:c r="F4501" s="7" t="str">
        <x:f>'Evidence Obligations'!L491</x:f>
        <x:v>OPEN</x:v>
      </x:c>
    </x:row>
    <x:row r="4502">
      <x:c r="B4502" s="7" t="str">
        <x:v>PHY-4496</x:v>
      </x:c>
      <x:c r="C4502" s="7" t="str">
        <x:v>evidence obligation</x:v>
      </x:c>
      <x:c r="D4502" s="7" t="str">
        <x:v>RAE-E-41-EV-06</x:v>
      </x:c>
      <x:c r="E4502" s="7" t="str">
        <x:v>Evidence Obligations!L492</x:v>
      </x:c>
      <x:c r="F4502" s="7" t="str">
        <x:f>'Evidence Obligations'!L492</x:f>
        <x:v>OPEN</x:v>
      </x:c>
    </x:row>
    <x:row r="4503">
      <x:c r="B4503" s="7" t="str">
        <x:v>PHY-4497</x:v>
      </x:c>
      <x:c r="C4503" s="7" t="str">
        <x:v>evidence obligation</x:v>
      </x:c>
      <x:c r="D4503" s="7" t="str">
        <x:v>RAE-E-41-EV-07</x:v>
      </x:c>
      <x:c r="E4503" s="7" t="str">
        <x:v>Evidence Obligations!L493</x:v>
      </x:c>
      <x:c r="F4503" s="7" t="str">
        <x:f>'Evidence Obligations'!L493</x:f>
        <x:v>OPEN</x:v>
      </x:c>
    </x:row>
    <x:row r="4504">
      <x:c r="B4504" s="7" t="str">
        <x:v>PHY-4498</x:v>
      </x:c>
      <x:c r="C4504" s="7" t="str">
        <x:v>evidence obligation</x:v>
      </x:c>
      <x:c r="D4504" s="7" t="str">
        <x:v>RAE-E-41-EV-08</x:v>
      </x:c>
      <x:c r="E4504" s="7" t="str">
        <x:v>Evidence Obligations!L494</x:v>
      </x:c>
      <x:c r="F4504" s="7" t="str">
        <x:f>'Evidence Obligations'!L494</x:f>
        <x:v>OPEN</x:v>
      </x:c>
    </x:row>
    <x:row r="4505">
      <x:c r="B4505" s="7" t="str">
        <x:v>PHY-4499</x:v>
      </x:c>
      <x:c r="C4505" s="7" t="str">
        <x:v>evidence obligation</x:v>
      </x:c>
      <x:c r="D4505" s="7" t="str">
        <x:v>RAE-E-41-EV-09</x:v>
      </x:c>
      <x:c r="E4505" s="7" t="str">
        <x:v>Evidence Obligations!L495</x:v>
      </x:c>
      <x:c r="F4505" s="7" t="str">
        <x:f>'Evidence Obligations'!L495</x:f>
        <x:v>OPEN</x:v>
      </x:c>
    </x:row>
    <x:row r="4506">
      <x:c r="B4506" s="7" t="str">
        <x:v>PHY-4500</x:v>
      </x:c>
      <x:c r="C4506" s="7" t="str">
        <x:v>evidence obligation</x:v>
      </x:c>
      <x:c r="D4506" s="7" t="str">
        <x:v>RAE-E-41-EV-10</x:v>
      </x:c>
      <x:c r="E4506" s="7" t="str">
        <x:v>Evidence Obligations!L496</x:v>
      </x:c>
      <x:c r="F4506" s="7" t="str">
        <x:f>'Evidence Obligations'!L496</x:f>
        <x:v>OPEN</x:v>
      </x:c>
    </x:row>
    <x:row r="4507">
      <x:c r="B4507" s="7" t="str">
        <x:v>PHY-4501</x:v>
      </x:c>
      <x:c r="C4507" s="7" t="str">
        <x:v>evidence obligation</x:v>
      </x:c>
      <x:c r="D4507" s="7" t="str">
        <x:v>RAE-E-41-EV-11</x:v>
      </x:c>
      <x:c r="E4507" s="7" t="str">
        <x:v>Evidence Obligations!L497</x:v>
      </x:c>
      <x:c r="F4507" s="7" t="str">
        <x:f>'Evidence Obligations'!L497</x:f>
        <x:v>OPEN</x:v>
      </x:c>
    </x:row>
    <x:row r="4508">
      <x:c r="B4508" s="7" t="str">
        <x:v>PHY-4502</x:v>
      </x:c>
      <x:c r="C4508" s="7" t="str">
        <x:v>evidence obligation</x:v>
      </x:c>
      <x:c r="D4508" s="7" t="str">
        <x:v>RAE-E-41-EV-12</x:v>
      </x:c>
      <x:c r="E4508" s="7" t="str">
        <x:v>Evidence Obligations!L498</x:v>
      </x:c>
      <x:c r="F4508" s="7" t="str">
        <x:f>'Evidence Obligations'!L498</x:f>
        <x:v>OPEN</x:v>
      </x:c>
    </x:row>
    <x:row r="4509">
      <x:c r="B4509" s="7" t="str">
        <x:v>PHY-4503</x:v>
      </x:c>
      <x:c r="C4509" s="7" t="str">
        <x:v>evidence obligation</x:v>
      </x:c>
      <x:c r="D4509" s="7" t="str">
        <x:v>RAE-E-42-EV-01</x:v>
      </x:c>
      <x:c r="E4509" s="7" t="str">
        <x:v>Evidence Obligations!L499</x:v>
      </x:c>
      <x:c r="F4509" s="7" t="str">
        <x:f>'Evidence Obligations'!L499</x:f>
        <x:v>OPEN</x:v>
      </x:c>
    </x:row>
    <x:row r="4510">
      <x:c r="B4510" s="7" t="str">
        <x:v>PHY-4504</x:v>
      </x:c>
      <x:c r="C4510" s="7" t="str">
        <x:v>evidence obligation</x:v>
      </x:c>
      <x:c r="D4510" s="7" t="str">
        <x:v>RAE-E-42-EV-02</x:v>
      </x:c>
      <x:c r="E4510" s="7" t="str">
        <x:v>Evidence Obligations!L500</x:v>
      </x:c>
      <x:c r="F4510" s="7" t="str">
        <x:f>'Evidence Obligations'!L500</x:f>
        <x:v>OPEN</x:v>
      </x:c>
    </x:row>
    <x:row r="4511">
      <x:c r="B4511" s="7" t="str">
        <x:v>PHY-4505</x:v>
      </x:c>
      <x:c r="C4511" s="7" t="str">
        <x:v>evidence obligation</x:v>
      </x:c>
      <x:c r="D4511" s="7" t="str">
        <x:v>RAE-E-42-EV-03</x:v>
      </x:c>
      <x:c r="E4511" s="7" t="str">
        <x:v>Evidence Obligations!L501</x:v>
      </x:c>
      <x:c r="F4511" s="7" t="str">
        <x:f>'Evidence Obligations'!L501</x:f>
        <x:v>OPEN</x:v>
      </x:c>
    </x:row>
    <x:row r="4512">
      <x:c r="B4512" s="7" t="str">
        <x:v>PHY-4506</x:v>
      </x:c>
      <x:c r="C4512" s="7" t="str">
        <x:v>evidence obligation</x:v>
      </x:c>
      <x:c r="D4512" s="7" t="str">
        <x:v>RAE-E-42-EV-04</x:v>
      </x:c>
      <x:c r="E4512" s="7" t="str">
        <x:v>Evidence Obligations!L502</x:v>
      </x:c>
      <x:c r="F4512" s="7" t="str">
        <x:f>'Evidence Obligations'!L502</x:f>
        <x:v>OPEN</x:v>
      </x:c>
    </x:row>
    <x:row r="4513">
      <x:c r="B4513" s="7" t="str">
        <x:v>PHY-4507</x:v>
      </x:c>
      <x:c r="C4513" s="7" t="str">
        <x:v>evidence obligation</x:v>
      </x:c>
      <x:c r="D4513" s="7" t="str">
        <x:v>RAE-E-42-EV-05</x:v>
      </x:c>
      <x:c r="E4513" s="7" t="str">
        <x:v>Evidence Obligations!L503</x:v>
      </x:c>
      <x:c r="F4513" s="7" t="str">
        <x:f>'Evidence Obligations'!L503</x:f>
        <x:v>OPEN</x:v>
      </x:c>
    </x:row>
    <x:row r="4514">
      <x:c r="B4514" s="7" t="str">
        <x:v>PHY-4508</x:v>
      </x:c>
      <x:c r="C4514" s="7" t="str">
        <x:v>evidence obligation</x:v>
      </x:c>
      <x:c r="D4514" s="7" t="str">
        <x:v>RAE-E-42-EV-06</x:v>
      </x:c>
      <x:c r="E4514" s="7" t="str">
        <x:v>Evidence Obligations!L504</x:v>
      </x:c>
      <x:c r="F4514" s="7" t="str">
        <x:f>'Evidence Obligations'!L504</x:f>
        <x:v>OPEN</x:v>
      </x:c>
    </x:row>
    <x:row r="4515">
      <x:c r="B4515" s="7" t="str">
        <x:v>PHY-4509</x:v>
      </x:c>
      <x:c r="C4515" s="7" t="str">
        <x:v>evidence obligation</x:v>
      </x:c>
      <x:c r="D4515" s="7" t="str">
        <x:v>RAE-E-42-EV-07</x:v>
      </x:c>
      <x:c r="E4515" s="7" t="str">
        <x:v>Evidence Obligations!L505</x:v>
      </x:c>
      <x:c r="F4515" s="7" t="str">
        <x:f>'Evidence Obligations'!L505</x:f>
        <x:v>OPEN</x:v>
      </x:c>
    </x:row>
    <x:row r="4516">
      <x:c r="B4516" s="7" t="str">
        <x:v>PHY-4510</x:v>
      </x:c>
      <x:c r="C4516" s="7" t="str">
        <x:v>evidence obligation</x:v>
      </x:c>
      <x:c r="D4516" s="7" t="str">
        <x:v>RAE-E-42-EV-08</x:v>
      </x:c>
      <x:c r="E4516" s="7" t="str">
        <x:v>Evidence Obligations!L506</x:v>
      </x:c>
      <x:c r="F4516" s="7" t="str">
        <x:f>'Evidence Obligations'!L506</x:f>
        <x:v>OPEN</x:v>
      </x:c>
    </x:row>
    <x:row r="4517">
      <x:c r="B4517" s="7" t="str">
        <x:v>PHY-4511</x:v>
      </x:c>
      <x:c r="C4517" s="7" t="str">
        <x:v>evidence obligation</x:v>
      </x:c>
      <x:c r="D4517" s="7" t="str">
        <x:v>RAE-E-42-EV-09</x:v>
      </x:c>
      <x:c r="E4517" s="7" t="str">
        <x:v>Evidence Obligations!L507</x:v>
      </x:c>
      <x:c r="F4517" s="7" t="str">
        <x:f>'Evidence Obligations'!L507</x:f>
        <x:v>OPEN</x:v>
      </x:c>
    </x:row>
    <x:row r="4518">
      <x:c r="B4518" s="7" t="str">
        <x:v>PHY-4512</x:v>
      </x:c>
      <x:c r="C4518" s="7" t="str">
        <x:v>evidence obligation</x:v>
      </x:c>
      <x:c r="D4518" s="7" t="str">
        <x:v>RAE-E-42-EV-10</x:v>
      </x:c>
      <x:c r="E4518" s="7" t="str">
        <x:v>Evidence Obligations!L508</x:v>
      </x:c>
      <x:c r="F4518" s="7" t="str">
        <x:f>'Evidence Obligations'!L508</x:f>
        <x:v>OPEN</x:v>
      </x:c>
    </x:row>
    <x:row r="4519">
      <x:c r="B4519" s="7" t="str">
        <x:v>PHY-4513</x:v>
      </x:c>
      <x:c r="C4519" s="7" t="str">
        <x:v>evidence obligation</x:v>
      </x:c>
      <x:c r="D4519" s="7" t="str">
        <x:v>RAE-E-42-EV-11</x:v>
      </x:c>
      <x:c r="E4519" s="7" t="str">
        <x:v>Evidence Obligations!L509</x:v>
      </x:c>
      <x:c r="F4519" s="7" t="str">
        <x:f>'Evidence Obligations'!L509</x:f>
        <x:v>OPEN</x:v>
      </x:c>
    </x:row>
    <x:row r="4520">
      <x:c r="B4520" s="7" t="str">
        <x:v>PHY-4514</x:v>
      </x:c>
      <x:c r="C4520" s="7" t="str">
        <x:v>evidence obligation</x:v>
      </x:c>
      <x:c r="D4520" s="7" t="str">
        <x:v>RAE-E-42-EV-12</x:v>
      </x:c>
      <x:c r="E4520" s="7" t="str">
        <x:v>Evidence Obligations!L510</x:v>
      </x:c>
      <x:c r="F4520" s="7" t="str">
        <x:f>'Evidence Obligations'!L510</x:f>
        <x:v>OPEN</x:v>
      </x:c>
    </x:row>
    <x:row r="4521">
      <x:c r="B4521" s="7" t="str">
        <x:v>PHY-4515</x:v>
      </x:c>
      <x:c r="C4521" s="7" t="str">
        <x:v>evidence obligation</x:v>
      </x:c>
      <x:c r="D4521" s="7" t="str">
        <x:v>RAE-E-43-EV-01</x:v>
      </x:c>
      <x:c r="E4521" s="7" t="str">
        <x:v>Evidence Obligations!L511</x:v>
      </x:c>
      <x:c r="F4521" s="7" t="str">
        <x:f>'Evidence Obligations'!L511</x:f>
        <x:v>OPEN</x:v>
      </x:c>
    </x:row>
    <x:row r="4522">
      <x:c r="B4522" s="7" t="str">
        <x:v>PHY-4516</x:v>
      </x:c>
      <x:c r="C4522" s="7" t="str">
        <x:v>evidence obligation</x:v>
      </x:c>
      <x:c r="D4522" s="7" t="str">
        <x:v>RAE-E-43-EV-02</x:v>
      </x:c>
      <x:c r="E4522" s="7" t="str">
        <x:v>Evidence Obligations!L512</x:v>
      </x:c>
      <x:c r="F4522" s="7" t="str">
        <x:f>'Evidence Obligations'!L512</x:f>
        <x:v>OPEN</x:v>
      </x:c>
    </x:row>
    <x:row r="4523">
      <x:c r="B4523" s="7" t="str">
        <x:v>PHY-4517</x:v>
      </x:c>
      <x:c r="C4523" s="7" t="str">
        <x:v>evidence obligation</x:v>
      </x:c>
      <x:c r="D4523" s="7" t="str">
        <x:v>RAE-E-43-EV-03</x:v>
      </x:c>
      <x:c r="E4523" s="7" t="str">
        <x:v>Evidence Obligations!L513</x:v>
      </x:c>
      <x:c r="F4523" s="7" t="str">
        <x:f>'Evidence Obligations'!L513</x:f>
        <x:v>OPEN</x:v>
      </x:c>
    </x:row>
    <x:row r="4524">
      <x:c r="B4524" s="7" t="str">
        <x:v>PHY-4518</x:v>
      </x:c>
      <x:c r="C4524" s="7" t="str">
        <x:v>evidence obligation</x:v>
      </x:c>
      <x:c r="D4524" s="7" t="str">
        <x:v>RAE-E-43-EV-04</x:v>
      </x:c>
      <x:c r="E4524" s="7" t="str">
        <x:v>Evidence Obligations!L514</x:v>
      </x:c>
      <x:c r="F4524" s="7" t="str">
        <x:f>'Evidence Obligations'!L514</x:f>
        <x:v>OPEN</x:v>
      </x:c>
    </x:row>
    <x:row r="4525">
      <x:c r="B4525" s="7" t="str">
        <x:v>PHY-4519</x:v>
      </x:c>
      <x:c r="C4525" s="7" t="str">
        <x:v>evidence obligation</x:v>
      </x:c>
      <x:c r="D4525" s="7" t="str">
        <x:v>RAE-E-43-EV-05</x:v>
      </x:c>
      <x:c r="E4525" s="7" t="str">
        <x:v>Evidence Obligations!L515</x:v>
      </x:c>
      <x:c r="F4525" s="7" t="str">
        <x:f>'Evidence Obligations'!L515</x:f>
        <x:v>OPEN</x:v>
      </x:c>
    </x:row>
    <x:row r="4526">
      <x:c r="B4526" s="7" t="str">
        <x:v>PHY-4520</x:v>
      </x:c>
      <x:c r="C4526" s="7" t="str">
        <x:v>evidence obligation</x:v>
      </x:c>
      <x:c r="D4526" s="7" t="str">
        <x:v>RAE-E-43-EV-06</x:v>
      </x:c>
      <x:c r="E4526" s="7" t="str">
        <x:v>Evidence Obligations!L516</x:v>
      </x:c>
      <x:c r="F4526" s="7" t="str">
        <x:f>'Evidence Obligations'!L516</x:f>
        <x:v>OPEN</x:v>
      </x:c>
    </x:row>
    <x:row r="4527">
      <x:c r="B4527" s="7" t="str">
        <x:v>PHY-4521</x:v>
      </x:c>
      <x:c r="C4527" s="7" t="str">
        <x:v>evidence obligation</x:v>
      </x:c>
      <x:c r="D4527" s="7" t="str">
        <x:v>RAE-E-43-EV-07</x:v>
      </x:c>
      <x:c r="E4527" s="7" t="str">
        <x:v>Evidence Obligations!L517</x:v>
      </x:c>
      <x:c r="F4527" s="7" t="str">
        <x:f>'Evidence Obligations'!L517</x:f>
        <x:v>OPEN</x:v>
      </x:c>
    </x:row>
    <x:row r="4528">
      <x:c r="B4528" s="7" t="str">
        <x:v>PHY-4522</x:v>
      </x:c>
      <x:c r="C4528" s="7" t="str">
        <x:v>evidence obligation</x:v>
      </x:c>
      <x:c r="D4528" s="7" t="str">
        <x:v>RAE-E-43-EV-08</x:v>
      </x:c>
      <x:c r="E4528" s="7" t="str">
        <x:v>Evidence Obligations!L518</x:v>
      </x:c>
      <x:c r="F4528" s="7" t="str">
        <x:f>'Evidence Obligations'!L518</x:f>
        <x:v>OPEN</x:v>
      </x:c>
    </x:row>
    <x:row r="4529">
      <x:c r="B4529" s="7" t="str">
        <x:v>PHY-4523</x:v>
      </x:c>
      <x:c r="C4529" s="7" t="str">
        <x:v>evidence obligation</x:v>
      </x:c>
      <x:c r="D4529" s="7" t="str">
        <x:v>RAE-E-43-EV-09</x:v>
      </x:c>
      <x:c r="E4529" s="7" t="str">
        <x:v>Evidence Obligations!L519</x:v>
      </x:c>
      <x:c r="F4529" s="7" t="str">
        <x:f>'Evidence Obligations'!L519</x:f>
        <x:v>OPEN</x:v>
      </x:c>
    </x:row>
    <x:row r="4530">
      <x:c r="B4530" s="7" t="str">
        <x:v>PHY-4524</x:v>
      </x:c>
      <x:c r="C4530" s="7" t="str">
        <x:v>evidence obligation</x:v>
      </x:c>
      <x:c r="D4530" s="7" t="str">
        <x:v>RAE-E-43-EV-10</x:v>
      </x:c>
      <x:c r="E4530" s="7" t="str">
        <x:v>Evidence Obligations!L520</x:v>
      </x:c>
      <x:c r="F4530" s="7" t="str">
        <x:f>'Evidence Obligations'!L520</x:f>
        <x:v>OPEN</x:v>
      </x:c>
    </x:row>
    <x:row r="4531">
      <x:c r="B4531" s="7" t="str">
        <x:v>PHY-4525</x:v>
      </x:c>
      <x:c r="C4531" s="7" t="str">
        <x:v>evidence obligation</x:v>
      </x:c>
      <x:c r="D4531" s="7" t="str">
        <x:v>RAE-E-43-EV-11</x:v>
      </x:c>
      <x:c r="E4531" s="7" t="str">
        <x:v>Evidence Obligations!L521</x:v>
      </x:c>
      <x:c r="F4531" s="7" t="str">
        <x:f>'Evidence Obligations'!L521</x:f>
        <x:v>OPEN</x:v>
      </x:c>
    </x:row>
    <x:row r="4532">
      <x:c r="B4532" s="7" t="str">
        <x:v>PHY-4526</x:v>
      </x:c>
      <x:c r="C4532" s="7" t="str">
        <x:v>evidence obligation</x:v>
      </x:c>
      <x:c r="D4532" s="7" t="str">
        <x:v>RAE-E-43-EV-12</x:v>
      </x:c>
      <x:c r="E4532" s="7" t="str">
        <x:v>Evidence Obligations!L522</x:v>
      </x:c>
      <x:c r="F4532" s="7" t="str">
        <x:f>'Evidence Obligations'!L522</x:f>
        <x:v>OPEN</x:v>
      </x:c>
    </x:row>
    <x:row r="4533">
      <x:c r="B4533" s="7" t="str">
        <x:v>PHY-4527</x:v>
      </x:c>
      <x:c r="C4533" s="7" t="str">
        <x:v>evidence obligation</x:v>
      </x:c>
      <x:c r="D4533" s="7" t="str">
        <x:v>RAE-E-44-EV-01</x:v>
      </x:c>
      <x:c r="E4533" s="7" t="str">
        <x:v>Evidence Obligations!L523</x:v>
      </x:c>
      <x:c r="F4533" s="7" t="str">
        <x:f>'Evidence Obligations'!L523</x:f>
        <x:v>OPEN</x:v>
      </x:c>
    </x:row>
    <x:row r="4534">
      <x:c r="B4534" s="7" t="str">
        <x:v>PHY-4528</x:v>
      </x:c>
      <x:c r="C4534" s="7" t="str">
        <x:v>evidence obligation</x:v>
      </x:c>
      <x:c r="D4534" s="7" t="str">
        <x:v>RAE-E-44-EV-02</x:v>
      </x:c>
      <x:c r="E4534" s="7" t="str">
        <x:v>Evidence Obligations!L524</x:v>
      </x:c>
      <x:c r="F4534" s="7" t="str">
        <x:f>'Evidence Obligations'!L524</x:f>
        <x:v>OPEN</x:v>
      </x:c>
    </x:row>
    <x:row r="4535">
      <x:c r="B4535" s="7" t="str">
        <x:v>PHY-4529</x:v>
      </x:c>
      <x:c r="C4535" s="7" t="str">
        <x:v>evidence obligation</x:v>
      </x:c>
      <x:c r="D4535" s="7" t="str">
        <x:v>RAE-E-44-EV-03</x:v>
      </x:c>
      <x:c r="E4535" s="7" t="str">
        <x:v>Evidence Obligations!L525</x:v>
      </x:c>
      <x:c r="F4535" s="7" t="str">
        <x:f>'Evidence Obligations'!L525</x:f>
        <x:v>OPEN</x:v>
      </x:c>
    </x:row>
    <x:row r="4536">
      <x:c r="B4536" s="7" t="str">
        <x:v>PHY-4530</x:v>
      </x:c>
      <x:c r="C4536" s="7" t="str">
        <x:v>evidence obligation</x:v>
      </x:c>
      <x:c r="D4536" s="7" t="str">
        <x:v>RAE-E-44-EV-04</x:v>
      </x:c>
      <x:c r="E4536" s="7" t="str">
        <x:v>Evidence Obligations!L526</x:v>
      </x:c>
      <x:c r="F4536" s="7" t="str">
        <x:f>'Evidence Obligations'!L526</x:f>
        <x:v>OPEN</x:v>
      </x:c>
    </x:row>
    <x:row r="4537">
      <x:c r="B4537" s="7" t="str">
        <x:v>PHY-4531</x:v>
      </x:c>
      <x:c r="C4537" s="7" t="str">
        <x:v>evidence obligation</x:v>
      </x:c>
      <x:c r="D4537" s="7" t="str">
        <x:v>RAE-E-44-EV-05</x:v>
      </x:c>
      <x:c r="E4537" s="7" t="str">
        <x:v>Evidence Obligations!L527</x:v>
      </x:c>
      <x:c r="F4537" s="7" t="str">
        <x:f>'Evidence Obligations'!L527</x:f>
        <x:v>OPEN</x:v>
      </x:c>
    </x:row>
    <x:row r="4538">
      <x:c r="B4538" s="7" t="str">
        <x:v>PHY-4532</x:v>
      </x:c>
      <x:c r="C4538" s="7" t="str">
        <x:v>evidence obligation</x:v>
      </x:c>
      <x:c r="D4538" s="7" t="str">
        <x:v>RAE-E-44-EV-06</x:v>
      </x:c>
      <x:c r="E4538" s="7" t="str">
        <x:v>Evidence Obligations!L528</x:v>
      </x:c>
      <x:c r="F4538" s="7" t="str">
        <x:f>'Evidence Obligations'!L528</x:f>
        <x:v>OPEN</x:v>
      </x:c>
    </x:row>
    <x:row r="4539">
      <x:c r="B4539" s="7" t="str">
        <x:v>PHY-4533</x:v>
      </x:c>
      <x:c r="C4539" s="7" t="str">
        <x:v>evidence obligation</x:v>
      </x:c>
      <x:c r="D4539" s="7" t="str">
        <x:v>RAE-E-44-EV-07</x:v>
      </x:c>
      <x:c r="E4539" s="7" t="str">
        <x:v>Evidence Obligations!L529</x:v>
      </x:c>
      <x:c r="F4539" s="7" t="str">
        <x:f>'Evidence Obligations'!L529</x:f>
        <x:v>OPEN</x:v>
      </x:c>
    </x:row>
    <x:row r="4540">
      <x:c r="B4540" s="7" t="str">
        <x:v>PHY-4534</x:v>
      </x:c>
      <x:c r="C4540" s="7" t="str">
        <x:v>evidence obligation</x:v>
      </x:c>
      <x:c r="D4540" s="7" t="str">
        <x:v>RAE-E-44-EV-08</x:v>
      </x:c>
      <x:c r="E4540" s="7" t="str">
        <x:v>Evidence Obligations!L530</x:v>
      </x:c>
      <x:c r="F4540" s="7" t="str">
        <x:f>'Evidence Obligations'!L530</x:f>
        <x:v>OPEN</x:v>
      </x:c>
    </x:row>
    <x:row r="4541">
      <x:c r="B4541" s="7" t="str">
        <x:v>PHY-4535</x:v>
      </x:c>
      <x:c r="C4541" s="7" t="str">
        <x:v>evidence obligation</x:v>
      </x:c>
      <x:c r="D4541" s="7" t="str">
        <x:v>RAE-E-44-EV-09</x:v>
      </x:c>
      <x:c r="E4541" s="7" t="str">
        <x:v>Evidence Obligations!L531</x:v>
      </x:c>
      <x:c r="F4541" s="7" t="str">
        <x:f>'Evidence Obligations'!L531</x:f>
        <x:v>OPEN</x:v>
      </x:c>
    </x:row>
    <x:row r="4542">
      <x:c r="B4542" s="7" t="str">
        <x:v>PHY-4536</x:v>
      </x:c>
      <x:c r="C4542" s="7" t="str">
        <x:v>evidence obligation</x:v>
      </x:c>
      <x:c r="D4542" s="7" t="str">
        <x:v>RAE-E-44-EV-10</x:v>
      </x:c>
      <x:c r="E4542" s="7" t="str">
        <x:v>Evidence Obligations!L532</x:v>
      </x:c>
      <x:c r="F4542" s="7" t="str">
        <x:f>'Evidence Obligations'!L532</x:f>
        <x:v>OPEN</x:v>
      </x:c>
    </x:row>
    <x:row r="4543">
      <x:c r="B4543" s="7" t="str">
        <x:v>PHY-4537</x:v>
      </x:c>
      <x:c r="C4543" s="7" t="str">
        <x:v>evidence obligation</x:v>
      </x:c>
      <x:c r="D4543" s="7" t="str">
        <x:v>RAE-E-44-EV-11</x:v>
      </x:c>
      <x:c r="E4543" s="7" t="str">
        <x:v>Evidence Obligations!L533</x:v>
      </x:c>
      <x:c r="F4543" s="7" t="str">
        <x:f>'Evidence Obligations'!L533</x:f>
        <x:v>OPEN</x:v>
      </x:c>
    </x:row>
    <x:row r="4544">
      <x:c r="B4544" s="7" t="str">
        <x:v>PHY-4538</x:v>
      </x:c>
      <x:c r="C4544" s="7" t="str">
        <x:v>evidence obligation</x:v>
      </x:c>
      <x:c r="D4544" s="7" t="str">
        <x:v>RAE-E-44-EV-12</x:v>
      </x:c>
      <x:c r="E4544" s="7" t="str">
        <x:v>Evidence Obligations!L534</x:v>
      </x:c>
      <x:c r="F4544" s="7" t="str">
        <x:f>'Evidence Obligations'!L534</x:f>
        <x:v>OPEN</x:v>
      </x:c>
    </x:row>
    <x:row r="4545">
      <x:c r="B4545" s="7" t="str">
        <x:v>PHY-4539</x:v>
      </x:c>
      <x:c r="C4545" s="7" t="str">
        <x:v>evidence obligation</x:v>
      </x:c>
      <x:c r="D4545" s="7" t="str">
        <x:v>RAE-E-45-EV-01</x:v>
      </x:c>
      <x:c r="E4545" s="7" t="str">
        <x:v>Evidence Obligations!L535</x:v>
      </x:c>
      <x:c r="F4545" s="7" t="str">
        <x:f>'Evidence Obligations'!L535</x:f>
        <x:v>OPEN</x:v>
      </x:c>
    </x:row>
    <x:row r="4546">
      <x:c r="B4546" s="7" t="str">
        <x:v>PHY-4540</x:v>
      </x:c>
      <x:c r="C4546" s="7" t="str">
        <x:v>evidence obligation</x:v>
      </x:c>
      <x:c r="D4546" s="7" t="str">
        <x:v>RAE-E-45-EV-02</x:v>
      </x:c>
      <x:c r="E4546" s="7" t="str">
        <x:v>Evidence Obligations!L536</x:v>
      </x:c>
      <x:c r="F4546" s="7" t="str">
        <x:f>'Evidence Obligations'!L536</x:f>
        <x:v>OPEN</x:v>
      </x:c>
    </x:row>
    <x:row r="4547">
      <x:c r="B4547" s="7" t="str">
        <x:v>PHY-4541</x:v>
      </x:c>
      <x:c r="C4547" s="7" t="str">
        <x:v>evidence obligation</x:v>
      </x:c>
      <x:c r="D4547" s="7" t="str">
        <x:v>RAE-E-45-EV-03</x:v>
      </x:c>
      <x:c r="E4547" s="7" t="str">
        <x:v>Evidence Obligations!L537</x:v>
      </x:c>
      <x:c r="F4547" s="7" t="str">
        <x:f>'Evidence Obligations'!L537</x:f>
        <x:v>OPEN</x:v>
      </x:c>
    </x:row>
    <x:row r="4548">
      <x:c r="B4548" s="7" t="str">
        <x:v>PHY-4542</x:v>
      </x:c>
      <x:c r="C4548" s="7" t="str">
        <x:v>evidence obligation</x:v>
      </x:c>
      <x:c r="D4548" s="7" t="str">
        <x:v>RAE-E-45-EV-04</x:v>
      </x:c>
      <x:c r="E4548" s="7" t="str">
        <x:v>Evidence Obligations!L538</x:v>
      </x:c>
      <x:c r="F4548" s="7" t="str">
        <x:f>'Evidence Obligations'!L538</x:f>
        <x:v>OPEN</x:v>
      </x:c>
    </x:row>
    <x:row r="4549">
      <x:c r="B4549" s="7" t="str">
        <x:v>PHY-4543</x:v>
      </x:c>
      <x:c r="C4549" s="7" t="str">
        <x:v>evidence obligation</x:v>
      </x:c>
      <x:c r="D4549" s="7" t="str">
        <x:v>RAE-E-45-EV-05</x:v>
      </x:c>
      <x:c r="E4549" s="7" t="str">
        <x:v>Evidence Obligations!L539</x:v>
      </x:c>
      <x:c r="F4549" s="7" t="str">
        <x:f>'Evidence Obligations'!L539</x:f>
        <x:v>OPEN</x:v>
      </x:c>
    </x:row>
    <x:row r="4550">
      <x:c r="B4550" s="7" t="str">
        <x:v>PHY-4544</x:v>
      </x:c>
      <x:c r="C4550" s="7" t="str">
        <x:v>evidence obligation</x:v>
      </x:c>
      <x:c r="D4550" s="7" t="str">
        <x:v>RAE-E-45-EV-06</x:v>
      </x:c>
      <x:c r="E4550" s="7" t="str">
        <x:v>Evidence Obligations!L540</x:v>
      </x:c>
      <x:c r="F4550" s="7" t="str">
        <x:f>'Evidence Obligations'!L540</x:f>
        <x:v>OPEN</x:v>
      </x:c>
    </x:row>
    <x:row r="4551">
      <x:c r="B4551" s="7" t="str">
        <x:v>PHY-4545</x:v>
      </x:c>
      <x:c r="C4551" s="7" t="str">
        <x:v>evidence obligation</x:v>
      </x:c>
      <x:c r="D4551" s="7" t="str">
        <x:v>RAE-E-45-EV-07</x:v>
      </x:c>
      <x:c r="E4551" s="7" t="str">
        <x:v>Evidence Obligations!L541</x:v>
      </x:c>
      <x:c r="F4551" s="7" t="str">
        <x:f>'Evidence Obligations'!L541</x:f>
        <x:v>OPEN</x:v>
      </x:c>
    </x:row>
    <x:row r="4552">
      <x:c r="B4552" s="7" t="str">
        <x:v>PHY-4546</x:v>
      </x:c>
      <x:c r="C4552" s="7" t="str">
        <x:v>evidence obligation</x:v>
      </x:c>
      <x:c r="D4552" s="7" t="str">
        <x:v>RAE-E-45-EV-08</x:v>
      </x:c>
      <x:c r="E4552" s="7" t="str">
        <x:v>Evidence Obligations!L542</x:v>
      </x:c>
      <x:c r="F4552" s="7" t="str">
        <x:f>'Evidence Obligations'!L542</x:f>
        <x:v>OPEN</x:v>
      </x:c>
    </x:row>
    <x:row r="4553">
      <x:c r="B4553" s="7" t="str">
        <x:v>PHY-4547</x:v>
      </x:c>
      <x:c r="C4553" s="7" t="str">
        <x:v>evidence obligation</x:v>
      </x:c>
      <x:c r="D4553" s="7" t="str">
        <x:v>RAE-E-45-EV-09</x:v>
      </x:c>
      <x:c r="E4553" s="7" t="str">
        <x:v>Evidence Obligations!L543</x:v>
      </x:c>
      <x:c r="F4553" s="7" t="str">
        <x:f>'Evidence Obligations'!L543</x:f>
        <x:v>OPEN</x:v>
      </x:c>
    </x:row>
    <x:row r="4554">
      <x:c r="B4554" s="7" t="str">
        <x:v>PHY-4548</x:v>
      </x:c>
      <x:c r="C4554" s="7" t="str">
        <x:v>evidence obligation</x:v>
      </x:c>
      <x:c r="D4554" s="7" t="str">
        <x:v>RAE-E-45-EV-10</x:v>
      </x:c>
      <x:c r="E4554" s="7" t="str">
        <x:v>Evidence Obligations!L544</x:v>
      </x:c>
      <x:c r="F4554" s="7" t="str">
        <x:f>'Evidence Obligations'!L544</x:f>
        <x:v>OPEN</x:v>
      </x:c>
    </x:row>
    <x:row r="4555">
      <x:c r="B4555" s="7" t="str">
        <x:v>PHY-4549</x:v>
      </x:c>
      <x:c r="C4555" s="7" t="str">
        <x:v>evidence obligation</x:v>
      </x:c>
      <x:c r="D4555" s="7" t="str">
        <x:v>RAE-E-45-EV-11</x:v>
      </x:c>
      <x:c r="E4555" s="7" t="str">
        <x:v>Evidence Obligations!L545</x:v>
      </x:c>
      <x:c r="F4555" s="7" t="str">
        <x:f>'Evidence Obligations'!L545</x:f>
        <x:v>OPEN</x:v>
      </x:c>
    </x:row>
    <x:row r="4556">
      <x:c r="B4556" s="7" t="str">
        <x:v>PHY-4550</x:v>
      </x:c>
      <x:c r="C4556" s="7" t="str">
        <x:v>evidence obligation</x:v>
      </x:c>
      <x:c r="D4556" s="7" t="str">
        <x:v>RAE-E-45-EV-12</x:v>
      </x:c>
      <x:c r="E4556" s="7" t="str">
        <x:v>Evidence Obligations!L546</x:v>
      </x:c>
      <x:c r="F4556" s="7" t="str">
        <x:f>'Evidence Obligations'!L546</x:f>
        <x:v>OPEN</x:v>
      </x:c>
    </x:row>
    <x:row r="4557">
      <x:c r="B4557" s="7" t="str">
        <x:v>PHY-4551</x:v>
      </x:c>
      <x:c r="C4557" s="7" t="str">
        <x:v>evidence obligation</x:v>
      </x:c>
      <x:c r="D4557" s="7" t="str">
        <x:v>RAE-E-46-EV-01</x:v>
      </x:c>
      <x:c r="E4557" s="7" t="str">
        <x:v>Evidence Obligations!L547</x:v>
      </x:c>
      <x:c r="F4557" s="7" t="str">
        <x:f>'Evidence Obligations'!L547</x:f>
        <x:v>OPEN</x:v>
      </x:c>
    </x:row>
    <x:row r="4558">
      <x:c r="B4558" s="7" t="str">
        <x:v>PHY-4552</x:v>
      </x:c>
      <x:c r="C4558" s="7" t="str">
        <x:v>evidence obligation</x:v>
      </x:c>
      <x:c r="D4558" s="7" t="str">
        <x:v>RAE-E-46-EV-02</x:v>
      </x:c>
      <x:c r="E4558" s="7" t="str">
        <x:v>Evidence Obligations!L548</x:v>
      </x:c>
      <x:c r="F4558" s="7" t="str">
        <x:f>'Evidence Obligations'!L548</x:f>
        <x:v>OPEN</x:v>
      </x:c>
    </x:row>
    <x:row r="4559">
      <x:c r="B4559" s="7" t="str">
        <x:v>PHY-4553</x:v>
      </x:c>
      <x:c r="C4559" s="7" t="str">
        <x:v>evidence obligation</x:v>
      </x:c>
      <x:c r="D4559" s="7" t="str">
        <x:v>RAE-E-46-EV-03</x:v>
      </x:c>
      <x:c r="E4559" s="7" t="str">
        <x:v>Evidence Obligations!L549</x:v>
      </x:c>
      <x:c r="F4559" s="7" t="str">
        <x:f>'Evidence Obligations'!L549</x:f>
        <x:v>OPEN</x:v>
      </x:c>
    </x:row>
    <x:row r="4560">
      <x:c r="B4560" s="7" t="str">
        <x:v>PHY-4554</x:v>
      </x:c>
      <x:c r="C4560" s="7" t="str">
        <x:v>evidence obligation</x:v>
      </x:c>
      <x:c r="D4560" s="7" t="str">
        <x:v>RAE-E-46-EV-04</x:v>
      </x:c>
      <x:c r="E4560" s="7" t="str">
        <x:v>Evidence Obligations!L550</x:v>
      </x:c>
      <x:c r="F4560" s="7" t="str">
        <x:f>'Evidence Obligations'!L550</x:f>
        <x:v>OPEN</x:v>
      </x:c>
    </x:row>
    <x:row r="4561">
      <x:c r="B4561" s="7" t="str">
        <x:v>PHY-4555</x:v>
      </x:c>
      <x:c r="C4561" s="7" t="str">
        <x:v>evidence obligation</x:v>
      </x:c>
      <x:c r="D4561" s="7" t="str">
        <x:v>RAE-E-46-EV-05</x:v>
      </x:c>
      <x:c r="E4561" s="7" t="str">
        <x:v>Evidence Obligations!L551</x:v>
      </x:c>
      <x:c r="F4561" s="7" t="str">
        <x:f>'Evidence Obligations'!L551</x:f>
        <x:v>OPEN</x:v>
      </x:c>
    </x:row>
    <x:row r="4562">
      <x:c r="B4562" s="7" t="str">
        <x:v>PHY-4556</x:v>
      </x:c>
      <x:c r="C4562" s="7" t="str">
        <x:v>evidence obligation</x:v>
      </x:c>
      <x:c r="D4562" s="7" t="str">
        <x:v>RAE-E-46-EV-06</x:v>
      </x:c>
      <x:c r="E4562" s="7" t="str">
        <x:v>Evidence Obligations!L552</x:v>
      </x:c>
      <x:c r="F4562" s="7" t="str">
        <x:f>'Evidence Obligations'!L552</x:f>
        <x:v>OPEN</x:v>
      </x:c>
    </x:row>
    <x:row r="4563">
      <x:c r="B4563" s="7" t="str">
        <x:v>PHY-4557</x:v>
      </x:c>
      <x:c r="C4563" s="7" t="str">
        <x:v>evidence obligation</x:v>
      </x:c>
      <x:c r="D4563" s="7" t="str">
        <x:v>RAE-E-46-EV-07</x:v>
      </x:c>
      <x:c r="E4563" s="7" t="str">
        <x:v>Evidence Obligations!L553</x:v>
      </x:c>
      <x:c r="F4563" s="7" t="str">
        <x:f>'Evidence Obligations'!L553</x:f>
        <x:v>OPEN</x:v>
      </x:c>
    </x:row>
    <x:row r="4564">
      <x:c r="B4564" s="7" t="str">
        <x:v>PHY-4558</x:v>
      </x:c>
      <x:c r="C4564" s="7" t="str">
        <x:v>evidence obligation</x:v>
      </x:c>
      <x:c r="D4564" s="7" t="str">
        <x:v>RAE-E-46-EV-08</x:v>
      </x:c>
      <x:c r="E4564" s="7" t="str">
        <x:v>Evidence Obligations!L554</x:v>
      </x:c>
      <x:c r="F4564" s="7" t="str">
        <x:f>'Evidence Obligations'!L554</x:f>
        <x:v>OPEN</x:v>
      </x:c>
    </x:row>
    <x:row r="4565">
      <x:c r="B4565" s="7" t="str">
        <x:v>PHY-4559</x:v>
      </x:c>
      <x:c r="C4565" s="7" t="str">
        <x:v>evidence obligation</x:v>
      </x:c>
      <x:c r="D4565" s="7" t="str">
        <x:v>RAE-E-46-EV-09</x:v>
      </x:c>
      <x:c r="E4565" s="7" t="str">
        <x:v>Evidence Obligations!L555</x:v>
      </x:c>
      <x:c r="F4565" s="7" t="str">
        <x:f>'Evidence Obligations'!L555</x:f>
        <x:v>OPEN</x:v>
      </x:c>
    </x:row>
    <x:row r="4566">
      <x:c r="B4566" s="7" t="str">
        <x:v>PHY-4560</x:v>
      </x:c>
      <x:c r="C4566" s="7" t="str">
        <x:v>evidence obligation</x:v>
      </x:c>
      <x:c r="D4566" s="7" t="str">
        <x:v>RAE-E-46-EV-10</x:v>
      </x:c>
      <x:c r="E4566" s="7" t="str">
        <x:v>Evidence Obligations!L556</x:v>
      </x:c>
      <x:c r="F4566" s="7" t="str">
        <x:f>'Evidence Obligations'!L556</x:f>
        <x:v>OPEN</x:v>
      </x:c>
    </x:row>
    <x:row r="4567">
      <x:c r="B4567" s="7" t="str">
        <x:v>PHY-4561</x:v>
      </x:c>
      <x:c r="C4567" s="7" t="str">
        <x:v>evidence obligation</x:v>
      </x:c>
      <x:c r="D4567" s="7" t="str">
        <x:v>RAE-E-46-EV-11</x:v>
      </x:c>
      <x:c r="E4567" s="7" t="str">
        <x:v>Evidence Obligations!L557</x:v>
      </x:c>
      <x:c r="F4567" s="7" t="str">
        <x:f>'Evidence Obligations'!L557</x:f>
        <x:v>OPEN</x:v>
      </x:c>
    </x:row>
    <x:row r="4568">
      <x:c r="B4568" s="7" t="str">
        <x:v>PHY-4562</x:v>
      </x:c>
      <x:c r="C4568" s="7" t="str">
        <x:v>evidence obligation</x:v>
      </x:c>
      <x:c r="D4568" s="7" t="str">
        <x:v>RAE-E-46-EV-12</x:v>
      </x:c>
      <x:c r="E4568" s="7" t="str">
        <x:v>Evidence Obligations!L558</x:v>
      </x:c>
      <x:c r="F4568" s="7" t="str">
        <x:f>'Evidence Obligations'!L558</x:f>
        <x:v>OPEN</x:v>
      </x:c>
    </x:row>
    <x:row r="4569">
      <x:c r="B4569" s="7" t="str">
        <x:v>PHY-4563</x:v>
      </x:c>
      <x:c r="C4569" s="7" t="str">
        <x:v>evidence obligation</x:v>
      </x:c>
      <x:c r="D4569" s="7" t="str">
        <x:v>RAE-E-47-EV-01</x:v>
      </x:c>
      <x:c r="E4569" s="7" t="str">
        <x:v>Evidence Obligations!L559</x:v>
      </x:c>
      <x:c r="F4569" s="7" t="str">
        <x:f>'Evidence Obligations'!L559</x:f>
        <x:v>OPEN</x:v>
      </x:c>
    </x:row>
    <x:row r="4570">
      <x:c r="B4570" s="7" t="str">
        <x:v>PHY-4564</x:v>
      </x:c>
      <x:c r="C4570" s="7" t="str">
        <x:v>evidence obligation</x:v>
      </x:c>
      <x:c r="D4570" s="7" t="str">
        <x:v>RAE-E-47-EV-02</x:v>
      </x:c>
      <x:c r="E4570" s="7" t="str">
        <x:v>Evidence Obligations!L560</x:v>
      </x:c>
      <x:c r="F4570" s="7" t="str">
        <x:f>'Evidence Obligations'!L560</x:f>
        <x:v>OPEN</x:v>
      </x:c>
    </x:row>
    <x:row r="4571">
      <x:c r="B4571" s="7" t="str">
        <x:v>PHY-4565</x:v>
      </x:c>
      <x:c r="C4571" s="7" t="str">
        <x:v>evidence obligation</x:v>
      </x:c>
      <x:c r="D4571" s="7" t="str">
        <x:v>RAE-E-47-EV-03</x:v>
      </x:c>
      <x:c r="E4571" s="7" t="str">
        <x:v>Evidence Obligations!L561</x:v>
      </x:c>
      <x:c r="F4571" s="7" t="str">
        <x:f>'Evidence Obligations'!L561</x:f>
        <x:v>OPEN</x:v>
      </x:c>
    </x:row>
    <x:row r="4572">
      <x:c r="B4572" s="7" t="str">
        <x:v>PHY-4566</x:v>
      </x:c>
      <x:c r="C4572" s="7" t="str">
        <x:v>evidence obligation</x:v>
      </x:c>
      <x:c r="D4572" s="7" t="str">
        <x:v>RAE-E-47-EV-04</x:v>
      </x:c>
      <x:c r="E4572" s="7" t="str">
        <x:v>Evidence Obligations!L562</x:v>
      </x:c>
      <x:c r="F4572" s="7" t="str">
        <x:f>'Evidence Obligations'!L562</x:f>
        <x:v>OPEN</x:v>
      </x:c>
    </x:row>
    <x:row r="4573">
      <x:c r="B4573" s="7" t="str">
        <x:v>PHY-4567</x:v>
      </x:c>
      <x:c r="C4573" s="7" t="str">
        <x:v>evidence obligation</x:v>
      </x:c>
      <x:c r="D4573" s="7" t="str">
        <x:v>RAE-E-47-EV-05</x:v>
      </x:c>
      <x:c r="E4573" s="7" t="str">
        <x:v>Evidence Obligations!L563</x:v>
      </x:c>
      <x:c r="F4573" s="7" t="str">
        <x:f>'Evidence Obligations'!L563</x:f>
        <x:v>OPEN</x:v>
      </x:c>
    </x:row>
    <x:row r="4574">
      <x:c r="B4574" s="7" t="str">
        <x:v>PHY-4568</x:v>
      </x:c>
      <x:c r="C4574" s="7" t="str">
        <x:v>evidence obligation</x:v>
      </x:c>
      <x:c r="D4574" s="7" t="str">
        <x:v>RAE-E-47-EV-06</x:v>
      </x:c>
      <x:c r="E4574" s="7" t="str">
        <x:v>Evidence Obligations!L564</x:v>
      </x:c>
      <x:c r="F4574" s="7" t="str">
        <x:f>'Evidence Obligations'!L564</x:f>
        <x:v>OPEN</x:v>
      </x:c>
    </x:row>
    <x:row r="4575">
      <x:c r="B4575" s="7" t="str">
        <x:v>PHY-4569</x:v>
      </x:c>
      <x:c r="C4575" s="7" t="str">
        <x:v>evidence obligation</x:v>
      </x:c>
      <x:c r="D4575" s="7" t="str">
        <x:v>RAE-E-47-EV-07</x:v>
      </x:c>
      <x:c r="E4575" s="7" t="str">
        <x:v>Evidence Obligations!L565</x:v>
      </x:c>
      <x:c r="F4575" s="7" t="str">
        <x:f>'Evidence Obligations'!L565</x:f>
        <x:v>OPEN</x:v>
      </x:c>
    </x:row>
    <x:row r="4576">
      <x:c r="B4576" s="7" t="str">
        <x:v>PHY-4570</x:v>
      </x:c>
      <x:c r="C4576" s="7" t="str">
        <x:v>evidence obligation</x:v>
      </x:c>
      <x:c r="D4576" s="7" t="str">
        <x:v>RAE-E-47-EV-08</x:v>
      </x:c>
      <x:c r="E4576" s="7" t="str">
        <x:v>Evidence Obligations!L566</x:v>
      </x:c>
      <x:c r="F4576" s="7" t="str">
        <x:f>'Evidence Obligations'!L566</x:f>
        <x:v>OPEN</x:v>
      </x:c>
    </x:row>
    <x:row r="4577">
      <x:c r="B4577" s="7" t="str">
        <x:v>PHY-4571</x:v>
      </x:c>
      <x:c r="C4577" s="7" t="str">
        <x:v>evidence obligation</x:v>
      </x:c>
      <x:c r="D4577" s="7" t="str">
        <x:v>RAE-E-47-EV-09</x:v>
      </x:c>
      <x:c r="E4577" s="7" t="str">
        <x:v>Evidence Obligations!L567</x:v>
      </x:c>
      <x:c r="F4577" s="7" t="str">
        <x:f>'Evidence Obligations'!L567</x:f>
        <x:v>OPEN</x:v>
      </x:c>
    </x:row>
    <x:row r="4578">
      <x:c r="B4578" s="7" t="str">
        <x:v>PHY-4572</x:v>
      </x:c>
      <x:c r="C4578" s="7" t="str">
        <x:v>evidence obligation</x:v>
      </x:c>
      <x:c r="D4578" s="7" t="str">
        <x:v>RAE-E-47-EV-10</x:v>
      </x:c>
      <x:c r="E4578" s="7" t="str">
        <x:v>Evidence Obligations!L568</x:v>
      </x:c>
      <x:c r="F4578" s="7" t="str">
        <x:f>'Evidence Obligations'!L568</x:f>
        <x:v>OPEN</x:v>
      </x:c>
    </x:row>
    <x:row r="4579">
      <x:c r="B4579" s="7" t="str">
        <x:v>PHY-4573</x:v>
      </x:c>
      <x:c r="C4579" s="7" t="str">
        <x:v>evidence obligation</x:v>
      </x:c>
      <x:c r="D4579" s="7" t="str">
        <x:v>RAE-E-47-EV-11</x:v>
      </x:c>
      <x:c r="E4579" s="7" t="str">
        <x:v>Evidence Obligations!L569</x:v>
      </x:c>
      <x:c r="F4579" s="7" t="str">
        <x:f>'Evidence Obligations'!L569</x:f>
        <x:v>OPEN</x:v>
      </x:c>
    </x:row>
    <x:row r="4580">
      <x:c r="B4580" s="7" t="str">
        <x:v>PHY-4574</x:v>
      </x:c>
      <x:c r="C4580" s="7" t="str">
        <x:v>evidence obligation</x:v>
      </x:c>
      <x:c r="D4580" s="7" t="str">
        <x:v>RAE-E-47-EV-12</x:v>
      </x:c>
      <x:c r="E4580" s="7" t="str">
        <x:v>Evidence Obligations!L570</x:v>
      </x:c>
      <x:c r="F4580" s="7" t="str">
        <x:f>'Evidence Obligations'!L570</x:f>
        <x:v>OPEN</x:v>
      </x:c>
    </x:row>
    <x:row r="4581">
      <x:c r="B4581" s="7" t="str">
        <x:v>PHY-4575</x:v>
      </x:c>
      <x:c r="C4581" s="7" t="str">
        <x:v>evidence obligation</x:v>
      </x:c>
      <x:c r="D4581" s="7" t="str">
        <x:v>RAE-E-48-EV-01</x:v>
      </x:c>
      <x:c r="E4581" s="7" t="str">
        <x:v>Evidence Obligations!L571</x:v>
      </x:c>
      <x:c r="F4581" s="7" t="str">
        <x:f>'Evidence Obligations'!L571</x:f>
        <x:v>OPEN</x:v>
      </x:c>
    </x:row>
    <x:row r="4582">
      <x:c r="B4582" s="7" t="str">
        <x:v>PHY-4576</x:v>
      </x:c>
      <x:c r="C4582" s="7" t="str">
        <x:v>evidence obligation</x:v>
      </x:c>
      <x:c r="D4582" s="7" t="str">
        <x:v>RAE-E-48-EV-02</x:v>
      </x:c>
      <x:c r="E4582" s="7" t="str">
        <x:v>Evidence Obligations!L572</x:v>
      </x:c>
      <x:c r="F4582" s="7" t="str">
        <x:f>'Evidence Obligations'!L572</x:f>
        <x:v>OPEN</x:v>
      </x:c>
    </x:row>
    <x:row r="4583">
      <x:c r="B4583" s="7" t="str">
        <x:v>PHY-4577</x:v>
      </x:c>
      <x:c r="C4583" s="7" t="str">
        <x:v>evidence obligation</x:v>
      </x:c>
      <x:c r="D4583" s="7" t="str">
        <x:v>RAE-E-48-EV-03</x:v>
      </x:c>
      <x:c r="E4583" s="7" t="str">
        <x:v>Evidence Obligations!L573</x:v>
      </x:c>
      <x:c r="F4583" s="7" t="str">
        <x:f>'Evidence Obligations'!L573</x:f>
        <x:v>OPEN</x:v>
      </x:c>
    </x:row>
    <x:row r="4584">
      <x:c r="B4584" s="7" t="str">
        <x:v>PHY-4578</x:v>
      </x:c>
      <x:c r="C4584" s="7" t="str">
        <x:v>evidence obligation</x:v>
      </x:c>
      <x:c r="D4584" s="7" t="str">
        <x:v>RAE-E-48-EV-04</x:v>
      </x:c>
      <x:c r="E4584" s="7" t="str">
        <x:v>Evidence Obligations!L574</x:v>
      </x:c>
      <x:c r="F4584" s="7" t="str">
        <x:f>'Evidence Obligations'!L574</x:f>
        <x:v>OPEN</x:v>
      </x:c>
    </x:row>
    <x:row r="4585">
      <x:c r="B4585" s="7" t="str">
        <x:v>PHY-4579</x:v>
      </x:c>
      <x:c r="C4585" s="7" t="str">
        <x:v>evidence obligation</x:v>
      </x:c>
      <x:c r="D4585" s="7" t="str">
        <x:v>RAE-E-48-EV-05</x:v>
      </x:c>
      <x:c r="E4585" s="7" t="str">
        <x:v>Evidence Obligations!L575</x:v>
      </x:c>
      <x:c r="F4585" s="7" t="str">
        <x:f>'Evidence Obligations'!L575</x:f>
        <x:v>OPEN</x:v>
      </x:c>
    </x:row>
    <x:row r="4586">
      <x:c r="B4586" s="7" t="str">
        <x:v>PHY-4580</x:v>
      </x:c>
      <x:c r="C4586" s="7" t="str">
        <x:v>evidence obligation</x:v>
      </x:c>
      <x:c r="D4586" s="7" t="str">
        <x:v>RAE-E-48-EV-06</x:v>
      </x:c>
      <x:c r="E4586" s="7" t="str">
        <x:v>Evidence Obligations!L576</x:v>
      </x:c>
      <x:c r="F4586" s="7" t="str">
        <x:f>'Evidence Obligations'!L576</x:f>
        <x:v>OPEN</x:v>
      </x:c>
    </x:row>
    <x:row r="4587">
      <x:c r="B4587" s="7" t="str">
        <x:v>PHY-4581</x:v>
      </x:c>
      <x:c r="C4587" s="7" t="str">
        <x:v>evidence obligation</x:v>
      </x:c>
      <x:c r="D4587" s="7" t="str">
        <x:v>RAE-E-48-EV-07</x:v>
      </x:c>
      <x:c r="E4587" s="7" t="str">
        <x:v>Evidence Obligations!L577</x:v>
      </x:c>
      <x:c r="F4587" s="7" t="str">
        <x:f>'Evidence Obligations'!L577</x:f>
        <x:v>OPEN</x:v>
      </x:c>
    </x:row>
    <x:row r="4588">
      <x:c r="B4588" s="7" t="str">
        <x:v>PHY-4582</x:v>
      </x:c>
      <x:c r="C4588" s="7" t="str">
        <x:v>evidence obligation</x:v>
      </x:c>
      <x:c r="D4588" s="7" t="str">
        <x:v>RAE-E-48-EV-08</x:v>
      </x:c>
      <x:c r="E4588" s="7" t="str">
        <x:v>Evidence Obligations!L578</x:v>
      </x:c>
      <x:c r="F4588" s="7" t="str">
        <x:f>'Evidence Obligations'!L578</x:f>
        <x:v>OPEN</x:v>
      </x:c>
    </x:row>
    <x:row r="4589">
      <x:c r="B4589" s="7" t="str">
        <x:v>PHY-4583</x:v>
      </x:c>
      <x:c r="C4589" s="7" t="str">
        <x:v>evidence obligation</x:v>
      </x:c>
      <x:c r="D4589" s="7" t="str">
        <x:v>RAE-E-48-EV-09</x:v>
      </x:c>
      <x:c r="E4589" s="7" t="str">
        <x:v>Evidence Obligations!L579</x:v>
      </x:c>
      <x:c r="F4589" s="7" t="str">
        <x:f>'Evidence Obligations'!L579</x:f>
        <x:v>OPEN</x:v>
      </x:c>
    </x:row>
    <x:row r="4590">
      <x:c r="B4590" s="7" t="str">
        <x:v>PHY-4584</x:v>
      </x:c>
      <x:c r="C4590" s="7" t="str">
        <x:v>evidence obligation</x:v>
      </x:c>
      <x:c r="D4590" s="7" t="str">
        <x:v>RAE-E-48-EV-10</x:v>
      </x:c>
      <x:c r="E4590" s="7" t="str">
        <x:v>Evidence Obligations!L580</x:v>
      </x:c>
      <x:c r="F4590" s="7" t="str">
        <x:f>'Evidence Obligations'!L580</x:f>
        <x:v>OPEN</x:v>
      </x:c>
    </x:row>
    <x:row r="4591">
      <x:c r="B4591" s="7" t="str">
        <x:v>PHY-4585</x:v>
      </x:c>
      <x:c r="C4591" s="7" t="str">
        <x:v>evidence obligation</x:v>
      </x:c>
      <x:c r="D4591" s="7" t="str">
        <x:v>RAE-E-48-EV-11</x:v>
      </x:c>
      <x:c r="E4591" s="7" t="str">
        <x:v>Evidence Obligations!L581</x:v>
      </x:c>
      <x:c r="F4591" s="7" t="str">
        <x:f>'Evidence Obligations'!L581</x:f>
        <x:v>OPEN</x:v>
      </x:c>
    </x:row>
    <x:row r="4592">
      <x:c r="B4592" s="7" t="str">
        <x:v>PHY-4586</x:v>
      </x:c>
      <x:c r="C4592" s="7" t="str">
        <x:v>evidence obligation</x:v>
      </x:c>
      <x:c r="D4592" s="7" t="str">
        <x:v>RAE-E-48-EV-12</x:v>
      </x:c>
      <x:c r="E4592" s="7" t="str">
        <x:v>Evidence Obligations!L582</x:v>
      </x:c>
      <x:c r="F4592" s="7" t="str">
        <x:f>'Evidence Obligations'!L582</x:f>
        <x:v>OPEN</x:v>
      </x:c>
    </x:row>
    <x:row r="4593">
      <x:c r="B4593" s="7" t="str">
        <x:v>PHY-4587</x:v>
      </x:c>
      <x:c r="C4593" s="7" t="str">
        <x:v>sample</x:v>
      </x:c>
      <x:c r="D4593" s="7" t="str">
        <x:v>RAE-S-001</x:v>
      </x:c>
      <x:c r="E4593" s="7" t="str">
        <x:v>Sample Ledger!K7</x:v>
      </x:c>
      <x:c r="F4593" s="7" t="str">
        <x:f>'Sample Ledger'!K7</x:f>
        <x:v>OPEN</x:v>
      </x:c>
    </x:row>
    <x:row r="4594">
      <x:c r="B4594" s="7" t="str">
        <x:v>PHY-4588</x:v>
      </x:c>
      <x:c r="C4594" s="7" t="str">
        <x:v>sample</x:v>
      </x:c>
      <x:c r="D4594" s="7" t="str">
        <x:v>RAE-S-002</x:v>
      </x:c>
      <x:c r="E4594" s="7" t="str">
        <x:v>Sample Ledger!K8</x:v>
      </x:c>
      <x:c r="F4594" s="7" t="str">
        <x:f>'Sample Ledger'!K8</x:f>
        <x:v>OPEN</x:v>
      </x:c>
    </x:row>
    <x:row r="4595">
      <x:c r="B4595" s="7" t="str">
        <x:v>PHY-4589</x:v>
      </x:c>
      <x:c r="C4595" s="7" t="str">
        <x:v>sample</x:v>
      </x:c>
      <x:c r="D4595" s="7" t="str">
        <x:v>RAE-S-003</x:v>
      </x:c>
      <x:c r="E4595" s="7" t="str">
        <x:v>Sample Ledger!K9</x:v>
      </x:c>
      <x:c r="F4595" s="7" t="str">
        <x:f>'Sample Ledger'!K9</x:f>
        <x:v>OPEN</x:v>
      </x:c>
    </x:row>
    <x:row r="4596">
      <x:c r="B4596" s="7" t="str">
        <x:v>PHY-4590</x:v>
      </x:c>
      <x:c r="C4596" s="7" t="str">
        <x:v>sample</x:v>
      </x:c>
      <x:c r="D4596" s="7" t="str">
        <x:v>RAE-S-004</x:v>
      </x:c>
      <x:c r="E4596" s="7" t="str">
        <x:v>Sample Ledger!K10</x:v>
      </x:c>
      <x:c r="F4596" s="7" t="str">
        <x:f>'Sample Ledger'!K10</x:f>
        <x:v>OPEN</x:v>
      </x:c>
    </x:row>
    <x:row r="4597">
      <x:c r="B4597" s="7" t="str">
        <x:v>PHY-4591</x:v>
      </x:c>
      <x:c r="C4597" s="7" t="str">
        <x:v>sample</x:v>
      </x:c>
      <x:c r="D4597" s="7" t="str">
        <x:v>RAE-S-005</x:v>
      </x:c>
      <x:c r="E4597" s="7" t="str">
        <x:v>Sample Ledger!K11</x:v>
      </x:c>
      <x:c r="F4597" s="7" t="str">
        <x:f>'Sample Ledger'!K11</x:f>
        <x:v>OPEN</x:v>
      </x:c>
    </x:row>
    <x:row r="4598">
      <x:c r="B4598" s="7" t="str">
        <x:v>PHY-4592</x:v>
      </x:c>
      <x:c r="C4598" s="7" t="str">
        <x:v>sample</x:v>
      </x:c>
      <x:c r="D4598" s="7" t="str">
        <x:v>RAE-S-006</x:v>
      </x:c>
      <x:c r="E4598" s="7" t="str">
        <x:v>Sample Ledger!K12</x:v>
      </x:c>
      <x:c r="F4598" s="7" t="str">
        <x:f>'Sample Ledger'!K12</x:f>
        <x:v>OPEN</x:v>
      </x:c>
    </x:row>
    <x:row r="4599">
      <x:c r="B4599" s="7" t="str">
        <x:v>PHY-4593</x:v>
      </x:c>
      <x:c r="C4599" s="7" t="str">
        <x:v>sample</x:v>
      </x:c>
      <x:c r="D4599" s="7" t="str">
        <x:v>RAE-S-007</x:v>
      </x:c>
      <x:c r="E4599" s="7" t="str">
        <x:v>Sample Ledger!K13</x:v>
      </x:c>
      <x:c r="F4599" s="7" t="str">
        <x:f>'Sample Ledger'!K13</x:f>
        <x:v>OPEN</x:v>
      </x:c>
    </x:row>
    <x:row r="4600">
      <x:c r="B4600" s="7" t="str">
        <x:v>PHY-4594</x:v>
      </x:c>
      <x:c r="C4600" s="7" t="str">
        <x:v>sample</x:v>
      </x:c>
      <x:c r="D4600" s="7" t="str">
        <x:v>RAE-S-008</x:v>
      </x:c>
      <x:c r="E4600" s="7" t="str">
        <x:v>Sample Ledger!K14</x:v>
      </x:c>
      <x:c r="F4600" s="7" t="str">
        <x:f>'Sample Ledger'!K14</x:f>
        <x:v>OPEN</x:v>
      </x:c>
    </x:row>
    <x:row r="4601">
      <x:c r="B4601" s="7" t="str">
        <x:v>PHY-4595</x:v>
      </x:c>
      <x:c r="C4601" s="7" t="str">
        <x:v>sample</x:v>
      </x:c>
      <x:c r="D4601" s="7" t="str">
        <x:v>RAE-S-009</x:v>
      </x:c>
      <x:c r="E4601" s="7" t="str">
        <x:v>Sample Ledger!K15</x:v>
      </x:c>
      <x:c r="F4601" s="7" t="str">
        <x:f>'Sample Ledger'!K15</x:f>
        <x:v>OPEN</x:v>
      </x:c>
    </x:row>
    <x:row r="4602">
      <x:c r="B4602" s="7" t="str">
        <x:v>PHY-4596</x:v>
      </x:c>
      <x:c r="C4602" s="7" t="str">
        <x:v>sample</x:v>
      </x:c>
      <x:c r="D4602" s="7" t="str">
        <x:v>RAE-S-010</x:v>
      </x:c>
      <x:c r="E4602" s="7" t="str">
        <x:v>Sample Ledger!K16</x:v>
      </x:c>
      <x:c r="F4602" s="7" t="str">
        <x:f>'Sample Ledger'!K16</x:f>
        <x:v>OPEN</x:v>
      </x:c>
    </x:row>
    <x:row r="4603">
      <x:c r="B4603" s="7" t="str">
        <x:v>PHY-4597</x:v>
      </x:c>
      <x:c r="C4603" s="7" t="str">
        <x:v>sample</x:v>
      </x:c>
      <x:c r="D4603" s="7" t="str">
        <x:v>RAE-S-011</x:v>
      </x:c>
      <x:c r="E4603" s="7" t="str">
        <x:v>Sample Ledger!K17</x:v>
      </x:c>
      <x:c r="F4603" s="7" t="str">
        <x:f>'Sample Ledger'!K17</x:f>
        <x:v>OPEN</x:v>
      </x:c>
    </x:row>
    <x:row r="4604">
      <x:c r="B4604" s="7" t="str">
        <x:v>PHY-4598</x:v>
      </x:c>
      <x:c r="C4604" s="7" t="str">
        <x:v>sample</x:v>
      </x:c>
      <x:c r="D4604" s="7" t="str">
        <x:v>RAE-S-012</x:v>
      </x:c>
      <x:c r="E4604" s="7" t="str">
        <x:v>Sample Ledger!K18</x:v>
      </x:c>
      <x:c r="F4604" s="7" t="str">
        <x:f>'Sample Ledger'!K18</x:f>
        <x:v>OPEN</x:v>
      </x:c>
    </x:row>
    <x:row r="4605">
      <x:c r="B4605" s="7" t="str">
        <x:v>PHY-4599</x:v>
      </x:c>
      <x:c r="C4605" s="7" t="str">
        <x:v>sample</x:v>
      </x:c>
      <x:c r="D4605" s="7" t="str">
        <x:v>RAE-S-013</x:v>
      </x:c>
      <x:c r="E4605" s="7" t="str">
        <x:v>Sample Ledger!K19</x:v>
      </x:c>
      <x:c r="F4605" s="7" t="str">
        <x:f>'Sample Ledger'!K19</x:f>
        <x:v>OPEN</x:v>
      </x:c>
    </x:row>
    <x:row r="4606">
      <x:c r="B4606" s="7" t="str">
        <x:v>PHY-4600</x:v>
      </x:c>
      <x:c r="C4606" s="7" t="str">
        <x:v>sample</x:v>
      </x:c>
      <x:c r="D4606" s="7" t="str">
        <x:v>RAE-S-014</x:v>
      </x:c>
      <x:c r="E4606" s="7" t="str">
        <x:v>Sample Ledger!K20</x:v>
      </x:c>
      <x:c r="F4606" s="7" t="str">
        <x:f>'Sample Ledger'!K20</x:f>
        <x:v>OPEN</x:v>
      </x:c>
    </x:row>
    <x:row r="4607">
      <x:c r="B4607" s="7" t="str">
        <x:v>PHY-4601</x:v>
      </x:c>
      <x:c r="C4607" s="7" t="str">
        <x:v>sample</x:v>
      </x:c>
      <x:c r="D4607" s="7" t="str">
        <x:v>RAE-S-015</x:v>
      </x:c>
      <x:c r="E4607" s="7" t="str">
        <x:v>Sample Ledger!K21</x:v>
      </x:c>
      <x:c r="F4607" s="7" t="str">
        <x:f>'Sample Ledger'!K21</x:f>
        <x:v>OPEN</x:v>
      </x:c>
    </x:row>
    <x:row r="4608">
      <x:c r="B4608" s="7" t="str">
        <x:v>PHY-4602</x:v>
      </x:c>
      <x:c r="C4608" s="7" t="str">
        <x:v>sample</x:v>
      </x:c>
      <x:c r="D4608" s="7" t="str">
        <x:v>RAE-S-016</x:v>
      </x:c>
      <x:c r="E4608" s="7" t="str">
        <x:v>Sample Ledger!K22</x:v>
      </x:c>
      <x:c r="F4608" s="7" t="str">
        <x:f>'Sample Ledger'!K22</x:f>
        <x:v>OPEN</x:v>
      </x:c>
    </x:row>
    <x:row r="4609">
      <x:c r="B4609" s="7" t="str">
        <x:v>PHY-4603</x:v>
      </x:c>
      <x:c r="C4609" s="7" t="str">
        <x:v>sample</x:v>
      </x:c>
      <x:c r="D4609" s="7" t="str">
        <x:v>RAE-S-017</x:v>
      </x:c>
      <x:c r="E4609" s="7" t="str">
        <x:v>Sample Ledger!K23</x:v>
      </x:c>
      <x:c r="F4609" s="7" t="str">
        <x:f>'Sample Ledger'!K23</x:f>
        <x:v>OPEN</x:v>
      </x:c>
    </x:row>
    <x:row r="4610">
      <x:c r="B4610" s="7" t="str">
        <x:v>PHY-4604</x:v>
      </x:c>
      <x:c r="C4610" s="7" t="str">
        <x:v>sample</x:v>
      </x:c>
      <x:c r="D4610" s="7" t="str">
        <x:v>RAE-S-018</x:v>
      </x:c>
      <x:c r="E4610" s="7" t="str">
        <x:v>Sample Ledger!K24</x:v>
      </x:c>
      <x:c r="F4610" s="7" t="str">
        <x:f>'Sample Ledger'!K24</x:f>
        <x:v>OPEN</x:v>
      </x:c>
    </x:row>
    <x:row r="4611">
      <x:c r="B4611" s="7" t="str">
        <x:v>PHY-4605</x:v>
      </x:c>
      <x:c r="C4611" s="7" t="str">
        <x:v>sample</x:v>
      </x:c>
      <x:c r="D4611" s="7" t="str">
        <x:v>RAE-S-019</x:v>
      </x:c>
      <x:c r="E4611" s="7" t="str">
        <x:v>Sample Ledger!K25</x:v>
      </x:c>
      <x:c r="F4611" s="7" t="str">
        <x:f>'Sample Ledger'!K25</x:f>
        <x:v>OPEN</x:v>
      </x:c>
    </x:row>
    <x:row r="4612">
      <x:c r="B4612" s="7" t="str">
        <x:v>PHY-4606</x:v>
      </x:c>
      <x:c r="C4612" s="7" t="str">
        <x:v>sample</x:v>
      </x:c>
      <x:c r="D4612" s="7" t="str">
        <x:v>RAE-S-020</x:v>
      </x:c>
      <x:c r="E4612" s="7" t="str">
        <x:v>Sample Ledger!K26</x:v>
      </x:c>
      <x:c r="F4612" s="7" t="str">
        <x:f>'Sample Ledger'!K26</x:f>
        <x:v>OPEN</x:v>
      </x:c>
    </x:row>
    <x:row r="4613">
      <x:c r="B4613" s="7" t="str">
        <x:v>PHY-4607</x:v>
      </x:c>
      <x:c r="C4613" s="7" t="str">
        <x:v>sample</x:v>
      </x:c>
      <x:c r="D4613" s="7" t="str">
        <x:v>RAE-S-021</x:v>
      </x:c>
      <x:c r="E4613" s="7" t="str">
        <x:v>Sample Ledger!K27</x:v>
      </x:c>
      <x:c r="F4613" s="7" t="str">
        <x:f>'Sample Ledger'!K27</x:f>
        <x:v>OPEN</x:v>
      </x:c>
    </x:row>
    <x:row r="4614">
      <x:c r="B4614" s="7" t="str">
        <x:v>PHY-4608</x:v>
      </x:c>
      <x:c r="C4614" s="7" t="str">
        <x:v>sample</x:v>
      </x:c>
      <x:c r="D4614" s="7" t="str">
        <x:v>RAE-S-022</x:v>
      </x:c>
      <x:c r="E4614" s="7" t="str">
        <x:v>Sample Ledger!K28</x:v>
      </x:c>
      <x:c r="F4614" s="7" t="str">
        <x:f>'Sample Ledger'!K28</x:f>
        <x:v>OPEN</x:v>
      </x:c>
    </x:row>
    <x:row r="4615">
      <x:c r="B4615" s="7" t="str">
        <x:v>PHY-4609</x:v>
      </x:c>
      <x:c r="C4615" s="7" t="str">
        <x:v>sample</x:v>
      </x:c>
      <x:c r="D4615" s="7" t="str">
        <x:v>RAE-S-023</x:v>
      </x:c>
      <x:c r="E4615" s="7" t="str">
        <x:v>Sample Ledger!K29</x:v>
      </x:c>
      <x:c r="F4615" s="7" t="str">
        <x:f>'Sample Ledger'!K29</x:f>
        <x:v>OPEN</x:v>
      </x:c>
    </x:row>
    <x:row r="4616">
      <x:c r="B4616" s="7" t="str">
        <x:v>PHY-4610</x:v>
      </x:c>
      <x:c r="C4616" s="7" t="str">
        <x:v>sample</x:v>
      </x:c>
      <x:c r="D4616" s="7" t="str">
        <x:v>RAE-S-024</x:v>
      </x:c>
      <x:c r="E4616" s="7" t="str">
        <x:v>Sample Ledger!K30</x:v>
      </x:c>
      <x:c r="F4616" s="7" t="str">
        <x:f>'Sample Ledger'!K30</x:f>
        <x:v>OPEN</x:v>
      </x:c>
    </x:row>
    <x:row r="4617">
      <x:c r="B4617" s="7" t="str">
        <x:v>PHY-4611</x:v>
      </x:c>
      <x:c r="C4617" s="7" t="str">
        <x:v>sample</x:v>
      </x:c>
      <x:c r="D4617" s="7" t="str">
        <x:v>RAE-S-025</x:v>
      </x:c>
      <x:c r="E4617" s="7" t="str">
        <x:v>Sample Ledger!K31</x:v>
      </x:c>
      <x:c r="F4617" s="7" t="str">
        <x:f>'Sample Ledger'!K31</x:f>
        <x:v>OPEN</x:v>
      </x:c>
    </x:row>
    <x:row r="4618">
      <x:c r="B4618" s="7" t="str">
        <x:v>PHY-4612</x:v>
      </x:c>
      <x:c r="C4618" s="7" t="str">
        <x:v>sample</x:v>
      </x:c>
      <x:c r="D4618" s="7" t="str">
        <x:v>RAE-S-026</x:v>
      </x:c>
      <x:c r="E4618" s="7" t="str">
        <x:v>Sample Ledger!K32</x:v>
      </x:c>
      <x:c r="F4618" s="7" t="str">
        <x:f>'Sample Ledger'!K32</x:f>
        <x:v>OPEN</x:v>
      </x:c>
    </x:row>
    <x:row r="4619">
      <x:c r="B4619" s="7" t="str">
        <x:v>PHY-4613</x:v>
      </x:c>
      <x:c r="C4619" s="7" t="str">
        <x:v>sample</x:v>
      </x:c>
      <x:c r="D4619" s="7" t="str">
        <x:v>RAE-S-027</x:v>
      </x:c>
      <x:c r="E4619" s="7" t="str">
        <x:v>Sample Ledger!K33</x:v>
      </x:c>
      <x:c r="F4619" s="7" t="str">
        <x:f>'Sample Ledger'!K33</x:f>
        <x:v>OPEN</x:v>
      </x:c>
    </x:row>
    <x:row r="4620">
      <x:c r="B4620" s="7" t="str">
        <x:v>PHY-4614</x:v>
      </x:c>
      <x:c r="C4620" s="7" t="str">
        <x:v>sample</x:v>
      </x:c>
      <x:c r="D4620" s="7" t="str">
        <x:v>RAE-S-028</x:v>
      </x:c>
      <x:c r="E4620" s="7" t="str">
        <x:v>Sample Ledger!K34</x:v>
      </x:c>
      <x:c r="F4620" s="7" t="str">
        <x:f>'Sample Ledger'!K34</x:f>
        <x:v>OPEN</x:v>
      </x:c>
    </x:row>
    <x:row r="4621">
      <x:c r="B4621" s="7" t="str">
        <x:v>PHY-4615</x:v>
      </x:c>
      <x:c r="C4621" s="7" t="str">
        <x:v>sample</x:v>
      </x:c>
      <x:c r="D4621" s="7" t="str">
        <x:v>RAE-S-029</x:v>
      </x:c>
      <x:c r="E4621" s="7" t="str">
        <x:v>Sample Ledger!K35</x:v>
      </x:c>
      <x:c r="F4621" s="7" t="str">
        <x:f>'Sample Ledger'!K35</x:f>
        <x:v>OPEN</x:v>
      </x:c>
    </x:row>
    <x:row r="4622">
      <x:c r="B4622" s="7" t="str">
        <x:v>PHY-4616</x:v>
      </x:c>
      <x:c r="C4622" s="7" t="str">
        <x:v>sample</x:v>
      </x:c>
      <x:c r="D4622" s="7" t="str">
        <x:v>RAE-S-030</x:v>
      </x:c>
      <x:c r="E4622" s="7" t="str">
        <x:v>Sample Ledger!K36</x:v>
      </x:c>
      <x:c r="F4622" s="7" t="str">
        <x:f>'Sample Ledger'!K36</x:f>
        <x:v>OPEN</x:v>
      </x:c>
    </x:row>
    <x:row r="4623">
      <x:c r="B4623" s="7" t="str">
        <x:v>PHY-4617</x:v>
      </x:c>
      <x:c r="C4623" s="7" t="str">
        <x:v>sample</x:v>
      </x:c>
      <x:c r="D4623" s="7" t="str">
        <x:v>RAE-S-031</x:v>
      </x:c>
      <x:c r="E4623" s="7" t="str">
        <x:v>Sample Ledger!K37</x:v>
      </x:c>
      <x:c r="F4623" s="7" t="str">
        <x:f>'Sample Ledger'!K37</x:f>
        <x:v>OPEN</x:v>
      </x:c>
    </x:row>
    <x:row r="4624">
      <x:c r="B4624" s="7" t="str">
        <x:v>PHY-4618</x:v>
      </x:c>
      <x:c r="C4624" s="7" t="str">
        <x:v>sample</x:v>
      </x:c>
      <x:c r="D4624" s="7" t="str">
        <x:v>RAE-S-032</x:v>
      </x:c>
      <x:c r="E4624" s="7" t="str">
        <x:v>Sample Ledger!K38</x:v>
      </x:c>
      <x:c r="F4624" s="7" t="str">
        <x:f>'Sample Ledger'!K38</x:f>
        <x:v>OPEN</x:v>
      </x:c>
    </x:row>
    <x:row r="4625">
      <x:c r="B4625" s="7" t="str">
        <x:v>PHY-4619</x:v>
      </x:c>
      <x:c r="C4625" s="7" t="str">
        <x:v>sample</x:v>
      </x:c>
      <x:c r="D4625" s="7" t="str">
        <x:v>RAE-S-033</x:v>
      </x:c>
      <x:c r="E4625" s="7" t="str">
        <x:v>Sample Ledger!K39</x:v>
      </x:c>
      <x:c r="F4625" s="7" t="str">
        <x:f>'Sample Ledger'!K39</x:f>
        <x:v>OPEN</x:v>
      </x:c>
    </x:row>
    <x:row r="4626">
      <x:c r="B4626" s="7" t="str">
        <x:v>PHY-4620</x:v>
      </x:c>
      <x:c r="C4626" s="7" t="str">
        <x:v>sample</x:v>
      </x:c>
      <x:c r="D4626" s="7" t="str">
        <x:v>RAE-S-034</x:v>
      </x:c>
      <x:c r="E4626" s="7" t="str">
        <x:v>Sample Ledger!K40</x:v>
      </x:c>
      <x:c r="F4626" s="7" t="str">
        <x:f>'Sample Ledger'!K40</x:f>
        <x:v>OPEN</x:v>
      </x:c>
    </x:row>
    <x:row r="4627">
      <x:c r="B4627" s="7" t="str">
        <x:v>PHY-4621</x:v>
      </x:c>
      <x:c r="C4627" s="7" t="str">
        <x:v>sample</x:v>
      </x:c>
      <x:c r="D4627" s="7" t="str">
        <x:v>RAE-S-035</x:v>
      </x:c>
      <x:c r="E4627" s="7" t="str">
        <x:v>Sample Ledger!K41</x:v>
      </x:c>
      <x:c r="F4627" s="7" t="str">
        <x:f>'Sample Ledger'!K41</x:f>
        <x:v>OPEN</x:v>
      </x:c>
    </x:row>
    <x:row r="4628">
      <x:c r="B4628" s="7" t="str">
        <x:v>PHY-4622</x:v>
      </x:c>
      <x:c r="C4628" s="7" t="str">
        <x:v>sample</x:v>
      </x:c>
      <x:c r="D4628" s="7" t="str">
        <x:v>RAE-S-036</x:v>
      </x:c>
      <x:c r="E4628" s="7" t="str">
        <x:v>Sample Ledger!K42</x:v>
      </x:c>
      <x:c r="F4628" s="7" t="str">
        <x:f>'Sample Ledger'!K42</x:f>
        <x:v>OPEN</x:v>
      </x:c>
    </x:row>
    <x:row r="4629">
      <x:c r="B4629" s="7" t="str">
        <x:v>PHY-4623</x:v>
      </x:c>
      <x:c r="C4629" s="7" t="str">
        <x:v>sample</x:v>
      </x:c>
      <x:c r="D4629" s="7" t="str">
        <x:v>RAE-S-037</x:v>
      </x:c>
      <x:c r="E4629" s="7" t="str">
        <x:v>Sample Ledger!K43</x:v>
      </x:c>
      <x:c r="F4629" s="7" t="str">
        <x:f>'Sample Ledger'!K43</x:f>
        <x:v>OPEN</x:v>
      </x:c>
    </x:row>
    <x:row r="4630">
      <x:c r="B4630" s="7" t="str">
        <x:v>PHY-4624</x:v>
      </x:c>
      <x:c r="C4630" s="7" t="str">
        <x:v>sample</x:v>
      </x:c>
      <x:c r="D4630" s="7" t="str">
        <x:v>RAE-S-038</x:v>
      </x:c>
      <x:c r="E4630" s="7" t="str">
        <x:v>Sample Ledger!K44</x:v>
      </x:c>
      <x:c r="F4630" s="7" t="str">
        <x:f>'Sample Ledger'!K44</x:f>
        <x:v>OPEN</x:v>
      </x:c>
    </x:row>
    <x:row r="4631">
      <x:c r="B4631" s="7" t="str">
        <x:v>PHY-4625</x:v>
      </x:c>
      <x:c r="C4631" s="7" t="str">
        <x:v>sample</x:v>
      </x:c>
      <x:c r="D4631" s="7" t="str">
        <x:v>RAE-S-039</x:v>
      </x:c>
      <x:c r="E4631" s="7" t="str">
        <x:v>Sample Ledger!K45</x:v>
      </x:c>
      <x:c r="F4631" s="7" t="str">
        <x:f>'Sample Ledger'!K45</x:f>
        <x:v>OPEN</x:v>
      </x:c>
    </x:row>
    <x:row r="4632">
      <x:c r="B4632" s="7" t="str">
        <x:v>PHY-4626</x:v>
      </x:c>
      <x:c r="C4632" s="7" t="str">
        <x:v>sample</x:v>
      </x:c>
      <x:c r="D4632" s="7" t="str">
        <x:v>RAE-S-040</x:v>
      </x:c>
      <x:c r="E4632" s="7" t="str">
        <x:v>Sample Ledger!K46</x:v>
      </x:c>
      <x:c r="F4632" s="7" t="str">
        <x:f>'Sample Ledger'!K46</x:f>
        <x:v>OPEN</x:v>
      </x:c>
    </x:row>
    <x:row r="4633">
      <x:c r="B4633" s="7" t="str">
        <x:v>PHY-4627</x:v>
      </x:c>
      <x:c r="C4633" s="7" t="str">
        <x:v>sample</x:v>
      </x:c>
      <x:c r="D4633" s="7" t="str">
        <x:v>RAE-S-041</x:v>
      </x:c>
      <x:c r="E4633" s="7" t="str">
        <x:v>Sample Ledger!K47</x:v>
      </x:c>
      <x:c r="F4633" s="7" t="str">
        <x:f>'Sample Ledger'!K47</x:f>
        <x:v>OPEN</x:v>
      </x:c>
    </x:row>
    <x:row r="4634">
      <x:c r="B4634" s="7" t="str">
        <x:v>PHY-4628</x:v>
      </x:c>
      <x:c r="C4634" s="7" t="str">
        <x:v>sample</x:v>
      </x:c>
      <x:c r="D4634" s="7" t="str">
        <x:v>RAE-S-042</x:v>
      </x:c>
      <x:c r="E4634" s="7" t="str">
        <x:v>Sample Ledger!K48</x:v>
      </x:c>
      <x:c r="F4634" s="7" t="str">
        <x:f>'Sample Ledger'!K48</x:f>
        <x:v>OPEN</x:v>
      </x:c>
    </x:row>
    <x:row r="4635">
      <x:c r="B4635" s="7" t="str">
        <x:v>PHY-4629</x:v>
      </x:c>
      <x:c r="C4635" s="7" t="str">
        <x:v>sample</x:v>
      </x:c>
      <x:c r="D4635" s="7" t="str">
        <x:v>RAE-S-043</x:v>
      </x:c>
      <x:c r="E4635" s="7" t="str">
        <x:v>Sample Ledger!K49</x:v>
      </x:c>
      <x:c r="F4635" s="7" t="str">
        <x:f>'Sample Ledger'!K49</x:f>
        <x:v>OPEN</x:v>
      </x:c>
    </x:row>
    <x:row r="4636">
      <x:c r="B4636" s="7" t="str">
        <x:v>PHY-4630</x:v>
      </x:c>
      <x:c r="C4636" s="7" t="str">
        <x:v>sample</x:v>
      </x:c>
      <x:c r="D4636" s="7" t="str">
        <x:v>RAE-S-044</x:v>
      </x:c>
      <x:c r="E4636" s="7" t="str">
        <x:v>Sample Ledger!K50</x:v>
      </x:c>
      <x:c r="F4636" s="7" t="str">
        <x:f>'Sample Ledger'!K50</x:f>
        <x:v>OPEN</x:v>
      </x:c>
    </x:row>
    <x:row r="4637">
      <x:c r="B4637" s="7" t="str">
        <x:v>PHY-4631</x:v>
      </x:c>
      <x:c r="C4637" s="7" t="str">
        <x:v>sample</x:v>
      </x:c>
      <x:c r="D4637" s="7" t="str">
        <x:v>RAE-S-045</x:v>
      </x:c>
      <x:c r="E4637" s="7" t="str">
        <x:v>Sample Ledger!K51</x:v>
      </x:c>
      <x:c r="F4637" s="7" t="str">
        <x:f>'Sample Ledger'!K51</x:f>
        <x:v>OPEN</x:v>
      </x:c>
    </x:row>
    <x:row r="4638">
      <x:c r="B4638" s="7" t="str">
        <x:v>PHY-4632</x:v>
      </x:c>
      <x:c r="C4638" s="7" t="str">
        <x:v>sample</x:v>
      </x:c>
      <x:c r="D4638" s="7" t="str">
        <x:v>RAE-S-046</x:v>
      </x:c>
      <x:c r="E4638" s="7" t="str">
        <x:v>Sample Ledger!K52</x:v>
      </x:c>
      <x:c r="F4638" s="7" t="str">
        <x:f>'Sample Ledger'!K52</x:f>
        <x:v>OPEN</x:v>
      </x:c>
    </x:row>
    <x:row r="4639">
      <x:c r="B4639" s="7" t="str">
        <x:v>PHY-4633</x:v>
      </x:c>
      <x:c r="C4639" s="7" t="str">
        <x:v>sample</x:v>
      </x:c>
      <x:c r="D4639" s="7" t="str">
        <x:v>RAE-S-047</x:v>
      </x:c>
      <x:c r="E4639" s="7" t="str">
        <x:v>Sample Ledger!K53</x:v>
      </x:c>
      <x:c r="F4639" s="7" t="str">
        <x:f>'Sample Ledger'!K53</x:f>
        <x:v>OPEN</x:v>
      </x:c>
    </x:row>
    <x:row r="4640">
      <x:c r="B4640" s="7" t="str">
        <x:v>PHY-4634</x:v>
      </x:c>
      <x:c r="C4640" s="7" t="str">
        <x:v>sample</x:v>
      </x:c>
      <x:c r="D4640" s="7" t="str">
        <x:v>RAE-S-048</x:v>
      </x:c>
      <x:c r="E4640" s="7" t="str">
        <x:v>Sample Ledger!K54</x:v>
      </x:c>
      <x:c r="F4640" s="7" t="str">
        <x:f>'Sample Ledger'!K54</x:f>
        <x:v>OPEN</x:v>
      </x:c>
    </x:row>
    <x:row r="4641">
      <x:c r="B4641" s="7" t="str">
        <x:v>PHY-4635</x:v>
      </x:c>
      <x:c r="C4641" s="7" t="str">
        <x:v>sample</x:v>
      </x:c>
      <x:c r="D4641" s="7" t="str">
        <x:v>RAE-S-049</x:v>
      </x:c>
      <x:c r="E4641" s="7" t="str">
        <x:v>Sample Ledger!K55</x:v>
      </x:c>
      <x:c r="F4641" s="7" t="str">
        <x:f>'Sample Ledger'!K55</x:f>
        <x:v>OPEN</x:v>
      </x:c>
    </x:row>
    <x:row r="4642">
      <x:c r="B4642" s="7" t="str">
        <x:v>PHY-4636</x:v>
      </x:c>
      <x:c r="C4642" s="7" t="str">
        <x:v>sample</x:v>
      </x:c>
      <x:c r="D4642" s="7" t="str">
        <x:v>RAE-S-050</x:v>
      </x:c>
      <x:c r="E4642" s="7" t="str">
        <x:v>Sample Ledger!K56</x:v>
      </x:c>
      <x:c r="F4642" s="7" t="str">
        <x:f>'Sample Ledger'!K56</x:f>
        <x:v>OPEN</x:v>
      </x:c>
    </x:row>
    <x:row r="4643">
      <x:c r="B4643" s="7" t="str">
        <x:v>PHY-4637</x:v>
      </x:c>
      <x:c r="C4643" s="7" t="str">
        <x:v>sample</x:v>
      </x:c>
      <x:c r="D4643" s="7" t="str">
        <x:v>RAE-S-051</x:v>
      </x:c>
      <x:c r="E4643" s="7" t="str">
        <x:v>Sample Ledger!K57</x:v>
      </x:c>
      <x:c r="F4643" s="7" t="str">
        <x:f>'Sample Ledger'!K57</x:f>
        <x:v>OPEN</x:v>
      </x:c>
    </x:row>
    <x:row r="4644">
      <x:c r="B4644" s="7" t="str">
        <x:v>PHY-4638</x:v>
      </x:c>
      <x:c r="C4644" s="7" t="str">
        <x:v>sample</x:v>
      </x:c>
      <x:c r="D4644" s="7" t="str">
        <x:v>RAE-S-052</x:v>
      </x:c>
      <x:c r="E4644" s="7" t="str">
        <x:v>Sample Ledger!K58</x:v>
      </x:c>
      <x:c r="F4644" s="7" t="str">
        <x:f>'Sample Ledger'!K58</x:f>
        <x:v>OPEN</x:v>
      </x:c>
    </x:row>
    <x:row r="4645">
      <x:c r="B4645" s="7" t="str">
        <x:v>PHY-4639</x:v>
      </x:c>
      <x:c r="C4645" s="7" t="str">
        <x:v>sample</x:v>
      </x:c>
      <x:c r="D4645" s="7" t="str">
        <x:v>RAE-S-053</x:v>
      </x:c>
      <x:c r="E4645" s="7" t="str">
        <x:v>Sample Ledger!K59</x:v>
      </x:c>
      <x:c r="F4645" s="7" t="str">
        <x:f>'Sample Ledger'!K59</x:f>
        <x:v>OPEN</x:v>
      </x:c>
    </x:row>
    <x:row r="4646">
      <x:c r="B4646" s="7" t="str">
        <x:v>PHY-4640</x:v>
      </x:c>
      <x:c r="C4646" s="7" t="str">
        <x:v>sample</x:v>
      </x:c>
      <x:c r="D4646" s="7" t="str">
        <x:v>RAE-S-054</x:v>
      </x:c>
      <x:c r="E4646" s="7" t="str">
        <x:v>Sample Ledger!K60</x:v>
      </x:c>
      <x:c r="F4646" s="7" t="str">
        <x:f>'Sample Ledger'!K60</x:f>
        <x:v>OPEN</x:v>
      </x:c>
    </x:row>
    <x:row r="4647">
      <x:c r="B4647" s="7" t="str">
        <x:v>PHY-4641</x:v>
      </x:c>
      <x:c r="C4647" s="7" t="str">
        <x:v>sample</x:v>
      </x:c>
      <x:c r="D4647" s="7" t="str">
        <x:v>RAE-S-055</x:v>
      </x:c>
      <x:c r="E4647" s="7" t="str">
        <x:v>Sample Ledger!K61</x:v>
      </x:c>
      <x:c r="F4647" s="7" t="str">
        <x:f>'Sample Ledger'!K61</x:f>
        <x:v>OPEN</x:v>
      </x:c>
    </x:row>
    <x:row r="4648">
      <x:c r="B4648" s="7" t="str">
        <x:v>PHY-4642</x:v>
      </x:c>
      <x:c r="C4648" s="7" t="str">
        <x:v>sample</x:v>
      </x:c>
      <x:c r="D4648" s="7" t="str">
        <x:v>RAE-S-056</x:v>
      </x:c>
      <x:c r="E4648" s="7" t="str">
        <x:v>Sample Ledger!K62</x:v>
      </x:c>
      <x:c r="F4648" s="7" t="str">
        <x:f>'Sample Ledger'!K62</x:f>
        <x:v>OPEN</x:v>
      </x:c>
    </x:row>
    <x:row r="4649">
      <x:c r="B4649" s="7" t="str">
        <x:v>PHY-4643</x:v>
      </x:c>
      <x:c r="C4649" s="7" t="str">
        <x:v>sample</x:v>
      </x:c>
      <x:c r="D4649" s="7" t="str">
        <x:v>RAE-S-057</x:v>
      </x:c>
      <x:c r="E4649" s="7" t="str">
        <x:v>Sample Ledger!K63</x:v>
      </x:c>
      <x:c r="F4649" s="7" t="str">
        <x:f>'Sample Ledger'!K63</x:f>
        <x:v>OPEN</x:v>
      </x:c>
    </x:row>
    <x:row r="4650">
      <x:c r="B4650" s="7" t="str">
        <x:v>PHY-4644</x:v>
      </x:c>
      <x:c r="C4650" s="7" t="str">
        <x:v>sample</x:v>
      </x:c>
      <x:c r="D4650" s="7" t="str">
        <x:v>RAE-S-058</x:v>
      </x:c>
      <x:c r="E4650" s="7" t="str">
        <x:v>Sample Ledger!K64</x:v>
      </x:c>
      <x:c r="F4650" s="7" t="str">
        <x:f>'Sample Ledger'!K64</x:f>
        <x:v>OPEN</x:v>
      </x:c>
    </x:row>
    <x:row r="4651">
      <x:c r="B4651" s="7" t="str">
        <x:v>PHY-4645</x:v>
      </x:c>
      <x:c r="C4651" s="7" t="str">
        <x:v>sample</x:v>
      </x:c>
      <x:c r="D4651" s="7" t="str">
        <x:v>RAE-S-059</x:v>
      </x:c>
      <x:c r="E4651" s="7" t="str">
        <x:v>Sample Ledger!K65</x:v>
      </x:c>
      <x:c r="F4651" s="7" t="str">
        <x:f>'Sample Ledger'!K65</x:f>
        <x:v>OPEN</x:v>
      </x:c>
    </x:row>
    <x:row r="4652">
      <x:c r="B4652" s="7" t="str">
        <x:v>PHY-4646</x:v>
      </x:c>
      <x:c r="C4652" s="7" t="str">
        <x:v>sample</x:v>
      </x:c>
      <x:c r="D4652" s="7" t="str">
        <x:v>RAE-S-060</x:v>
      </x:c>
      <x:c r="E4652" s="7" t="str">
        <x:v>Sample Ledger!K66</x:v>
      </x:c>
      <x:c r="F4652" s="7" t="str">
        <x:f>'Sample Ledger'!K66</x:f>
        <x:v>OPEN</x:v>
      </x:c>
    </x:row>
    <x:row r="4653">
      <x:c r="B4653" s="7" t="str">
        <x:v>PHY-4647</x:v>
      </x:c>
      <x:c r="C4653" s="7" t="str">
        <x:v>sample</x:v>
      </x:c>
      <x:c r="D4653" s="7" t="str">
        <x:v>RAE-S-061</x:v>
      </x:c>
      <x:c r="E4653" s="7" t="str">
        <x:v>Sample Ledger!K67</x:v>
      </x:c>
      <x:c r="F4653" s="7" t="str">
        <x:f>'Sample Ledger'!K67</x:f>
        <x:v>OPEN</x:v>
      </x:c>
    </x:row>
    <x:row r="4654">
      <x:c r="B4654" s="7" t="str">
        <x:v>PHY-4648</x:v>
      </x:c>
      <x:c r="C4654" s="7" t="str">
        <x:v>sample</x:v>
      </x:c>
      <x:c r="D4654" s="7" t="str">
        <x:v>RAE-S-062</x:v>
      </x:c>
      <x:c r="E4654" s="7" t="str">
        <x:v>Sample Ledger!K68</x:v>
      </x:c>
      <x:c r="F4654" s="7" t="str">
        <x:f>'Sample Ledger'!K68</x:f>
        <x:v>OPEN</x:v>
      </x:c>
    </x:row>
    <x:row r="4655">
      <x:c r="B4655" s="7" t="str">
        <x:v>PHY-4649</x:v>
      </x:c>
      <x:c r="C4655" s="7" t="str">
        <x:v>sample</x:v>
      </x:c>
      <x:c r="D4655" s="7" t="str">
        <x:v>RAE-S-063</x:v>
      </x:c>
      <x:c r="E4655" s="7" t="str">
        <x:v>Sample Ledger!K69</x:v>
      </x:c>
      <x:c r="F4655" s="7" t="str">
        <x:f>'Sample Ledger'!K69</x:f>
        <x:v>OPEN</x:v>
      </x:c>
    </x:row>
    <x:row r="4656">
      <x:c r="B4656" s="7" t="str">
        <x:v>PHY-4650</x:v>
      </x:c>
      <x:c r="C4656" s="7" t="str">
        <x:v>sample</x:v>
      </x:c>
      <x:c r="D4656" s="7" t="str">
        <x:v>RAE-S-064</x:v>
      </x:c>
      <x:c r="E4656" s="7" t="str">
        <x:v>Sample Ledger!K70</x:v>
      </x:c>
      <x:c r="F4656" s="7" t="str">
        <x:f>'Sample Ledger'!K70</x:f>
        <x:v>OPEN</x:v>
      </x:c>
    </x:row>
    <x:row r="4657">
      <x:c r="B4657" s="7" t="str">
        <x:v>PHY-4651</x:v>
      </x:c>
      <x:c r="C4657" s="7" t="str">
        <x:v>sample</x:v>
      </x:c>
      <x:c r="D4657" s="7" t="str">
        <x:v>RAE-S-065</x:v>
      </x:c>
      <x:c r="E4657" s="7" t="str">
        <x:v>Sample Ledger!K71</x:v>
      </x:c>
      <x:c r="F4657" s="7" t="str">
        <x:f>'Sample Ledger'!K71</x:f>
        <x:v>OPEN</x:v>
      </x:c>
    </x:row>
    <x:row r="4658">
      <x:c r="B4658" s="7" t="str">
        <x:v>PHY-4652</x:v>
      </x:c>
      <x:c r="C4658" s="7" t="str">
        <x:v>sample</x:v>
      </x:c>
      <x:c r="D4658" s="7" t="str">
        <x:v>RAE-S-066</x:v>
      </x:c>
      <x:c r="E4658" s="7" t="str">
        <x:v>Sample Ledger!K72</x:v>
      </x:c>
      <x:c r="F4658" s="7" t="str">
        <x:f>'Sample Ledger'!K72</x:f>
        <x:v>OPEN</x:v>
      </x:c>
    </x:row>
    <x:row r="4659">
      <x:c r="B4659" s="7" t="str">
        <x:v>PHY-4653</x:v>
      </x:c>
      <x:c r="C4659" s="7" t="str">
        <x:v>sample</x:v>
      </x:c>
      <x:c r="D4659" s="7" t="str">
        <x:v>RAE-S-067</x:v>
      </x:c>
      <x:c r="E4659" s="7" t="str">
        <x:v>Sample Ledger!K73</x:v>
      </x:c>
      <x:c r="F4659" s="7" t="str">
        <x:f>'Sample Ledger'!K73</x:f>
        <x:v>OPEN</x:v>
      </x:c>
    </x:row>
    <x:row r="4660">
      <x:c r="B4660" s="7" t="str">
        <x:v>PHY-4654</x:v>
      </x:c>
      <x:c r="C4660" s="7" t="str">
        <x:v>sample</x:v>
      </x:c>
      <x:c r="D4660" s="7" t="str">
        <x:v>RAE-S-068</x:v>
      </x:c>
      <x:c r="E4660" s="7" t="str">
        <x:v>Sample Ledger!K74</x:v>
      </x:c>
      <x:c r="F4660" s="7" t="str">
        <x:f>'Sample Ledger'!K74</x:f>
        <x:v>OPEN</x:v>
      </x:c>
    </x:row>
    <x:row r="4661">
      <x:c r="B4661" s="7" t="str">
        <x:v>PHY-4655</x:v>
      </x:c>
      <x:c r="C4661" s="7" t="str">
        <x:v>sample</x:v>
      </x:c>
      <x:c r="D4661" s="7" t="str">
        <x:v>RAE-S-069</x:v>
      </x:c>
      <x:c r="E4661" s="7" t="str">
        <x:v>Sample Ledger!K75</x:v>
      </x:c>
      <x:c r="F4661" s="7" t="str">
        <x:f>'Sample Ledger'!K75</x:f>
        <x:v>OPEN</x:v>
      </x:c>
    </x:row>
    <x:row r="4662">
      <x:c r="B4662" s="7" t="str">
        <x:v>PHY-4656</x:v>
      </x:c>
      <x:c r="C4662" s="7" t="str">
        <x:v>sample</x:v>
      </x:c>
      <x:c r="D4662" s="7" t="str">
        <x:v>RAE-S-070</x:v>
      </x:c>
      <x:c r="E4662" s="7" t="str">
        <x:v>Sample Ledger!K76</x:v>
      </x:c>
      <x:c r="F4662" s="7" t="str">
        <x:f>'Sample Ledger'!K76</x:f>
        <x:v>OPEN</x:v>
      </x:c>
    </x:row>
    <x:row r="4663">
      <x:c r="B4663" s="7" t="str">
        <x:v>PHY-4657</x:v>
      </x:c>
      <x:c r="C4663" s="7" t="str">
        <x:v>sample</x:v>
      </x:c>
      <x:c r="D4663" s="7" t="str">
        <x:v>RAE-S-071</x:v>
      </x:c>
      <x:c r="E4663" s="7" t="str">
        <x:v>Sample Ledger!K77</x:v>
      </x:c>
      <x:c r="F4663" s="7" t="str">
        <x:f>'Sample Ledger'!K77</x:f>
        <x:v>OPEN</x:v>
      </x:c>
    </x:row>
    <x:row r="4664">
      <x:c r="B4664" s="7" t="str">
        <x:v>PHY-4658</x:v>
      </x:c>
      <x:c r="C4664" s="7" t="str">
        <x:v>sample</x:v>
      </x:c>
      <x:c r="D4664" s="7" t="str">
        <x:v>RAE-S-072</x:v>
      </x:c>
      <x:c r="E4664" s="7" t="str">
        <x:v>Sample Ledger!K78</x:v>
      </x:c>
      <x:c r="F4664" s="7" t="str">
        <x:f>'Sample Ledger'!K78</x:f>
        <x:v>OPEN</x:v>
      </x:c>
    </x:row>
    <x:row r="4665">
      <x:c r="B4665" s="7" t="str">
        <x:v>PHY-4659</x:v>
      </x:c>
      <x:c r="C4665" s="7" t="str">
        <x:v>sample</x:v>
      </x:c>
      <x:c r="D4665" s="7" t="str">
        <x:v>RAE-S-073</x:v>
      </x:c>
      <x:c r="E4665" s="7" t="str">
        <x:v>Sample Ledger!K79</x:v>
      </x:c>
      <x:c r="F4665" s="7" t="str">
        <x:f>'Sample Ledger'!K79</x:f>
        <x:v>OPEN</x:v>
      </x:c>
    </x:row>
    <x:row r="4666">
      <x:c r="B4666" s="7" t="str">
        <x:v>PHY-4660</x:v>
      </x:c>
      <x:c r="C4666" s="7" t="str">
        <x:v>sample</x:v>
      </x:c>
      <x:c r="D4666" s="7" t="str">
        <x:v>RAE-S-074</x:v>
      </x:c>
      <x:c r="E4666" s="7" t="str">
        <x:v>Sample Ledger!K80</x:v>
      </x:c>
      <x:c r="F4666" s="7" t="str">
        <x:f>'Sample Ledger'!K80</x:f>
        <x:v>OPEN</x:v>
      </x:c>
    </x:row>
    <x:row r="4667">
      <x:c r="B4667" s="7" t="str">
        <x:v>PHY-4661</x:v>
      </x:c>
      <x:c r="C4667" s="7" t="str">
        <x:v>sample</x:v>
      </x:c>
      <x:c r="D4667" s="7" t="str">
        <x:v>RAE-S-075</x:v>
      </x:c>
      <x:c r="E4667" s="7" t="str">
        <x:v>Sample Ledger!K81</x:v>
      </x:c>
      <x:c r="F4667" s="7" t="str">
        <x:f>'Sample Ledger'!K81</x:f>
        <x:v>OPEN</x:v>
      </x:c>
    </x:row>
    <x:row r="4668">
      <x:c r="B4668" s="7" t="str">
        <x:v>PHY-4662</x:v>
      </x:c>
      <x:c r="C4668" s="7" t="str">
        <x:v>sample</x:v>
      </x:c>
      <x:c r="D4668" s="7" t="str">
        <x:v>RAE-S-076</x:v>
      </x:c>
      <x:c r="E4668" s="7" t="str">
        <x:v>Sample Ledger!K82</x:v>
      </x:c>
      <x:c r="F4668" s="7" t="str">
        <x:f>'Sample Ledger'!K82</x:f>
        <x:v>OPEN</x:v>
      </x:c>
    </x:row>
    <x:row r="4669">
      <x:c r="B4669" s="7" t="str">
        <x:v>PHY-4663</x:v>
      </x:c>
      <x:c r="C4669" s="7" t="str">
        <x:v>sample</x:v>
      </x:c>
      <x:c r="D4669" s="7" t="str">
        <x:v>RAE-S-077</x:v>
      </x:c>
      <x:c r="E4669" s="7" t="str">
        <x:v>Sample Ledger!K83</x:v>
      </x:c>
      <x:c r="F4669" s="7" t="str">
        <x:f>'Sample Ledger'!K83</x:f>
        <x:v>OPEN</x:v>
      </x:c>
    </x:row>
    <x:row r="4670">
      <x:c r="B4670" s="7" t="str">
        <x:v>PHY-4664</x:v>
      </x:c>
      <x:c r="C4670" s="7" t="str">
        <x:v>sample</x:v>
      </x:c>
      <x:c r="D4670" s="7" t="str">
        <x:v>RAE-S-078</x:v>
      </x:c>
      <x:c r="E4670" s="7" t="str">
        <x:v>Sample Ledger!K84</x:v>
      </x:c>
      <x:c r="F4670" s="7" t="str">
        <x:f>'Sample Ledger'!K84</x:f>
        <x:v>OPEN</x:v>
      </x:c>
    </x:row>
    <x:row r="4671">
      <x:c r="B4671" s="7" t="str">
        <x:v>PHY-4665</x:v>
      </x:c>
      <x:c r="C4671" s="7" t="str">
        <x:v>sample</x:v>
      </x:c>
      <x:c r="D4671" s="7" t="str">
        <x:v>RAE-S-079</x:v>
      </x:c>
      <x:c r="E4671" s="7" t="str">
        <x:v>Sample Ledger!K85</x:v>
      </x:c>
      <x:c r="F4671" s="7" t="str">
        <x:f>'Sample Ledger'!K85</x:f>
        <x:v>OPEN</x:v>
      </x:c>
    </x:row>
    <x:row r="4672">
      <x:c r="B4672" s="7" t="str">
        <x:v>PHY-4666</x:v>
      </x:c>
      <x:c r="C4672" s="7" t="str">
        <x:v>sample</x:v>
      </x:c>
      <x:c r="D4672" s="7" t="str">
        <x:v>RAE-S-080</x:v>
      </x:c>
      <x:c r="E4672" s="7" t="str">
        <x:v>Sample Ledger!K86</x:v>
      </x:c>
      <x:c r="F4672" s="7" t="str">
        <x:f>'Sample Ledger'!K86</x:f>
        <x:v>OPEN</x:v>
      </x:c>
    </x:row>
    <x:row r="4673">
      <x:c r="B4673" s="7" t="str">
        <x:v>PHY-4667</x:v>
      </x:c>
      <x:c r="C4673" s="7" t="str">
        <x:v>sample</x:v>
      </x:c>
      <x:c r="D4673" s="7" t="str">
        <x:v>RAE-S-081</x:v>
      </x:c>
      <x:c r="E4673" s="7" t="str">
        <x:v>Sample Ledger!K87</x:v>
      </x:c>
      <x:c r="F4673" s="7" t="str">
        <x:f>'Sample Ledger'!K87</x:f>
        <x:v>OPEN</x:v>
      </x:c>
    </x:row>
    <x:row r="4674">
      <x:c r="B4674" s="7" t="str">
        <x:v>PHY-4668</x:v>
      </x:c>
      <x:c r="C4674" s="7" t="str">
        <x:v>sample</x:v>
      </x:c>
      <x:c r="D4674" s="7" t="str">
        <x:v>RAE-S-082</x:v>
      </x:c>
      <x:c r="E4674" s="7" t="str">
        <x:v>Sample Ledger!K88</x:v>
      </x:c>
      <x:c r="F4674" s="7" t="str">
        <x:f>'Sample Ledger'!K88</x:f>
        <x:v>OPEN</x:v>
      </x:c>
    </x:row>
    <x:row r="4675">
      <x:c r="B4675" s="7" t="str">
        <x:v>PHY-4669</x:v>
      </x:c>
      <x:c r="C4675" s="7" t="str">
        <x:v>sample</x:v>
      </x:c>
      <x:c r="D4675" s="7" t="str">
        <x:v>RAE-S-083</x:v>
      </x:c>
      <x:c r="E4675" s="7" t="str">
        <x:v>Sample Ledger!K89</x:v>
      </x:c>
      <x:c r="F4675" s="7" t="str">
        <x:f>'Sample Ledger'!K89</x:f>
        <x:v>OPEN</x:v>
      </x:c>
    </x:row>
    <x:row r="4676">
      <x:c r="B4676" s="7" t="str">
        <x:v>PHY-4670</x:v>
      </x:c>
      <x:c r="C4676" s="7" t="str">
        <x:v>sample</x:v>
      </x:c>
      <x:c r="D4676" s="7" t="str">
        <x:v>RAE-S-084</x:v>
      </x:c>
      <x:c r="E4676" s="7" t="str">
        <x:v>Sample Ledger!K90</x:v>
      </x:c>
      <x:c r="F4676" s="7" t="str">
        <x:f>'Sample Ledger'!K90</x:f>
        <x:v>OPEN</x:v>
      </x:c>
    </x:row>
    <x:row r="4677">
      <x:c r="B4677" s="7" t="str">
        <x:v>PHY-4671</x:v>
      </x:c>
      <x:c r="C4677" s="7" t="str">
        <x:v>sample</x:v>
      </x:c>
      <x:c r="D4677" s="7" t="str">
        <x:v>RAE-S-085</x:v>
      </x:c>
      <x:c r="E4677" s="7" t="str">
        <x:v>Sample Ledger!K91</x:v>
      </x:c>
      <x:c r="F4677" s="7" t="str">
        <x:f>'Sample Ledger'!K91</x:f>
        <x:v>OPEN</x:v>
      </x:c>
    </x:row>
    <x:row r="4678">
      <x:c r="B4678" s="7" t="str">
        <x:v>PHY-4672</x:v>
      </x:c>
      <x:c r="C4678" s="7" t="str">
        <x:v>sample</x:v>
      </x:c>
      <x:c r="D4678" s="7" t="str">
        <x:v>RAE-S-086</x:v>
      </x:c>
      <x:c r="E4678" s="7" t="str">
        <x:v>Sample Ledger!K92</x:v>
      </x:c>
      <x:c r="F4678" s="7" t="str">
        <x:f>'Sample Ledger'!K92</x:f>
        <x:v>OPEN</x:v>
      </x:c>
    </x:row>
    <x:row r="4679">
      <x:c r="B4679" s="7" t="str">
        <x:v>PHY-4673</x:v>
      </x:c>
      <x:c r="C4679" s="7" t="str">
        <x:v>sample</x:v>
      </x:c>
      <x:c r="D4679" s="7" t="str">
        <x:v>RAE-S-087</x:v>
      </x:c>
      <x:c r="E4679" s="7" t="str">
        <x:v>Sample Ledger!K93</x:v>
      </x:c>
      <x:c r="F4679" s="7" t="str">
        <x:f>'Sample Ledger'!K93</x:f>
        <x:v>OPEN</x:v>
      </x:c>
    </x:row>
    <x:row r="4680">
      <x:c r="B4680" s="7" t="str">
        <x:v>PHY-4674</x:v>
      </x:c>
      <x:c r="C4680" s="7" t="str">
        <x:v>sample</x:v>
      </x:c>
      <x:c r="D4680" s="7" t="str">
        <x:v>RAE-S-088</x:v>
      </x:c>
      <x:c r="E4680" s="7" t="str">
        <x:v>Sample Ledger!K94</x:v>
      </x:c>
      <x:c r="F4680" s="7" t="str">
        <x:f>'Sample Ledger'!K94</x:f>
        <x:v>OPEN</x:v>
      </x:c>
    </x:row>
    <x:row r="4681">
      <x:c r="B4681" s="7" t="str">
        <x:v>PHY-4675</x:v>
      </x:c>
      <x:c r="C4681" s="7" t="str">
        <x:v>sample</x:v>
      </x:c>
      <x:c r="D4681" s="7" t="str">
        <x:v>RAE-S-089</x:v>
      </x:c>
      <x:c r="E4681" s="7" t="str">
        <x:v>Sample Ledger!K95</x:v>
      </x:c>
      <x:c r="F4681" s="7" t="str">
        <x:f>'Sample Ledger'!K95</x:f>
        <x:v>OPEN</x:v>
      </x:c>
    </x:row>
    <x:row r="4682">
      <x:c r="B4682" s="7" t="str">
        <x:v>PHY-4676</x:v>
      </x:c>
      <x:c r="C4682" s="7" t="str">
        <x:v>sample</x:v>
      </x:c>
      <x:c r="D4682" s="7" t="str">
        <x:v>RAE-S-090</x:v>
      </x:c>
      <x:c r="E4682" s="7" t="str">
        <x:v>Sample Ledger!K96</x:v>
      </x:c>
      <x:c r="F4682" s="7" t="str">
        <x:f>'Sample Ledger'!K96</x:f>
        <x:v>OPEN</x:v>
      </x:c>
    </x:row>
    <x:row r="4683">
      <x:c r="B4683" s="7" t="str">
        <x:v>PHY-4677</x:v>
      </x:c>
      <x:c r="C4683" s="7" t="str">
        <x:v>sample</x:v>
      </x:c>
      <x:c r="D4683" s="7" t="str">
        <x:v>RAE-S-091</x:v>
      </x:c>
      <x:c r="E4683" s="7" t="str">
        <x:v>Sample Ledger!K97</x:v>
      </x:c>
      <x:c r="F4683" s="7" t="str">
        <x:f>'Sample Ledger'!K97</x:f>
        <x:v>OPEN</x:v>
      </x:c>
    </x:row>
    <x:row r="4684">
      <x:c r="B4684" s="7" t="str">
        <x:v>PHY-4678</x:v>
      </x:c>
      <x:c r="C4684" s="7" t="str">
        <x:v>sample</x:v>
      </x:c>
      <x:c r="D4684" s="7" t="str">
        <x:v>RAE-S-092</x:v>
      </x:c>
      <x:c r="E4684" s="7" t="str">
        <x:v>Sample Ledger!K98</x:v>
      </x:c>
      <x:c r="F4684" s="7" t="str">
        <x:f>'Sample Ledger'!K98</x:f>
        <x:v>OPEN</x:v>
      </x:c>
    </x:row>
    <x:row r="4685">
      <x:c r="B4685" s="7" t="str">
        <x:v>PHY-4679</x:v>
      </x:c>
      <x:c r="C4685" s="7" t="str">
        <x:v>sample</x:v>
      </x:c>
      <x:c r="D4685" s="7" t="str">
        <x:v>RAE-S-093</x:v>
      </x:c>
      <x:c r="E4685" s="7" t="str">
        <x:v>Sample Ledger!K99</x:v>
      </x:c>
      <x:c r="F4685" s="7" t="str">
        <x:f>'Sample Ledger'!K99</x:f>
        <x:v>OPEN</x:v>
      </x:c>
    </x:row>
    <x:row r="4686">
      <x:c r="B4686" s="7" t="str">
        <x:v>PHY-4680</x:v>
      </x:c>
      <x:c r="C4686" s="7" t="str">
        <x:v>sample</x:v>
      </x:c>
      <x:c r="D4686" s="7" t="str">
        <x:v>RAE-S-094</x:v>
      </x:c>
      <x:c r="E4686" s="7" t="str">
        <x:v>Sample Ledger!K100</x:v>
      </x:c>
      <x:c r="F4686" s="7" t="str">
        <x:f>'Sample Ledger'!K100</x:f>
        <x:v>OPEN</x:v>
      </x:c>
    </x:row>
    <x:row r="4687">
      <x:c r="B4687" s="7" t="str">
        <x:v>PHY-4681</x:v>
      </x:c>
      <x:c r="C4687" s="7" t="str">
        <x:v>sample</x:v>
      </x:c>
      <x:c r="D4687" s="7" t="str">
        <x:v>RAE-S-095</x:v>
      </x:c>
      <x:c r="E4687" s="7" t="str">
        <x:v>Sample Ledger!K101</x:v>
      </x:c>
      <x:c r="F4687" s="7" t="str">
        <x:f>'Sample Ledger'!K101</x:f>
        <x:v>OPEN</x:v>
      </x:c>
    </x:row>
    <x:row r="4688">
      <x:c r="B4688" s="7" t="str">
        <x:v>PHY-4682</x:v>
      </x:c>
      <x:c r="C4688" s="7" t="str">
        <x:v>sample</x:v>
      </x:c>
      <x:c r="D4688" s="7" t="str">
        <x:v>RAE-S-096</x:v>
      </x:c>
      <x:c r="E4688" s="7" t="str">
        <x:v>Sample Ledger!K102</x:v>
      </x:c>
      <x:c r="F4688" s="7" t="str">
        <x:f>'Sample Ledger'!K102</x:f>
        <x:v>OPEN</x:v>
      </x:c>
    </x:row>
    <x:row r="4689">
      <x:c r="B4689" s="7" t="str">
        <x:v>PHY-4683</x:v>
      </x:c>
      <x:c r="C4689" s="7" t="str">
        <x:v>sample</x:v>
      </x:c>
      <x:c r="D4689" s="7" t="str">
        <x:v>RAE-S-097</x:v>
      </x:c>
      <x:c r="E4689" s="7" t="str">
        <x:v>Sample Ledger!K103</x:v>
      </x:c>
      <x:c r="F4689" s="7" t="str">
        <x:f>'Sample Ledger'!K103</x:f>
        <x:v>OPEN</x:v>
      </x:c>
    </x:row>
    <x:row r="4690">
      <x:c r="B4690" s="7" t="str">
        <x:v>PHY-4684</x:v>
      </x:c>
      <x:c r="C4690" s="7" t="str">
        <x:v>sample</x:v>
      </x:c>
      <x:c r="D4690" s="7" t="str">
        <x:v>RAE-S-098</x:v>
      </x:c>
      <x:c r="E4690" s="7" t="str">
        <x:v>Sample Ledger!K104</x:v>
      </x:c>
      <x:c r="F4690" s="7" t="str">
        <x:f>'Sample Ledger'!K104</x:f>
        <x:v>OPEN</x:v>
      </x:c>
    </x:row>
    <x:row r="4691">
      <x:c r="B4691" s="7" t="str">
        <x:v>PHY-4685</x:v>
      </x:c>
      <x:c r="C4691" s="7" t="str">
        <x:v>sample</x:v>
      </x:c>
      <x:c r="D4691" s="7" t="str">
        <x:v>RAE-S-099</x:v>
      </x:c>
      <x:c r="E4691" s="7" t="str">
        <x:v>Sample Ledger!K105</x:v>
      </x:c>
      <x:c r="F4691" s="7" t="str">
        <x:f>'Sample Ledger'!K105</x:f>
        <x:v>OPEN</x:v>
      </x:c>
    </x:row>
    <x:row r="4692">
      <x:c r="B4692" s="7" t="str">
        <x:v>PHY-4686</x:v>
      </x:c>
      <x:c r="C4692" s="7" t="str">
        <x:v>sample</x:v>
      </x:c>
      <x:c r="D4692" s="7" t="str">
        <x:v>RAE-S-100</x:v>
      </x:c>
      <x:c r="E4692" s="7" t="str">
        <x:v>Sample Ledger!K106</x:v>
      </x:c>
      <x:c r="F4692" s="7" t="str">
        <x:f>'Sample Ledger'!K106</x:f>
        <x:v>OPEN</x:v>
      </x:c>
    </x:row>
    <x:row r="4693">
      <x:c r="B4693" s="7" t="str">
        <x:v>PHY-4687</x:v>
      </x:c>
      <x:c r="C4693" s="7" t="str">
        <x:v>sample</x:v>
      </x:c>
      <x:c r="D4693" s="7" t="str">
        <x:v>RAE-S-101</x:v>
      </x:c>
      <x:c r="E4693" s="7" t="str">
        <x:v>Sample Ledger!K107</x:v>
      </x:c>
      <x:c r="F4693" s="7" t="str">
        <x:f>'Sample Ledger'!K107</x:f>
        <x:v>OPEN</x:v>
      </x:c>
    </x:row>
    <x:row r="4694">
      <x:c r="B4694" s="7" t="str">
        <x:v>PHY-4688</x:v>
      </x:c>
      <x:c r="C4694" s="7" t="str">
        <x:v>sample</x:v>
      </x:c>
      <x:c r="D4694" s="7" t="str">
        <x:v>RAE-S-102</x:v>
      </x:c>
      <x:c r="E4694" s="7" t="str">
        <x:v>Sample Ledger!K108</x:v>
      </x:c>
      <x:c r="F4694" s="7" t="str">
        <x:f>'Sample Ledger'!K108</x:f>
        <x:v>OPEN</x:v>
      </x:c>
    </x:row>
    <x:row r="4695">
      <x:c r="B4695" s="7" t="str">
        <x:v>PHY-4689</x:v>
      </x:c>
      <x:c r="C4695" s="7" t="str">
        <x:v>sample</x:v>
      </x:c>
      <x:c r="D4695" s="7" t="str">
        <x:v>RAE-S-103</x:v>
      </x:c>
      <x:c r="E4695" s="7" t="str">
        <x:v>Sample Ledger!K109</x:v>
      </x:c>
      <x:c r="F4695" s="7" t="str">
        <x:f>'Sample Ledger'!K109</x:f>
        <x:v>OPEN</x:v>
      </x:c>
    </x:row>
    <x:row r="4696">
      <x:c r="B4696" s="7" t="str">
        <x:v>PHY-4690</x:v>
      </x:c>
      <x:c r="C4696" s="7" t="str">
        <x:v>sample</x:v>
      </x:c>
      <x:c r="D4696" s="7" t="str">
        <x:v>RAE-S-104</x:v>
      </x:c>
      <x:c r="E4696" s="7" t="str">
        <x:v>Sample Ledger!K110</x:v>
      </x:c>
      <x:c r="F4696" s="7" t="str">
        <x:f>'Sample Ledger'!K110</x:f>
        <x:v>OPEN</x:v>
      </x:c>
    </x:row>
    <x:row r="4697">
      <x:c r="B4697" s="7" t="str">
        <x:v>PHY-4691</x:v>
      </x:c>
      <x:c r="C4697" s="7" t="str">
        <x:v>sample</x:v>
      </x:c>
      <x:c r="D4697" s="7" t="str">
        <x:v>RAE-S-105</x:v>
      </x:c>
      <x:c r="E4697" s="7" t="str">
        <x:v>Sample Ledger!K111</x:v>
      </x:c>
      <x:c r="F4697" s="7" t="str">
        <x:f>'Sample Ledger'!K111</x:f>
        <x:v>OPEN</x:v>
      </x:c>
    </x:row>
    <x:row r="4698">
      <x:c r="B4698" s="7" t="str">
        <x:v>PHY-4692</x:v>
      </x:c>
      <x:c r="C4698" s="7" t="str">
        <x:v>sample</x:v>
      </x:c>
      <x:c r="D4698" s="7" t="str">
        <x:v>RAE-S-106</x:v>
      </x:c>
      <x:c r="E4698" s="7" t="str">
        <x:v>Sample Ledger!K112</x:v>
      </x:c>
      <x:c r="F4698" s="7" t="str">
        <x:f>'Sample Ledger'!K112</x:f>
        <x:v>OPEN</x:v>
      </x:c>
    </x:row>
    <x:row r="4699">
      <x:c r="B4699" s="7" t="str">
        <x:v>PHY-4693</x:v>
      </x:c>
      <x:c r="C4699" s="7" t="str">
        <x:v>sample</x:v>
      </x:c>
      <x:c r="D4699" s="7" t="str">
        <x:v>RAE-S-107</x:v>
      </x:c>
      <x:c r="E4699" s="7" t="str">
        <x:v>Sample Ledger!K113</x:v>
      </x:c>
      <x:c r="F4699" s="7" t="str">
        <x:f>'Sample Ledger'!K113</x:f>
        <x:v>OPEN</x:v>
      </x:c>
    </x:row>
    <x:row r="4700">
      <x:c r="B4700" s="7" t="str">
        <x:v>PHY-4694</x:v>
      </x:c>
      <x:c r="C4700" s="7" t="str">
        <x:v>sample</x:v>
      </x:c>
      <x:c r="D4700" s="7" t="str">
        <x:v>RAE-S-108</x:v>
      </x:c>
      <x:c r="E4700" s="7" t="str">
        <x:v>Sample Ledger!K114</x:v>
      </x:c>
      <x:c r="F4700" s="7" t="str">
        <x:f>'Sample Ledger'!K114</x:f>
        <x:v>OPEN</x:v>
      </x:c>
    </x:row>
    <x:row r="4701">
      <x:c r="B4701" s="7" t="str">
        <x:v>PHY-4695</x:v>
      </x:c>
      <x:c r="C4701" s="7" t="str">
        <x:v>sample</x:v>
      </x:c>
      <x:c r="D4701" s="7" t="str">
        <x:v>RAE-S-109</x:v>
      </x:c>
      <x:c r="E4701" s="7" t="str">
        <x:v>Sample Ledger!K115</x:v>
      </x:c>
      <x:c r="F4701" s="7" t="str">
        <x:f>'Sample Ledger'!K115</x:f>
        <x:v>OPEN</x:v>
      </x:c>
    </x:row>
    <x:row r="4702">
      <x:c r="B4702" s="7" t="str">
        <x:v>PHY-4696</x:v>
      </x:c>
      <x:c r="C4702" s="7" t="str">
        <x:v>sample</x:v>
      </x:c>
      <x:c r="D4702" s="7" t="str">
        <x:v>RAE-S-110</x:v>
      </x:c>
      <x:c r="E4702" s="7" t="str">
        <x:v>Sample Ledger!K116</x:v>
      </x:c>
      <x:c r="F4702" s="7" t="str">
        <x:f>'Sample Ledger'!K116</x:f>
        <x:v>OPEN</x:v>
      </x:c>
    </x:row>
    <x:row r="4703">
      <x:c r="B4703" s="7" t="str">
        <x:v>PHY-4697</x:v>
      </x:c>
      <x:c r="C4703" s="7" t="str">
        <x:v>sample</x:v>
      </x:c>
      <x:c r="D4703" s="7" t="str">
        <x:v>RAE-S-111</x:v>
      </x:c>
      <x:c r="E4703" s="7" t="str">
        <x:v>Sample Ledger!K117</x:v>
      </x:c>
      <x:c r="F4703" s="7" t="str">
        <x:f>'Sample Ledger'!K117</x:f>
        <x:v>OPEN</x:v>
      </x:c>
    </x:row>
    <x:row r="4704">
      <x:c r="B4704" s="7" t="str">
        <x:v>PHY-4698</x:v>
      </x:c>
      <x:c r="C4704" s="7" t="str">
        <x:v>sample</x:v>
      </x:c>
      <x:c r="D4704" s="7" t="str">
        <x:v>RAE-S-112</x:v>
      </x:c>
      <x:c r="E4704" s="7" t="str">
        <x:v>Sample Ledger!K118</x:v>
      </x:c>
      <x:c r="F4704" s="7" t="str">
        <x:f>'Sample Ledger'!K118</x:f>
        <x:v>OPEN</x:v>
      </x:c>
    </x:row>
    <x:row r="4705">
      <x:c r="B4705" s="7" t="str">
        <x:v>PHY-4699</x:v>
      </x:c>
      <x:c r="C4705" s="7" t="str">
        <x:v>sample</x:v>
      </x:c>
      <x:c r="D4705" s="7" t="str">
        <x:v>RAE-S-113</x:v>
      </x:c>
      <x:c r="E4705" s="7" t="str">
        <x:v>Sample Ledger!K119</x:v>
      </x:c>
      <x:c r="F4705" s="7" t="str">
        <x:f>'Sample Ledger'!K119</x:f>
        <x:v>OPEN</x:v>
      </x:c>
    </x:row>
    <x:row r="4706">
      <x:c r="B4706" s="7" t="str">
        <x:v>PHY-4700</x:v>
      </x:c>
      <x:c r="C4706" s="7" t="str">
        <x:v>sample</x:v>
      </x:c>
      <x:c r="D4706" s="7" t="str">
        <x:v>RAE-S-114</x:v>
      </x:c>
      <x:c r="E4706" s="7" t="str">
        <x:v>Sample Ledger!K120</x:v>
      </x:c>
      <x:c r="F4706" s="7" t="str">
        <x:f>'Sample Ledger'!K120</x:f>
        <x:v>OPEN</x:v>
      </x:c>
    </x:row>
    <x:row r="4707">
      <x:c r="B4707" s="7" t="str">
        <x:v>PHY-4701</x:v>
      </x:c>
      <x:c r="C4707" s="7" t="str">
        <x:v>sample</x:v>
      </x:c>
      <x:c r="D4707" s="7" t="str">
        <x:v>RAE-S-115</x:v>
      </x:c>
      <x:c r="E4707" s="7" t="str">
        <x:v>Sample Ledger!K121</x:v>
      </x:c>
      <x:c r="F4707" s="7" t="str">
        <x:f>'Sample Ledger'!K121</x:f>
        <x:v>OPEN</x:v>
      </x:c>
    </x:row>
    <x:row r="4708">
      <x:c r="B4708" s="7" t="str">
        <x:v>PHY-4702</x:v>
      </x:c>
      <x:c r="C4708" s="7" t="str">
        <x:v>sample</x:v>
      </x:c>
      <x:c r="D4708" s="7" t="str">
        <x:v>RAE-S-116</x:v>
      </x:c>
      <x:c r="E4708" s="7" t="str">
        <x:v>Sample Ledger!K122</x:v>
      </x:c>
      <x:c r="F4708" s="7" t="str">
        <x:f>'Sample Ledger'!K122</x:f>
        <x:v>OPEN</x:v>
      </x:c>
    </x:row>
    <x:row r="4709">
      <x:c r="B4709" s="7" t="str">
        <x:v>PHY-4703</x:v>
      </x:c>
      <x:c r="C4709" s="7" t="str">
        <x:v>sample</x:v>
      </x:c>
      <x:c r="D4709" s="7" t="str">
        <x:v>RAE-S-117</x:v>
      </x:c>
      <x:c r="E4709" s="7" t="str">
        <x:v>Sample Ledger!K123</x:v>
      </x:c>
      <x:c r="F4709" s="7" t="str">
        <x:f>'Sample Ledger'!K123</x:f>
        <x:v>OPEN</x:v>
      </x:c>
    </x:row>
    <x:row r="4710">
      <x:c r="B4710" s="7" t="str">
        <x:v>PHY-4704</x:v>
      </x:c>
      <x:c r="C4710" s="7" t="str">
        <x:v>sample</x:v>
      </x:c>
      <x:c r="D4710" s="7" t="str">
        <x:v>RAE-S-118</x:v>
      </x:c>
      <x:c r="E4710" s="7" t="str">
        <x:v>Sample Ledger!K124</x:v>
      </x:c>
      <x:c r="F4710" s="7" t="str">
        <x:f>'Sample Ledger'!K124</x:f>
        <x:v>OPEN</x:v>
      </x:c>
    </x:row>
    <x:row r="4711">
      <x:c r="B4711" s="7" t="str">
        <x:v>PHY-4705</x:v>
      </x:c>
      <x:c r="C4711" s="7" t="str">
        <x:v>sample</x:v>
      </x:c>
      <x:c r="D4711" s="7" t="str">
        <x:v>RAE-S-119</x:v>
      </x:c>
      <x:c r="E4711" s="7" t="str">
        <x:v>Sample Ledger!K125</x:v>
      </x:c>
      <x:c r="F4711" s="7" t="str">
        <x:f>'Sample Ledger'!K125</x:f>
        <x:v>OPEN</x:v>
      </x:c>
    </x:row>
    <x:row r="4712">
      <x:c r="B4712" s="7" t="str">
        <x:v>PHY-4706</x:v>
      </x:c>
      <x:c r="C4712" s="7" t="str">
        <x:v>sample</x:v>
      </x:c>
      <x:c r="D4712" s="7" t="str">
        <x:v>RAE-S-120</x:v>
      </x:c>
      <x:c r="E4712" s="7" t="str">
        <x:v>Sample Ledger!K126</x:v>
      </x:c>
      <x:c r="F4712" s="7" t="str">
        <x:f>'Sample Ledger'!K126</x:f>
        <x:v>OPEN</x:v>
      </x:c>
    </x:row>
    <x:row r="4713">
      <x:c r="B4713" s="7" t="str">
        <x:v>PHY-4707</x:v>
      </x:c>
      <x:c r="C4713" s="7" t="str">
        <x:v>sample</x:v>
      </x:c>
      <x:c r="D4713" s="7" t="str">
        <x:v>RAE-S-121</x:v>
      </x:c>
      <x:c r="E4713" s="7" t="str">
        <x:v>Sample Ledger!K127</x:v>
      </x:c>
      <x:c r="F4713" s="7" t="str">
        <x:f>'Sample Ledger'!K127</x:f>
        <x:v>OPEN</x:v>
      </x:c>
    </x:row>
    <x:row r="4714">
      <x:c r="B4714" s="7" t="str">
        <x:v>PHY-4708</x:v>
      </x:c>
      <x:c r="C4714" s="7" t="str">
        <x:v>sample</x:v>
      </x:c>
      <x:c r="D4714" s="7" t="str">
        <x:v>RAE-S-122</x:v>
      </x:c>
      <x:c r="E4714" s="7" t="str">
        <x:v>Sample Ledger!K128</x:v>
      </x:c>
      <x:c r="F4714" s="7" t="str">
        <x:f>'Sample Ledger'!K128</x:f>
        <x:v>OPEN</x:v>
      </x:c>
    </x:row>
    <x:row r="4715">
      <x:c r="B4715" s="7" t="str">
        <x:v>PHY-4709</x:v>
      </x:c>
      <x:c r="C4715" s="7" t="str">
        <x:v>sample</x:v>
      </x:c>
      <x:c r="D4715" s="7" t="str">
        <x:v>RAE-S-123</x:v>
      </x:c>
      <x:c r="E4715" s="7" t="str">
        <x:v>Sample Ledger!K129</x:v>
      </x:c>
      <x:c r="F4715" s="7" t="str">
        <x:f>'Sample Ledger'!K129</x:f>
        <x:v>OPEN</x:v>
      </x:c>
    </x:row>
    <x:row r="4716">
      <x:c r="B4716" s="7" t="str">
        <x:v>PHY-4710</x:v>
      </x:c>
      <x:c r="C4716" s="7" t="str">
        <x:v>sample</x:v>
      </x:c>
      <x:c r="D4716" s="7" t="str">
        <x:v>RAE-S-124</x:v>
      </x:c>
      <x:c r="E4716" s="7" t="str">
        <x:v>Sample Ledger!K130</x:v>
      </x:c>
      <x:c r="F4716" s="7" t="str">
        <x:f>'Sample Ledger'!K130</x:f>
        <x:v>OPEN</x:v>
      </x:c>
    </x:row>
    <x:row r="4717">
      <x:c r="B4717" s="7" t="str">
        <x:v>PHY-4711</x:v>
      </x:c>
      <x:c r="C4717" s="7" t="str">
        <x:v>sample</x:v>
      </x:c>
      <x:c r="D4717" s="7" t="str">
        <x:v>RAE-S-125</x:v>
      </x:c>
      <x:c r="E4717" s="7" t="str">
        <x:v>Sample Ledger!K131</x:v>
      </x:c>
      <x:c r="F4717" s="7" t="str">
        <x:f>'Sample Ledger'!K131</x:f>
        <x:v>OPEN</x:v>
      </x:c>
    </x:row>
    <x:row r="4718">
      <x:c r="B4718" s="7" t="str">
        <x:v>PHY-4712</x:v>
      </x:c>
      <x:c r="C4718" s="7" t="str">
        <x:v>sample</x:v>
      </x:c>
      <x:c r="D4718" s="7" t="str">
        <x:v>RAE-S-126</x:v>
      </x:c>
      <x:c r="E4718" s="7" t="str">
        <x:v>Sample Ledger!K132</x:v>
      </x:c>
      <x:c r="F4718" s="7" t="str">
        <x:f>'Sample Ledger'!K132</x:f>
        <x:v>OPEN</x:v>
      </x:c>
    </x:row>
    <x:row r="4719">
      <x:c r="B4719" s="7" t="str">
        <x:v>PHY-4713</x:v>
      </x:c>
      <x:c r="C4719" s="7" t="str">
        <x:v>sample</x:v>
      </x:c>
      <x:c r="D4719" s="7" t="str">
        <x:v>RAE-S-127</x:v>
      </x:c>
      <x:c r="E4719" s="7" t="str">
        <x:v>Sample Ledger!K133</x:v>
      </x:c>
      <x:c r="F4719" s="7" t="str">
        <x:f>'Sample Ledger'!K133</x:f>
        <x:v>OPEN</x:v>
      </x:c>
    </x:row>
    <x:row r="4720">
      <x:c r="B4720" s="7" t="str">
        <x:v>PHY-4714</x:v>
      </x:c>
      <x:c r="C4720" s="7" t="str">
        <x:v>sample</x:v>
      </x:c>
      <x:c r="D4720" s="7" t="str">
        <x:v>RAE-S-128</x:v>
      </x:c>
      <x:c r="E4720" s="7" t="str">
        <x:v>Sample Ledger!K134</x:v>
      </x:c>
      <x:c r="F4720" s="7" t="str">
        <x:f>'Sample Ledger'!K134</x:f>
        <x:v>OPEN</x:v>
      </x:c>
    </x:row>
    <x:row r="4721">
      <x:c r="B4721" s="7" t="str">
        <x:v>PHY-4715</x:v>
      </x:c>
      <x:c r="C4721" s="7" t="str">
        <x:v>sample</x:v>
      </x:c>
      <x:c r="D4721" s="7" t="str">
        <x:v>RAE-S-129</x:v>
      </x:c>
      <x:c r="E4721" s="7" t="str">
        <x:v>Sample Ledger!K135</x:v>
      </x:c>
      <x:c r="F4721" s="7" t="str">
        <x:f>'Sample Ledger'!K135</x:f>
        <x:v>OPEN</x:v>
      </x:c>
    </x:row>
    <x:row r="4722">
      <x:c r="B4722" s="7" t="str">
        <x:v>PHY-4716</x:v>
      </x:c>
      <x:c r="C4722" s="7" t="str">
        <x:v>sample</x:v>
      </x:c>
      <x:c r="D4722" s="7" t="str">
        <x:v>RAE-S-130</x:v>
      </x:c>
      <x:c r="E4722" s="7" t="str">
        <x:v>Sample Ledger!K136</x:v>
      </x:c>
      <x:c r="F4722" s="7" t="str">
        <x:f>'Sample Ledger'!K136</x:f>
        <x:v>OPEN</x:v>
      </x:c>
    </x:row>
    <x:row r="4723">
      <x:c r="B4723" s="7" t="str">
        <x:v>PHY-4717</x:v>
      </x:c>
      <x:c r="C4723" s="7" t="str">
        <x:v>sample</x:v>
      </x:c>
      <x:c r="D4723" s="7" t="str">
        <x:v>RAE-S-131</x:v>
      </x:c>
      <x:c r="E4723" s="7" t="str">
        <x:v>Sample Ledger!K137</x:v>
      </x:c>
      <x:c r="F4723" s="7" t="str">
        <x:f>'Sample Ledger'!K137</x:f>
        <x:v>OPEN</x:v>
      </x:c>
    </x:row>
    <x:row r="4724">
      <x:c r="B4724" s="7" t="str">
        <x:v>PHY-4718</x:v>
      </x:c>
      <x:c r="C4724" s="7" t="str">
        <x:v>sample</x:v>
      </x:c>
      <x:c r="D4724" s="7" t="str">
        <x:v>RAE-S-132</x:v>
      </x:c>
      <x:c r="E4724" s="7" t="str">
        <x:v>Sample Ledger!K138</x:v>
      </x:c>
      <x:c r="F4724" s="7" t="str">
        <x:f>'Sample Ledger'!K138</x:f>
        <x:v>OPEN</x:v>
      </x:c>
    </x:row>
    <x:row r="4725">
      <x:c r="B4725" s="7" t="str">
        <x:v>PHY-4719</x:v>
      </x:c>
      <x:c r="C4725" s="7" t="str">
        <x:v>sample</x:v>
      </x:c>
      <x:c r="D4725" s="7" t="str">
        <x:v>RAE-S-133</x:v>
      </x:c>
      <x:c r="E4725" s="7" t="str">
        <x:v>Sample Ledger!K139</x:v>
      </x:c>
      <x:c r="F4725" s="7" t="str">
        <x:f>'Sample Ledger'!K139</x:f>
        <x:v>OPEN</x:v>
      </x:c>
    </x:row>
    <x:row r="4726">
      <x:c r="B4726" s="7" t="str">
        <x:v>PHY-4720</x:v>
      </x:c>
      <x:c r="C4726" s="7" t="str">
        <x:v>sample</x:v>
      </x:c>
      <x:c r="D4726" s="7" t="str">
        <x:v>RAE-S-134</x:v>
      </x:c>
      <x:c r="E4726" s="7" t="str">
        <x:v>Sample Ledger!K140</x:v>
      </x:c>
      <x:c r="F4726" s="7" t="str">
        <x:f>'Sample Ledger'!K140</x:f>
        <x:v>OPEN</x:v>
      </x:c>
    </x:row>
    <x:row r="4727">
      <x:c r="B4727" s="7" t="str">
        <x:v>PHY-4721</x:v>
      </x:c>
      <x:c r="C4727" s="7" t="str">
        <x:v>sample</x:v>
      </x:c>
      <x:c r="D4727" s="7" t="str">
        <x:v>RAE-S-135</x:v>
      </x:c>
      <x:c r="E4727" s="7" t="str">
        <x:v>Sample Ledger!K141</x:v>
      </x:c>
      <x:c r="F4727" s="7" t="str">
        <x:f>'Sample Ledger'!K141</x:f>
        <x:v>OPEN</x:v>
      </x:c>
    </x:row>
    <x:row r="4728">
      <x:c r="B4728" s="7" t="str">
        <x:v>PHY-4722</x:v>
      </x:c>
      <x:c r="C4728" s="7" t="str">
        <x:v>sample</x:v>
      </x:c>
      <x:c r="D4728" s="7" t="str">
        <x:v>RAE-S-136</x:v>
      </x:c>
      <x:c r="E4728" s="7" t="str">
        <x:v>Sample Ledger!K142</x:v>
      </x:c>
      <x:c r="F4728" s="7" t="str">
        <x:f>'Sample Ledger'!K142</x:f>
        <x:v>OPEN</x:v>
      </x:c>
    </x:row>
    <x:row r="4729">
      <x:c r="B4729" s="7" t="str">
        <x:v>PHY-4723</x:v>
      </x:c>
      <x:c r="C4729" s="7" t="str">
        <x:v>sample</x:v>
      </x:c>
      <x:c r="D4729" s="7" t="str">
        <x:v>RAE-S-137</x:v>
      </x:c>
      <x:c r="E4729" s="7" t="str">
        <x:v>Sample Ledger!K143</x:v>
      </x:c>
      <x:c r="F4729" s="7" t="str">
        <x:f>'Sample Ledger'!K143</x:f>
        <x:v>OPEN</x:v>
      </x:c>
    </x:row>
    <x:row r="4730">
      <x:c r="B4730" s="7" t="str">
        <x:v>PHY-4724</x:v>
      </x:c>
      <x:c r="C4730" s="7" t="str">
        <x:v>sample</x:v>
      </x:c>
      <x:c r="D4730" s="7" t="str">
        <x:v>RAE-S-138</x:v>
      </x:c>
      <x:c r="E4730" s="7" t="str">
        <x:v>Sample Ledger!K144</x:v>
      </x:c>
      <x:c r="F4730" s="7" t="str">
        <x:f>'Sample Ledger'!K144</x:f>
        <x:v>OPEN</x:v>
      </x:c>
    </x:row>
    <x:row r="4731">
      <x:c r="B4731" s="7" t="str">
        <x:v>PHY-4725</x:v>
      </x:c>
      <x:c r="C4731" s="7" t="str">
        <x:v>sample</x:v>
      </x:c>
      <x:c r="D4731" s="7" t="str">
        <x:v>RAE-S-139</x:v>
      </x:c>
      <x:c r="E4731" s="7" t="str">
        <x:v>Sample Ledger!K145</x:v>
      </x:c>
      <x:c r="F4731" s="7" t="str">
        <x:f>'Sample Ledger'!K145</x:f>
        <x:v>OPEN</x:v>
      </x:c>
    </x:row>
    <x:row r="4732">
      <x:c r="B4732" s="7" t="str">
        <x:v>PHY-4726</x:v>
      </x:c>
      <x:c r="C4732" s="7" t="str">
        <x:v>sample</x:v>
      </x:c>
      <x:c r="D4732" s="7" t="str">
        <x:v>RAE-S-140</x:v>
      </x:c>
      <x:c r="E4732" s="7" t="str">
        <x:v>Sample Ledger!K146</x:v>
      </x:c>
      <x:c r="F4732" s="7" t="str">
        <x:f>'Sample Ledger'!K146</x:f>
        <x:v>OPEN</x:v>
      </x:c>
    </x:row>
    <x:row r="4733">
      <x:c r="B4733" s="7" t="str">
        <x:v>PHY-4727</x:v>
      </x:c>
      <x:c r="C4733" s="7" t="str">
        <x:v>sample</x:v>
      </x:c>
      <x:c r="D4733" s="7" t="str">
        <x:v>RAE-S-141</x:v>
      </x:c>
      <x:c r="E4733" s="7" t="str">
        <x:v>Sample Ledger!K147</x:v>
      </x:c>
      <x:c r="F4733" s="7" t="str">
        <x:f>'Sample Ledger'!K147</x:f>
        <x:v>OPEN</x:v>
      </x:c>
    </x:row>
    <x:row r="4734">
      <x:c r="B4734" s="7" t="str">
        <x:v>PHY-4728</x:v>
      </x:c>
      <x:c r="C4734" s="7" t="str">
        <x:v>sample</x:v>
      </x:c>
      <x:c r="D4734" s="7" t="str">
        <x:v>RAE-S-142</x:v>
      </x:c>
      <x:c r="E4734" s="7" t="str">
        <x:v>Sample Ledger!K148</x:v>
      </x:c>
      <x:c r="F4734" s="7" t="str">
        <x:f>'Sample Ledger'!K148</x:f>
        <x:v>OPEN</x:v>
      </x:c>
    </x:row>
    <x:row r="4735">
      <x:c r="B4735" s="7" t="str">
        <x:v>PHY-4729</x:v>
      </x:c>
      <x:c r="C4735" s="7" t="str">
        <x:v>sample</x:v>
      </x:c>
      <x:c r="D4735" s="7" t="str">
        <x:v>RAE-S-143</x:v>
      </x:c>
      <x:c r="E4735" s="7" t="str">
        <x:v>Sample Ledger!K149</x:v>
      </x:c>
      <x:c r="F4735" s="7" t="str">
        <x:f>'Sample Ledger'!K149</x:f>
        <x:v>OPEN</x:v>
      </x:c>
    </x:row>
    <x:row r="4736">
      <x:c r="B4736" s="7" t="str">
        <x:v>PHY-4730</x:v>
      </x:c>
      <x:c r="C4736" s="7" t="str">
        <x:v>sample</x:v>
      </x:c>
      <x:c r="D4736" s="7" t="str">
        <x:v>RAE-S-144</x:v>
      </x:c>
      <x:c r="E4736" s="7" t="str">
        <x:v>Sample Ledger!K150</x:v>
      </x:c>
      <x:c r="F4736" s="7" t="str">
        <x:f>'Sample Ledger'!K150</x:f>
        <x:v>OPEN</x:v>
      </x:c>
    </x:row>
    <x:row r="4737">
      <x:c r="B4737" s="7" t="str">
        <x:v>PHY-4731</x:v>
      </x:c>
      <x:c r="C4737" s="7" t="str">
        <x:v>sample</x:v>
      </x:c>
      <x:c r="D4737" s="7" t="str">
        <x:v>RAE-S-145</x:v>
      </x:c>
      <x:c r="E4737" s="7" t="str">
        <x:v>Sample Ledger!K151</x:v>
      </x:c>
      <x:c r="F4737" s="7" t="str">
        <x:f>'Sample Ledger'!K151</x:f>
        <x:v>OPEN</x:v>
      </x:c>
    </x:row>
    <x:row r="4738">
      <x:c r="B4738" s="7" t="str">
        <x:v>PHY-4732</x:v>
      </x:c>
      <x:c r="C4738" s="7" t="str">
        <x:v>sample</x:v>
      </x:c>
      <x:c r="D4738" s="7" t="str">
        <x:v>RAE-S-146</x:v>
      </x:c>
      <x:c r="E4738" s="7" t="str">
        <x:v>Sample Ledger!K152</x:v>
      </x:c>
      <x:c r="F4738" s="7" t="str">
        <x:f>'Sample Ledger'!K152</x:f>
        <x:v>OPEN</x:v>
      </x:c>
    </x:row>
    <x:row r="4739">
      <x:c r="B4739" s="7" t="str">
        <x:v>PHY-4733</x:v>
      </x:c>
      <x:c r="C4739" s="7" t="str">
        <x:v>sample</x:v>
      </x:c>
      <x:c r="D4739" s="7" t="str">
        <x:v>RAE-S-147</x:v>
      </x:c>
      <x:c r="E4739" s="7" t="str">
        <x:v>Sample Ledger!K153</x:v>
      </x:c>
      <x:c r="F4739" s="7" t="str">
        <x:f>'Sample Ledger'!K153</x:f>
        <x:v>OPEN</x:v>
      </x:c>
    </x:row>
    <x:row r="4740">
      <x:c r="B4740" s="7" t="str">
        <x:v>PHY-4734</x:v>
      </x:c>
      <x:c r="C4740" s="7" t="str">
        <x:v>sample</x:v>
      </x:c>
      <x:c r="D4740" s="7" t="str">
        <x:v>RAE-S-148</x:v>
      </x:c>
      <x:c r="E4740" s="7" t="str">
        <x:v>Sample Ledger!K154</x:v>
      </x:c>
      <x:c r="F4740" s="7" t="str">
        <x:f>'Sample Ledger'!K154</x:f>
        <x:v>OPEN</x:v>
      </x:c>
    </x:row>
    <x:row r="4741">
      <x:c r="B4741" s="7" t="str">
        <x:v>PHY-4735</x:v>
      </x:c>
      <x:c r="C4741" s="7" t="str">
        <x:v>sample</x:v>
      </x:c>
      <x:c r="D4741" s="7" t="str">
        <x:v>RAE-S-149</x:v>
      </x:c>
      <x:c r="E4741" s="7" t="str">
        <x:v>Sample Ledger!K155</x:v>
      </x:c>
      <x:c r="F4741" s="7" t="str">
        <x:f>'Sample Ledger'!K155</x:f>
        <x:v>OPEN</x:v>
      </x:c>
    </x:row>
    <x:row r="4742">
      <x:c r="B4742" s="7" t="str">
        <x:v>PHY-4736</x:v>
      </x:c>
      <x:c r="C4742" s="7" t="str">
        <x:v>sample</x:v>
      </x:c>
      <x:c r="D4742" s="7" t="str">
        <x:v>RAE-S-150</x:v>
      </x:c>
      <x:c r="E4742" s="7" t="str">
        <x:v>Sample Ledger!K156</x:v>
      </x:c>
      <x:c r="F4742" s="7" t="str">
        <x:f>'Sample Ledger'!K156</x:f>
        <x:v>OPEN</x:v>
      </x:c>
    </x:row>
    <x:row r="4743">
      <x:c r="B4743" s="7" t="str">
        <x:v>PHY-4737</x:v>
      </x:c>
      <x:c r="C4743" s="7" t="str">
        <x:v>sample</x:v>
      </x:c>
      <x:c r="D4743" s="7" t="str">
        <x:v>RAE-S-151</x:v>
      </x:c>
      <x:c r="E4743" s="7" t="str">
        <x:v>Sample Ledger!K157</x:v>
      </x:c>
      <x:c r="F4743" s="7" t="str">
        <x:f>'Sample Ledger'!K157</x:f>
        <x:v>OPEN</x:v>
      </x:c>
    </x:row>
    <x:row r="4744">
      <x:c r="B4744" s="7" t="str">
        <x:v>PHY-4738</x:v>
      </x:c>
      <x:c r="C4744" s="7" t="str">
        <x:v>sample</x:v>
      </x:c>
      <x:c r="D4744" s="7" t="str">
        <x:v>RAE-S-152</x:v>
      </x:c>
      <x:c r="E4744" s="7" t="str">
        <x:v>Sample Ledger!K158</x:v>
      </x:c>
      <x:c r="F4744" s="7" t="str">
        <x:f>'Sample Ledger'!K158</x:f>
        <x:v>OPEN</x:v>
      </x:c>
    </x:row>
    <x:row r="4745">
      <x:c r="B4745" s="7" t="str">
        <x:v>PHY-4739</x:v>
      </x:c>
      <x:c r="C4745" s="7" t="str">
        <x:v>sample</x:v>
      </x:c>
      <x:c r="D4745" s="7" t="str">
        <x:v>RAE-S-153</x:v>
      </x:c>
      <x:c r="E4745" s="7" t="str">
        <x:v>Sample Ledger!K159</x:v>
      </x:c>
      <x:c r="F4745" s="7" t="str">
        <x:f>'Sample Ledger'!K159</x:f>
        <x:v>OPEN</x:v>
      </x:c>
    </x:row>
    <x:row r="4746">
      <x:c r="B4746" s="7" t="str">
        <x:v>PHY-4740</x:v>
      </x:c>
      <x:c r="C4746" s="7" t="str">
        <x:v>sample</x:v>
      </x:c>
      <x:c r="D4746" s="7" t="str">
        <x:v>RAE-S-154</x:v>
      </x:c>
      <x:c r="E4746" s="7" t="str">
        <x:v>Sample Ledger!K160</x:v>
      </x:c>
      <x:c r="F4746" s="7" t="str">
        <x:f>'Sample Ledger'!K160</x:f>
        <x:v>OPEN</x:v>
      </x:c>
    </x:row>
    <x:row r="4747">
      <x:c r="B4747" s="7" t="str">
        <x:v>PHY-4741</x:v>
      </x:c>
      <x:c r="C4747" s="7" t="str">
        <x:v>sample</x:v>
      </x:c>
      <x:c r="D4747" s="7" t="str">
        <x:v>RAE-S-155</x:v>
      </x:c>
      <x:c r="E4747" s="7" t="str">
        <x:v>Sample Ledger!K161</x:v>
      </x:c>
      <x:c r="F4747" s="7" t="str">
        <x:f>'Sample Ledger'!K161</x:f>
        <x:v>OPEN</x:v>
      </x:c>
    </x:row>
    <x:row r="4748">
      <x:c r="B4748" s="7" t="str">
        <x:v>PHY-4742</x:v>
      </x:c>
      <x:c r="C4748" s="7" t="str">
        <x:v>sample</x:v>
      </x:c>
      <x:c r="D4748" s="7" t="str">
        <x:v>RAE-S-156</x:v>
      </x:c>
      <x:c r="E4748" s="7" t="str">
        <x:v>Sample Ledger!K162</x:v>
      </x:c>
      <x:c r="F4748" s="7" t="str">
        <x:f>'Sample Ledger'!K162</x:f>
        <x:v>OPEN</x:v>
      </x:c>
    </x:row>
    <x:row r="4749">
      <x:c r="B4749" s="7" t="str">
        <x:v>PHY-4743</x:v>
      </x:c>
      <x:c r="C4749" s="7" t="str">
        <x:v>sample</x:v>
      </x:c>
      <x:c r="D4749" s="7" t="str">
        <x:v>RAE-S-157</x:v>
      </x:c>
      <x:c r="E4749" s="7" t="str">
        <x:v>Sample Ledger!K163</x:v>
      </x:c>
      <x:c r="F4749" s="7" t="str">
        <x:f>'Sample Ledger'!K163</x:f>
        <x:v>OPEN</x:v>
      </x:c>
    </x:row>
    <x:row r="4750">
      <x:c r="B4750" s="7" t="str">
        <x:v>PHY-4744</x:v>
      </x:c>
      <x:c r="C4750" s="7" t="str">
        <x:v>sample</x:v>
      </x:c>
      <x:c r="D4750" s="7" t="str">
        <x:v>RAE-S-158</x:v>
      </x:c>
      <x:c r="E4750" s="7" t="str">
        <x:v>Sample Ledger!K164</x:v>
      </x:c>
      <x:c r="F4750" s="7" t="str">
        <x:f>'Sample Ledger'!K164</x:f>
        <x:v>OPEN</x:v>
      </x:c>
    </x:row>
    <x:row r="4751">
      <x:c r="B4751" s="7" t="str">
        <x:v>PHY-4745</x:v>
      </x:c>
      <x:c r="C4751" s="7" t="str">
        <x:v>sample</x:v>
      </x:c>
      <x:c r="D4751" s="7" t="str">
        <x:v>RAE-S-159</x:v>
      </x:c>
      <x:c r="E4751" s="7" t="str">
        <x:v>Sample Ledger!K165</x:v>
      </x:c>
      <x:c r="F4751" s="7" t="str">
        <x:f>'Sample Ledger'!K165</x:f>
        <x:v>OPEN</x:v>
      </x:c>
    </x:row>
    <x:row r="4752">
      <x:c r="B4752" s="7" t="str">
        <x:v>PHY-4746</x:v>
      </x:c>
      <x:c r="C4752" s="7" t="str">
        <x:v>sample</x:v>
      </x:c>
      <x:c r="D4752" s="7" t="str">
        <x:v>RAE-S-160</x:v>
      </x:c>
      <x:c r="E4752" s="7" t="str">
        <x:v>Sample Ledger!K166</x:v>
      </x:c>
      <x:c r="F4752" s="7" t="str">
        <x:f>'Sample Ledger'!K166</x:f>
        <x:v>OPEN</x:v>
      </x:c>
    </x:row>
    <x:row r="4753">
      <x:c r="B4753" s="7" t="str">
        <x:v>PHY-4747</x:v>
      </x:c>
      <x:c r="C4753" s="7" t="str">
        <x:v>sample</x:v>
      </x:c>
      <x:c r="D4753" s="7" t="str">
        <x:v>RAE-S-161</x:v>
      </x:c>
      <x:c r="E4753" s="7" t="str">
        <x:v>Sample Ledger!K167</x:v>
      </x:c>
      <x:c r="F4753" s="7" t="str">
        <x:f>'Sample Ledger'!K167</x:f>
        <x:v>OPEN</x:v>
      </x:c>
    </x:row>
    <x:row r="4754">
      <x:c r="B4754" s="7" t="str">
        <x:v>PHY-4748</x:v>
      </x:c>
      <x:c r="C4754" s="7" t="str">
        <x:v>sample</x:v>
      </x:c>
      <x:c r="D4754" s="7" t="str">
        <x:v>RAE-S-162</x:v>
      </x:c>
      <x:c r="E4754" s="7" t="str">
        <x:v>Sample Ledger!K168</x:v>
      </x:c>
      <x:c r="F4754" s="7" t="str">
        <x:f>'Sample Ledger'!K168</x:f>
        <x:v>OPEN</x:v>
      </x:c>
    </x:row>
    <x:row r="4755">
      <x:c r="B4755" s="7" t="str">
        <x:v>PHY-4749</x:v>
      </x:c>
      <x:c r="C4755" s="7" t="str">
        <x:v>sample</x:v>
      </x:c>
      <x:c r="D4755" s="7" t="str">
        <x:v>RAE-S-163</x:v>
      </x:c>
      <x:c r="E4755" s="7" t="str">
        <x:v>Sample Ledger!K169</x:v>
      </x:c>
      <x:c r="F4755" s="7" t="str">
        <x:f>'Sample Ledger'!K169</x:f>
        <x:v>OPEN</x:v>
      </x:c>
    </x:row>
    <x:row r="4756">
      <x:c r="B4756" s="7" t="str">
        <x:v>PHY-4750</x:v>
      </x:c>
      <x:c r="C4756" s="7" t="str">
        <x:v>sample</x:v>
      </x:c>
      <x:c r="D4756" s="7" t="str">
        <x:v>RAE-S-164</x:v>
      </x:c>
      <x:c r="E4756" s="7" t="str">
        <x:v>Sample Ledger!K170</x:v>
      </x:c>
      <x:c r="F4756" s="7" t="str">
        <x:f>'Sample Ledger'!K170</x:f>
        <x:v>OPEN</x:v>
      </x:c>
    </x:row>
    <x:row r="4757">
      <x:c r="B4757" s="7" t="str">
        <x:v>PHY-4751</x:v>
      </x:c>
      <x:c r="C4757" s="7" t="str">
        <x:v>sample</x:v>
      </x:c>
      <x:c r="D4757" s="7" t="str">
        <x:v>RAE-S-165</x:v>
      </x:c>
      <x:c r="E4757" s="7" t="str">
        <x:v>Sample Ledger!K171</x:v>
      </x:c>
      <x:c r="F4757" s="7" t="str">
        <x:f>'Sample Ledger'!K171</x:f>
        <x:v>OPEN</x:v>
      </x:c>
    </x:row>
    <x:row r="4758">
      <x:c r="B4758" s="7" t="str">
        <x:v>PHY-4752</x:v>
      </x:c>
      <x:c r="C4758" s="7" t="str">
        <x:v>sample</x:v>
      </x:c>
      <x:c r="D4758" s="7" t="str">
        <x:v>RAE-S-166</x:v>
      </x:c>
      <x:c r="E4758" s="7" t="str">
        <x:v>Sample Ledger!K172</x:v>
      </x:c>
      <x:c r="F4758" s="7" t="str">
        <x:f>'Sample Ledger'!K172</x:f>
        <x:v>OPEN</x:v>
      </x:c>
    </x:row>
    <x:row r="4759">
      <x:c r="B4759" s="7" t="str">
        <x:v>PHY-4753</x:v>
      </x:c>
      <x:c r="C4759" s="7" t="str">
        <x:v>sample</x:v>
      </x:c>
      <x:c r="D4759" s="7" t="str">
        <x:v>RAE-S-167</x:v>
      </x:c>
      <x:c r="E4759" s="7" t="str">
        <x:v>Sample Ledger!K173</x:v>
      </x:c>
      <x:c r="F4759" s="7" t="str">
        <x:f>'Sample Ledger'!K173</x:f>
        <x:v>OPEN</x:v>
      </x:c>
    </x:row>
    <x:row r="4760">
      <x:c r="B4760" s="7" t="str">
        <x:v>PHY-4754</x:v>
      </x:c>
      <x:c r="C4760" s="7" t="str">
        <x:v>sample</x:v>
      </x:c>
      <x:c r="D4760" s="7" t="str">
        <x:v>RAE-S-168</x:v>
      </x:c>
      <x:c r="E4760" s="7" t="str">
        <x:v>Sample Ledger!K174</x:v>
      </x:c>
      <x:c r="F4760" s="7" t="str">
        <x:f>'Sample Ledger'!K174</x:f>
        <x:v>OPEN</x:v>
      </x:c>
    </x:row>
    <x:row r="4761">
      <x:c r="B4761" s="7" t="str">
        <x:v>PHY-4755</x:v>
      </x:c>
      <x:c r="C4761" s="7" t="str">
        <x:v>sample</x:v>
      </x:c>
      <x:c r="D4761" s="7" t="str">
        <x:v>RAE-S-169</x:v>
      </x:c>
      <x:c r="E4761" s="7" t="str">
        <x:v>Sample Ledger!K175</x:v>
      </x:c>
      <x:c r="F4761" s="7" t="str">
        <x:f>'Sample Ledger'!K175</x:f>
        <x:v>OPEN</x:v>
      </x:c>
    </x:row>
    <x:row r="4762">
      <x:c r="B4762" s="7" t="str">
        <x:v>PHY-4756</x:v>
      </x:c>
      <x:c r="C4762" s="7" t="str">
        <x:v>sample</x:v>
      </x:c>
      <x:c r="D4762" s="7" t="str">
        <x:v>RAE-S-170</x:v>
      </x:c>
      <x:c r="E4762" s="7" t="str">
        <x:v>Sample Ledger!K176</x:v>
      </x:c>
      <x:c r="F4762" s="7" t="str">
        <x:f>'Sample Ledger'!K176</x:f>
        <x:v>OPEN</x:v>
      </x:c>
    </x:row>
    <x:row r="4763">
      <x:c r="B4763" s="7" t="str">
        <x:v>PHY-4757</x:v>
      </x:c>
      <x:c r="C4763" s="7" t="str">
        <x:v>sample</x:v>
      </x:c>
      <x:c r="D4763" s="7" t="str">
        <x:v>RAE-S-171</x:v>
      </x:c>
      <x:c r="E4763" s="7" t="str">
        <x:v>Sample Ledger!K177</x:v>
      </x:c>
      <x:c r="F4763" s="7" t="str">
        <x:f>'Sample Ledger'!K177</x:f>
        <x:v>OPEN</x:v>
      </x:c>
    </x:row>
    <x:row r="4764">
      <x:c r="B4764" s="7" t="str">
        <x:v>PHY-4758</x:v>
      </x:c>
      <x:c r="C4764" s="7" t="str">
        <x:v>sample</x:v>
      </x:c>
      <x:c r="D4764" s="7" t="str">
        <x:v>RAE-S-172</x:v>
      </x:c>
      <x:c r="E4764" s="7" t="str">
        <x:v>Sample Ledger!K178</x:v>
      </x:c>
      <x:c r="F4764" s="7" t="str">
        <x:f>'Sample Ledger'!K178</x:f>
        <x:v>OPEN</x:v>
      </x:c>
    </x:row>
    <x:row r="4765">
      <x:c r="B4765" s="7" t="str">
        <x:v>PHY-4759</x:v>
      </x:c>
      <x:c r="C4765" s="7" t="str">
        <x:v>sample</x:v>
      </x:c>
      <x:c r="D4765" s="7" t="str">
        <x:v>RAE-S-173</x:v>
      </x:c>
      <x:c r="E4765" s="7" t="str">
        <x:v>Sample Ledger!K179</x:v>
      </x:c>
      <x:c r="F4765" s="7" t="str">
        <x:f>'Sample Ledger'!K179</x:f>
        <x:v>OPEN</x:v>
      </x:c>
    </x:row>
    <x:row r="4766">
      <x:c r="B4766" s="7" t="str">
        <x:v>PHY-4760</x:v>
      </x:c>
      <x:c r="C4766" s="7" t="str">
        <x:v>sample</x:v>
      </x:c>
      <x:c r="D4766" s="7" t="str">
        <x:v>RAE-S-174</x:v>
      </x:c>
      <x:c r="E4766" s="7" t="str">
        <x:v>Sample Ledger!K180</x:v>
      </x:c>
      <x:c r="F4766" s="7" t="str">
        <x:f>'Sample Ledger'!K180</x:f>
        <x:v>OPEN</x:v>
      </x:c>
    </x:row>
    <x:row r="4767">
      <x:c r="B4767" s="7" t="str">
        <x:v>PHY-4761</x:v>
      </x:c>
      <x:c r="C4767" s="7" t="str">
        <x:v>sample</x:v>
      </x:c>
      <x:c r="D4767" s="7" t="str">
        <x:v>RAE-S-175</x:v>
      </x:c>
      <x:c r="E4767" s="7" t="str">
        <x:v>Sample Ledger!K181</x:v>
      </x:c>
      <x:c r="F4767" s="7" t="str">
        <x:f>'Sample Ledger'!K181</x:f>
        <x:v>OPEN</x:v>
      </x:c>
    </x:row>
    <x:row r="4768">
      <x:c r="B4768" s="7" t="str">
        <x:v>PHY-4762</x:v>
      </x:c>
      <x:c r="C4768" s="7" t="str">
        <x:v>sample</x:v>
      </x:c>
      <x:c r="D4768" s="7" t="str">
        <x:v>RAE-S-176</x:v>
      </x:c>
      <x:c r="E4768" s="7" t="str">
        <x:v>Sample Ledger!K182</x:v>
      </x:c>
      <x:c r="F4768" s="7" t="str">
        <x:f>'Sample Ledger'!K182</x:f>
        <x:v>OPEN</x:v>
      </x:c>
    </x:row>
    <x:row r="4769">
      <x:c r="B4769" s="7" t="str">
        <x:v>PHY-4763</x:v>
      </x:c>
      <x:c r="C4769" s="7" t="str">
        <x:v>sample</x:v>
      </x:c>
      <x:c r="D4769" s="7" t="str">
        <x:v>RAE-S-177</x:v>
      </x:c>
      <x:c r="E4769" s="7" t="str">
        <x:v>Sample Ledger!K183</x:v>
      </x:c>
      <x:c r="F4769" s="7" t="str">
        <x:f>'Sample Ledger'!K183</x:f>
        <x:v>OPEN</x:v>
      </x:c>
    </x:row>
    <x:row r="4770">
      <x:c r="B4770" s="7" t="str">
        <x:v>PHY-4764</x:v>
      </x:c>
      <x:c r="C4770" s="7" t="str">
        <x:v>sample</x:v>
      </x:c>
      <x:c r="D4770" s="7" t="str">
        <x:v>RAE-S-178</x:v>
      </x:c>
      <x:c r="E4770" s="7" t="str">
        <x:v>Sample Ledger!K184</x:v>
      </x:c>
      <x:c r="F4770" s="7" t="str">
        <x:f>'Sample Ledger'!K184</x:f>
        <x:v>OPEN</x:v>
      </x:c>
    </x:row>
    <x:row r="4771">
      <x:c r="B4771" s="7" t="str">
        <x:v>PHY-4765</x:v>
      </x:c>
      <x:c r="C4771" s="7" t="str">
        <x:v>sample</x:v>
      </x:c>
      <x:c r="D4771" s="7" t="str">
        <x:v>RAE-S-179</x:v>
      </x:c>
      <x:c r="E4771" s="7" t="str">
        <x:v>Sample Ledger!K185</x:v>
      </x:c>
      <x:c r="F4771" s="7" t="str">
        <x:f>'Sample Ledger'!K185</x:f>
        <x:v>OPEN</x:v>
      </x:c>
    </x:row>
    <x:row r="4772">
      <x:c r="B4772" s="7" t="str">
        <x:v>PHY-4766</x:v>
      </x:c>
      <x:c r="C4772" s="7" t="str">
        <x:v>sample</x:v>
      </x:c>
      <x:c r="D4772" s="7" t="str">
        <x:v>RAE-S-180</x:v>
      </x:c>
      <x:c r="E4772" s="7" t="str">
        <x:v>Sample Ledger!K186</x:v>
      </x:c>
      <x:c r="F4772" s="7" t="str">
        <x:f>'Sample Ledger'!K186</x:f>
        <x:v>OPEN</x:v>
      </x:c>
    </x:row>
    <x:row r="4773">
      <x:c r="B4773" s="7" t="str">
        <x:v>PHY-4767</x:v>
      </x:c>
      <x:c r="C4773" s="7" t="str">
        <x:v>sample</x:v>
      </x:c>
      <x:c r="D4773" s="7" t="str">
        <x:v>RAE-S-181</x:v>
      </x:c>
      <x:c r="E4773" s="7" t="str">
        <x:v>Sample Ledger!K187</x:v>
      </x:c>
      <x:c r="F4773" s="7" t="str">
        <x:f>'Sample Ledger'!K187</x:f>
        <x:v>OPEN</x:v>
      </x:c>
    </x:row>
    <x:row r="4774">
      <x:c r="B4774" s="7" t="str">
        <x:v>PHY-4768</x:v>
      </x:c>
      <x:c r="C4774" s="7" t="str">
        <x:v>sample</x:v>
      </x:c>
      <x:c r="D4774" s="7" t="str">
        <x:v>RAE-S-182</x:v>
      </x:c>
      <x:c r="E4774" s="7" t="str">
        <x:v>Sample Ledger!K188</x:v>
      </x:c>
      <x:c r="F4774" s="7" t="str">
        <x:f>'Sample Ledger'!K188</x:f>
        <x:v>OPEN</x:v>
      </x:c>
    </x:row>
    <x:row r="4775">
      <x:c r="B4775" s="7" t="str">
        <x:v>PHY-4769</x:v>
      </x:c>
      <x:c r="C4775" s="7" t="str">
        <x:v>sample</x:v>
      </x:c>
      <x:c r="D4775" s="7" t="str">
        <x:v>RAE-S-183</x:v>
      </x:c>
      <x:c r="E4775" s="7" t="str">
        <x:v>Sample Ledger!K189</x:v>
      </x:c>
      <x:c r="F4775" s="7" t="str">
        <x:f>'Sample Ledger'!K189</x:f>
        <x:v>OPEN</x:v>
      </x:c>
    </x:row>
    <x:row r="4776">
      <x:c r="B4776" s="7" t="str">
        <x:v>PHY-4770</x:v>
      </x:c>
      <x:c r="C4776" s="7" t="str">
        <x:v>sample</x:v>
      </x:c>
      <x:c r="D4776" s="7" t="str">
        <x:v>RAE-S-184</x:v>
      </x:c>
      <x:c r="E4776" s="7" t="str">
        <x:v>Sample Ledger!K190</x:v>
      </x:c>
      <x:c r="F4776" s="7" t="str">
        <x:f>'Sample Ledger'!K190</x:f>
        <x:v>OPEN</x:v>
      </x:c>
    </x:row>
    <x:row r="4777">
      <x:c r="B4777" s="7" t="str">
        <x:v>PHY-4771</x:v>
      </x:c>
      <x:c r="C4777" s="7" t="str">
        <x:v>sample</x:v>
      </x:c>
      <x:c r="D4777" s="7" t="str">
        <x:v>RAE-S-185</x:v>
      </x:c>
      <x:c r="E4777" s="7" t="str">
        <x:v>Sample Ledger!K191</x:v>
      </x:c>
      <x:c r="F4777" s="7" t="str">
        <x:f>'Sample Ledger'!K191</x:f>
        <x:v>OPEN</x:v>
      </x:c>
    </x:row>
    <x:row r="4778">
      <x:c r="B4778" s="7" t="str">
        <x:v>PHY-4772</x:v>
      </x:c>
      <x:c r="C4778" s="7" t="str">
        <x:v>sample</x:v>
      </x:c>
      <x:c r="D4778" s="7" t="str">
        <x:v>RAE-S-186</x:v>
      </x:c>
      <x:c r="E4778" s="7" t="str">
        <x:v>Sample Ledger!K192</x:v>
      </x:c>
      <x:c r="F4778" s="7" t="str">
        <x:f>'Sample Ledger'!K192</x:f>
        <x:v>OPEN</x:v>
      </x:c>
    </x:row>
    <x:row r="4779">
      <x:c r="B4779" s="7" t="str">
        <x:v>PHY-4773</x:v>
      </x:c>
      <x:c r="C4779" s="7" t="str">
        <x:v>sample</x:v>
      </x:c>
      <x:c r="D4779" s="7" t="str">
        <x:v>RAE-S-187</x:v>
      </x:c>
      <x:c r="E4779" s="7" t="str">
        <x:v>Sample Ledger!K193</x:v>
      </x:c>
      <x:c r="F4779" s="7" t="str">
        <x:f>'Sample Ledger'!K193</x:f>
        <x:v>OPEN</x:v>
      </x:c>
    </x:row>
    <x:row r="4780">
      <x:c r="B4780" s="7" t="str">
        <x:v>PHY-4774</x:v>
      </x:c>
      <x:c r="C4780" s="7" t="str">
        <x:v>sample</x:v>
      </x:c>
      <x:c r="D4780" s="7" t="str">
        <x:v>RAE-S-188</x:v>
      </x:c>
      <x:c r="E4780" s="7" t="str">
        <x:v>Sample Ledger!K194</x:v>
      </x:c>
      <x:c r="F4780" s="7" t="str">
        <x:f>'Sample Ledger'!K194</x:f>
        <x:v>OPEN</x:v>
      </x:c>
    </x:row>
    <x:row r="4781">
      <x:c r="B4781" s="7" t="str">
        <x:v>PHY-4775</x:v>
      </x:c>
      <x:c r="C4781" s="7" t="str">
        <x:v>sample</x:v>
      </x:c>
      <x:c r="D4781" s="7" t="str">
        <x:v>RAE-S-189</x:v>
      </x:c>
      <x:c r="E4781" s="7" t="str">
        <x:v>Sample Ledger!K195</x:v>
      </x:c>
      <x:c r="F4781" s="7" t="str">
        <x:f>'Sample Ledger'!K195</x:f>
        <x:v>OPEN</x:v>
      </x:c>
    </x:row>
    <x:row r="4782">
      <x:c r="B4782" s="7" t="str">
        <x:v>PHY-4776</x:v>
      </x:c>
      <x:c r="C4782" s="7" t="str">
        <x:v>sample</x:v>
      </x:c>
      <x:c r="D4782" s="7" t="str">
        <x:v>RAE-S-190</x:v>
      </x:c>
      <x:c r="E4782" s="7" t="str">
        <x:v>Sample Ledger!K196</x:v>
      </x:c>
      <x:c r="F4782" s="7" t="str">
        <x:f>'Sample Ledger'!K196</x:f>
        <x:v>OPEN</x:v>
      </x:c>
    </x:row>
    <x:row r="4783">
      <x:c r="B4783" s="7" t="str">
        <x:v>PHY-4777</x:v>
      </x:c>
      <x:c r="C4783" s="7" t="str">
        <x:v>sample</x:v>
      </x:c>
      <x:c r="D4783" s="7" t="str">
        <x:v>RAE-S-191</x:v>
      </x:c>
      <x:c r="E4783" s="7" t="str">
        <x:v>Sample Ledger!K197</x:v>
      </x:c>
      <x:c r="F4783" s="7" t="str">
        <x:f>'Sample Ledger'!K197</x:f>
        <x:v>OPEN</x:v>
      </x:c>
    </x:row>
    <x:row r="4784">
      <x:c r="B4784" s="7" t="str">
        <x:v>PHY-4778</x:v>
      </x:c>
      <x:c r="C4784" s="7" t="str">
        <x:v>sample</x:v>
      </x:c>
      <x:c r="D4784" s="7" t="str">
        <x:v>RAE-S-192</x:v>
      </x:c>
      <x:c r="E4784" s="7" t="str">
        <x:v>Sample Ledger!K198</x:v>
      </x:c>
      <x:c r="F4784" s="7" t="str">
        <x:f>'Sample Ledger'!K198</x:f>
        <x:v>OPEN</x:v>
      </x:c>
    </x:row>
    <x:row r="4785">
      <x:c r="B4785" s="7" t="str">
        <x:v>PHY-4779</x:v>
      </x:c>
      <x:c r="C4785" s="7" t="str">
        <x:v>sample</x:v>
      </x:c>
      <x:c r="D4785" s="7" t="str">
        <x:v>RAE-S-193</x:v>
      </x:c>
      <x:c r="E4785" s="7" t="str">
        <x:v>Sample Ledger!K199</x:v>
      </x:c>
      <x:c r="F4785" s="7" t="str">
        <x:f>'Sample Ledger'!K199</x:f>
        <x:v>OPEN</x:v>
      </x:c>
    </x:row>
    <x:row r="4786">
      <x:c r="B4786" s="7" t="str">
        <x:v>PHY-4780</x:v>
      </x:c>
      <x:c r="C4786" s="7" t="str">
        <x:v>sample</x:v>
      </x:c>
      <x:c r="D4786" s="7" t="str">
        <x:v>RAE-S-194</x:v>
      </x:c>
      <x:c r="E4786" s="7" t="str">
        <x:v>Sample Ledger!K200</x:v>
      </x:c>
      <x:c r="F4786" s="7" t="str">
        <x:f>'Sample Ledger'!K200</x:f>
        <x:v>OPEN</x:v>
      </x:c>
    </x:row>
    <x:row r="4787">
      <x:c r="B4787" s="7" t="str">
        <x:v>PHY-4781</x:v>
      </x:c>
      <x:c r="C4787" s="7" t="str">
        <x:v>sample</x:v>
      </x:c>
      <x:c r="D4787" s="7" t="str">
        <x:v>RAE-S-195</x:v>
      </x:c>
      <x:c r="E4787" s="7" t="str">
        <x:v>Sample Ledger!K201</x:v>
      </x:c>
      <x:c r="F4787" s="7" t="str">
        <x:f>'Sample Ledger'!K201</x:f>
        <x:v>OPEN</x:v>
      </x:c>
    </x:row>
    <x:row r="4788">
      <x:c r="B4788" s="7" t="str">
        <x:v>PHY-4782</x:v>
      </x:c>
      <x:c r="C4788" s="7" t="str">
        <x:v>sample</x:v>
      </x:c>
      <x:c r="D4788" s="7" t="str">
        <x:v>RAE-S-196</x:v>
      </x:c>
      <x:c r="E4788" s="7" t="str">
        <x:v>Sample Ledger!K202</x:v>
      </x:c>
      <x:c r="F4788" s="7" t="str">
        <x:f>'Sample Ledger'!K202</x:f>
        <x:v>OPEN</x:v>
      </x:c>
    </x:row>
    <x:row r="4789">
      <x:c r="B4789" s="7" t="str">
        <x:v>PHY-4783</x:v>
      </x:c>
      <x:c r="C4789" s="7" t="str">
        <x:v>sample</x:v>
      </x:c>
      <x:c r="D4789" s="7" t="str">
        <x:v>RAE-S-197</x:v>
      </x:c>
      <x:c r="E4789" s="7" t="str">
        <x:v>Sample Ledger!K203</x:v>
      </x:c>
      <x:c r="F4789" s="7" t="str">
        <x:f>'Sample Ledger'!K203</x:f>
        <x:v>OPEN</x:v>
      </x:c>
    </x:row>
    <x:row r="4790">
      <x:c r="B4790" s="7" t="str">
        <x:v>PHY-4784</x:v>
      </x:c>
      <x:c r="C4790" s="7" t="str">
        <x:v>sample</x:v>
      </x:c>
      <x:c r="D4790" s="7" t="str">
        <x:v>RAE-S-198</x:v>
      </x:c>
      <x:c r="E4790" s="7" t="str">
        <x:v>Sample Ledger!K204</x:v>
      </x:c>
      <x:c r="F4790" s="7" t="str">
        <x:f>'Sample Ledger'!K204</x:f>
        <x:v>OPEN</x:v>
      </x:c>
    </x:row>
    <x:row r="4791">
      <x:c r="B4791" s="7" t="str">
        <x:v>PHY-4785</x:v>
      </x:c>
      <x:c r="C4791" s="7" t="str">
        <x:v>sample</x:v>
      </x:c>
      <x:c r="D4791" s="7" t="str">
        <x:v>RAE-S-199</x:v>
      </x:c>
      <x:c r="E4791" s="7" t="str">
        <x:v>Sample Ledger!K205</x:v>
      </x:c>
      <x:c r="F4791" s="7" t="str">
        <x:f>'Sample Ledger'!K205</x:f>
        <x:v>OPEN</x:v>
      </x:c>
    </x:row>
    <x:row r="4792">
      <x:c r="B4792" s="7" t="str">
        <x:v>PHY-4786</x:v>
      </x:c>
      <x:c r="C4792" s="7" t="str">
        <x:v>sample</x:v>
      </x:c>
      <x:c r="D4792" s="7" t="str">
        <x:v>RAE-S-200</x:v>
      </x:c>
      <x:c r="E4792" s="7" t="str">
        <x:v>Sample Ledger!K206</x:v>
      </x:c>
      <x:c r="F4792" s="7" t="str">
        <x:f>'Sample Ledger'!K206</x:f>
        <x:v>OPEN</x:v>
      </x:c>
    </x:row>
    <x:row r="4793">
      <x:c r="B4793" s="7" t="str">
        <x:v>PHY-4787</x:v>
      </x:c>
      <x:c r="C4793" s="7" t="str">
        <x:v>sample</x:v>
      </x:c>
      <x:c r="D4793" s="7" t="str">
        <x:v>RAE-S-201</x:v>
      </x:c>
      <x:c r="E4793" s="7" t="str">
        <x:v>Sample Ledger!K207</x:v>
      </x:c>
      <x:c r="F4793" s="7" t="str">
        <x:f>'Sample Ledger'!K207</x:f>
        <x:v>OPEN</x:v>
      </x:c>
    </x:row>
    <x:row r="4794">
      <x:c r="B4794" s="7" t="str">
        <x:v>PHY-4788</x:v>
      </x:c>
      <x:c r="C4794" s="7" t="str">
        <x:v>sample</x:v>
      </x:c>
      <x:c r="D4794" s="7" t="str">
        <x:v>RAE-S-202</x:v>
      </x:c>
      <x:c r="E4794" s="7" t="str">
        <x:v>Sample Ledger!K208</x:v>
      </x:c>
      <x:c r="F4794" s="7" t="str">
        <x:f>'Sample Ledger'!K208</x:f>
        <x:v>OPEN</x:v>
      </x:c>
    </x:row>
    <x:row r="4795">
      <x:c r="B4795" s="7" t="str">
        <x:v>PHY-4789</x:v>
      </x:c>
      <x:c r="C4795" s="7" t="str">
        <x:v>sample</x:v>
      </x:c>
      <x:c r="D4795" s="7" t="str">
        <x:v>RAE-S-203</x:v>
      </x:c>
      <x:c r="E4795" s="7" t="str">
        <x:v>Sample Ledger!K209</x:v>
      </x:c>
      <x:c r="F4795" s="7" t="str">
        <x:f>'Sample Ledger'!K209</x:f>
        <x:v>OPEN</x:v>
      </x:c>
    </x:row>
    <x:row r="4796">
      <x:c r="B4796" s="7" t="str">
        <x:v>PHY-4790</x:v>
      </x:c>
      <x:c r="C4796" s="7" t="str">
        <x:v>sample</x:v>
      </x:c>
      <x:c r="D4796" s="7" t="str">
        <x:v>RAE-S-204</x:v>
      </x:c>
      <x:c r="E4796" s="7" t="str">
        <x:v>Sample Ledger!K210</x:v>
      </x:c>
      <x:c r="F4796" s="7" t="str">
        <x:f>'Sample Ledger'!K210</x:f>
        <x:v>OPEN</x:v>
      </x:c>
    </x:row>
    <x:row r="4797">
      <x:c r="B4797" s="7" t="str">
        <x:v>PHY-4791</x:v>
      </x:c>
      <x:c r="C4797" s="7" t="str">
        <x:v>sample</x:v>
      </x:c>
      <x:c r="D4797" s="7" t="str">
        <x:v>RAE-S-205</x:v>
      </x:c>
      <x:c r="E4797" s="7" t="str">
        <x:v>Sample Ledger!K211</x:v>
      </x:c>
      <x:c r="F4797" s="7" t="str">
        <x:f>'Sample Ledger'!K211</x:f>
        <x:v>OPEN</x:v>
      </x:c>
    </x:row>
    <x:row r="4798">
      <x:c r="B4798" s="7" t="str">
        <x:v>PHY-4792</x:v>
      </x:c>
      <x:c r="C4798" s="7" t="str">
        <x:v>sample</x:v>
      </x:c>
      <x:c r="D4798" s="7" t="str">
        <x:v>RAE-S-206</x:v>
      </x:c>
      <x:c r="E4798" s="7" t="str">
        <x:v>Sample Ledger!K212</x:v>
      </x:c>
      <x:c r="F4798" s="7" t="str">
        <x:f>'Sample Ledger'!K212</x:f>
        <x:v>OPEN</x:v>
      </x:c>
    </x:row>
    <x:row r="4799">
      <x:c r="B4799" s="7" t="str">
        <x:v>PHY-4793</x:v>
      </x:c>
      <x:c r="C4799" s="7" t="str">
        <x:v>sample</x:v>
      </x:c>
      <x:c r="D4799" s="7" t="str">
        <x:v>RAE-S-207</x:v>
      </x:c>
      <x:c r="E4799" s="7" t="str">
        <x:v>Sample Ledger!K213</x:v>
      </x:c>
      <x:c r="F4799" s="7" t="str">
        <x:f>'Sample Ledger'!K213</x:f>
        <x:v>OPEN</x:v>
      </x:c>
    </x:row>
    <x:row r="4800">
      <x:c r="B4800" s="7" t="str">
        <x:v>PHY-4794</x:v>
      </x:c>
      <x:c r="C4800" s="7" t="str">
        <x:v>sample</x:v>
      </x:c>
      <x:c r="D4800" s="7" t="str">
        <x:v>RAE-S-208</x:v>
      </x:c>
      <x:c r="E4800" s="7" t="str">
        <x:v>Sample Ledger!K214</x:v>
      </x:c>
      <x:c r="F4800" s="7" t="str">
        <x:f>'Sample Ledger'!K214</x:f>
        <x:v>OPEN</x:v>
      </x:c>
    </x:row>
    <x:row r="4801">
      <x:c r="B4801" s="7" t="str">
        <x:v>PHY-4795</x:v>
      </x:c>
      <x:c r="C4801" s="7" t="str">
        <x:v>sample</x:v>
      </x:c>
      <x:c r="D4801" s="7" t="str">
        <x:v>RAE-S-209</x:v>
      </x:c>
      <x:c r="E4801" s="7" t="str">
        <x:v>Sample Ledger!K215</x:v>
      </x:c>
      <x:c r="F4801" s="7" t="str">
        <x:f>'Sample Ledger'!K215</x:f>
        <x:v>OPEN</x:v>
      </x:c>
    </x:row>
    <x:row r="4802">
      <x:c r="B4802" s="7" t="str">
        <x:v>PHY-4796</x:v>
      </x:c>
      <x:c r="C4802" s="7" t="str">
        <x:v>sample</x:v>
      </x:c>
      <x:c r="D4802" s="7" t="str">
        <x:v>RAE-S-210</x:v>
      </x:c>
      <x:c r="E4802" s="7" t="str">
        <x:v>Sample Ledger!K216</x:v>
      </x:c>
      <x:c r="F4802" s="7" t="str">
        <x:f>'Sample Ledger'!K216</x:f>
        <x:v>OPEN</x:v>
      </x:c>
    </x:row>
    <x:row r="4803">
      <x:c r="B4803" s="7" t="str">
        <x:v>PHY-4797</x:v>
      </x:c>
      <x:c r="C4803" s="7" t="str">
        <x:v>sample</x:v>
      </x:c>
      <x:c r="D4803" s="7" t="str">
        <x:v>RAE-S-211</x:v>
      </x:c>
      <x:c r="E4803" s="7" t="str">
        <x:v>Sample Ledger!K217</x:v>
      </x:c>
      <x:c r="F4803" s="7" t="str">
        <x:f>'Sample Ledger'!K217</x:f>
        <x:v>OPEN</x:v>
      </x:c>
    </x:row>
    <x:row r="4804">
      <x:c r="B4804" s="7" t="str">
        <x:v>PHY-4798</x:v>
      </x:c>
      <x:c r="C4804" s="7" t="str">
        <x:v>sample</x:v>
      </x:c>
      <x:c r="D4804" s="7" t="str">
        <x:v>RAE-S-212</x:v>
      </x:c>
      <x:c r="E4804" s="7" t="str">
        <x:v>Sample Ledger!K218</x:v>
      </x:c>
      <x:c r="F4804" s="7" t="str">
        <x:f>'Sample Ledger'!K218</x:f>
        <x:v>OPEN</x:v>
      </x:c>
    </x:row>
    <x:row r="4805">
      <x:c r="B4805" s="7" t="str">
        <x:v>PHY-4799</x:v>
      </x:c>
      <x:c r="C4805" s="7" t="str">
        <x:v>sample</x:v>
      </x:c>
      <x:c r="D4805" s="7" t="str">
        <x:v>RAE-S-213</x:v>
      </x:c>
      <x:c r="E4805" s="7" t="str">
        <x:v>Sample Ledger!K219</x:v>
      </x:c>
      <x:c r="F4805" s="7" t="str">
        <x:f>'Sample Ledger'!K219</x:f>
        <x:v>OPEN</x:v>
      </x:c>
    </x:row>
    <x:row r="4806">
      <x:c r="B4806" s="7" t="str">
        <x:v>PHY-4800</x:v>
      </x:c>
      <x:c r="C4806" s="7" t="str">
        <x:v>sample</x:v>
      </x:c>
      <x:c r="D4806" s="7" t="str">
        <x:v>RAE-S-214</x:v>
      </x:c>
      <x:c r="E4806" s="7" t="str">
        <x:v>Sample Ledger!K220</x:v>
      </x:c>
      <x:c r="F4806" s="7" t="str">
        <x:f>'Sample Ledger'!K220</x:f>
        <x:v>OPEN</x:v>
      </x:c>
    </x:row>
    <x:row r="4807">
      <x:c r="B4807" s="7" t="str">
        <x:v>PHY-4801</x:v>
      </x:c>
      <x:c r="C4807" s="7" t="str">
        <x:v>sample</x:v>
      </x:c>
      <x:c r="D4807" s="7" t="str">
        <x:v>RAE-S-215</x:v>
      </x:c>
      <x:c r="E4807" s="7" t="str">
        <x:v>Sample Ledger!K221</x:v>
      </x:c>
      <x:c r="F4807" s="7" t="str">
        <x:f>'Sample Ledger'!K221</x:f>
        <x:v>OPEN</x:v>
      </x:c>
    </x:row>
    <x:row r="4808">
      <x:c r="B4808" s="7" t="str">
        <x:v>PHY-4802</x:v>
      </x:c>
      <x:c r="C4808" s="7" t="str">
        <x:v>sample</x:v>
      </x:c>
      <x:c r="D4808" s="7" t="str">
        <x:v>RAE-S-216</x:v>
      </x:c>
      <x:c r="E4808" s="7" t="str">
        <x:v>Sample Ledger!K222</x:v>
      </x:c>
      <x:c r="F4808" s="7" t="str">
        <x:f>'Sample Ledger'!K222</x:f>
        <x:v>OPEN</x:v>
      </x:c>
    </x:row>
    <x:row r="4809">
      <x:c r="B4809" s="7" t="str">
        <x:v>PHY-4803</x:v>
      </x:c>
      <x:c r="C4809" s="7" t="str">
        <x:v>sample</x:v>
      </x:c>
      <x:c r="D4809" s="7" t="str">
        <x:v>RAE-S-217</x:v>
      </x:c>
      <x:c r="E4809" s="7" t="str">
        <x:v>Sample Ledger!K223</x:v>
      </x:c>
      <x:c r="F4809" s="7" t="str">
        <x:f>'Sample Ledger'!K223</x:f>
        <x:v>OPEN</x:v>
      </x:c>
    </x:row>
    <x:row r="4810">
      <x:c r="B4810" s="7" t="str">
        <x:v>PHY-4804</x:v>
      </x:c>
      <x:c r="C4810" s="7" t="str">
        <x:v>sample</x:v>
      </x:c>
      <x:c r="D4810" s="7" t="str">
        <x:v>RAE-S-218</x:v>
      </x:c>
      <x:c r="E4810" s="7" t="str">
        <x:v>Sample Ledger!K224</x:v>
      </x:c>
      <x:c r="F4810" s="7" t="str">
        <x:f>'Sample Ledger'!K224</x:f>
        <x:v>OPEN</x:v>
      </x:c>
    </x:row>
    <x:row r="4811">
      <x:c r="B4811" s="7" t="str">
        <x:v>PHY-4805</x:v>
      </x:c>
      <x:c r="C4811" s="7" t="str">
        <x:v>sample</x:v>
      </x:c>
      <x:c r="D4811" s="7" t="str">
        <x:v>RAE-S-219</x:v>
      </x:c>
      <x:c r="E4811" s="7" t="str">
        <x:v>Sample Ledger!K225</x:v>
      </x:c>
      <x:c r="F4811" s="7" t="str">
        <x:f>'Sample Ledger'!K225</x:f>
        <x:v>OPEN</x:v>
      </x:c>
    </x:row>
    <x:row r="4812">
      <x:c r="B4812" s="7" t="str">
        <x:v>PHY-4806</x:v>
      </x:c>
      <x:c r="C4812" s="7" t="str">
        <x:v>sample</x:v>
      </x:c>
      <x:c r="D4812" s="7" t="str">
        <x:v>RAE-S-220</x:v>
      </x:c>
      <x:c r="E4812" s="7" t="str">
        <x:v>Sample Ledger!K226</x:v>
      </x:c>
      <x:c r="F4812" s="7" t="str">
        <x:f>'Sample Ledger'!K226</x:f>
        <x:v>OPEN</x:v>
      </x:c>
    </x:row>
    <x:row r="4813">
      <x:c r="B4813" s="7" t="str">
        <x:v>PHY-4807</x:v>
      </x:c>
      <x:c r="C4813" s="7" t="str">
        <x:v>sample</x:v>
      </x:c>
      <x:c r="D4813" s="7" t="str">
        <x:v>RAE-S-221</x:v>
      </x:c>
      <x:c r="E4813" s="7" t="str">
        <x:v>Sample Ledger!K227</x:v>
      </x:c>
      <x:c r="F4813" s="7" t="str">
        <x:f>'Sample Ledger'!K227</x:f>
        <x:v>OPEN</x:v>
      </x:c>
    </x:row>
    <x:row r="4814">
      <x:c r="B4814" s="7" t="str">
        <x:v>PHY-4808</x:v>
      </x:c>
      <x:c r="C4814" s="7" t="str">
        <x:v>sample</x:v>
      </x:c>
      <x:c r="D4814" s="7" t="str">
        <x:v>RAE-S-222</x:v>
      </x:c>
      <x:c r="E4814" s="7" t="str">
        <x:v>Sample Ledger!K228</x:v>
      </x:c>
      <x:c r="F4814" s="7" t="str">
        <x:f>'Sample Ledger'!K228</x:f>
        <x:v>OPEN</x:v>
      </x:c>
    </x:row>
    <x:row r="4815">
      <x:c r="B4815" s="7" t="str">
        <x:v>PHY-4809</x:v>
      </x:c>
      <x:c r="C4815" s="7" t="str">
        <x:v>sample</x:v>
      </x:c>
      <x:c r="D4815" s="7" t="str">
        <x:v>RAE-S-223</x:v>
      </x:c>
      <x:c r="E4815" s="7" t="str">
        <x:v>Sample Ledger!K229</x:v>
      </x:c>
      <x:c r="F4815" s="7" t="str">
        <x:f>'Sample Ledger'!K229</x:f>
        <x:v>OPEN</x:v>
      </x:c>
    </x:row>
    <x:row r="4816">
      <x:c r="B4816" s="7" t="str">
        <x:v>PHY-4810</x:v>
      </x:c>
      <x:c r="C4816" s="7" t="str">
        <x:v>sample</x:v>
      </x:c>
      <x:c r="D4816" s="7" t="str">
        <x:v>RAE-S-224</x:v>
      </x:c>
      <x:c r="E4816" s="7" t="str">
        <x:v>Sample Ledger!K230</x:v>
      </x:c>
      <x:c r="F4816" s="7" t="str">
        <x:f>'Sample Ledger'!K230</x:f>
        <x:v>OPEN</x:v>
      </x:c>
    </x:row>
    <x:row r="4817">
      <x:c r="B4817" s="7" t="str">
        <x:v>PHY-4811</x:v>
      </x:c>
      <x:c r="C4817" s="7" t="str">
        <x:v>sample</x:v>
      </x:c>
      <x:c r="D4817" s="7" t="str">
        <x:v>RAE-S-225</x:v>
      </x:c>
      <x:c r="E4817" s="7" t="str">
        <x:v>Sample Ledger!K231</x:v>
      </x:c>
      <x:c r="F4817" s="7" t="str">
        <x:f>'Sample Ledger'!K231</x:f>
        <x:v>OPEN</x:v>
      </x:c>
    </x:row>
    <x:row r="4818">
      <x:c r="B4818" s="7" t="str">
        <x:v>PHY-4812</x:v>
      </x:c>
      <x:c r="C4818" s="7" t="str">
        <x:v>sample</x:v>
      </x:c>
      <x:c r="D4818" s="7" t="str">
        <x:v>RAE-S-226</x:v>
      </x:c>
      <x:c r="E4818" s="7" t="str">
        <x:v>Sample Ledger!K232</x:v>
      </x:c>
      <x:c r="F4818" s="7" t="str">
        <x:f>'Sample Ledger'!K232</x:f>
        <x:v>OPEN</x:v>
      </x:c>
    </x:row>
    <x:row r="4819">
      <x:c r="B4819" s="7" t="str">
        <x:v>PHY-4813</x:v>
      </x:c>
      <x:c r="C4819" s="7" t="str">
        <x:v>sample</x:v>
      </x:c>
      <x:c r="D4819" s="7" t="str">
        <x:v>RAE-S-227</x:v>
      </x:c>
      <x:c r="E4819" s="7" t="str">
        <x:v>Sample Ledger!K233</x:v>
      </x:c>
      <x:c r="F4819" s="7" t="str">
        <x:f>'Sample Ledger'!K233</x:f>
        <x:v>OPEN</x:v>
      </x:c>
    </x:row>
    <x:row r="4820">
      <x:c r="B4820" s="7" t="str">
        <x:v>PHY-4814</x:v>
      </x:c>
      <x:c r="C4820" s="7" t="str">
        <x:v>sample</x:v>
      </x:c>
      <x:c r="D4820" s="7" t="str">
        <x:v>RAE-S-228</x:v>
      </x:c>
      <x:c r="E4820" s="7" t="str">
        <x:v>Sample Ledger!K234</x:v>
      </x:c>
      <x:c r="F4820" s="7" t="str">
        <x:f>'Sample Ledger'!K234</x:f>
        <x:v>OPEN</x:v>
      </x:c>
    </x:row>
    <x:row r="4821">
      <x:c r="B4821" s="7" t="str">
        <x:v>PHY-4815</x:v>
      </x:c>
      <x:c r="C4821" s="7" t="str">
        <x:v>sample</x:v>
      </x:c>
      <x:c r="D4821" s="7" t="str">
        <x:v>RAE-S-229</x:v>
      </x:c>
      <x:c r="E4821" s="7" t="str">
        <x:v>Sample Ledger!K235</x:v>
      </x:c>
      <x:c r="F4821" s="7" t="str">
        <x:f>'Sample Ledger'!K235</x:f>
        <x:v>OPEN</x:v>
      </x:c>
    </x:row>
    <x:row r="4822">
      <x:c r="B4822" s="7" t="str">
        <x:v>PHY-4816</x:v>
      </x:c>
      <x:c r="C4822" s="7" t="str">
        <x:v>sample</x:v>
      </x:c>
      <x:c r="D4822" s="7" t="str">
        <x:v>RAE-S-230</x:v>
      </x:c>
      <x:c r="E4822" s="7" t="str">
        <x:v>Sample Ledger!K236</x:v>
      </x:c>
      <x:c r="F4822" s="7" t="str">
        <x:f>'Sample Ledger'!K236</x:f>
        <x:v>OPEN</x:v>
      </x:c>
    </x:row>
    <x:row r="4823">
      <x:c r="B4823" s="7" t="str">
        <x:v>PHY-4817</x:v>
      </x:c>
      <x:c r="C4823" s="7" t="str">
        <x:v>sample</x:v>
      </x:c>
      <x:c r="D4823" s="7" t="str">
        <x:v>RAE-S-231</x:v>
      </x:c>
      <x:c r="E4823" s="7" t="str">
        <x:v>Sample Ledger!K237</x:v>
      </x:c>
      <x:c r="F4823" s="7" t="str">
        <x:f>'Sample Ledger'!K237</x:f>
        <x:v>OPEN</x:v>
      </x:c>
    </x:row>
    <x:row r="4824">
      <x:c r="B4824" s="7" t="str">
        <x:v>PHY-4818</x:v>
      </x:c>
      <x:c r="C4824" s="7" t="str">
        <x:v>sample</x:v>
      </x:c>
      <x:c r="D4824" s="7" t="str">
        <x:v>RAE-S-232</x:v>
      </x:c>
      <x:c r="E4824" s="7" t="str">
        <x:v>Sample Ledger!K238</x:v>
      </x:c>
      <x:c r="F4824" s="7" t="str">
        <x:f>'Sample Ledger'!K238</x:f>
        <x:v>OPEN</x:v>
      </x:c>
    </x:row>
    <x:row r="4825">
      <x:c r="B4825" s="7" t="str">
        <x:v>PHY-4819</x:v>
      </x:c>
      <x:c r="C4825" s="7" t="str">
        <x:v>sample</x:v>
      </x:c>
      <x:c r="D4825" s="7" t="str">
        <x:v>RAE-S-233</x:v>
      </x:c>
      <x:c r="E4825" s="7" t="str">
        <x:v>Sample Ledger!K239</x:v>
      </x:c>
      <x:c r="F4825" s="7" t="str">
        <x:f>'Sample Ledger'!K239</x:f>
        <x:v>OPEN</x:v>
      </x:c>
    </x:row>
    <x:row r="4826">
      <x:c r="B4826" s="7" t="str">
        <x:v>PHY-4820</x:v>
      </x:c>
      <x:c r="C4826" s="7" t="str">
        <x:v>sample</x:v>
      </x:c>
      <x:c r="D4826" s="7" t="str">
        <x:v>RAE-S-234</x:v>
      </x:c>
      <x:c r="E4826" s="7" t="str">
        <x:v>Sample Ledger!K240</x:v>
      </x:c>
      <x:c r="F4826" s="7" t="str">
        <x:f>'Sample Ledger'!K240</x:f>
        <x:v>OPEN</x:v>
      </x:c>
    </x:row>
    <x:row r="4827">
      <x:c r="B4827" s="7" t="str">
        <x:v>PHY-4821</x:v>
      </x:c>
      <x:c r="C4827" s="7" t="str">
        <x:v>sample</x:v>
      </x:c>
      <x:c r="D4827" s="7" t="str">
        <x:v>RAE-S-235</x:v>
      </x:c>
      <x:c r="E4827" s="7" t="str">
        <x:v>Sample Ledger!K241</x:v>
      </x:c>
      <x:c r="F4827" s="7" t="str">
        <x:f>'Sample Ledger'!K241</x:f>
        <x:v>OPEN</x:v>
      </x:c>
    </x:row>
    <x:row r="4828">
      <x:c r="B4828" s="7" t="str">
        <x:v>PHY-4822</x:v>
      </x:c>
      <x:c r="C4828" s="7" t="str">
        <x:v>sample</x:v>
      </x:c>
      <x:c r="D4828" s="7" t="str">
        <x:v>RAE-S-236</x:v>
      </x:c>
      <x:c r="E4828" s="7" t="str">
        <x:v>Sample Ledger!K242</x:v>
      </x:c>
      <x:c r="F4828" s="7" t="str">
        <x:f>'Sample Ledger'!K242</x:f>
        <x:v>OPEN</x:v>
      </x:c>
    </x:row>
    <x:row r="4829">
      <x:c r="B4829" s="7" t="str">
        <x:v>PHY-4823</x:v>
      </x:c>
      <x:c r="C4829" s="7" t="str">
        <x:v>sample</x:v>
      </x:c>
      <x:c r="D4829" s="7" t="str">
        <x:v>RAE-S-237</x:v>
      </x:c>
      <x:c r="E4829" s="7" t="str">
        <x:v>Sample Ledger!K243</x:v>
      </x:c>
      <x:c r="F4829" s="7" t="str">
        <x:f>'Sample Ledger'!K243</x:f>
        <x:v>OPEN</x:v>
      </x:c>
    </x:row>
    <x:row r="4830">
      <x:c r="B4830" s="7" t="str">
        <x:v>PHY-4824</x:v>
      </x:c>
      <x:c r="C4830" s="7" t="str">
        <x:v>sample</x:v>
      </x:c>
      <x:c r="D4830" s="7" t="str">
        <x:v>RAE-S-238</x:v>
      </x:c>
      <x:c r="E4830" s="7" t="str">
        <x:v>Sample Ledger!K244</x:v>
      </x:c>
      <x:c r="F4830" s="7" t="str">
        <x:f>'Sample Ledger'!K244</x:f>
        <x:v>OPEN</x:v>
      </x:c>
    </x:row>
    <x:row r="4831">
      <x:c r="B4831" s="7" t="str">
        <x:v>PHY-4825</x:v>
      </x:c>
      <x:c r="C4831" s="7" t="str">
        <x:v>sample</x:v>
      </x:c>
      <x:c r="D4831" s="7" t="str">
        <x:v>RAE-S-239</x:v>
      </x:c>
      <x:c r="E4831" s="7" t="str">
        <x:v>Sample Ledger!K245</x:v>
      </x:c>
      <x:c r="F4831" s="7" t="str">
        <x:f>'Sample Ledger'!K245</x:f>
        <x:v>OPEN</x:v>
      </x:c>
    </x:row>
    <x:row r="4832">
      <x:c r="B4832" s="7" t="str">
        <x:v>PHY-4826</x:v>
      </x:c>
      <x:c r="C4832" s="7" t="str">
        <x:v>sample</x:v>
      </x:c>
      <x:c r="D4832" s="7" t="str">
        <x:v>RAE-S-240</x:v>
      </x:c>
      <x:c r="E4832" s="7" t="str">
        <x:v>Sample Ledger!K246</x:v>
      </x:c>
      <x:c r="F4832" s="7" t="str">
        <x:f>'Sample Ledger'!K246</x:f>
        <x:v>OPEN</x:v>
      </x:c>
    </x:row>
    <x:row r="4833">
      <x:c r="B4833" s="7" t="str">
        <x:v>PHY-4827</x:v>
      </x:c>
      <x:c r="C4833" s="7" t="str">
        <x:v>sample</x:v>
      </x:c>
      <x:c r="D4833" s="7" t="str">
        <x:v>RAE-S-241</x:v>
      </x:c>
      <x:c r="E4833" s="7" t="str">
        <x:v>Sample Ledger!K247</x:v>
      </x:c>
      <x:c r="F4833" s="7" t="str">
        <x:f>'Sample Ledger'!K247</x:f>
        <x:v>OPEN</x:v>
      </x:c>
    </x:row>
    <x:row r="4834">
      <x:c r="B4834" s="7" t="str">
        <x:v>PHY-4828</x:v>
      </x:c>
      <x:c r="C4834" s="7" t="str">
        <x:v>sample</x:v>
      </x:c>
      <x:c r="D4834" s="7" t="str">
        <x:v>RAE-S-242</x:v>
      </x:c>
      <x:c r="E4834" s="7" t="str">
        <x:v>Sample Ledger!K248</x:v>
      </x:c>
      <x:c r="F4834" s="7" t="str">
        <x:f>'Sample Ledger'!K248</x:f>
        <x:v>OPEN</x:v>
      </x:c>
    </x:row>
    <x:row r="4835">
      <x:c r="B4835" s="7" t="str">
        <x:v>PHY-4829</x:v>
      </x:c>
      <x:c r="C4835" s="7" t="str">
        <x:v>sample</x:v>
      </x:c>
      <x:c r="D4835" s="7" t="str">
        <x:v>RAE-S-243</x:v>
      </x:c>
      <x:c r="E4835" s="7" t="str">
        <x:v>Sample Ledger!K249</x:v>
      </x:c>
      <x:c r="F4835" s="7" t="str">
        <x:f>'Sample Ledger'!K249</x:f>
        <x:v>OPEN</x:v>
      </x:c>
    </x:row>
    <x:row r="4836">
      <x:c r="B4836" s="7" t="str">
        <x:v>PHY-4830</x:v>
      </x:c>
      <x:c r="C4836" s="7" t="str">
        <x:v>sample</x:v>
      </x:c>
      <x:c r="D4836" s="7" t="str">
        <x:v>RAE-S-244</x:v>
      </x:c>
      <x:c r="E4836" s="7" t="str">
        <x:v>Sample Ledger!K250</x:v>
      </x:c>
      <x:c r="F4836" s="7" t="str">
        <x:f>'Sample Ledger'!K250</x:f>
        <x:v>OPEN</x:v>
      </x:c>
    </x:row>
    <x:row r="4837">
      <x:c r="B4837" s="7" t="str">
        <x:v>PHY-4831</x:v>
      </x:c>
      <x:c r="C4837" s="7" t="str">
        <x:v>sample</x:v>
      </x:c>
      <x:c r="D4837" s="7" t="str">
        <x:v>RAE-S-245</x:v>
      </x:c>
      <x:c r="E4837" s="7" t="str">
        <x:v>Sample Ledger!K251</x:v>
      </x:c>
      <x:c r="F4837" s="7" t="str">
        <x:f>'Sample Ledger'!K251</x:f>
        <x:v>OPEN</x:v>
      </x:c>
    </x:row>
    <x:row r="4838">
      <x:c r="B4838" s="7" t="str">
        <x:v>PHY-4832</x:v>
      </x:c>
      <x:c r="C4838" s="7" t="str">
        <x:v>sample</x:v>
      </x:c>
      <x:c r="D4838" s="7" t="str">
        <x:v>RAE-S-246</x:v>
      </x:c>
      <x:c r="E4838" s="7" t="str">
        <x:v>Sample Ledger!K252</x:v>
      </x:c>
      <x:c r="F4838" s="7" t="str">
        <x:f>'Sample Ledger'!K252</x:f>
        <x:v>OPEN</x:v>
      </x:c>
    </x:row>
    <x:row r="4839">
      <x:c r="B4839" s="7" t="str">
        <x:v>PHY-4833</x:v>
      </x:c>
      <x:c r="C4839" s="7" t="str">
        <x:v>sample</x:v>
      </x:c>
      <x:c r="D4839" s="7" t="str">
        <x:v>RAE-S-247</x:v>
      </x:c>
      <x:c r="E4839" s="7" t="str">
        <x:v>Sample Ledger!K253</x:v>
      </x:c>
      <x:c r="F4839" s="7" t="str">
        <x:f>'Sample Ledger'!K253</x:f>
        <x:v>OPEN</x:v>
      </x:c>
    </x:row>
    <x:row r="4840">
      <x:c r="B4840" s="7" t="str">
        <x:v>PHY-4834</x:v>
      </x:c>
      <x:c r="C4840" s="7" t="str">
        <x:v>sample</x:v>
      </x:c>
      <x:c r="D4840" s="7" t="str">
        <x:v>RAE-S-248</x:v>
      </x:c>
      <x:c r="E4840" s="7" t="str">
        <x:v>Sample Ledger!K254</x:v>
      </x:c>
      <x:c r="F4840" s="7" t="str">
        <x:f>'Sample Ledger'!K254</x:f>
        <x:v>OPEN</x:v>
      </x:c>
    </x:row>
    <x:row r="4841">
      <x:c r="B4841" s="7" t="str">
        <x:v>PHY-4835</x:v>
      </x:c>
      <x:c r="C4841" s="7" t="str">
        <x:v>sample</x:v>
      </x:c>
      <x:c r="D4841" s="7" t="str">
        <x:v>RAE-S-249</x:v>
      </x:c>
      <x:c r="E4841" s="7" t="str">
        <x:v>Sample Ledger!K255</x:v>
      </x:c>
      <x:c r="F4841" s="7" t="str">
        <x:f>'Sample Ledger'!K255</x:f>
        <x:v>OPEN</x:v>
      </x:c>
    </x:row>
    <x:row r="4842">
      <x:c r="B4842" s="7" t="str">
        <x:v>PHY-4836</x:v>
      </x:c>
      <x:c r="C4842" s="7" t="str">
        <x:v>sample</x:v>
      </x:c>
      <x:c r="D4842" s="7" t="str">
        <x:v>RAE-S-250</x:v>
      </x:c>
      <x:c r="E4842" s="7" t="str">
        <x:v>Sample Ledger!K256</x:v>
      </x:c>
      <x:c r="F4842" s="7" t="str">
        <x:f>'Sample Ledger'!K256</x:f>
        <x:v>OPEN</x:v>
      </x:c>
    </x:row>
    <x:row r="4843">
      <x:c r="B4843" s="7" t="str">
        <x:v>PHY-4837</x:v>
      </x:c>
      <x:c r="C4843" s="7" t="str">
        <x:v>sample</x:v>
      </x:c>
      <x:c r="D4843" s="7" t="str">
        <x:v>RAE-S-251</x:v>
      </x:c>
      <x:c r="E4843" s="7" t="str">
        <x:v>Sample Ledger!K257</x:v>
      </x:c>
      <x:c r="F4843" s="7" t="str">
        <x:f>'Sample Ledger'!K257</x:f>
        <x:v>OPEN</x:v>
      </x:c>
    </x:row>
    <x:row r="4844">
      <x:c r="B4844" s="7" t="str">
        <x:v>PHY-4838</x:v>
      </x:c>
      <x:c r="C4844" s="7" t="str">
        <x:v>sample</x:v>
      </x:c>
      <x:c r="D4844" s="7" t="str">
        <x:v>RAE-S-252</x:v>
      </x:c>
      <x:c r="E4844" s="7" t="str">
        <x:v>Sample Ledger!K258</x:v>
      </x:c>
      <x:c r="F4844" s="7" t="str">
        <x:f>'Sample Ledger'!K258</x:f>
        <x:v>OPEN</x:v>
      </x:c>
    </x:row>
    <x:row r="4845">
      <x:c r="B4845" s="7" t="str">
        <x:v>PHY-4839</x:v>
      </x:c>
      <x:c r="C4845" s="7" t="str">
        <x:v>sample</x:v>
      </x:c>
      <x:c r="D4845" s="7" t="str">
        <x:v>RAE-S-253</x:v>
      </x:c>
      <x:c r="E4845" s="7" t="str">
        <x:v>Sample Ledger!K259</x:v>
      </x:c>
      <x:c r="F4845" s="7" t="str">
        <x:f>'Sample Ledger'!K259</x:f>
        <x:v>OPEN</x:v>
      </x:c>
    </x:row>
    <x:row r="4846">
      <x:c r="B4846" s="7" t="str">
        <x:v>PHY-4840</x:v>
      </x:c>
      <x:c r="C4846" s="7" t="str">
        <x:v>sample</x:v>
      </x:c>
      <x:c r="D4846" s="7" t="str">
        <x:v>RAE-S-254</x:v>
      </x:c>
      <x:c r="E4846" s="7" t="str">
        <x:v>Sample Ledger!K260</x:v>
      </x:c>
      <x:c r="F4846" s="7" t="str">
        <x:f>'Sample Ledger'!K260</x:f>
        <x:v>OPEN</x:v>
      </x:c>
    </x:row>
    <x:row r="4847">
      <x:c r="B4847" s="7" t="str">
        <x:v>PHY-4841</x:v>
      </x:c>
      <x:c r="C4847" s="7" t="str">
        <x:v>sample</x:v>
      </x:c>
      <x:c r="D4847" s="7" t="str">
        <x:v>RAE-S-255</x:v>
      </x:c>
      <x:c r="E4847" s="7" t="str">
        <x:v>Sample Ledger!K261</x:v>
      </x:c>
      <x:c r="F4847" s="7" t="str">
        <x:f>'Sample Ledger'!K261</x:f>
        <x:v>OPEN</x:v>
      </x:c>
    </x:row>
    <x:row r="4848">
      <x:c r="B4848" s="7" t="str">
        <x:v>PHY-4842</x:v>
      </x:c>
      <x:c r="C4848" s="7" t="str">
        <x:v>sample</x:v>
      </x:c>
      <x:c r="D4848" s="7" t="str">
        <x:v>RAE-S-256</x:v>
      </x:c>
      <x:c r="E4848" s="7" t="str">
        <x:v>Sample Ledger!K262</x:v>
      </x:c>
      <x:c r="F4848" s="7" t="str">
        <x:f>'Sample Ledger'!K262</x:f>
        <x:v>OPEN</x:v>
      </x:c>
    </x:row>
    <x:row r="4849">
      <x:c r="B4849" s="7" t="str">
        <x:v>PHY-4843</x:v>
      </x:c>
      <x:c r="C4849" s="7" t="str">
        <x:v>sample</x:v>
      </x:c>
      <x:c r="D4849" s="7" t="str">
        <x:v>RAE-S-257</x:v>
      </x:c>
      <x:c r="E4849" s="7" t="str">
        <x:v>Sample Ledger!K263</x:v>
      </x:c>
      <x:c r="F4849" s="7" t="str">
        <x:f>'Sample Ledger'!K263</x:f>
        <x:v>OPEN</x:v>
      </x:c>
    </x:row>
    <x:row r="4850">
      <x:c r="B4850" s="7" t="str">
        <x:v>PHY-4844</x:v>
      </x:c>
      <x:c r="C4850" s="7" t="str">
        <x:v>sample</x:v>
      </x:c>
      <x:c r="D4850" s="7" t="str">
        <x:v>RAE-S-258</x:v>
      </x:c>
      <x:c r="E4850" s="7" t="str">
        <x:v>Sample Ledger!K264</x:v>
      </x:c>
      <x:c r="F4850" s="7" t="str">
        <x:f>'Sample Ledger'!K264</x:f>
        <x:v>OPEN</x:v>
      </x:c>
    </x:row>
    <x:row r="4851">
      <x:c r="B4851" s="7" t="str">
        <x:v>PHY-4845</x:v>
      </x:c>
      <x:c r="C4851" s="7" t="str">
        <x:v>sample</x:v>
      </x:c>
      <x:c r="D4851" s="7" t="str">
        <x:v>RAE-S-259</x:v>
      </x:c>
      <x:c r="E4851" s="7" t="str">
        <x:v>Sample Ledger!K265</x:v>
      </x:c>
      <x:c r="F4851" s="7" t="str">
        <x:f>'Sample Ledger'!K265</x:f>
        <x:v>OPEN</x:v>
      </x:c>
    </x:row>
    <x:row r="4852">
      <x:c r="B4852" s="7" t="str">
        <x:v>PHY-4846</x:v>
      </x:c>
      <x:c r="C4852" s="7" t="str">
        <x:v>sample</x:v>
      </x:c>
      <x:c r="D4852" s="7" t="str">
        <x:v>RAE-S-260</x:v>
      </x:c>
      <x:c r="E4852" s="7" t="str">
        <x:v>Sample Ledger!K266</x:v>
      </x:c>
      <x:c r="F4852" s="7" t="str">
        <x:f>'Sample Ledger'!K266</x:f>
        <x:v>OPEN</x:v>
      </x:c>
    </x:row>
    <x:row r="4853">
      <x:c r="B4853" s="7" t="str">
        <x:v>PHY-4847</x:v>
      </x:c>
      <x:c r="C4853" s="7" t="str">
        <x:v>sample</x:v>
      </x:c>
      <x:c r="D4853" s="7" t="str">
        <x:v>RAE-S-261</x:v>
      </x:c>
      <x:c r="E4853" s="7" t="str">
        <x:v>Sample Ledger!K267</x:v>
      </x:c>
      <x:c r="F4853" s="7" t="str">
        <x:f>'Sample Ledger'!K267</x:f>
        <x:v>OPEN</x:v>
      </x:c>
    </x:row>
    <x:row r="4854">
      <x:c r="B4854" s="7" t="str">
        <x:v>PHY-4848</x:v>
      </x:c>
      <x:c r="C4854" s="7" t="str">
        <x:v>sample</x:v>
      </x:c>
      <x:c r="D4854" s="7" t="str">
        <x:v>RAE-S-262</x:v>
      </x:c>
      <x:c r="E4854" s="7" t="str">
        <x:v>Sample Ledger!K268</x:v>
      </x:c>
      <x:c r="F4854" s="7" t="str">
        <x:f>'Sample Ledger'!K268</x:f>
        <x:v>OPEN</x:v>
      </x:c>
    </x:row>
    <x:row r="4855">
      <x:c r="B4855" s="7" t="str">
        <x:v>PHY-4849</x:v>
      </x:c>
      <x:c r="C4855" s="7" t="str">
        <x:v>sample</x:v>
      </x:c>
      <x:c r="D4855" s="7" t="str">
        <x:v>RAE-S-263</x:v>
      </x:c>
      <x:c r="E4855" s="7" t="str">
        <x:v>Sample Ledger!K269</x:v>
      </x:c>
      <x:c r="F4855" s="7" t="str">
        <x:f>'Sample Ledger'!K269</x:f>
        <x:v>OPEN</x:v>
      </x:c>
    </x:row>
    <x:row r="4856">
      <x:c r="B4856" s="7" t="str">
        <x:v>PHY-4850</x:v>
      </x:c>
      <x:c r="C4856" s="7" t="str">
        <x:v>sample</x:v>
      </x:c>
      <x:c r="D4856" s="7" t="str">
        <x:v>RAE-S-264</x:v>
      </x:c>
      <x:c r="E4856" s="7" t="str">
        <x:v>Sample Ledger!K270</x:v>
      </x:c>
      <x:c r="F4856" s="7" t="str">
        <x:f>'Sample Ledger'!K270</x:f>
        <x:v>OPEN</x:v>
      </x:c>
    </x:row>
    <x:row r="4857">
      <x:c r="B4857" s="7" t="str">
        <x:v>PHY-4851</x:v>
      </x:c>
      <x:c r="C4857" s="7" t="str">
        <x:v>sample</x:v>
      </x:c>
      <x:c r="D4857" s="7" t="str">
        <x:v>RAE-S-265</x:v>
      </x:c>
      <x:c r="E4857" s="7" t="str">
        <x:v>Sample Ledger!K271</x:v>
      </x:c>
      <x:c r="F4857" s="7" t="str">
        <x:f>'Sample Ledger'!K271</x:f>
        <x:v>OPEN</x:v>
      </x:c>
    </x:row>
    <x:row r="4858">
      <x:c r="B4858" s="7" t="str">
        <x:v>PHY-4852</x:v>
      </x:c>
      <x:c r="C4858" s="7" t="str">
        <x:v>sample</x:v>
      </x:c>
      <x:c r="D4858" s="7" t="str">
        <x:v>RAE-S-266</x:v>
      </x:c>
      <x:c r="E4858" s="7" t="str">
        <x:v>Sample Ledger!K272</x:v>
      </x:c>
      <x:c r="F4858" s="7" t="str">
        <x:f>'Sample Ledger'!K272</x:f>
        <x:v>OPEN</x:v>
      </x:c>
    </x:row>
    <x:row r="4859">
      <x:c r="B4859" s="7" t="str">
        <x:v>PHY-4853</x:v>
      </x:c>
      <x:c r="C4859" s="7" t="str">
        <x:v>sample</x:v>
      </x:c>
      <x:c r="D4859" s="7" t="str">
        <x:v>RAE-S-267</x:v>
      </x:c>
      <x:c r="E4859" s="7" t="str">
        <x:v>Sample Ledger!K273</x:v>
      </x:c>
      <x:c r="F4859" s="7" t="str">
        <x:f>'Sample Ledger'!K273</x:f>
        <x:v>OPEN</x:v>
      </x:c>
    </x:row>
    <x:row r="4860">
      <x:c r="B4860" s="7" t="str">
        <x:v>PHY-4854</x:v>
      </x:c>
      <x:c r="C4860" s="7" t="str">
        <x:v>sample</x:v>
      </x:c>
      <x:c r="D4860" s="7" t="str">
        <x:v>RAE-S-268</x:v>
      </x:c>
      <x:c r="E4860" s="7" t="str">
        <x:v>Sample Ledger!K274</x:v>
      </x:c>
      <x:c r="F4860" s="7" t="str">
        <x:f>'Sample Ledger'!K274</x:f>
        <x:v>OPEN</x:v>
      </x:c>
    </x:row>
    <x:row r="4861">
      <x:c r="B4861" s="7" t="str">
        <x:v>PHY-4855</x:v>
      </x:c>
      <x:c r="C4861" s="7" t="str">
        <x:v>sample</x:v>
      </x:c>
      <x:c r="D4861" s="7" t="str">
        <x:v>RAE-S-269</x:v>
      </x:c>
      <x:c r="E4861" s="7" t="str">
        <x:v>Sample Ledger!K275</x:v>
      </x:c>
      <x:c r="F4861" s="7" t="str">
        <x:f>'Sample Ledger'!K275</x:f>
        <x:v>OPEN</x:v>
      </x:c>
    </x:row>
    <x:row r="4862">
      <x:c r="B4862" s="7" t="str">
        <x:v>PHY-4856</x:v>
      </x:c>
      <x:c r="C4862" s="7" t="str">
        <x:v>sample</x:v>
      </x:c>
      <x:c r="D4862" s="7" t="str">
        <x:v>RAE-S-270</x:v>
      </x:c>
      <x:c r="E4862" s="7" t="str">
        <x:v>Sample Ledger!K276</x:v>
      </x:c>
      <x:c r="F4862" s="7" t="str">
        <x:f>'Sample Ledger'!K276</x:f>
        <x:v>OPEN</x:v>
      </x:c>
    </x:row>
    <x:row r="4863">
      <x:c r="B4863" s="7" t="str">
        <x:v>PHY-4857</x:v>
      </x:c>
      <x:c r="C4863" s="7" t="str">
        <x:v>sample</x:v>
      </x:c>
      <x:c r="D4863" s="7" t="str">
        <x:v>RAE-S-271</x:v>
      </x:c>
      <x:c r="E4863" s="7" t="str">
        <x:v>Sample Ledger!K277</x:v>
      </x:c>
      <x:c r="F4863" s="7" t="str">
        <x:f>'Sample Ledger'!K277</x:f>
        <x:v>OPEN</x:v>
      </x:c>
    </x:row>
    <x:row r="4864">
      <x:c r="B4864" s="7" t="str">
        <x:v>PHY-4858</x:v>
      </x:c>
      <x:c r="C4864" s="7" t="str">
        <x:v>sample</x:v>
      </x:c>
      <x:c r="D4864" s="7" t="str">
        <x:v>RAE-S-272</x:v>
      </x:c>
      <x:c r="E4864" s="7" t="str">
        <x:v>Sample Ledger!K278</x:v>
      </x:c>
      <x:c r="F4864" s="7" t="str">
        <x:f>'Sample Ledger'!K278</x:f>
        <x:v>OPEN</x:v>
      </x:c>
    </x:row>
    <x:row r="4865">
      <x:c r="B4865" s="7" t="str">
        <x:v>PHY-4859</x:v>
      </x:c>
      <x:c r="C4865" s="7" t="str">
        <x:v>sample</x:v>
      </x:c>
      <x:c r="D4865" s="7" t="str">
        <x:v>RAE-S-273</x:v>
      </x:c>
      <x:c r="E4865" s="7" t="str">
        <x:v>Sample Ledger!K279</x:v>
      </x:c>
      <x:c r="F4865" s="7" t="str">
        <x:f>'Sample Ledger'!K279</x:f>
        <x:v>OPEN</x:v>
      </x:c>
    </x:row>
    <x:row r="4866">
      <x:c r="B4866" s="7" t="str">
        <x:v>PHY-4860</x:v>
      </x:c>
      <x:c r="C4866" s="7" t="str">
        <x:v>sample</x:v>
      </x:c>
      <x:c r="D4866" s="7" t="str">
        <x:v>RAE-S-274</x:v>
      </x:c>
      <x:c r="E4866" s="7" t="str">
        <x:v>Sample Ledger!K280</x:v>
      </x:c>
      <x:c r="F4866" s="7" t="str">
        <x:f>'Sample Ledger'!K280</x:f>
        <x:v>OPEN</x:v>
      </x:c>
    </x:row>
    <x:row r="4867">
      <x:c r="B4867" s="7" t="str">
        <x:v>PHY-4861</x:v>
      </x:c>
      <x:c r="C4867" s="7" t="str">
        <x:v>sample</x:v>
      </x:c>
      <x:c r="D4867" s="7" t="str">
        <x:v>RAE-S-275</x:v>
      </x:c>
      <x:c r="E4867" s="7" t="str">
        <x:v>Sample Ledger!K281</x:v>
      </x:c>
      <x:c r="F4867" s="7" t="str">
        <x:f>'Sample Ledger'!K281</x:f>
        <x:v>OPEN</x:v>
      </x:c>
    </x:row>
    <x:row r="4868">
      <x:c r="B4868" s="7" t="str">
        <x:v>PHY-4862</x:v>
      </x:c>
      <x:c r="C4868" s="7" t="str">
        <x:v>sample</x:v>
      </x:c>
      <x:c r="D4868" s="7" t="str">
        <x:v>RAE-S-276</x:v>
      </x:c>
      <x:c r="E4868" s="7" t="str">
        <x:v>Sample Ledger!K282</x:v>
      </x:c>
      <x:c r="F4868" s="7" t="str">
        <x:f>'Sample Ledger'!K282</x:f>
        <x:v>OPEN</x:v>
      </x:c>
    </x:row>
    <x:row r="4869">
      <x:c r="B4869" s="7" t="str">
        <x:v>PHY-4863</x:v>
      </x:c>
      <x:c r="C4869" s="7" t="str">
        <x:v>sample</x:v>
      </x:c>
      <x:c r="D4869" s="7" t="str">
        <x:v>RAE-S-277</x:v>
      </x:c>
      <x:c r="E4869" s="7" t="str">
        <x:v>Sample Ledger!K283</x:v>
      </x:c>
      <x:c r="F4869" s="7" t="str">
        <x:f>'Sample Ledger'!K283</x:f>
        <x:v>OPEN</x:v>
      </x:c>
    </x:row>
    <x:row r="4870">
      <x:c r="B4870" s="7" t="str">
        <x:v>PHY-4864</x:v>
      </x:c>
      <x:c r="C4870" s="7" t="str">
        <x:v>sample</x:v>
      </x:c>
      <x:c r="D4870" s="7" t="str">
        <x:v>RAE-S-278</x:v>
      </x:c>
      <x:c r="E4870" s="7" t="str">
        <x:v>Sample Ledger!K284</x:v>
      </x:c>
      <x:c r="F4870" s="7" t="str">
        <x:f>'Sample Ledger'!K284</x:f>
        <x:v>OPEN</x:v>
      </x:c>
    </x:row>
    <x:row r="4871">
      <x:c r="B4871" s="7" t="str">
        <x:v>PHY-4865</x:v>
      </x:c>
      <x:c r="C4871" s="7" t="str">
        <x:v>sample</x:v>
      </x:c>
      <x:c r="D4871" s="7" t="str">
        <x:v>RAE-S-279</x:v>
      </x:c>
      <x:c r="E4871" s="7" t="str">
        <x:v>Sample Ledger!K285</x:v>
      </x:c>
      <x:c r="F4871" s="7" t="str">
        <x:f>'Sample Ledger'!K285</x:f>
        <x:v>OPEN</x:v>
      </x:c>
    </x:row>
    <x:row r="4872">
      <x:c r="B4872" s="7" t="str">
        <x:v>PHY-4866</x:v>
      </x:c>
      <x:c r="C4872" s="7" t="str">
        <x:v>sample</x:v>
      </x:c>
      <x:c r="D4872" s="7" t="str">
        <x:v>RAE-S-280</x:v>
      </x:c>
      <x:c r="E4872" s="7" t="str">
        <x:v>Sample Ledger!K286</x:v>
      </x:c>
      <x:c r="F4872" s="7" t="str">
        <x:f>'Sample Ledger'!K286</x:f>
        <x:v>OPEN</x:v>
      </x:c>
    </x:row>
    <x:row r="4873">
      <x:c r="B4873" s="7" t="str">
        <x:v>PHY-4867</x:v>
      </x:c>
      <x:c r="C4873" s="7" t="str">
        <x:v>sample</x:v>
      </x:c>
      <x:c r="D4873" s="7" t="str">
        <x:v>RAE-S-281</x:v>
      </x:c>
      <x:c r="E4873" s="7" t="str">
        <x:v>Sample Ledger!K287</x:v>
      </x:c>
      <x:c r="F4873" s="7" t="str">
        <x:f>'Sample Ledger'!K287</x:f>
        <x:v>OPEN</x:v>
      </x:c>
    </x:row>
    <x:row r="4874">
      <x:c r="B4874" s="7" t="str">
        <x:v>PHY-4868</x:v>
      </x:c>
      <x:c r="C4874" s="7" t="str">
        <x:v>sample</x:v>
      </x:c>
      <x:c r="D4874" s="7" t="str">
        <x:v>RAE-S-282</x:v>
      </x:c>
      <x:c r="E4874" s="7" t="str">
        <x:v>Sample Ledger!K288</x:v>
      </x:c>
      <x:c r="F4874" s="7" t="str">
        <x:f>'Sample Ledger'!K288</x:f>
        <x:v>OPEN</x:v>
      </x:c>
    </x:row>
    <x:row r="4875">
      <x:c r="B4875" s="7" t="str">
        <x:v>PHY-4869</x:v>
      </x:c>
      <x:c r="C4875" s="7" t="str">
        <x:v>sample</x:v>
      </x:c>
      <x:c r="D4875" s="7" t="str">
        <x:v>RAE-S-283</x:v>
      </x:c>
      <x:c r="E4875" s="7" t="str">
        <x:v>Sample Ledger!K289</x:v>
      </x:c>
      <x:c r="F4875" s="7" t="str">
        <x:f>'Sample Ledger'!K289</x:f>
        <x:v>OPEN</x:v>
      </x:c>
    </x:row>
    <x:row r="4876">
      <x:c r="B4876" s="7" t="str">
        <x:v>PHY-4870</x:v>
      </x:c>
      <x:c r="C4876" s="7" t="str">
        <x:v>sample</x:v>
      </x:c>
      <x:c r="D4876" s="7" t="str">
        <x:v>RAE-S-284</x:v>
      </x:c>
      <x:c r="E4876" s="7" t="str">
        <x:v>Sample Ledger!K290</x:v>
      </x:c>
      <x:c r="F4876" s="7" t="str">
        <x:f>'Sample Ledger'!K290</x:f>
        <x:v>OPEN</x:v>
      </x:c>
    </x:row>
    <x:row r="4877">
      <x:c r="B4877" s="7" t="str">
        <x:v>PHY-4871</x:v>
      </x:c>
      <x:c r="C4877" s="7" t="str">
        <x:v>sample</x:v>
      </x:c>
      <x:c r="D4877" s="7" t="str">
        <x:v>RAE-S-285</x:v>
      </x:c>
      <x:c r="E4877" s="7" t="str">
        <x:v>Sample Ledger!K291</x:v>
      </x:c>
      <x:c r="F4877" s="7" t="str">
        <x:f>'Sample Ledger'!K291</x:f>
        <x:v>OPEN</x:v>
      </x:c>
    </x:row>
    <x:row r="4878">
      <x:c r="B4878" s="7" t="str">
        <x:v>PHY-4872</x:v>
      </x:c>
      <x:c r="C4878" s="7" t="str">
        <x:v>sample</x:v>
      </x:c>
      <x:c r="D4878" s="7" t="str">
        <x:v>RAE-S-286</x:v>
      </x:c>
      <x:c r="E4878" s="7" t="str">
        <x:v>Sample Ledger!K292</x:v>
      </x:c>
      <x:c r="F4878" s="7" t="str">
        <x:f>'Sample Ledger'!K292</x:f>
        <x:v>OPEN</x:v>
      </x:c>
    </x:row>
    <x:row r="4879">
      <x:c r="B4879" s="7" t="str">
        <x:v>PHY-4873</x:v>
      </x:c>
      <x:c r="C4879" s="7" t="str">
        <x:v>sample</x:v>
      </x:c>
      <x:c r="D4879" s="7" t="str">
        <x:v>RAE-S-287</x:v>
      </x:c>
      <x:c r="E4879" s="7" t="str">
        <x:v>Sample Ledger!K293</x:v>
      </x:c>
      <x:c r="F4879" s="7" t="str">
        <x:f>'Sample Ledger'!K293</x:f>
        <x:v>OPEN</x:v>
      </x:c>
    </x:row>
    <x:row r="4880">
      <x:c r="B4880" s="7" t="str">
        <x:v>PHY-4874</x:v>
      </x:c>
      <x:c r="C4880" s="7" t="str">
        <x:v>sample</x:v>
      </x:c>
      <x:c r="D4880" s="7" t="str">
        <x:v>RAE-S-288</x:v>
      </x:c>
      <x:c r="E4880" s="7" t="str">
        <x:v>Sample Ledger!K294</x:v>
      </x:c>
      <x:c r="F4880" s="7" t="str">
        <x:f>'Sample Ledger'!K294</x:f>
        <x:v>OPEN</x:v>
      </x:c>
    </x:row>
    <x:row r="4881">
      <x:c r="B4881" s="7" t="str">
        <x:v>PHY-4875</x:v>
      </x:c>
      <x:c r="C4881" s="7" t="str">
        <x:v>sample</x:v>
      </x:c>
      <x:c r="D4881" s="7" t="str">
        <x:v>RAE-S-289</x:v>
      </x:c>
      <x:c r="E4881" s="7" t="str">
        <x:v>Sample Ledger!K295</x:v>
      </x:c>
      <x:c r="F4881" s="7" t="str">
        <x:f>'Sample Ledger'!K295</x:f>
        <x:v>OPEN</x:v>
      </x:c>
    </x:row>
    <x:row r="4882">
      <x:c r="B4882" s="7" t="str">
        <x:v>PHY-4876</x:v>
      </x:c>
      <x:c r="C4882" s="7" t="str">
        <x:v>sample</x:v>
      </x:c>
      <x:c r="D4882" s="7" t="str">
        <x:v>RAE-S-290</x:v>
      </x:c>
      <x:c r="E4882" s="7" t="str">
        <x:v>Sample Ledger!K296</x:v>
      </x:c>
      <x:c r="F4882" s="7" t="str">
        <x:f>'Sample Ledger'!K296</x:f>
        <x:v>OPEN</x:v>
      </x:c>
    </x:row>
    <x:row r="4883">
      <x:c r="B4883" s="7" t="str">
        <x:v>PHY-4877</x:v>
      </x:c>
      <x:c r="C4883" s="7" t="str">
        <x:v>sample</x:v>
      </x:c>
      <x:c r="D4883" s="7" t="str">
        <x:v>RAE-S-291</x:v>
      </x:c>
      <x:c r="E4883" s="7" t="str">
        <x:v>Sample Ledger!K297</x:v>
      </x:c>
      <x:c r="F4883" s="7" t="str">
        <x:f>'Sample Ledger'!K297</x:f>
        <x:v>OPEN</x:v>
      </x:c>
    </x:row>
    <x:row r="4884">
      <x:c r="B4884" s="7" t="str">
        <x:v>PHY-4878</x:v>
      </x:c>
      <x:c r="C4884" s="7" t="str">
        <x:v>sample</x:v>
      </x:c>
      <x:c r="D4884" s="7" t="str">
        <x:v>RAE-S-292</x:v>
      </x:c>
      <x:c r="E4884" s="7" t="str">
        <x:v>Sample Ledger!K298</x:v>
      </x:c>
      <x:c r="F4884" s="7" t="str">
        <x:f>'Sample Ledger'!K298</x:f>
        <x:v>OPEN</x:v>
      </x:c>
    </x:row>
    <x:row r="4885">
      <x:c r="B4885" s="7" t="str">
        <x:v>PHY-4879</x:v>
      </x:c>
      <x:c r="C4885" s="7" t="str">
        <x:v>sample</x:v>
      </x:c>
      <x:c r="D4885" s="7" t="str">
        <x:v>RAE-S-293</x:v>
      </x:c>
      <x:c r="E4885" s="7" t="str">
        <x:v>Sample Ledger!K299</x:v>
      </x:c>
      <x:c r="F4885" s="7" t="str">
        <x:f>'Sample Ledger'!K299</x:f>
        <x:v>OPEN</x:v>
      </x:c>
    </x:row>
    <x:row r="4886">
      <x:c r="B4886" s="7" t="str">
        <x:v>PHY-4880</x:v>
      </x:c>
      <x:c r="C4886" s="7" t="str">
        <x:v>sample</x:v>
      </x:c>
      <x:c r="D4886" s="7" t="str">
        <x:v>RAE-S-294</x:v>
      </x:c>
      <x:c r="E4886" s="7" t="str">
        <x:v>Sample Ledger!K300</x:v>
      </x:c>
      <x:c r="F4886" s="7" t="str">
        <x:f>'Sample Ledger'!K300</x:f>
        <x:v>OPEN</x:v>
      </x:c>
    </x:row>
    <x:row r="4887">
      <x:c r="B4887" s="7" t="str">
        <x:v>PHY-4881</x:v>
      </x:c>
      <x:c r="C4887" s="7" t="str">
        <x:v>sample</x:v>
      </x:c>
      <x:c r="D4887" s="7" t="str">
        <x:v>RAE-S-295</x:v>
      </x:c>
      <x:c r="E4887" s="7" t="str">
        <x:v>Sample Ledger!K301</x:v>
      </x:c>
      <x:c r="F4887" s="7" t="str">
        <x:f>'Sample Ledger'!K301</x:f>
        <x:v>OPEN</x:v>
      </x:c>
    </x:row>
    <x:row r="4888">
      <x:c r="B4888" s="7" t="str">
        <x:v>PHY-4882</x:v>
      </x:c>
      <x:c r="C4888" s="7" t="str">
        <x:v>sample</x:v>
      </x:c>
      <x:c r="D4888" s="7" t="str">
        <x:v>RAE-S-296</x:v>
      </x:c>
      <x:c r="E4888" s="7" t="str">
        <x:v>Sample Ledger!K302</x:v>
      </x:c>
      <x:c r="F4888" s="7" t="str">
        <x:f>'Sample Ledger'!K302</x:f>
        <x:v>OPEN</x:v>
      </x:c>
    </x:row>
    <x:row r="4889">
      <x:c r="B4889" s="7" t="str">
        <x:v>PHY-4883</x:v>
      </x:c>
      <x:c r="C4889" s="7" t="str">
        <x:v>sample</x:v>
      </x:c>
      <x:c r="D4889" s="7" t="str">
        <x:v>RAE-S-297</x:v>
      </x:c>
      <x:c r="E4889" s="7" t="str">
        <x:v>Sample Ledger!K303</x:v>
      </x:c>
      <x:c r="F4889" s="7" t="str">
        <x:f>'Sample Ledger'!K303</x:f>
        <x:v>OPEN</x:v>
      </x:c>
    </x:row>
    <x:row r="4890">
      <x:c r="B4890" s="7" t="str">
        <x:v>PHY-4884</x:v>
      </x:c>
      <x:c r="C4890" s="7" t="str">
        <x:v>sample</x:v>
      </x:c>
      <x:c r="D4890" s="7" t="str">
        <x:v>RAE-S-298</x:v>
      </x:c>
      <x:c r="E4890" s="7" t="str">
        <x:v>Sample Ledger!K304</x:v>
      </x:c>
      <x:c r="F4890" s="7" t="str">
        <x:f>'Sample Ledger'!K304</x:f>
        <x:v>OPEN</x:v>
      </x:c>
    </x:row>
    <x:row r="4891">
      <x:c r="B4891" s="7" t="str">
        <x:v>PHY-4885</x:v>
      </x:c>
      <x:c r="C4891" s="7" t="str">
        <x:v>sample</x:v>
      </x:c>
      <x:c r="D4891" s="7" t="str">
        <x:v>RAE-S-299</x:v>
      </x:c>
      <x:c r="E4891" s="7" t="str">
        <x:v>Sample Ledger!K305</x:v>
      </x:c>
      <x:c r="F4891" s="7" t="str">
        <x:f>'Sample Ledger'!K305</x:f>
        <x:v>OPEN</x:v>
      </x:c>
    </x:row>
    <x:row r="4892">
      <x:c r="B4892" s="7" t="str">
        <x:v>PHY-4886</x:v>
      </x:c>
      <x:c r="C4892" s="7" t="str">
        <x:v>sample</x:v>
      </x:c>
      <x:c r="D4892" s="7" t="str">
        <x:v>RAE-S-300</x:v>
      </x:c>
      <x:c r="E4892" s="7" t="str">
        <x:v>Sample Ledger!K306</x:v>
      </x:c>
      <x:c r="F4892" s="7" t="str">
        <x:f>'Sample Ledger'!K306</x:f>
        <x:v>OPEN</x:v>
      </x:c>
    </x:row>
    <x:row r="4893">
      <x:c r="B4893" s="7" t="str">
        <x:v>PHY-4887</x:v>
      </x:c>
      <x:c r="C4893" s="7" t="str">
        <x:v>sample</x:v>
      </x:c>
      <x:c r="D4893" s="7" t="str">
        <x:v>RAE-S-301</x:v>
      </x:c>
      <x:c r="E4893" s="7" t="str">
        <x:v>Sample Ledger!K307</x:v>
      </x:c>
      <x:c r="F4893" s="7" t="str">
        <x:f>'Sample Ledger'!K307</x:f>
        <x:v>OPEN</x:v>
      </x:c>
    </x:row>
    <x:row r="4894">
      <x:c r="B4894" s="7" t="str">
        <x:v>PHY-4888</x:v>
      </x:c>
      <x:c r="C4894" s="7" t="str">
        <x:v>sample</x:v>
      </x:c>
      <x:c r="D4894" s="7" t="str">
        <x:v>RAE-S-302</x:v>
      </x:c>
      <x:c r="E4894" s="7" t="str">
        <x:v>Sample Ledger!K308</x:v>
      </x:c>
      <x:c r="F4894" s="7" t="str">
        <x:f>'Sample Ledger'!K308</x:f>
        <x:v>OPEN</x:v>
      </x:c>
    </x:row>
    <x:row r="4895">
      <x:c r="B4895" s="7" t="str">
        <x:v>PHY-4889</x:v>
      </x:c>
      <x:c r="C4895" s="7" t="str">
        <x:v>sample</x:v>
      </x:c>
      <x:c r="D4895" s="7" t="str">
        <x:v>RAE-S-303</x:v>
      </x:c>
      <x:c r="E4895" s="7" t="str">
        <x:v>Sample Ledger!K309</x:v>
      </x:c>
      <x:c r="F4895" s="7" t="str">
        <x:f>'Sample Ledger'!K309</x:f>
        <x:v>OPEN</x:v>
      </x:c>
    </x:row>
    <x:row r="4896">
      <x:c r="B4896" s="7" t="str">
        <x:v>PHY-4890</x:v>
      </x:c>
      <x:c r="C4896" s="7" t="str">
        <x:v>sample</x:v>
      </x:c>
      <x:c r="D4896" s="7" t="str">
        <x:v>RAE-S-304</x:v>
      </x:c>
      <x:c r="E4896" s="7" t="str">
        <x:v>Sample Ledger!K310</x:v>
      </x:c>
      <x:c r="F4896" s="7" t="str">
        <x:f>'Sample Ledger'!K310</x:f>
        <x:v>OPEN</x:v>
      </x:c>
    </x:row>
    <x:row r="4897">
      <x:c r="B4897" s="7" t="str">
        <x:v>PHY-4891</x:v>
      </x:c>
      <x:c r="C4897" s="7" t="str">
        <x:v>sample</x:v>
      </x:c>
      <x:c r="D4897" s="7" t="str">
        <x:v>RAE-S-305</x:v>
      </x:c>
      <x:c r="E4897" s="7" t="str">
        <x:v>Sample Ledger!K311</x:v>
      </x:c>
      <x:c r="F4897" s="7" t="str">
        <x:f>'Sample Ledger'!K311</x:f>
        <x:v>OPEN</x:v>
      </x:c>
    </x:row>
    <x:row r="4898">
      <x:c r="B4898" s="7" t="str">
        <x:v>PHY-4892</x:v>
      </x:c>
      <x:c r="C4898" s="7" t="str">
        <x:v>sample</x:v>
      </x:c>
      <x:c r="D4898" s="7" t="str">
        <x:v>RAE-S-306</x:v>
      </x:c>
      <x:c r="E4898" s="7" t="str">
        <x:v>Sample Ledger!K312</x:v>
      </x:c>
      <x:c r="F4898" s="7" t="str">
        <x:f>'Sample Ledger'!K312</x:f>
        <x:v>OPEN</x:v>
      </x:c>
    </x:row>
    <x:row r="4899">
      <x:c r="B4899" s="7" t="str">
        <x:v>PHY-4893</x:v>
      </x:c>
      <x:c r="C4899" s="7" t="str">
        <x:v>sample</x:v>
      </x:c>
      <x:c r="D4899" s="7" t="str">
        <x:v>RAE-S-307</x:v>
      </x:c>
      <x:c r="E4899" s="7" t="str">
        <x:v>Sample Ledger!K313</x:v>
      </x:c>
      <x:c r="F4899" s="7" t="str">
        <x:f>'Sample Ledger'!K313</x:f>
        <x:v>OPEN</x:v>
      </x:c>
    </x:row>
    <x:row r="4900">
      <x:c r="B4900" s="7" t="str">
        <x:v>PHY-4894</x:v>
      </x:c>
      <x:c r="C4900" s="7" t="str">
        <x:v>sample</x:v>
      </x:c>
      <x:c r="D4900" s="7" t="str">
        <x:v>RAE-S-308</x:v>
      </x:c>
      <x:c r="E4900" s="7" t="str">
        <x:v>Sample Ledger!K314</x:v>
      </x:c>
      <x:c r="F4900" s="7" t="str">
        <x:f>'Sample Ledger'!K314</x:f>
        <x:v>OPEN</x:v>
      </x:c>
    </x:row>
    <x:row r="4901">
      <x:c r="B4901" s="7" t="str">
        <x:v>PHY-4895</x:v>
      </x:c>
      <x:c r="C4901" s="7" t="str">
        <x:v>sample</x:v>
      </x:c>
      <x:c r="D4901" s="7" t="str">
        <x:v>RAE-S-309</x:v>
      </x:c>
      <x:c r="E4901" s="7" t="str">
        <x:v>Sample Ledger!K315</x:v>
      </x:c>
      <x:c r="F4901" s="7" t="str">
        <x:f>'Sample Ledger'!K315</x:f>
        <x:v>OPEN</x:v>
      </x:c>
    </x:row>
    <x:row r="4902">
      <x:c r="B4902" s="7" t="str">
        <x:v>PHY-4896</x:v>
      </x:c>
      <x:c r="C4902" s="7" t="str">
        <x:v>sample</x:v>
      </x:c>
      <x:c r="D4902" s="7" t="str">
        <x:v>RAE-S-310</x:v>
      </x:c>
      <x:c r="E4902" s="7" t="str">
        <x:v>Sample Ledger!K316</x:v>
      </x:c>
      <x:c r="F4902" s="7" t="str">
        <x:f>'Sample Ledger'!K316</x:f>
        <x:v>OPEN</x:v>
      </x:c>
    </x:row>
    <x:row r="4903">
      <x:c r="B4903" s="7" t="str">
        <x:v>PHY-4897</x:v>
      </x:c>
      <x:c r="C4903" s="7" t="str">
        <x:v>sample</x:v>
      </x:c>
      <x:c r="D4903" s="7" t="str">
        <x:v>RAE-S-311</x:v>
      </x:c>
      <x:c r="E4903" s="7" t="str">
        <x:v>Sample Ledger!K317</x:v>
      </x:c>
      <x:c r="F4903" s="7" t="str">
        <x:f>'Sample Ledger'!K317</x:f>
        <x:v>OPEN</x:v>
      </x:c>
    </x:row>
    <x:row r="4904">
      <x:c r="B4904" s="7" t="str">
        <x:v>PHY-4898</x:v>
      </x:c>
      <x:c r="C4904" s="7" t="str">
        <x:v>sample</x:v>
      </x:c>
      <x:c r="D4904" s="7" t="str">
        <x:v>RAE-S-312</x:v>
      </x:c>
      <x:c r="E4904" s="7" t="str">
        <x:v>Sample Ledger!K318</x:v>
      </x:c>
      <x:c r="F4904" s="7" t="str">
        <x:f>'Sample Ledger'!K318</x:f>
        <x:v>OPEN</x:v>
      </x:c>
    </x:row>
    <x:row r="4905">
      <x:c r="B4905" s="7" t="str">
        <x:v>PHY-4899</x:v>
      </x:c>
      <x:c r="C4905" s="7" t="str">
        <x:v>sample</x:v>
      </x:c>
      <x:c r="D4905" s="7" t="str">
        <x:v>RAE-S-313</x:v>
      </x:c>
      <x:c r="E4905" s="7" t="str">
        <x:v>Sample Ledger!K319</x:v>
      </x:c>
      <x:c r="F4905" s="7" t="str">
        <x:f>'Sample Ledger'!K319</x:f>
        <x:v>OPEN</x:v>
      </x:c>
    </x:row>
    <x:row r="4906">
      <x:c r="B4906" s="7" t="str">
        <x:v>PHY-4900</x:v>
      </x:c>
      <x:c r="C4906" s="7" t="str">
        <x:v>sample</x:v>
      </x:c>
      <x:c r="D4906" s="7" t="str">
        <x:v>RAE-S-314</x:v>
      </x:c>
      <x:c r="E4906" s="7" t="str">
        <x:v>Sample Ledger!K320</x:v>
      </x:c>
      <x:c r="F4906" s="7" t="str">
        <x:f>'Sample Ledger'!K320</x:f>
        <x:v>OPEN</x:v>
      </x:c>
    </x:row>
    <x:row r="4907">
      <x:c r="B4907" s="7" t="str">
        <x:v>PHY-4901</x:v>
      </x:c>
      <x:c r="C4907" s="7" t="str">
        <x:v>sample</x:v>
      </x:c>
      <x:c r="D4907" s="7" t="str">
        <x:v>RAE-S-315</x:v>
      </x:c>
      <x:c r="E4907" s="7" t="str">
        <x:v>Sample Ledger!K321</x:v>
      </x:c>
      <x:c r="F4907" s="7" t="str">
        <x:f>'Sample Ledger'!K321</x:f>
        <x:v>OPEN</x:v>
      </x:c>
    </x:row>
    <x:row r="4908">
      <x:c r="B4908" s="7" t="str">
        <x:v>PHY-4902</x:v>
      </x:c>
      <x:c r="C4908" s="7" t="str">
        <x:v>sample</x:v>
      </x:c>
      <x:c r="D4908" s="7" t="str">
        <x:v>RAE-S-316</x:v>
      </x:c>
      <x:c r="E4908" s="7" t="str">
        <x:v>Sample Ledger!K322</x:v>
      </x:c>
      <x:c r="F4908" s="7" t="str">
        <x:f>'Sample Ledger'!K322</x:f>
        <x:v>OPEN</x:v>
      </x:c>
    </x:row>
    <x:row r="4909">
      <x:c r="B4909" s="7" t="str">
        <x:v>PHY-4903</x:v>
      </x:c>
      <x:c r="C4909" s="7" t="str">
        <x:v>sample</x:v>
      </x:c>
      <x:c r="D4909" s="7" t="str">
        <x:v>RAE-S-317</x:v>
      </x:c>
      <x:c r="E4909" s="7" t="str">
        <x:v>Sample Ledger!K323</x:v>
      </x:c>
      <x:c r="F4909" s="7" t="str">
        <x:f>'Sample Ledger'!K323</x:f>
        <x:v>OPEN</x:v>
      </x:c>
    </x:row>
    <x:row r="4910">
      <x:c r="B4910" s="7" t="str">
        <x:v>PHY-4904</x:v>
      </x:c>
      <x:c r="C4910" s="7" t="str">
        <x:v>sample</x:v>
      </x:c>
      <x:c r="D4910" s="7" t="str">
        <x:v>RAE-S-318</x:v>
      </x:c>
      <x:c r="E4910" s="7" t="str">
        <x:v>Sample Ledger!K324</x:v>
      </x:c>
      <x:c r="F4910" s="7" t="str">
        <x:f>'Sample Ledger'!K324</x:f>
        <x:v>OPEN</x:v>
      </x:c>
    </x:row>
    <x:row r="4911">
      <x:c r="B4911" s="7" t="str">
        <x:v>PHY-4905</x:v>
      </x:c>
      <x:c r="C4911" s="7" t="str">
        <x:v>sample</x:v>
      </x:c>
      <x:c r="D4911" s="7" t="str">
        <x:v>RAE-S-319</x:v>
      </x:c>
      <x:c r="E4911" s="7" t="str">
        <x:v>Sample Ledger!K325</x:v>
      </x:c>
      <x:c r="F4911" s="7" t="str">
        <x:f>'Sample Ledger'!K325</x:f>
        <x:v>OPEN</x:v>
      </x:c>
    </x:row>
    <x:row r="4912">
      <x:c r="B4912" s="7" t="str">
        <x:v>PHY-4906</x:v>
      </x:c>
      <x:c r="C4912" s="7" t="str">
        <x:v>sample</x:v>
      </x:c>
      <x:c r="D4912" s="7" t="str">
        <x:v>RAE-S-320</x:v>
      </x:c>
      <x:c r="E4912" s="7" t="str">
        <x:v>Sample Ledger!K326</x:v>
      </x:c>
      <x:c r="F4912" s="7" t="str">
        <x:f>'Sample Ledger'!K326</x:f>
        <x:v>OPEN</x:v>
      </x:c>
    </x:row>
    <x:row r="4913">
      <x:c r="B4913" s="7" t="str">
        <x:v>PHY-4907</x:v>
      </x:c>
      <x:c r="C4913" s="7" t="str">
        <x:v>sample</x:v>
      </x:c>
      <x:c r="D4913" s="7" t="str">
        <x:v>RAE-S-321</x:v>
      </x:c>
      <x:c r="E4913" s="7" t="str">
        <x:v>Sample Ledger!K327</x:v>
      </x:c>
      <x:c r="F4913" s="7" t="str">
        <x:f>'Sample Ledger'!K327</x:f>
        <x:v>OPEN</x:v>
      </x:c>
    </x:row>
    <x:row r="4914">
      <x:c r="B4914" s="7" t="str">
        <x:v>PHY-4908</x:v>
      </x:c>
      <x:c r="C4914" s="7" t="str">
        <x:v>sample</x:v>
      </x:c>
      <x:c r="D4914" s="7" t="str">
        <x:v>RAE-S-322</x:v>
      </x:c>
      <x:c r="E4914" s="7" t="str">
        <x:v>Sample Ledger!K328</x:v>
      </x:c>
      <x:c r="F4914" s="7" t="str">
        <x:f>'Sample Ledger'!K328</x:f>
        <x:v>OPEN</x:v>
      </x:c>
    </x:row>
    <x:row r="4915">
      <x:c r="B4915" s="7" t="str">
        <x:v>PHY-4909</x:v>
      </x:c>
      <x:c r="C4915" s="7" t="str">
        <x:v>sample</x:v>
      </x:c>
      <x:c r="D4915" s="7" t="str">
        <x:v>RAE-S-323</x:v>
      </x:c>
      <x:c r="E4915" s="7" t="str">
        <x:v>Sample Ledger!K329</x:v>
      </x:c>
      <x:c r="F4915" s="7" t="str">
        <x:f>'Sample Ledger'!K329</x:f>
        <x:v>OPEN</x:v>
      </x:c>
    </x:row>
    <x:row r="4916">
      <x:c r="B4916" s="7" t="str">
        <x:v>PHY-4910</x:v>
      </x:c>
      <x:c r="C4916" s="7" t="str">
        <x:v>sample</x:v>
      </x:c>
      <x:c r="D4916" s="7" t="str">
        <x:v>RAE-S-324</x:v>
      </x:c>
      <x:c r="E4916" s="7" t="str">
        <x:v>Sample Ledger!K330</x:v>
      </x:c>
      <x:c r="F4916" s="7" t="str">
        <x:f>'Sample Ledger'!K330</x:f>
        <x:v>OPEN</x:v>
      </x:c>
    </x:row>
    <x:row r="4917">
      <x:c r="B4917" s="7" t="str">
        <x:v>PHY-4911</x:v>
      </x:c>
      <x:c r="C4917" s="7" t="str">
        <x:v>sample</x:v>
      </x:c>
      <x:c r="D4917" s="7" t="str">
        <x:v>RAE-S-325</x:v>
      </x:c>
      <x:c r="E4917" s="7" t="str">
        <x:v>Sample Ledger!K331</x:v>
      </x:c>
      <x:c r="F4917" s="7" t="str">
        <x:f>'Sample Ledger'!K331</x:f>
        <x:v>OPEN</x:v>
      </x:c>
    </x:row>
    <x:row r="4918">
      <x:c r="B4918" s="7" t="str">
        <x:v>PHY-4912</x:v>
      </x:c>
      <x:c r="C4918" s="7" t="str">
        <x:v>sample</x:v>
      </x:c>
      <x:c r="D4918" s="7" t="str">
        <x:v>RAE-S-326</x:v>
      </x:c>
      <x:c r="E4918" s="7" t="str">
        <x:v>Sample Ledger!K332</x:v>
      </x:c>
      <x:c r="F4918" s="7" t="str">
        <x:f>'Sample Ledger'!K332</x:f>
        <x:v>OPEN</x:v>
      </x:c>
    </x:row>
    <x:row r="4919">
      <x:c r="B4919" s="7" t="str">
        <x:v>PHY-4913</x:v>
      </x:c>
      <x:c r="C4919" s="7" t="str">
        <x:v>sample</x:v>
      </x:c>
      <x:c r="D4919" s="7" t="str">
        <x:v>RAE-S-327</x:v>
      </x:c>
      <x:c r="E4919" s="7" t="str">
        <x:v>Sample Ledger!K333</x:v>
      </x:c>
      <x:c r="F4919" s="7" t="str">
        <x:f>'Sample Ledger'!K333</x:f>
        <x:v>OPEN</x:v>
      </x:c>
    </x:row>
    <x:row r="4920">
      <x:c r="B4920" s="7" t="str">
        <x:v>PHY-4914</x:v>
      </x:c>
      <x:c r="C4920" s="7" t="str">
        <x:v>sample</x:v>
      </x:c>
      <x:c r="D4920" s="7" t="str">
        <x:v>RAE-S-328</x:v>
      </x:c>
      <x:c r="E4920" s="7" t="str">
        <x:v>Sample Ledger!K334</x:v>
      </x:c>
      <x:c r="F4920" s="7" t="str">
        <x:f>'Sample Ledger'!K334</x:f>
        <x:v>OPEN</x:v>
      </x:c>
    </x:row>
    <x:row r="4921">
      <x:c r="B4921" s="7" t="str">
        <x:v>PHY-4915</x:v>
      </x:c>
      <x:c r="C4921" s="7" t="str">
        <x:v>sample</x:v>
      </x:c>
      <x:c r="D4921" s="7" t="str">
        <x:v>RAE-S-329</x:v>
      </x:c>
      <x:c r="E4921" s="7" t="str">
        <x:v>Sample Ledger!K335</x:v>
      </x:c>
      <x:c r="F4921" s="7" t="str">
        <x:f>'Sample Ledger'!K335</x:f>
        <x:v>OPEN</x:v>
      </x:c>
    </x:row>
    <x:row r="4922">
      <x:c r="B4922" s="7" t="str">
        <x:v>PHY-4916</x:v>
      </x:c>
      <x:c r="C4922" s="7" t="str">
        <x:v>sample</x:v>
      </x:c>
      <x:c r="D4922" s="7" t="str">
        <x:v>RAE-S-330</x:v>
      </x:c>
      <x:c r="E4922" s="7" t="str">
        <x:v>Sample Ledger!K336</x:v>
      </x:c>
      <x:c r="F4922" s="7" t="str">
        <x:f>'Sample Ledger'!K336</x:f>
        <x:v>OPEN</x:v>
      </x:c>
    </x:row>
    <x:row r="4923">
      <x:c r="B4923" s="7" t="str">
        <x:v>PHY-4917</x:v>
      </x:c>
      <x:c r="C4923" s="7" t="str">
        <x:v>sample</x:v>
      </x:c>
      <x:c r="D4923" s="7" t="str">
        <x:v>RAE-S-331</x:v>
      </x:c>
      <x:c r="E4923" s="7" t="str">
        <x:v>Sample Ledger!K337</x:v>
      </x:c>
      <x:c r="F4923" s="7" t="str">
        <x:f>'Sample Ledger'!K337</x:f>
        <x:v>OPEN</x:v>
      </x:c>
    </x:row>
    <x:row r="4924">
      <x:c r="B4924" s="7" t="str">
        <x:v>PHY-4918</x:v>
      </x:c>
      <x:c r="C4924" s="7" t="str">
        <x:v>sample</x:v>
      </x:c>
      <x:c r="D4924" s="7" t="str">
        <x:v>RAE-S-332</x:v>
      </x:c>
      <x:c r="E4924" s="7" t="str">
        <x:v>Sample Ledger!K338</x:v>
      </x:c>
      <x:c r="F4924" s="7" t="str">
        <x:f>'Sample Ledger'!K338</x:f>
        <x:v>OPEN</x:v>
      </x:c>
    </x:row>
    <x:row r="4925">
      <x:c r="B4925" s="7" t="str">
        <x:v>PHY-4919</x:v>
      </x:c>
      <x:c r="C4925" s="7" t="str">
        <x:v>sample</x:v>
      </x:c>
      <x:c r="D4925" s="7" t="str">
        <x:v>RAE-S-333</x:v>
      </x:c>
      <x:c r="E4925" s="7" t="str">
        <x:v>Sample Ledger!K339</x:v>
      </x:c>
      <x:c r="F4925" s="7" t="str">
        <x:f>'Sample Ledger'!K339</x:f>
        <x:v>OPEN</x:v>
      </x:c>
    </x:row>
    <x:row r="4926">
      <x:c r="B4926" s="7" t="str">
        <x:v>PHY-4920</x:v>
      </x:c>
      <x:c r="C4926" s="7" t="str">
        <x:v>sample</x:v>
      </x:c>
      <x:c r="D4926" s="7" t="str">
        <x:v>RAE-S-334</x:v>
      </x:c>
      <x:c r="E4926" s="7" t="str">
        <x:v>Sample Ledger!K340</x:v>
      </x:c>
      <x:c r="F4926" s="7" t="str">
        <x:f>'Sample Ledger'!K340</x:f>
        <x:v>OPEN</x:v>
      </x:c>
    </x:row>
    <x:row r="4927">
      <x:c r="B4927" s="7" t="str">
        <x:v>PHY-4921</x:v>
      </x:c>
      <x:c r="C4927" s="7" t="str">
        <x:v>sample</x:v>
      </x:c>
      <x:c r="D4927" s="7" t="str">
        <x:v>RAE-S-335</x:v>
      </x:c>
      <x:c r="E4927" s="7" t="str">
        <x:v>Sample Ledger!K341</x:v>
      </x:c>
      <x:c r="F4927" s="7" t="str">
        <x:f>'Sample Ledger'!K341</x:f>
        <x:v>OPEN</x:v>
      </x:c>
    </x:row>
    <x:row r="4928">
      <x:c r="B4928" s="7" t="str">
        <x:v>PHY-4922</x:v>
      </x:c>
      <x:c r="C4928" s="7" t="str">
        <x:v>sample</x:v>
      </x:c>
      <x:c r="D4928" s="7" t="str">
        <x:v>RAE-S-336</x:v>
      </x:c>
      <x:c r="E4928" s="7" t="str">
        <x:v>Sample Ledger!K342</x:v>
      </x:c>
      <x:c r="F4928" s="7" t="str">
        <x:f>'Sample Ledger'!K342</x:f>
        <x:v>OPEN</x:v>
      </x:c>
    </x:row>
    <x:row r="4929">
      <x:c r="B4929" s="7" t="str">
        <x:v>PHY-4923</x:v>
      </x:c>
      <x:c r="C4929" s="7" t="str">
        <x:v>event issue</x:v>
      </x:c>
      <x:c r="D4929" s="7" t="str">
        <x:v>RAE-E-01-ISSUE</x:v>
      </x:c>
      <x:c r="E4929" s="7" t="str">
        <x:v>Event Issue!W7</x:v>
      </x:c>
      <x:c r="F4929" s="7" t="str">
        <x:f>'Event Issue'!W7</x:f>
        <x:v>OPEN</x:v>
      </x:c>
    </x:row>
    <x:row r="4930">
      <x:c r="B4930" s="7" t="str">
        <x:v>PHY-4924</x:v>
      </x:c>
      <x:c r="C4930" s="7" t="str">
        <x:v>event issue</x:v>
      </x:c>
      <x:c r="D4930" s="7" t="str">
        <x:v>RAE-E-02-ISSUE</x:v>
      </x:c>
      <x:c r="E4930" s="7" t="str">
        <x:v>Event Issue!W8</x:v>
      </x:c>
      <x:c r="F4930" s="7" t="str">
        <x:f>'Event Issue'!W8</x:f>
        <x:v>OPEN</x:v>
      </x:c>
    </x:row>
    <x:row r="4931">
      <x:c r="B4931" s="7" t="str">
        <x:v>PHY-4925</x:v>
      </x:c>
      <x:c r="C4931" s="7" t="str">
        <x:v>event issue</x:v>
      </x:c>
      <x:c r="D4931" s="7" t="str">
        <x:v>RAE-E-03-ISSUE</x:v>
      </x:c>
      <x:c r="E4931" s="7" t="str">
        <x:v>Event Issue!W9</x:v>
      </x:c>
      <x:c r="F4931" s="7" t="str">
        <x:f>'Event Issue'!W9</x:f>
        <x:v>OPEN</x:v>
      </x:c>
    </x:row>
    <x:row r="4932">
      <x:c r="B4932" s="7" t="str">
        <x:v>PHY-4926</x:v>
      </x:c>
      <x:c r="C4932" s="7" t="str">
        <x:v>event issue</x:v>
      </x:c>
      <x:c r="D4932" s="7" t="str">
        <x:v>RAE-E-04-ISSUE</x:v>
      </x:c>
      <x:c r="E4932" s="7" t="str">
        <x:v>Event Issue!W10</x:v>
      </x:c>
      <x:c r="F4932" s="7" t="str">
        <x:f>'Event Issue'!W10</x:f>
        <x:v>OPEN</x:v>
      </x:c>
    </x:row>
    <x:row r="4933">
      <x:c r="B4933" s="7" t="str">
        <x:v>PHY-4927</x:v>
      </x:c>
      <x:c r="C4933" s="7" t="str">
        <x:v>event issue</x:v>
      </x:c>
      <x:c r="D4933" s="7" t="str">
        <x:v>RAE-E-05-ISSUE</x:v>
      </x:c>
      <x:c r="E4933" s="7" t="str">
        <x:v>Event Issue!W11</x:v>
      </x:c>
      <x:c r="F4933" s="7" t="str">
        <x:f>'Event Issue'!W11</x:f>
        <x:v>OPEN</x:v>
      </x:c>
    </x:row>
    <x:row r="4934">
      <x:c r="B4934" s="7" t="str">
        <x:v>PHY-4928</x:v>
      </x:c>
      <x:c r="C4934" s="7" t="str">
        <x:v>event issue</x:v>
      </x:c>
      <x:c r="D4934" s="7" t="str">
        <x:v>RAE-E-06-ISSUE</x:v>
      </x:c>
      <x:c r="E4934" s="7" t="str">
        <x:v>Event Issue!W12</x:v>
      </x:c>
      <x:c r="F4934" s="7" t="str">
        <x:f>'Event Issue'!W12</x:f>
        <x:v>OPEN</x:v>
      </x:c>
    </x:row>
    <x:row r="4935">
      <x:c r="B4935" s="7" t="str">
        <x:v>PHY-4929</x:v>
      </x:c>
      <x:c r="C4935" s="7" t="str">
        <x:v>event issue</x:v>
      </x:c>
      <x:c r="D4935" s="7" t="str">
        <x:v>RAE-E-07-ISSUE</x:v>
      </x:c>
      <x:c r="E4935" s="7" t="str">
        <x:v>Event Issue!W13</x:v>
      </x:c>
      <x:c r="F4935" s="7" t="str">
        <x:f>'Event Issue'!W13</x:f>
        <x:v>OPEN</x:v>
      </x:c>
    </x:row>
    <x:row r="4936">
      <x:c r="B4936" s="7" t="str">
        <x:v>PHY-4930</x:v>
      </x:c>
      <x:c r="C4936" s="7" t="str">
        <x:v>event issue</x:v>
      </x:c>
      <x:c r="D4936" s="7" t="str">
        <x:v>RAE-E-08-ISSUE</x:v>
      </x:c>
      <x:c r="E4936" s="7" t="str">
        <x:v>Event Issue!W14</x:v>
      </x:c>
      <x:c r="F4936" s="7" t="str">
        <x:f>'Event Issue'!W14</x:f>
        <x:v>OPEN</x:v>
      </x:c>
    </x:row>
    <x:row r="4937">
      <x:c r="B4937" s="7" t="str">
        <x:v>PHY-4931</x:v>
      </x:c>
      <x:c r="C4937" s="7" t="str">
        <x:v>event issue</x:v>
      </x:c>
      <x:c r="D4937" s="7" t="str">
        <x:v>RAE-E-09-ISSUE</x:v>
      </x:c>
      <x:c r="E4937" s="7" t="str">
        <x:v>Event Issue!W15</x:v>
      </x:c>
      <x:c r="F4937" s="7" t="str">
        <x:f>'Event Issue'!W15</x:f>
        <x:v>OPEN</x:v>
      </x:c>
    </x:row>
    <x:row r="4938">
      <x:c r="B4938" s="7" t="str">
        <x:v>PHY-4932</x:v>
      </x:c>
      <x:c r="C4938" s="7" t="str">
        <x:v>event issue</x:v>
      </x:c>
      <x:c r="D4938" s="7" t="str">
        <x:v>RAE-E-10-ISSUE</x:v>
      </x:c>
      <x:c r="E4938" s="7" t="str">
        <x:v>Event Issue!W16</x:v>
      </x:c>
      <x:c r="F4938" s="7" t="str">
        <x:f>'Event Issue'!W16</x:f>
        <x:v>OPEN</x:v>
      </x:c>
    </x:row>
    <x:row r="4939">
      <x:c r="B4939" s="7" t="str">
        <x:v>PHY-4933</x:v>
      </x:c>
      <x:c r="C4939" s="7" t="str">
        <x:v>event issue</x:v>
      </x:c>
      <x:c r="D4939" s="7" t="str">
        <x:v>RAE-E-11-ISSUE</x:v>
      </x:c>
      <x:c r="E4939" s="7" t="str">
        <x:v>Event Issue!W17</x:v>
      </x:c>
      <x:c r="F4939" s="7" t="str">
        <x:f>'Event Issue'!W17</x:f>
        <x:v>OPEN</x:v>
      </x:c>
    </x:row>
    <x:row r="4940">
      <x:c r="B4940" s="7" t="str">
        <x:v>PHY-4934</x:v>
      </x:c>
      <x:c r="C4940" s="7" t="str">
        <x:v>event issue</x:v>
      </x:c>
      <x:c r="D4940" s="7" t="str">
        <x:v>RAE-E-12-ISSUE</x:v>
      </x:c>
      <x:c r="E4940" s="7" t="str">
        <x:v>Event Issue!W18</x:v>
      </x:c>
      <x:c r="F4940" s="7" t="str">
        <x:f>'Event Issue'!W18</x:f>
        <x:v>OPEN</x:v>
      </x:c>
    </x:row>
    <x:row r="4941">
      <x:c r="B4941" s="7" t="str">
        <x:v>PHY-4935</x:v>
      </x:c>
      <x:c r="C4941" s="7" t="str">
        <x:v>event issue</x:v>
      </x:c>
      <x:c r="D4941" s="7" t="str">
        <x:v>RAE-E-13-ISSUE</x:v>
      </x:c>
      <x:c r="E4941" s="7" t="str">
        <x:v>Event Issue!W19</x:v>
      </x:c>
      <x:c r="F4941" s="7" t="str">
        <x:f>'Event Issue'!W19</x:f>
        <x:v>OPEN</x:v>
      </x:c>
    </x:row>
    <x:row r="4942">
      <x:c r="B4942" s="7" t="str">
        <x:v>PHY-4936</x:v>
      </x:c>
      <x:c r="C4942" s="7" t="str">
        <x:v>event issue</x:v>
      </x:c>
      <x:c r="D4942" s="7" t="str">
        <x:v>RAE-E-14-ISSUE</x:v>
      </x:c>
      <x:c r="E4942" s="7" t="str">
        <x:v>Event Issue!W20</x:v>
      </x:c>
      <x:c r="F4942" s="7" t="str">
        <x:f>'Event Issue'!W20</x:f>
        <x:v>OPEN</x:v>
      </x:c>
    </x:row>
    <x:row r="4943">
      <x:c r="B4943" s="7" t="str">
        <x:v>PHY-4937</x:v>
      </x:c>
      <x:c r="C4943" s="7" t="str">
        <x:v>event issue</x:v>
      </x:c>
      <x:c r="D4943" s="7" t="str">
        <x:v>RAE-E-15-ISSUE</x:v>
      </x:c>
      <x:c r="E4943" s="7" t="str">
        <x:v>Event Issue!W21</x:v>
      </x:c>
      <x:c r="F4943" s="7" t="str">
        <x:f>'Event Issue'!W21</x:f>
        <x:v>OPEN</x:v>
      </x:c>
    </x:row>
    <x:row r="4944">
      <x:c r="B4944" s="7" t="str">
        <x:v>PHY-4938</x:v>
      </x:c>
      <x:c r="C4944" s="7" t="str">
        <x:v>event issue</x:v>
      </x:c>
      <x:c r="D4944" s="7" t="str">
        <x:v>RAE-E-16-ISSUE</x:v>
      </x:c>
      <x:c r="E4944" s="7" t="str">
        <x:v>Event Issue!W22</x:v>
      </x:c>
      <x:c r="F4944" s="7" t="str">
        <x:f>'Event Issue'!W22</x:f>
        <x:v>OPEN</x:v>
      </x:c>
    </x:row>
    <x:row r="4945">
      <x:c r="B4945" s="7" t="str">
        <x:v>PHY-4939</x:v>
      </x:c>
      <x:c r="C4945" s="7" t="str">
        <x:v>event issue</x:v>
      </x:c>
      <x:c r="D4945" s="7" t="str">
        <x:v>RAE-E-17-ISSUE</x:v>
      </x:c>
      <x:c r="E4945" s="7" t="str">
        <x:v>Event Issue!W23</x:v>
      </x:c>
      <x:c r="F4945" s="7" t="str">
        <x:f>'Event Issue'!W23</x:f>
        <x:v>OPEN</x:v>
      </x:c>
    </x:row>
    <x:row r="4946">
      <x:c r="B4946" s="7" t="str">
        <x:v>PHY-4940</x:v>
      </x:c>
      <x:c r="C4946" s="7" t="str">
        <x:v>event issue</x:v>
      </x:c>
      <x:c r="D4946" s="7" t="str">
        <x:v>RAE-E-18-ISSUE</x:v>
      </x:c>
      <x:c r="E4946" s="7" t="str">
        <x:v>Event Issue!W24</x:v>
      </x:c>
      <x:c r="F4946" s="7" t="str">
        <x:f>'Event Issue'!W24</x:f>
        <x:v>OPEN</x:v>
      </x:c>
    </x:row>
    <x:row r="4947">
      <x:c r="B4947" s="7" t="str">
        <x:v>PHY-4941</x:v>
      </x:c>
      <x:c r="C4947" s="7" t="str">
        <x:v>event issue</x:v>
      </x:c>
      <x:c r="D4947" s="7" t="str">
        <x:v>RAE-E-19-ISSUE</x:v>
      </x:c>
      <x:c r="E4947" s="7" t="str">
        <x:v>Event Issue!W25</x:v>
      </x:c>
      <x:c r="F4947" s="7" t="str">
        <x:f>'Event Issue'!W25</x:f>
        <x:v>OPEN</x:v>
      </x:c>
    </x:row>
    <x:row r="4948">
      <x:c r="B4948" s="7" t="str">
        <x:v>PHY-4942</x:v>
      </x:c>
      <x:c r="C4948" s="7" t="str">
        <x:v>event issue</x:v>
      </x:c>
      <x:c r="D4948" s="7" t="str">
        <x:v>RAE-E-20-ISSUE</x:v>
      </x:c>
      <x:c r="E4948" s="7" t="str">
        <x:v>Event Issue!W26</x:v>
      </x:c>
      <x:c r="F4948" s="7" t="str">
        <x:f>'Event Issue'!W26</x:f>
        <x:v>OPEN</x:v>
      </x:c>
    </x:row>
    <x:row r="4949">
      <x:c r="B4949" s="7" t="str">
        <x:v>PHY-4943</x:v>
      </x:c>
      <x:c r="C4949" s="7" t="str">
        <x:v>event issue</x:v>
      </x:c>
      <x:c r="D4949" s="7" t="str">
        <x:v>RAE-E-21-ISSUE</x:v>
      </x:c>
      <x:c r="E4949" s="7" t="str">
        <x:v>Event Issue!W27</x:v>
      </x:c>
      <x:c r="F4949" s="7" t="str">
        <x:f>'Event Issue'!W27</x:f>
        <x:v>OPEN</x:v>
      </x:c>
    </x:row>
    <x:row r="4950">
      <x:c r="B4950" s="7" t="str">
        <x:v>PHY-4944</x:v>
      </x:c>
      <x:c r="C4950" s="7" t="str">
        <x:v>event issue</x:v>
      </x:c>
      <x:c r="D4950" s="7" t="str">
        <x:v>RAE-E-22-ISSUE</x:v>
      </x:c>
      <x:c r="E4950" s="7" t="str">
        <x:v>Event Issue!W28</x:v>
      </x:c>
      <x:c r="F4950" s="7" t="str">
        <x:f>'Event Issue'!W28</x:f>
        <x:v>OPEN</x:v>
      </x:c>
    </x:row>
    <x:row r="4951">
      <x:c r="B4951" s="7" t="str">
        <x:v>PHY-4945</x:v>
      </x:c>
      <x:c r="C4951" s="7" t="str">
        <x:v>event issue</x:v>
      </x:c>
      <x:c r="D4951" s="7" t="str">
        <x:v>RAE-E-23-ISSUE</x:v>
      </x:c>
      <x:c r="E4951" s="7" t="str">
        <x:v>Event Issue!W29</x:v>
      </x:c>
      <x:c r="F4951" s="7" t="str">
        <x:f>'Event Issue'!W29</x:f>
        <x:v>OPEN</x:v>
      </x:c>
    </x:row>
    <x:row r="4952">
      <x:c r="B4952" s="7" t="str">
        <x:v>PHY-4946</x:v>
      </x:c>
      <x:c r="C4952" s="7" t="str">
        <x:v>event issue</x:v>
      </x:c>
      <x:c r="D4952" s="7" t="str">
        <x:v>RAE-E-24-ISSUE</x:v>
      </x:c>
      <x:c r="E4952" s="7" t="str">
        <x:v>Event Issue!W30</x:v>
      </x:c>
      <x:c r="F4952" s="7" t="str">
        <x:f>'Event Issue'!W30</x:f>
        <x:v>OPEN</x:v>
      </x:c>
    </x:row>
    <x:row r="4953">
      <x:c r="B4953" s="7" t="str">
        <x:v>PHY-4947</x:v>
      </x:c>
      <x:c r="C4953" s="7" t="str">
        <x:v>event issue</x:v>
      </x:c>
      <x:c r="D4953" s="7" t="str">
        <x:v>RAE-E-25-ISSUE</x:v>
      </x:c>
      <x:c r="E4953" s="7" t="str">
        <x:v>Event Issue!W31</x:v>
      </x:c>
      <x:c r="F4953" s="7" t="str">
        <x:f>'Event Issue'!W31</x:f>
        <x:v>OPEN</x:v>
      </x:c>
    </x:row>
    <x:row r="4954">
      <x:c r="B4954" s="7" t="str">
        <x:v>PHY-4948</x:v>
      </x:c>
      <x:c r="C4954" s="7" t="str">
        <x:v>event issue</x:v>
      </x:c>
      <x:c r="D4954" s="7" t="str">
        <x:v>RAE-E-26-ISSUE</x:v>
      </x:c>
      <x:c r="E4954" s="7" t="str">
        <x:v>Event Issue!W32</x:v>
      </x:c>
      <x:c r="F4954" s="7" t="str">
        <x:f>'Event Issue'!W32</x:f>
        <x:v>OPEN</x:v>
      </x:c>
    </x:row>
    <x:row r="4955">
      <x:c r="B4955" s="7" t="str">
        <x:v>PHY-4949</x:v>
      </x:c>
      <x:c r="C4955" s="7" t="str">
        <x:v>event issue</x:v>
      </x:c>
      <x:c r="D4955" s="7" t="str">
        <x:v>RAE-E-27-ISSUE</x:v>
      </x:c>
      <x:c r="E4955" s="7" t="str">
        <x:v>Event Issue!W33</x:v>
      </x:c>
      <x:c r="F4955" s="7" t="str">
        <x:f>'Event Issue'!W33</x:f>
        <x:v>OPEN</x:v>
      </x:c>
    </x:row>
    <x:row r="4956">
      <x:c r="B4956" s="7" t="str">
        <x:v>PHY-4950</x:v>
      </x:c>
      <x:c r="C4956" s="7" t="str">
        <x:v>event issue</x:v>
      </x:c>
      <x:c r="D4956" s="7" t="str">
        <x:v>RAE-E-28-ISSUE</x:v>
      </x:c>
      <x:c r="E4956" s="7" t="str">
        <x:v>Event Issue!W34</x:v>
      </x:c>
      <x:c r="F4956" s="7" t="str">
        <x:f>'Event Issue'!W34</x:f>
        <x:v>OPEN</x:v>
      </x:c>
    </x:row>
    <x:row r="4957">
      <x:c r="B4957" s="7" t="str">
        <x:v>PHY-4951</x:v>
      </x:c>
      <x:c r="C4957" s="7" t="str">
        <x:v>event issue</x:v>
      </x:c>
      <x:c r="D4957" s="7" t="str">
        <x:v>RAE-E-29-ISSUE</x:v>
      </x:c>
      <x:c r="E4957" s="7" t="str">
        <x:v>Event Issue!W35</x:v>
      </x:c>
      <x:c r="F4957" s="7" t="str">
        <x:f>'Event Issue'!W35</x:f>
        <x:v>OPEN</x:v>
      </x:c>
    </x:row>
    <x:row r="4958">
      <x:c r="B4958" s="7" t="str">
        <x:v>PHY-4952</x:v>
      </x:c>
      <x:c r="C4958" s="7" t="str">
        <x:v>event issue</x:v>
      </x:c>
      <x:c r="D4958" s="7" t="str">
        <x:v>RAE-E-30-ISSUE</x:v>
      </x:c>
      <x:c r="E4958" s="7" t="str">
        <x:v>Event Issue!W36</x:v>
      </x:c>
      <x:c r="F4958" s="7" t="str">
        <x:f>'Event Issue'!W36</x:f>
        <x:v>OPEN</x:v>
      </x:c>
    </x:row>
    <x:row r="4959">
      <x:c r="B4959" s="7" t="str">
        <x:v>PHY-4953</x:v>
      </x:c>
      <x:c r="C4959" s="7" t="str">
        <x:v>event issue</x:v>
      </x:c>
      <x:c r="D4959" s="7" t="str">
        <x:v>RAE-E-31-ISSUE</x:v>
      </x:c>
      <x:c r="E4959" s="7" t="str">
        <x:v>Event Issue!W37</x:v>
      </x:c>
      <x:c r="F4959" s="7" t="str">
        <x:f>'Event Issue'!W37</x:f>
        <x:v>OPEN</x:v>
      </x:c>
    </x:row>
    <x:row r="4960">
      <x:c r="B4960" s="7" t="str">
        <x:v>PHY-4954</x:v>
      </x:c>
      <x:c r="C4960" s="7" t="str">
        <x:v>event issue</x:v>
      </x:c>
      <x:c r="D4960" s="7" t="str">
        <x:v>RAE-E-32-ISSUE</x:v>
      </x:c>
      <x:c r="E4960" s="7" t="str">
        <x:v>Event Issue!W38</x:v>
      </x:c>
      <x:c r="F4960" s="7" t="str">
        <x:f>'Event Issue'!W38</x:f>
        <x:v>OPEN</x:v>
      </x:c>
    </x:row>
    <x:row r="4961">
      <x:c r="B4961" s="7" t="str">
        <x:v>PHY-4955</x:v>
      </x:c>
      <x:c r="C4961" s="7" t="str">
        <x:v>event issue</x:v>
      </x:c>
      <x:c r="D4961" s="7" t="str">
        <x:v>RAE-E-33-ISSUE</x:v>
      </x:c>
      <x:c r="E4961" s="7" t="str">
        <x:v>Event Issue!W39</x:v>
      </x:c>
      <x:c r="F4961" s="7" t="str">
        <x:f>'Event Issue'!W39</x:f>
        <x:v>OPEN</x:v>
      </x:c>
    </x:row>
    <x:row r="4962">
      <x:c r="B4962" s="7" t="str">
        <x:v>PHY-4956</x:v>
      </x:c>
      <x:c r="C4962" s="7" t="str">
        <x:v>event issue</x:v>
      </x:c>
      <x:c r="D4962" s="7" t="str">
        <x:v>RAE-E-34-ISSUE</x:v>
      </x:c>
      <x:c r="E4962" s="7" t="str">
        <x:v>Event Issue!W40</x:v>
      </x:c>
      <x:c r="F4962" s="7" t="str">
        <x:f>'Event Issue'!W40</x:f>
        <x:v>OPEN</x:v>
      </x:c>
    </x:row>
    <x:row r="4963">
      <x:c r="B4963" s="7" t="str">
        <x:v>PHY-4957</x:v>
      </x:c>
      <x:c r="C4963" s="7" t="str">
        <x:v>event issue</x:v>
      </x:c>
      <x:c r="D4963" s="7" t="str">
        <x:v>RAE-E-35-ISSUE</x:v>
      </x:c>
      <x:c r="E4963" s="7" t="str">
        <x:v>Event Issue!W41</x:v>
      </x:c>
      <x:c r="F4963" s="7" t="str">
        <x:f>'Event Issue'!W41</x:f>
        <x:v>OPEN</x:v>
      </x:c>
    </x:row>
    <x:row r="4964">
      <x:c r="B4964" s="7" t="str">
        <x:v>PHY-4958</x:v>
      </x:c>
      <x:c r="C4964" s="7" t="str">
        <x:v>event issue</x:v>
      </x:c>
      <x:c r="D4964" s="7" t="str">
        <x:v>RAE-E-36-ISSUE</x:v>
      </x:c>
      <x:c r="E4964" s="7" t="str">
        <x:v>Event Issue!W42</x:v>
      </x:c>
      <x:c r="F4964" s="7" t="str">
        <x:f>'Event Issue'!W42</x:f>
        <x:v>OPEN</x:v>
      </x:c>
    </x:row>
    <x:row r="4965">
      <x:c r="B4965" s="7" t="str">
        <x:v>PHY-4959</x:v>
      </x:c>
      <x:c r="C4965" s="7" t="str">
        <x:v>event issue</x:v>
      </x:c>
      <x:c r="D4965" s="7" t="str">
        <x:v>RAE-E-37-ISSUE</x:v>
      </x:c>
      <x:c r="E4965" s="7" t="str">
        <x:v>Event Issue!W43</x:v>
      </x:c>
      <x:c r="F4965" s="7" t="str">
        <x:f>'Event Issue'!W43</x:f>
        <x:v>OPEN</x:v>
      </x:c>
    </x:row>
    <x:row r="4966">
      <x:c r="B4966" s="7" t="str">
        <x:v>PHY-4960</x:v>
      </x:c>
      <x:c r="C4966" s="7" t="str">
        <x:v>event issue</x:v>
      </x:c>
      <x:c r="D4966" s="7" t="str">
        <x:v>RAE-E-38-ISSUE</x:v>
      </x:c>
      <x:c r="E4966" s="7" t="str">
        <x:v>Event Issue!W44</x:v>
      </x:c>
      <x:c r="F4966" s="7" t="str">
        <x:f>'Event Issue'!W44</x:f>
        <x:v>OPEN</x:v>
      </x:c>
    </x:row>
    <x:row r="4967">
      <x:c r="B4967" s="7" t="str">
        <x:v>PHY-4961</x:v>
      </x:c>
      <x:c r="C4967" s="7" t="str">
        <x:v>event issue</x:v>
      </x:c>
      <x:c r="D4967" s="7" t="str">
        <x:v>RAE-E-39-ISSUE</x:v>
      </x:c>
      <x:c r="E4967" s="7" t="str">
        <x:v>Event Issue!W45</x:v>
      </x:c>
      <x:c r="F4967" s="7" t="str">
        <x:f>'Event Issue'!W45</x:f>
        <x:v>OPEN</x:v>
      </x:c>
    </x:row>
    <x:row r="4968">
      <x:c r="B4968" s="7" t="str">
        <x:v>PHY-4962</x:v>
      </x:c>
      <x:c r="C4968" s="7" t="str">
        <x:v>event issue</x:v>
      </x:c>
      <x:c r="D4968" s="7" t="str">
        <x:v>RAE-E-40-ISSUE</x:v>
      </x:c>
      <x:c r="E4968" s="7" t="str">
        <x:v>Event Issue!W46</x:v>
      </x:c>
      <x:c r="F4968" s="7" t="str">
        <x:f>'Event Issue'!W46</x:f>
        <x:v>OPEN</x:v>
      </x:c>
    </x:row>
    <x:row r="4969">
      <x:c r="B4969" s="7" t="str">
        <x:v>PHY-4963</x:v>
      </x:c>
      <x:c r="C4969" s="7" t="str">
        <x:v>event issue</x:v>
      </x:c>
      <x:c r="D4969" s="7" t="str">
        <x:v>RAE-E-41-ISSUE</x:v>
      </x:c>
      <x:c r="E4969" s="7" t="str">
        <x:v>Event Issue!W47</x:v>
      </x:c>
      <x:c r="F4969" s="7" t="str">
        <x:f>'Event Issue'!W47</x:f>
        <x:v>OPEN</x:v>
      </x:c>
    </x:row>
    <x:row r="4970">
      <x:c r="B4970" s="7" t="str">
        <x:v>PHY-4964</x:v>
      </x:c>
      <x:c r="C4970" s="7" t="str">
        <x:v>event issue</x:v>
      </x:c>
      <x:c r="D4970" s="7" t="str">
        <x:v>RAE-E-42-ISSUE</x:v>
      </x:c>
      <x:c r="E4970" s="7" t="str">
        <x:v>Event Issue!W48</x:v>
      </x:c>
      <x:c r="F4970" s="7" t="str">
        <x:f>'Event Issue'!W48</x:f>
        <x:v>OPEN</x:v>
      </x:c>
    </x:row>
    <x:row r="4971">
      <x:c r="B4971" s="7" t="str">
        <x:v>PHY-4965</x:v>
      </x:c>
      <x:c r="C4971" s="7" t="str">
        <x:v>event issue</x:v>
      </x:c>
      <x:c r="D4971" s="7" t="str">
        <x:v>RAE-E-43-ISSUE</x:v>
      </x:c>
      <x:c r="E4971" s="7" t="str">
        <x:v>Event Issue!W49</x:v>
      </x:c>
      <x:c r="F4971" s="7" t="str">
        <x:f>'Event Issue'!W49</x:f>
        <x:v>OPEN</x:v>
      </x:c>
    </x:row>
    <x:row r="4972">
      <x:c r="B4972" s="7" t="str">
        <x:v>PHY-4966</x:v>
      </x:c>
      <x:c r="C4972" s="7" t="str">
        <x:v>event issue</x:v>
      </x:c>
      <x:c r="D4972" s="7" t="str">
        <x:v>RAE-E-44-ISSUE</x:v>
      </x:c>
      <x:c r="E4972" s="7" t="str">
        <x:v>Event Issue!W50</x:v>
      </x:c>
      <x:c r="F4972" s="7" t="str">
        <x:f>'Event Issue'!W50</x:f>
        <x:v>OPEN</x:v>
      </x:c>
    </x:row>
    <x:row r="4973">
      <x:c r="B4973" s="7" t="str">
        <x:v>PHY-4967</x:v>
      </x:c>
      <x:c r="C4973" s="7" t="str">
        <x:v>event issue</x:v>
      </x:c>
      <x:c r="D4973" s="7" t="str">
        <x:v>RAE-E-45-ISSUE</x:v>
      </x:c>
      <x:c r="E4973" s="7" t="str">
        <x:v>Event Issue!W51</x:v>
      </x:c>
      <x:c r="F4973" s="7" t="str">
        <x:f>'Event Issue'!W51</x:f>
        <x:v>OPEN</x:v>
      </x:c>
    </x:row>
    <x:row r="4974">
      <x:c r="B4974" s="7" t="str">
        <x:v>PHY-4968</x:v>
      </x:c>
      <x:c r="C4974" s="7" t="str">
        <x:v>event issue</x:v>
      </x:c>
      <x:c r="D4974" s="7" t="str">
        <x:v>RAE-E-46-ISSUE</x:v>
      </x:c>
      <x:c r="E4974" s="7" t="str">
        <x:v>Event Issue!W52</x:v>
      </x:c>
      <x:c r="F4974" s="7" t="str">
        <x:f>'Event Issue'!W52</x:f>
        <x:v>OPEN</x:v>
      </x:c>
    </x:row>
    <x:row r="4975">
      <x:c r="B4975" s="7" t="str">
        <x:v>PHY-4969</x:v>
      </x:c>
      <x:c r="C4975" s="7" t="str">
        <x:v>event issue</x:v>
      </x:c>
      <x:c r="D4975" s="7" t="str">
        <x:v>RAE-E-47-ISSUE</x:v>
      </x:c>
      <x:c r="E4975" s="7" t="str">
        <x:v>Event Issue!W53</x:v>
      </x:c>
      <x:c r="F4975" s="7" t="str">
        <x:f>'Event Issue'!W53</x:f>
        <x:v>OPEN</x:v>
      </x:c>
    </x:row>
    <x:row r="4976">
      <x:c r="B4976" s="7" t="str">
        <x:v>PHY-4970</x:v>
      </x:c>
      <x:c r="C4976" s="7" t="str">
        <x:v>event issue</x:v>
      </x:c>
      <x:c r="D4976" s="7" t="str">
        <x:v>RAE-E-48-ISSUE</x:v>
      </x:c>
      <x:c r="E4976" s="7" t="str">
        <x:v>Event Issue!W54</x:v>
      </x:c>
      <x:c r="F4976" s="7" t="str">
        <x:f>'Event Issue'!W54</x:f>
        <x:v>OPEN</x:v>
      </x:c>
    </x:row>
    <x:row r="4977">
      <x:c r="B4977" s="7" t="str">
        <x:v>PHY-4971</x:v>
      </x:c>
      <x:c r="C4977" s="7" t="str">
        <x:v>event result</x:v>
      </x:c>
      <x:c r="D4977" s="7" t="str">
        <x:v>RAE-E-01-RESULT</x:v>
      </x:c>
      <x:c r="E4977" s="7" t="str">
        <x:v>Event Results!N7</x:v>
      </x:c>
      <x:c r="F4977" s="7" t="str">
        <x:f>'Event Results'!N7</x:f>
        <x:v>OPEN</x:v>
      </x:c>
    </x:row>
    <x:row r="4978">
      <x:c r="B4978" s="7" t="str">
        <x:v>PHY-4972</x:v>
      </x:c>
      <x:c r="C4978" s="7" t="str">
        <x:v>event result</x:v>
      </x:c>
      <x:c r="D4978" s="7" t="str">
        <x:v>RAE-E-02-RESULT</x:v>
      </x:c>
      <x:c r="E4978" s="7" t="str">
        <x:v>Event Results!N8</x:v>
      </x:c>
      <x:c r="F4978" s="7" t="str">
        <x:f>'Event Results'!N8</x:f>
        <x:v>OPEN</x:v>
      </x:c>
    </x:row>
    <x:row r="4979">
      <x:c r="B4979" s="7" t="str">
        <x:v>PHY-4973</x:v>
      </x:c>
      <x:c r="C4979" s="7" t="str">
        <x:v>event result</x:v>
      </x:c>
      <x:c r="D4979" s="7" t="str">
        <x:v>RAE-E-03-RESULT</x:v>
      </x:c>
      <x:c r="E4979" s="7" t="str">
        <x:v>Event Results!N9</x:v>
      </x:c>
      <x:c r="F4979" s="7" t="str">
        <x:f>'Event Results'!N9</x:f>
        <x:v>OPEN</x:v>
      </x:c>
    </x:row>
    <x:row r="4980">
      <x:c r="B4980" s="7" t="str">
        <x:v>PHY-4974</x:v>
      </x:c>
      <x:c r="C4980" s="7" t="str">
        <x:v>event result</x:v>
      </x:c>
      <x:c r="D4980" s="7" t="str">
        <x:v>RAE-E-04-RESULT</x:v>
      </x:c>
      <x:c r="E4980" s="7" t="str">
        <x:v>Event Results!N10</x:v>
      </x:c>
      <x:c r="F4980" s="7" t="str">
        <x:f>'Event Results'!N10</x:f>
        <x:v>OPEN</x:v>
      </x:c>
    </x:row>
    <x:row r="4981">
      <x:c r="B4981" s="7" t="str">
        <x:v>PHY-4975</x:v>
      </x:c>
      <x:c r="C4981" s="7" t="str">
        <x:v>event result</x:v>
      </x:c>
      <x:c r="D4981" s="7" t="str">
        <x:v>RAE-E-05-RESULT</x:v>
      </x:c>
      <x:c r="E4981" s="7" t="str">
        <x:v>Event Results!N11</x:v>
      </x:c>
      <x:c r="F4981" s="7" t="str">
        <x:f>'Event Results'!N11</x:f>
        <x:v>OPEN</x:v>
      </x:c>
    </x:row>
    <x:row r="4982">
      <x:c r="B4982" s="7" t="str">
        <x:v>PHY-4976</x:v>
      </x:c>
      <x:c r="C4982" s="7" t="str">
        <x:v>event result</x:v>
      </x:c>
      <x:c r="D4982" s="7" t="str">
        <x:v>RAE-E-06-RESULT</x:v>
      </x:c>
      <x:c r="E4982" s="7" t="str">
        <x:v>Event Results!N12</x:v>
      </x:c>
      <x:c r="F4982" s="7" t="str">
        <x:f>'Event Results'!N12</x:f>
        <x:v>OPEN</x:v>
      </x:c>
    </x:row>
    <x:row r="4983">
      <x:c r="B4983" s="7" t="str">
        <x:v>PHY-4977</x:v>
      </x:c>
      <x:c r="C4983" s="7" t="str">
        <x:v>event result</x:v>
      </x:c>
      <x:c r="D4983" s="7" t="str">
        <x:v>RAE-E-07-RESULT</x:v>
      </x:c>
      <x:c r="E4983" s="7" t="str">
        <x:v>Event Results!N13</x:v>
      </x:c>
      <x:c r="F4983" s="7" t="str">
        <x:f>'Event Results'!N13</x:f>
        <x:v>OPEN</x:v>
      </x:c>
    </x:row>
    <x:row r="4984">
      <x:c r="B4984" s="7" t="str">
        <x:v>PHY-4978</x:v>
      </x:c>
      <x:c r="C4984" s="7" t="str">
        <x:v>event result</x:v>
      </x:c>
      <x:c r="D4984" s="7" t="str">
        <x:v>RAE-E-08-RESULT</x:v>
      </x:c>
      <x:c r="E4984" s="7" t="str">
        <x:v>Event Results!N14</x:v>
      </x:c>
      <x:c r="F4984" s="7" t="str">
        <x:f>'Event Results'!N14</x:f>
        <x:v>OPEN</x:v>
      </x:c>
    </x:row>
    <x:row r="4985">
      <x:c r="B4985" s="7" t="str">
        <x:v>PHY-4979</x:v>
      </x:c>
      <x:c r="C4985" s="7" t="str">
        <x:v>event result</x:v>
      </x:c>
      <x:c r="D4985" s="7" t="str">
        <x:v>RAE-E-09-RESULT</x:v>
      </x:c>
      <x:c r="E4985" s="7" t="str">
        <x:v>Event Results!N15</x:v>
      </x:c>
      <x:c r="F4985" s="7" t="str">
        <x:f>'Event Results'!N15</x:f>
        <x:v>OPEN</x:v>
      </x:c>
    </x:row>
    <x:row r="4986">
      <x:c r="B4986" s="7" t="str">
        <x:v>PHY-4980</x:v>
      </x:c>
      <x:c r="C4986" s="7" t="str">
        <x:v>event result</x:v>
      </x:c>
      <x:c r="D4986" s="7" t="str">
        <x:v>RAE-E-10-RESULT</x:v>
      </x:c>
      <x:c r="E4986" s="7" t="str">
        <x:v>Event Results!N16</x:v>
      </x:c>
      <x:c r="F4986" s="7" t="str">
        <x:f>'Event Results'!N16</x:f>
        <x:v>OPEN</x:v>
      </x:c>
    </x:row>
    <x:row r="4987">
      <x:c r="B4987" s="7" t="str">
        <x:v>PHY-4981</x:v>
      </x:c>
      <x:c r="C4987" s="7" t="str">
        <x:v>event result</x:v>
      </x:c>
      <x:c r="D4987" s="7" t="str">
        <x:v>RAE-E-11-RESULT</x:v>
      </x:c>
      <x:c r="E4987" s="7" t="str">
        <x:v>Event Results!N17</x:v>
      </x:c>
      <x:c r="F4987" s="7" t="str">
        <x:f>'Event Results'!N17</x:f>
        <x:v>OPEN</x:v>
      </x:c>
    </x:row>
    <x:row r="4988">
      <x:c r="B4988" s="7" t="str">
        <x:v>PHY-4982</x:v>
      </x:c>
      <x:c r="C4988" s="7" t="str">
        <x:v>event result</x:v>
      </x:c>
      <x:c r="D4988" s="7" t="str">
        <x:v>RAE-E-12-RESULT</x:v>
      </x:c>
      <x:c r="E4988" s="7" t="str">
        <x:v>Event Results!N18</x:v>
      </x:c>
      <x:c r="F4988" s="7" t="str">
        <x:f>'Event Results'!N18</x:f>
        <x:v>OPEN</x:v>
      </x:c>
    </x:row>
    <x:row r="4989">
      <x:c r="B4989" s="7" t="str">
        <x:v>PHY-4983</x:v>
      </x:c>
      <x:c r="C4989" s="7" t="str">
        <x:v>event result</x:v>
      </x:c>
      <x:c r="D4989" s="7" t="str">
        <x:v>RAE-E-13-RESULT</x:v>
      </x:c>
      <x:c r="E4989" s="7" t="str">
        <x:v>Event Results!N19</x:v>
      </x:c>
      <x:c r="F4989" s="7" t="str">
        <x:f>'Event Results'!N19</x:f>
        <x:v>OPEN</x:v>
      </x:c>
    </x:row>
    <x:row r="4990">
      <x:c r="B4990" s="7" t="str">
        <x:v>PHY-4984</x:v>
      </x:c>
      <x:c r="C4990" s="7" t="str">
        <x:v>event result</x:v>
      </x:c>
      <x:c r="D4990" s="7" t="str">
        <x:v>RAE-E-14-RESULT</x:v>
      </x:c>
      <x:c r="E4990" s="7" t="str">
        <x:v>Event Results!N20</x:v>
      </x:c>
      <x:c r="F4990" s="7" t="str">
        <x:f>'Event Results'!N20</x:f>
        <x:v>OPEN</x:v>
      </x:c>
    </x:row>
    <x:row r="4991">
      <x:c r="B4991" s="7" t="str">
        <x:v>PHY-4985</x:v>
      </x:c>
      <x:c r="C4991" s="7" t="str">
        <x:v>event result</x:v>
      </x:c>
      <x:c r="D4991" s="7" t="str">
        <x:v>RAE-E-15-RESULT</x:v>
      </x:c>
      <x:c r="E4991" s="7" t="str">
        <x:v>Event Results!N21</x:v>
      </x:c>
      <x:c r="F4991" s="7" t="str">
        <x:f>'Event Results'!N21</x:f>
        <x:v>OPEN</x:v>
      </x:c>
    </x:row>
    <x:row r="4992">
      <x:c r="B4992" s="7" t="str">
        <x:v>PHY-4986</x:v>
      </x:c>
      <x:c r="C4992" s="7" t="str">
        <x:v>event result</x:v>
      </x:c>
      <x:c r="D4992" s="7" t="str">
        <x:v>RAE-E-16-RESULT</x:v>
      </x:c>
      <x:c r="E4992" s="7" t="str">
        <x:v>Event Results!N22</x:v>
      </x:c>
      <x:c r="F4992" s="7" t="str">
        <x:f>'Event Results'!N22</x:f>
        <x:v>OPEN</x:v>
      </x:c>
    </x:row>
    <x:row r="4993">
      <x:c r="B4993" s="7" t="str">
        <x:v>PHY-4987</x:v>
      </x:c>
      <x:c r="C4993" s="7" t="str">
        <x:v>event result</x:v>
      </x:c>
      <x:c r="D4993" s="7" t="str">
        <x:v>RAE-E-17-RESULT</x:v>
      </x:c>
      <x:c r="E4993" s="7" t="str">
        <x:v>Event Results!N23</x:v>
      </x:c>
      <x:c r="F4993" s="7" t="str">
        <x:f>'Event Results'!N23</x:f>
        <x:v>OPEN</x:v>
      </x:c>
    </x:row>
    <x:row r="4994">
      <x:c r="B4994" s="7" t="str">
        <x:v>PHY-4988</x:v>
      </x:c>
      <x:c r="C4994" s="7" t="str">
        <x:v>event result</x:v>
      </x:c>
      <x:c r="D4994" s="7" t="str">
        <x:v>RAE-E-18-RESULT</x:v>
      </x:c>
      <x:c r="E4994" s="7" t="str">
        <x:v>Event Results!N24</x:v>
      </x:c>
      <x:c r="F4994" s="7" t="str">
        <x:f>'Event Results'!N24</x:f>
        <x:v>OPEN</x:v>
      </x:c>
    </x:row>
    <x:row r="4995">
      <x:c r="B4995" s="7" t="str">
        <x:v>PHY-4989</x:v>
      </x:c>
      <x:c r="C4995" s="7" t="str">
        <x:v>event result</x:v>
      </x:c>
      <x:c r="D4995" s="7" t="str">
        <x:v>RAE-E-19-RESULT</x:v>
      </x:c>
      <x:c r="E4995" s="7" t="str">
        <x:v>Event Results!N25</x:v>
      </x:c>
      <x:c r="F4995" s="7" t="str">
        <x:f>'Event Results'!N25</x:f>
        <x:v>OPEN</x:v>
      </x:c>
    </x:row>
    <x:row r="4996">
      <x:c r="B4996" s="7" t="str">
        <x:v>PHY-4990</x:v>
      </x:c>
      <x:c r="C4996" s="7" t="str">
        <x:v>event result</x:v>
      </x:c>
      <x:c r="D4996" s="7" t="str">
        <x:v>RAE-E-20-RESULT</x:v>
      </x:c>
      <x:c r="E4996" s="7" t="str">
        <x:v>Event Results!N26</x:v>
      </x:c>
      <x:c r="F4996" s="7" t="str">
        <x:f>'Event Results'!N26</x:f>
        <x:v>OPEN</x:v>
      </x:c>
    </x:row>
    <x:row r="4997">
      <x:c r="B4997" s="7" t="str">
        <x:v>PHY-4991</x:v>
      </x:c>
      <x:c r="C4997" s="7" t="str">
        <x:v>event result</x:v>
      </x:c>
      <x:c r="D4997" s="7" t="str">
        <x:v>RAE-E-21-RESULT</x:v>
      </x:c>
      <x:c r="E4997" s="7" t="str">
        <x:v>Event Results!N27</x:v>
      </x:c>
      <x:c r="F4997" s="7" t="str">
        <x:f>'Event Results'!N27</x:f>
        <x:v>OPEN</x:v>
      </x:c>
    </x:row>
    <x:row r="4998">
      <x:c r="B4998" s="7" t="str">
        <x:v>PHY-4992</x:v>
      </x:c>
      <x:c r="C4998" s="7" t="str">
        <x:v>event result</x:v>
      </x:c>
      <x:c r="D4998" s="7" t="str">
        <x:v>RAE-E-22-RESULT</x:v>
      </x:c>
      <x:c r="E4998" s="7" t="str">
        <x:v>Event Results!N28</x:v>
      </x:c>
      <x:c r="F4998" s="7" t="str">
        <x:f>'Event Results'!N28</x:f>
        <x:v>OPEN</x:v>
      </x:c>
    </x:row>
    <x:row r="4999">
      <x:c r="B4999" s="7" t="str">
        <x:v>PHY-4993</x:v>
      </x:c>
      <x:c r="C4999" s="7" t="str">
        <x:v>event result</x:v>
      </x:c>
      <x:c r="D4999" s="7" t="str">
        <x:v>RAE-E-23-RESULT</x:v>
      </x:c>
      <x:c r="E4999" s="7" t="str">
        <x:v>Event Results!N29</x:v>
      </x:c>
      <x:c r="F4999" s="7" t="str">
        <x:f>'Event Results'!N29</x:f>
        <x:v>OPEN</x:v>
      </x:c>
    </x:row>
    <x:row r="5000">
      <x:c r="B5000" s="7" t="str">
        <x:v>PHY-4994</x:v>
      </x:c>
      <x:c r="C5000" s="7" t="str">
        <x:v>event result</x:v>
      </x:c>
      <x:c r="D5000" s="7" t="str">
        <x:v>RAE-E-24-RESULT</x:v>
      </x:c>
      <x:c r="E5000" s="7" t="str">
        <x:v>Event Results!N30</x:v>
      </x:c>
      <x:c r="F5000" s="7" t="str">
        <x:f>'Event Results'!N30</x:f>
        <x:v>OPEN</x:v>
      </x:c>
    </x:row>
    <x:row r="5001">
      <x:c r="B5001" s="7" t="str">
        <x:v>PHY-4995</x:v>
      </x:c>
      <x:c r="C5001" s="7" t="str">
        <x:v>event result</x:v>
      </x:c>
      <x:c r="D5001" s="7" t="str">
        <x:v>RAE-E-25-RESULT</x:v>
      </x:c>
      <x:c r="E5001" s="7" t="str">
        <x:v>Event Results!N31</x:v>
      </x:c>
      <x:c r="F5001" s="7" t="str">
        <x:f>'Event Results'!N31</x:f>
        <x:v>OPEN</x:v>
      </x:c>
    </x:row>
    <x:row r="5002">
      <x:c r="B5002" s="7" t="str">
        <x:v>PHY-4996</x:v>
      </x:c>
      <x:c r="C5002" s="7" t="str">
        <x:v>event result</x:v>
      </x:c>
      <x:c r="D5002" s="7" t="str">
        <x:v>RAE-E-26-RESULT</x:v>
      </x:c>
      <x:c r="E5002" s="7" t="str">
        <x:v>Event Results!N32</x:v>
      </x:c>
      <x:c r="F5002" s="7" t="str">
        <x:f>'Event Results'!N32</x:f>
        <x:v>OPEN</x:v>
      </x:c>
    </x:row>
    <x:row r="5003">
      <x:c r="B5003" s="7" t="str">
        <x:v>PHY-4997</x:v>
      </x:c>
      <x:c r="C5003" s="7" t="str">
        <x:v>event result</x:v>
      </x:c>
      <x:c r="D5003" s="7" t="str">
        <x:v>RAE-E-27-RESULT</x:v>
      </x:c>
      <x:c r="E5003" s="7" t="str">
        <x:v>Event Results!N33</x:v>
      </x:c>
      <x:c r="F5003" s="7" t="str">
        <x:f>'Event Results'!N33</x:f>
        <x:v>OPEN</x:v>
      </x:c>
    </x:row>
    <x:row r="5004">
      <x:c r="B5004" s="7" t="str">
        <x:v>PHY-4998</x:v>
      </x:c>
      <x:c r="C5004" s="7" t="str">
        <x:v>event result</x:v>
      </x:c>
      <x:c r="D5004" s="7" t="str">
        <x:v>RAE-E-28-RESULT</x:v>
      </x:c>
      <x:c r="E5004" s="7" t="str">
        <x:v>Event Results!N34</x:v>
      </x:c>
      <x:c r="F5004" s="7" t="str">
        <x:f>'Event Results'!N34</x:f>
        <x:v>OPEN</x:v>
      </x:c>
    </x:row>
    <x:row r="5005">
      <x:c r="B5005" s="7" t="str">
        <x:v>PHY-4999</x:v>
      </x:c>
      <x:c r="C5005" s="7" t="str">
        <x:v>event result</x:v>
      </x:c>
      <x:c r="D5005" s="7" t="str">
        <x:v>RAE-E-29-RESULT</x:v>
      </x:c>
      <x:c r="E5005" s="7" t="str">
        <x:v>Event Results!N35</x:v>
      </x:c>
      <x:c r="F5005" s="7" t="str">
        <x:f>'Event Results'!N35</x:f>
        <x:v>OPEN</x:v>
      </x:c>
    </x:row>
    <x:row r="5006">
      <x:c r="B5006" s="7" t="str">
        <x:v>PHY-5000</x:v>
      </x:c>
      <x:c r="C5006" s="7" t="str">
        <x:v>event result</x:v>
      </x:c>
      <x:c r="D5006" s="7" t="str">
        <x:v>RAE-E-30-RESULT</x:v>
      </x:c>
      <x:c r="E5006" s="7" t="str">
        <x:v>Event Results!N36</x:v>
      </x:c>
      <x:c r="F5006" s="7" t="str">
        <x:f>'Event Results'!N36</x:f>
        <x:v>OPEN</x:v>
      </x:c>
    </x:row>
    <x:row r="5007">
      <x:c r="B5007" s="7" t="str">
        <x:v>PHY-5001</x:v>
      </x:c>
      <x:c r="C5007" s="7" t="str">
        <x:v>event result</x:v>
      </x:c>
      <x:c r="D5007" s="7" t="str">
        <x:v>RAE-E-31-RESULT</x:v>
      </x:c>
      <x:c r="E5007" s="7" t="str">
        <x:v>Event Results!N37</x:v>
      </x:c>
      <x:c r="F5007" s="7" t="str">
        <x:f>'Event Results'!N37</x:f>
        <x:v>OPEN</x:v>
      </x:c>
    </x:row>
    <x:row r="5008">
      <x:c r="B5008" s="7" t="str">
        <x:v>PHY-5002</x:v>
      </x:c>
      <x:c r="C5008" s="7" t="str">
        <x:v>event result</x:v>
      </x:c>
      <x:c r="D5008" s="7" t="str">
        <x:v>RAE-E-32-RESULT</x:v>
      </x:c>
      <x:c r="E5008" s="7" t="str">
        <x:v>Event Results!N38</x:v>
      </x:c>
      <x:c r="F5008" s="7" t="str">
        <x:f>'Event Results'!N38</x:f>
        <x:v>OPEN</x:v>
      </x:c>
    </x:row>
    <x:row r="5009">
      <x:c r="B5009" s="7" t="str">
        <x:v>PHY-5003</x:v>
      </x:c>
      <x:c r="C5009" s="7" t="str">
        <x:v>event result</x:v>
      </x:c>
      <x:c r="D5009" s="7" t="str">
        <x:v>RAE-E-33-RESULT</x:v>
      </x:c>
      <x:c r="E5009" s="7" t="str">
        <x:v>Event Results!N39</x:v>
      </x:c>
      <x:c r="F5009" s="7" t="str">
        <x:f>'Event Results'!N39</x:f>
        <x:v>OPEN</x:v>
      </x:c>
    </x:row>
    <x:row r="5010">
      <x:c r="B5010" s="7" t="str">
        <x:v>PHY-5004</x:v>
      </x:c>
      <x:c r="C5010" s="7" t="str">
        <x:v>event result</x:v>
      </x:c>
      <x:c r="D5010" s="7" t="str">
        <x:v>RAE-E-34-RESULT</x:v>
      </x:c>
      <x:c r="E5010" s="7" t="str">
        <x:v>Event Results!N40</x:v>
      </x:c>
      <x:c r="F5010" s="7" t="str">
        <x:f>'Event Results'!N40</x:f>
        <x:v>OPEN</x:v>
      </x:c>
    </x:row>
    <x:row r="5011">
      <x:c r="B5011" s="7" t="str">
        <x:v>PHY-5005</x:v>
      </x:c>
      <x:c r="C5011" s="7" t="str">
        <x:v>event result</x:v>
      </x:c>
      <x:c r="D5011" s="7" t="str">
        <x:v>RAE-E-35-RESULT</x:v>
      </x:c>
      <x:c r="E5011" s="7" t="str">
        <x:v>Event Results!N41</x:v>
      </x:c>
      <x:c r="F5011" s="7" t="str">
        <x:f>'Event Results'!N41</x:f>
        <x:v>OPEN</x:v>
      </x:c>
    </x:row>
    <x:row r="5012">
      <x:c r="B5012" s="7" t="str">
        <x:v>PHY-5006</x:v>
      </x:c>
      <x:c r="C5012" s="7" t="str">
        <x:v>event result</x:v>
      </x:c>
      <x:c r="D5012" s="7" t="str">
        <x:v>RAE-E-36-RESULT</x:v>
      </x:c>
      <x:c r="E5012" s="7" t="str">
        <x:v>Event Results!N42</x:v>
      </x:c>
      <x:c r="F5012" s="7" t="str">
        <x:f>'Event Results'!N42</x:f>
        <x:v>OPEN</x:v>
      </x:c>
    </x:row>
    <x:row r="5013">
      <x:c r="B5013" s="7" t="str">
        <x:v>PHY-5007</x:v>
      </x:c>
      <x:c r="C5013" s="7" t="str">
        <x:v>event result</x:v>
      </x:c>
      <x:c r="D5013" s="7" t="str">
        <x:v>RAE-E-37-RESULT</x:v>
      </x:c>
      <x:c r="E5013" s="7" t="str">
        <x:v>Event Results!N43</x:v>
      </x:c>
      <x:c r="F5013" s="7" t="str">
        <x:f>'Event Results'!N43</x:f>
        <x:v>OPEN</x:v>
      </x:c>
    </x:row>
    <x:row r="5014">
      <x:c r="B5014" s="7" t="str">
        <x:v>PHY-5008</x:v>
      </x:c>
      <x:c r="C5014" s="7" t="str">
        <x:v>event result</x:v>
      </x:c>
      <x:c r="D5014" s="7" t="str">
        <x:v>RAE-E-38-RESULT</x:v>
      </x:c>
      <x:c r="E5014" s="7" t="str">
        <x:v>Event Results!N44</x:v>
      </x:c>
      <x:c r="F5014" s="7" t="str">
        <x:f>'Event Results'!N44</x:f>
        <x:v>OPEN</x:v>
      </x:c>
    </x:row>
    <x:row r="5015">
      <x:c r="B5015" s="7" t="str">
        <x:v>PHY-5009</x:v>
      </x:c>
      <x:c r="C5015" s="7" t="str">
        <x:v>event result</x:v>
      </x:c>
      <x:c r="D5015" s="7" t="str">
        <x:v>RAE-E-39-RESULT</x:v>
      </x:c>
      <x:c r="E5015" s="7" t="str">
        <x:v>Event Results!N45</x:v>
      </x:c>
      <x:c r="F5015" s="7" t="str">
        <x:f>'Event Results'!N45</x:f>
        <x:v>OPEN</x:v>
      </x:c>
    </x:row>
    <x:row r="5016">
      <x:c r="B5016" s="7" t="str">
        <x:v>PHY-5010</x:v>
      </x:c>
      <x:c r="C5016" s="7" t="str">
        <x:v>event result</x:v>
      </x:c>
      <x:c r="D5016" s="7" t="str">
        <x:v>RAE-E-40-RESULT</x:v>
      </x:c>
      <x:c r="E5016" s="7" t="str">
        <x:v>Event Results!N46</x:v>
      </x:c>
      <x:c r="F5016" s="7" t="str">
        <x:f>'Event Results'!N46</x:f>
        <x:v>OPEN</x:v>
      </x:c>
    </x:row>
    <x:row r="5017">
      <x:c r="B5017" s="7" t="str">
        <x:v>PHY-5011</x:v>
      </x:c>
      <x:c r="C5017" s="7" t="str">
        <x:v>event result</x:v>
      </x:c>
      <x:c r="D5017" s="7" t="str">
        <x:v>RAE-E-41-RESULT</x:v>
      </x:c>
      <x:c r="E5017" s="7" t="str">
        <x:v>Event Results!N47</x:v>
      </x:c>
      <x:c r="F5017" s="7" t="str">
        <x:f>'Event Results'!N47</x:f>
        <x:v>OPEN</x:v>
      </x:c>
    </x:row>
    <x:row r="5018">
      <x:c r="B5018" s="7" t="str">
        <x:v>PHY-5012</x:v>
      </x:c>
      <x:c r="C5018" s="7" t="str">
        <x:v>event result</x:v>
      </x:c>
      <x:c r="D5018" s="7" t="str">
        <x:v>RAE-E-42-RESULT</x:v>
      </x:c>
      <x:c r="E5018" s="7" t="str">
        <x:v>Event Results!N48</x:v>
      </x:c>
      <x:c r="F5018" s="7" t="str">
        <x:f>'Event Results'!N48</x:f>
        <x:v>OPEN</x:v>
      </x:c>
    </x:row>
    <x:row r="5019">
      <x:c r="B5019" s="7" t="str">
        <x:v>PHY-5013</x:v>
      </x:c>
      <x:c r="C5019" s="7" t="str">
        <x:v>event result</x:v>
      </x:c>
      <x:c r="D5019" s="7" t="str">
        <x:v>RAE-E-43-RESULT</x:v>
      </x:c>
      <x:c r="E5019" s="7" t="str">
        <x:v>Event Results!N49</x:v>
      </x:c>
      <x:c r="F5019" s="7" t="str">
        <x:f>'Event Results'!N49</x:f>
        <x:v>OPEN</x:v>
      </x:c>
    </x:row>
    <x:row r="5020">
      <x:c r="B5020" s="7" t="str">
        <x:v>PHY-5014</x:v>
      </x:c>
      <x:c r="C5020" s="7" t="str">
        <x:v>event result</x:v>
      </x:c>
      <x:c r="D5020" s="7" t="str">
        <x:v>RAE-E-44-RESULT</x:v>
      </x:c>
      <x:c r="E5020" s="7" t="str">
        <x:v>Event Results!N50</x:v>
      </x:c>
      <x:c r="F5020" s="7" t="str">
        <x:f>'Event Results'!N50</x:f>
        <x:v>OPEN</x:v>
      </x:c>
    </x:row>
    <x:row r="5021">
      <x:c r="B5021" s="7" t="str">
        <x:v>PHY-5015</x:v>
      </x:c>
      <x:c r="C5021" s="7" t="str">
        <x:v>event result</x:v>
      </x:c>
      <x:c r="D5021" s="7" t="str">
        <x:v>RAE-E-45-RESULT</x:v>
      </x:c>
      <x:c r="E5021" s="7" t="str">
        <x:v>Event Results!N51</x:v>
      </x:c>
      <x:c r="F5021" s="7" t="str">
        <x:f>'Event Results'!N51</x:f>
        <x:v>OPEN</x:v>
      </x:c>
    </x:row>
    <x:row r="5022">
      <x:c r="B5022" s="7" t="str">
        <x:v>PHY-5016</x:v>
      </x:c>
      <x:c r="C5022" s="7" t="str">
        <x:v>event result</x:v>
      </x:c>
      <x:c r="D5022" s="7" t="str">
        <x:v>RAE-E-46-RESULT</x:v>
      </x:c>
      <x:c r="E5022" s="7" t="str">
        <x:v>Event Results!N52</x:v>
      </x:c>
      <x:c r="F5022" s="7" t="str">
        <x:f>'Event Results'!N52</x:f>
        <x:v>OPEN</x:v>
      </x:c>
    </x:row>
    <x:row r="5023">
      <x:c r="B5023" s="7" t="str">
        <x:v>PHY-5017</x:v>
      </x:c>
      <x:c r="C5023" s="7" t="str">
        <x:v>event result</x:v>
      </x:c>
      <x:c r="D5023" s="7" t="str">
        <x:v>RAE-E-47-RESULT</x:v>
      </x:c>
      <x:c r="E5023" s="7" t="str">
        <x:v>Event Results!N53</x:v>
      </x:c>
      <x:c r="F5023" s="7" t="str">
        <x:f>'Event Results'!N53</x:f>
        <x:v>OPEN</x:v>
      </x:c>
    </x:row>
    <x:row r="5024">
      <x:c r="B5024" s="7" t="str">
        <x:v>PHY-5018</x:v>
      </x:c>
      <x:c r="C5024" s="7" t="str">
        <x:v>event result</x:v>
      </x:c>
      <x:c r="D5024" s="7" t="str">
        <x:v>RAE-E-48-RESULT</x:v>
      </x:c>
      <x:c r="E5024" s="7" t="str">
        <x:v>Event Results!N54</x:v>
      </x:c>
      <x:c r="F5024" s="7" t="str">
        <x:f>'Event Results'!N54</x:f>
        <x:v>OPEN</x:v>
      </x:c>
    </x:row>
    <x:row r="5025">
      <x:c r="B5025" s="7" t="str">
        <x:v>PHY-5019</x:v>
      </x:c>
      <x:c r="C5025" s="7" t="str">
        <x:v>uncertainty budget</x:v>
      </x:c>
      <x:c r="D5025" s="7" t="str">
        <x:v>UB-01</x:v>
      </x:c>
      <x:c r="E5025" s="7" t="str">
        <x:v>Uncertainty!Q7</x:v>
      </x:c>
      <x:c r="F5025" s="7" t="str">
        <x:f>'Uncertainty'!Q7</x:f>
        <x:v>OPEN</x:v>
      </x:c>
    </x:row>
    <x:row r="5026">
      <x:c r="B5026" s="7" t="str">
        <x:v>PHY-5020</x:v>
      </x:c>
      <x:c r="C5026" s="7" t="str">
        <x:v>uncertainty budget</x:v>
      </x:c>
      <x:c r="D5026" s="7" t="str">
        <x:v>UB-02</x:v>
      </x:c>
      <x:c r="E5026" s="7" t="str">
        <x:v>Uncertainty!Q8</x:v>
      </x:c>
      <x:c r="F5026" s="7" t="str">
        <x:f>'Uncertainty'!Q8</x:f>
        <x:v>OPEN</x:v>
      </x:c>
    </x:row>
    <x:row r="5027">
      <x:c r="B5027" s="7" t="str">
        <x:v>PHY-5021</x:v>
      </x:c>
      <x:c r="C5027" s="7" t="str">
        <x:v>uncertainty budget</x:v>
      </x:c>
      <x:c r="D5027" s="7" t="str">
        <x:v>UB-03</x:v>
      </x:c>
      <x:c r="E5027" s="7" t="str">
        <x:v>Uncertainty!Q9</x:v>
      </x:c>
      <x:c r="F5027" s="7" t="str">
        <x:f>'Uncertainty'!Q9</x:f>
        <x:v>OPEN</x:v>
      </x:c>
    </x:row>
    <x:row r="5028">
      <x:c r="B5028" s="7" t="str">
        <x:v>PHY-5022</x:v>
      </x:c>
      <x:c r="C5028" s="7" t="str">
        <x:v>uncertainty budget</x:v>
      </x:c>
      <x:c r="D5028" s="7" t="str">
        <x:v>UB-04</x:v>
      </x:c>
      <x:c r="E5028" s="7" t="str">
        <x:v>Uncertainty!Q10</x:v>
      </x:c>
      <x:c r="F5028" s="7" t="str">
        <x:f>'Uncertainty'!Q10</x:f>
        <x:v>OPEN</x:v>
      </x:c>
    </x:row>
    <x:row r="5029">
      <x:c r="B5029" s="7" t="str">
        <x:v>PHY-5023</x:v>
      </x:c>
      <x:c r="C5029" s="7" t="str">
        <x:v>uncertainty budget</x:v>
      </x:c>
      <x:c r="D5029" s="7" t="str">
        <x:v>UB-05</x:v>
      </x:c>
      <x:c r="E5029" s="7" t="str">
        <x:v>Uncertainty!Q11</x:v>
      </x:c>
      <x:c r="F5029" s="7" t="str">
        <x:f>'Uncertainty'!Q11</x:f>
        <x:v>OPEN</x:v>
      </x:c>
    </x:row>
    <x:row r="5030">
      <x:c r="B5030" s="7" t="str">
        <x:v>PHY-5024</x:v>
      </x:c>
      <x:c r="C5030" s="7" t="str">
        <x:v>uncertainty budget</x:v>
      </x:c>
      <x:c r="D5030" s="7" t="str">
        <x:v>UB-06</x:v>
      </x:c>
      <x:c r="E5030" s="7" t="str">
        <x:v>Uncertainty!Q12</x:v>
      </x:c>
      <x:c r="F5030" s="7" t="str">
        <x:f>'Uncertainty'!Q12</x:f>
        <x:v>OPEN</x:v>
      </x:c>
    </x:row>
    <x:row r="5031">
      <x:c r="B5031" s="7" t="str">
        <x:v>PHY-5025</x:v>
      </x:c>
      <x:c r="C5031" s="7" t="str">
        <x:v>uncertainty budget</x:v>
      </x:c>
      <x:c r="D5031" s="7" t="str">
        <x:v>UB-07</x:v>
      </x:c>
      <x:c r="E5031" s="7" t="str">
        <x:v>Uncertainty!Q13</x:v>
      </x:c>
      <x:c r="F5031" s="7" t="str">
        <x:f>'Uncertainty'!Q13</x:f>
        <x:v>OPEN</x:v>
      </x:c>
    </x:row>
    <x:row r="5032">
      <x:c r="B5032" s="7" t="str">
        <x:v>PHY-5026</x:v>
      </x:c>
      <x:c r="C5032" s="7" t="str">
        <x:v>uncertainty budget</x:v>
      </x:c>
      <x:c r="D5032" s="7" t="str">
        <x:v>UB-08</x:v>
      </x:c>
      <x:c r="E5032" s="7" t="str">
        <x:v>Uncertainty!Q14</x:v>
      </x:c>
      <x:c r="F5032" s="7" t="str">
        <x:f>'Uncertainty'!Q14</x:f>
        <x:v>OPEN</x:v>
      </x:c>
    </x:row>
    <x:row r="5033">
      <x:c r="B5033" s="7" t="str">
        <x:v>PHY-5027</x:v>
      </x:c>
      <x:c r="C5033" s="7" t="str">
        <x:v>uncertainty budget</x:v>
      </x:c>
      <x:c r="D5033" s="7" t="str">
        <x:v>UB-09</x:v>
      </x:c>
      <x:c r="E5033" s="7" t="str">
        <x:v>Uncertainty!Q15</x:v>
      </x:c>
      <x:c r="F5033" s="7" t="str">
        <x:f>'Uncertainty'!Q15</x:f>
        <x:v>OPEN</x:v>
      </x:c>
    </x:row>
    <x:row r="5034">
      <x:c r="B5034" s="7" t="str">
        <x:v>PHY-5028</x:v>
      </x:c>
      <x:c r="C5034" s="7" t="str">
        <x:v>uncertainty budget</x:v>
      </x:c>
      <x:c r="D5034" s="7" t="str">
        <x:v>UB-10</x:v>
      </x:c>
      <x:c r="E5034" s="7" t="str">
        <x:v>Uncertainty!Q16</x:v>
      </x:c>
      <x:c r="F5034" s="7" t="str">
        <x:f>'Uncertainty'!Q16</x:f>
        <x:v>OPEN</x:v>
      </x:c>
    </x:row>
    <x:row r="5035">
      <x:c r="B5035" s="7" t="str">
        <x:v>PHY-5029</x:v>
      </x:c>
      <x:c r="C5035" s="7" t="str">
        <x:v>uncertainty budget</x:v>
      </x:c>
      <x:c r="D5035" s="7" t="str">
        <x:v>UB-11</x:v>
      </x:c>
      <x:c r="E5035" s="7" t="str">
        <x:v>Uncertainty!Q17</x:v>
      </x:c>
      <x:c r="F5035" s="7" t="str">
        <x:f>'Uncertainty'!Q17</x:f>
        <x:v>OPEN</x:v>
      </x:c>
    </x:row>
    <x:row r="5036">
      <x:c r="B5036" s="7" t="str">
        <x:v>PHY-5030</x:v>
      </x:c>
      <x:c r="C5036" s="7" t="str">
        <x:v>uncertainty budget</x:v>
      </x:c>
      <x:c r="D5036" s="7" t="str">
        <x:v>UB-12</x:v>
      </x:c>
      <x:c r="E5036" s="7" t="str">
        <x:v>Uncertainty!Q18</x:v>
      </x:c>
      <x:c r="F5036" s="7" t="str">
        <x:f>'Uncertainty'!Q18</x:f>
        <x:v>OPEN</x:v>
      </x:c>
    </x:row>
    <x:row r="5037">
      <x:c r="B5037" s="7" t="str">
        <x:v>PHY-5031</x:v>
      </x:c>
      <x:c r="C5037" s="7" t="str">
        <x:v>uncertainty budget</x:v>
      </x:c>
      <x:c r="D5037" s="7" t="str">
        <x:v>UB-13</x:v>
      </x:c>
      <x:c r="E5037" s="7" t="str">
        <x:v>Uncertainty!Q19</x:v>
      </x:c>
      <x:c r="F5037" s="7" t="str">
        <x:f>'Uncertainty'!Q19</x:f>
        <x:v>OPEN</x:v>
      </x:c>
    </x:row>
    <x:row r="5038">
      <x:c r="B5038" s="7" t="str">
        <x:v>PHY-5032</x:v>
      </x:c>
      <x:c r="C5038" s="7" t="str">
        <x:v>uncertainty budget</x:v>
      </x:c>
      <x:c r="D5038" s="7" t="str">
        <x:v>UB-14</x:v>
      </x:c>
      <x:c r="E5038" s="7" t="str">
        <x:v>Uncertainty!Q20</x:v>
      </x:c>
      <x:c r="F5038" s="7" t="str">
        <x:f>'Uncertainty'!Q20</x:f>
        <x:v>OPEN</x:v>
      </x:c>
    </x:row>
    <x:row r="5039">
      <x:c r="B5039" s="7" t="str">
        <x:v>PHY-5033</x:v>
      </x:c>
      <x:c r="C5039" s="7" t="str">
        <x:v>uncertainty budget</x:v>
      </x:c>
      <x:c r="D5039" s="7" t="str">
        <x:v>UB-15</x:v>
      </x:c>
      <x:c r="E5039" s="7" t="str">
        <x:v>Uncertainty!Q21</x:v>
      </x:c>
      <x:c r="F5039" s="7" t="str">
        <x:f>'Uncertainty'!Q21</x:f>
        <x:v>OPEN</x:v>
      </x:c>
    </x:row>
    <x:row r="5040">
      <x:c r="B5040" s="7" t="str">
        <x:v>PHY-5034</x:v>
      </x:c>
      <x:c r="C5040" s="7" t="str">
        <x:v>uncertainty budget</x:v>
      </x:c>
      <x:c r="D5040" s="7" t="str">
        <x:v>UB-16</x:v>
      </x:c>
      <x:c r="E5040" s="7" t="str">
        <x:v>Uncertainty!Q22</x:v>
      </x:c>
      <x:c r="F5040" s="7" t="str">
        <x:f>'Uncertainty'!Q22</x:f>
        <x:v>OPEN</x:v>
      </x:c>
    </x:row>
    <x:row r="5041">
      <x:c r="B5041" s="7" t="str">
        <x:v>PHY-5035</x:v>
      </x:c>
      <x:c r="C5041" s="7" t="str">
        <x:v>uncertainty budget</x:v>
      </x:c>
      <x:c r="D5041" s="7" t="str">
        <x:v>UB-17</x:v>
      </x:c>
      <x:c r="E5041" s="7" t="str">
        <x:v>Uncertainty!Q23</x:v>
      </x:c>
      <x:c r="F5041" s="7" t="str">
        <x:f>'Uncertainty'!Q23</x:f>
        <x:v>OPEN</x:v>
      </x:c>
    </x:row>
    <x:row r="5042">
      <x:c r="B5042" s="7" t="str">
        <x:v>PHY-5036</x:v>
      </x:c>
      <x:c r="C5042" s="7" t="str">
        <x:v>uncertainty budget</x:v>
      </x:c>
      <x:c r="D5042" s="7" t="str">
        <x:v>UB-18</x:v>
      </x:c>
      <x:c r="E5042" s="7" t="str">
        <x:v>Uncertainty!Q24</x:v>
      </x:c>
      <x:c r="F5042" s="7" t="str">
        <x:f>'Uncertainty'!Q24</x:f>
        <x:v>OPEN</x:v>
      </x:c>
    </x:row>
    <x:row r="5043">
      <x:c r="B5043" s="7" t="str">
        <x:v>PHY-5037</x:v>
      </x:c>
      <x:c r="C5043" s="7" t="str">
        <x:v>uncertainty budget</x:v>
      </x:c>
      <x:c r="D5043" s="7" t="str">
        <x:v>UB-19</x:v>
      </x:c>
      <x:c r="E5043" s="7" t="str">
        <x:v>Uncertainty!Q25</x:v>
      </x:c>
      <x:c r="F5043" s="7" t="str">
        <x:f>'Uncertainty'!Q25</x:f>
        <x:v>OPEN</x:v>
      </x:c>
    </x:row>
    <x:row r="5044">
      <x:c r="B5044" s="7" t="str">
        <x:v>PHY-5038</x:v>
      </x:c>
      <x:c r="C5044" s="7" t="str">
        <x:v>uncertainty budget</x:v>
      </x:c>
      <x:c r="D5044" s="7" t="str">
        <x:v>UB-20</x:v>
      </x:c>
      <x:c r="E5044" s="7" t="str">
        <x:v>Uncertainty!Q26</x:v>
      </x:c>
      <x:c r="F5044" s="7" t="str">
        <x:f>'Uncertainty'!Q26</x:f>
        <x:v>OPEN</x:v>
      </x:c>
    </x:row>
    <x:row r="5045">
      <x:c r="B5045" s="7" t="str">
        <x:v>PHY-5039</x:v>
      </x:c>
      <x:c r="C5045" s="7" t="str">
        <x:v>uncertainty budget</x:v>
      </x:c>
      <x:c r="D5045" s="7" t="str">
        <x:v>UB-21</x:v>
      </x:c>
      <x:c r="E5045" s="7" t="str">
        <x:v>Uncertainty!Q27</x:v>
      </x:c>
      <x:c r="F5045" s="7" t="str">
        <x:f>'Uncertainty'!Q27</x:f>
        <x:v>OPEN</x:v>
      </x:c>
    </x:row>
    <x:row r="5046">
      <x:c r="B5046" s="7" t="str">
        <x:v>PHY-5040</x:v>
      </x:c>
      <x:c r="C5046" s="7" t="str">
        <x:v>uncertainty budget</x:v>
      </x:c>
      <x:c r="D5046" s="7" t="str">
        <x:v>UB-22</x:v>
      </x:c>
      <x:c r="E5046" s="7" t="str">
        <x:v>Uncertainty!Q28</x:v>
      </x:c>
      <x:c r="F5046" s="7" t="str">
        <x:f>'Uncertainty'!Q28</x:f>
        <x:v>OPEN</x:v>
      </x:c>
    </x:row>
    <x:row r="5047">
      <x:c r="B5047" s="7" t="str">
        <x:v>PHY-5041</x:v>
      </x:c>
      <x:c r="C5047" s="7" t="str">
        <x:v>uncertainty budget</x:v>
      </x:c>
      <x:c r="D5047" s="7" t="str">
        <x:v>UB-23</x:v>
      </x:c>
      <x:c r="E5047" s="7" t="str">
        <x:v>Uncertainty!Q29</x:v>
      </x:c>
      <x:c r="F5047" s="7" t="str">
        <x:f>'Uncertainty'!Q29</x:f>
        <x:v>OPEN</x:v>
      </x:c>
    </x:row>
    <x:row r="5048">
      <x:c r="B5048" s="7" t="str">
        <x:v>PHY-5042</x:v>
      </x:c>
      <x:c r="C5048" s="7" t="str">
        <x:v>uncertainty budget</x:v>
      </x:c>
      <x:c r="D5048" s="7" t="str">
        <x:v>UB-24</x:v>
      </x:c>
      <x:c r="E5048" s="7" t="str">
        <x:v>Uncertainty!Q30</x:v>
      </x:c>
      <x:c r="F5048" s="7" t="str">
        <x:f>'Uncertainty'!Q30</x:f>
        <x:v>OPEN</x:v>
      </x:c>
    </x:row>
    <x:row r="5049">
      <x:c r="B5049" s="7" t="str">
        <x:v>PHY-5043</x:v>
      </x:c>
      <x:c r="C5049" s="7" t="str">
        <x:v>technology campaign</x:v>
      </x:c>
      <x:c r="D5049" s="7" t="str">
        <x:v>TC-01</x:v>
      </x:c>
      <x:c r="E5049" s="7" t="str">
        <x:v>Technology Campaigns!G7</x:v>
      </x:c>
      <x:c r="F5049" s="7" t="str">
        <x:f>'Technology Campaigns'!G7</x:f>
        <x:v>OPEN</x:v>
      </x:c>
    </x:row>
    <x:row r="5050">
      <x:c r="B5050" s="7" t="str">
        <x:v>PHY-5044</x:v>
      </x:c>
      <x:c r="C5050" s="7" t="str">
        <x:v>technology campaign</x:v>
      </x:c>
      <x:c r="D5050" s="7" t="str">
        <x:v>TC-02</x:v>
      </x:c>
      <x:c r="E5050" s="7" t="str">
        <x:v>Technology Campaigns!G8</x:v>
      </x:c>
      <x:c r="F5050" s="7" t="str">
        <x:f>'Technology Campaigns'!G8</x:f>
        <x:v>OPEN</x:v>
      </x:c>
    </x:row>
    <x:row r="5051">
      <x:c r="B5051" s="7" t="str">
        <x:v>PHY-5045</x:v>
      </x:c>
      <x:c r="C5051" s="7" t="str">
        <x:v>technology campaign</x:v>
      </x:c>
      <x:c r="D5051" s="7" t="str">
        <x:v>TC-03</x:v>
      </x:c>
      <x:c r="E5051" s="7" t="str">
        <x:v>Technology Campaigns!G9</x:v>
      </x:c>
      <x:c r="F5051" s="7" t="str">
        <x:f>'Technology Campaigns'!G9</x:f>
        <x:v>OPEN</x:v>
      </x:c>
    </x:row>
    <x:row r="5052">
      <x:c r="B5052" s="7" t="str">
        <x:v>PHY-5046</x:v>
      </x:c>
      <x:c r="C5052" s="7" t="str">
        <x:v>technology campaign</x:v>
      </x:c>
      <x:c r="D5052" s="7" t="str">
        <x:v>TC-04</x:v>
      </x:c>
      <x:c r="E5052" s="7" t="str">
        <x:v>Technology Campaigns!G10</x:v>
      </x:c>
      <x:c r="F5052" s="7" t="str">
        <x:f>'Technology Campaigns'!G10</x:f>
        <x:v>OPEN</x:v>
      </x:c>
    </x:row>
    <x:row r="5053">
      <x:c r="B5053" s="7" t="str">
        <x:v>PHY-5047</x:v>
      </x:c>
      <x:c r="C5053" s="7" t="str">
        <x:v>technology campaign</x:v>
      </x:c>
      <x:c r="D5053" s="7" t="str">
        <x:v>TC-05</x:v>
      </x:c>
      <x:c r="E5053" s="7" t="str">
        <x:v>Technology Campaigns!G11</x:v>
      </x:c>
      <x:c r="F5053" s="7" t="str">
        <x:f>'Technology Campaigns'!G11</x:f>
        <x:v>OPEN</x:v>
      </x:c>
    </x:row>
    <x:row r="5054">
      <x:c r="B5054" s="7" t="str">
        <x:v>PHY-5048</x:v>
      </x:c>
      <x:c r="C5054" s="7" t="str">
        <x:v>technology campaign</x:v>
      </x:c>
      <x:c r="D5054" s="7" t="str">
        <x:v>TC-06</x:v>
      </x:c>
      <x:c r="E5054" s="7" t="str">
        <x:v>Technology Campaigns!G12</x:v>
      </x:c>
      <x:c r="F5054" s="7" t="str">
        <x:f>'Technology Campaigns'!G12</x:f>
        <x:v>OPEN</x:v>
      </x:c>
    </x:row>
    <x:row r="5055">
      <x:c r="B5055" s="7" t="str">
        <x:v>PHY-5049</x:v>
      </x:c>
      <x:c r="C5055" s="7" t="str">
        <x:v>technology campaign</x:v>
      </x:c>
      <x:c r="D5055" s="7" t="str">
        <x:v>TC-07</x:v>
      </x:c>
      <x:c r="E5055" s="7" t="str">
        <x:v>Technology Campaigns!G13</x:v>
      </x:c>
      <x:c r="F5055" s="7" t="str">
        <x:f>'Technology Campaigns'!G13</x:f>
        <x:v>OPEN</x:v>
      </x:c>
    </x:row>
    <x:row r="5056">
      <x:c r="B5056" s="7" t="str">
        <x:v>PHY-5050</x:v>
      </x:c>
      <x:c r="C5056" s="7" t="str">
        <x:v>technology campaign</x:v>
      </x:c>
      <x:c r="D5056" s="7" t="str">
        <x:v>TC-08</x:v>
      </x:c>
      <x:c r="E5056" s="7" t="str">
        <x:v>Technology Campaigns!G14</x:v>
      </x:c>
      <x:c r="F5056" s="7" t="str">
        <x:f>'Technology Campaigns'!G14</x:f>
        <x:v>OPEN</x:v>
      </x:c>
    </x:row>
  </x:sheetData>
  <x:conditionalFormatting sqref="F7:F5056">
    <x:cfRule type="containsText" dxfId="252" priority="1" operator="containsText" text="FAIL"/>
    <x:cfRule type="containsText" dxfId="253" priority="2" operator="containsText" text="INVALID"/>
    <x:cfRule type="containsText" dxfId="254" priority="3" operator="containsText" text="BLOCKED"/>
    <x:cfRule type="containsText" dxfId="255" priority="4" operator="containsText" text="OPEN"/>
    <x:cfRule type="containsText" dxfId="256" priority="5" operator="containsText" text="HELD"/>
    <x:cfRule type="containsText" dxfId="257" priority="6" operator="containsText" text="DORMANT"/>
    <x:cfRule type="containsText" dxfId="258" priority="7" operator="containsText" text="PASS"/>
    <x:cfRule type="containsText" dxfId="259" priority="8" operator="containsText" text="VALID"/>
    <x:cfRule type="containsText" dxfId="260" priority="9" operator="containsText" text="ISSUED"/>
  </x:conditionalFormatting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4" hidden="0" customWidth="1"/>
    <x:col min="3" max="3" width="16" hidden="0" customWidth="1"/>
    <x:col min="4" max="4" width="52" hidden="0" customWidth="1"/>
    <x:col min="5" max="5" width="18" hidden="0" customWidth="1"/>
    <x:col min="6" max="6" width="18" hidden="0" customWidth="1"/>
    <x:col min="7" max="7" width="14" hidden="0" customWidth="1"/>
  </x:cols>
  <x:sheetData>
    <x:row r="2">
      <x:c r="B2" s="1" t="str">
        <x:v>One hundred twenty executable-workbook assertions</x:v>
      </x:c>
    </x:row>
    <x:row r="3">
      <x:c r="B3" s="2" t="str">
        <x:v>PASS proves the workbook is internally coherent. It does not turn any OPEN physical record into accepted evidence.</x:v>
      </x:c>
    </x:row>
    <x:row r="6" ht="24" customHeight="1">
      <x:c r="B6" s="6" t="str">
        <x:v>Assertion</x:v>
      </x:c>
      <x:c r="C6" s="6" t="str">
        <x:v>Class</x:v>
      </x:c>
      <x:c r="D6" s="6" t="str">
        <x:v>Subject</x:v>
      </x:c>
      <x:c r="E6" s="6" t="str">
        <x:v>Actual</x:v>
      </x:c>
      <x:c r="F6" s="6" t="str">
        <x:v>Expected</x:v>
      </x:c>
      <x:c r="G6" s="6" t="str">
        <x:v>State</x:v>
      </x:c>
    </x:row>
    <x:row r="7">
      <x:c r="B7" s="7" t="str">
        <x:v>H01</x:v>
      </x:c>
      <x:c r="C7" s="7" t="str">
        <x:v>headline</x:v>
      </x:c>
      <x:c r="D7" s="7" t="str">
        <x:v>sheet count</x:v>
      </x:c>
      <x:c r="E7" s="7" t="n">
        <x:v>46</x:v>
      </x:c>
      <x:c r="F7" s="7" t="n">
        <x:v>46</x:v>
      </x:c>
      <x:c r="G7" s="7" t="str">
        <x:f>IF(ABS(E7-F7)&lt;0.000001,"PASS","FAIL")</x:f>
        <x:v>PASS</x:v>
      </x:c>
    </x:row>
    <x:row r="8">
      <x:c r="B8" s="7" t="str">
        <x:v>H02</x:v>
      </x:c>
      <x:c r="C8" s="7" t="str">
        <x:v>headline</x:v>
      </x:c>
      <x:c r="D8" s="7" t="str">
        <x:v>method count</x:v>
      </x:c>
      <x:c r="E8" s="7" t="n">
        <x:v>2</x:v>
      </x:c>
      <x:c r="F8" s="7" t="n">
        <x:v>2</x:v>
      </x:c>
      <x:c r="G8" s="7" t="str">
        <x:f>IF(ABS(E8-F8)&lt;0.000001,"PASS","FAIL")</x:f>
        <x:v>PASS</x:v>
      </x:c>
    </x:row>
    <x:row r="9">
      <x:c r="B9" s="7" t="str">
        <x:v>H03</x:v>
      </x:c>
      <x:c r="C9" s="7" t="str">
        <x:v>headline</x:v>
      </x:c>
      <x:c r="D9" s="7" t="str">
        <x:v>truth roots</x:v>
      </x:c>
      <x:c r="E9" s="7" t="n">
        <x:v>2</x:v>
      </x:c>
      <x:c r="F9" s="7" t="n">
        <x:v>2</x:v>
      </x:c>
      <x:c r="G9" s="7" t="str">
        <x:f>IF(ABS(E9-F9)&lt;0.000001,"PASS","FAIL")</x:f>
        <x:v>PASS</x:v>
      </x:c>
    </x:row>
    <x:row r="10">
      <x:c r="B10" s="7" t="str">
        <x:v>H04</x:v>
      </x:c>
      <x:c r="C10" s="7" t="str">
        <x:v>headline</x:v>
      </x:c>
      <x:c r="D10" s="7" t="str">
        <x:v>rig count</x:v>
      </x:c>
      <x:c r="E10" s="7" t="n">
        <x:v>6</x:v>
      </x:c>
      <x:c r="F10" s="7" t="n">
        <x:v>6</x:v>
      </x:c>
      <x:c r="G10" s="7" t="str">
        <x:f>IF(ABS(E10-F10)&lt;0.000001,"PASS","FAIL")</x:f>
        <x:v>PASS</x:v>
      </x:c>
    </x:row>
    <x:row r="11">
      <x:c r="B11" s="7" t="str">
        <x:v>H05</x:v>
      </x:c>
      <x:c r="C11" s="7" t="str">
        <x:v>headline</x:v>
      </x:c>
      <x:c r="D11" s="7" t="str">
        <x:v>event count</x:v>
      </x:c>
      <x:c r="E11" s="7" t="n">
        <x:v>48</x:v>
      </x:c>
      <x:c r="F11" s="7" t="n">
        <x:v>48</x:v>
      </x:c>
      <x:c r="G11" s="7" t="str">
        <x:f>IF(ABS(E11-F11)&lt;0.000001,"PASS","FAIL")</x:f>
        <x:v>PASS</x:v>
      </x:c>
    </x:row>
    <x:row r="12">
      <x:c r="B12" s="7" t="str">
        <x:v>H06</x:v>
      </x:c>
      <x:c r="C12" s="7" t="str">
        <x:v>headline</x:v>
      </x:c>
      <x:c r="D12" s="7" t="str">
        <x:v>QE-01 count</x:v>
      </x:c>
      <x:c r="E12" s="7" t="n">
        <x:v>24</x:v>
      </x:c>
      <x:c r="F12" s="7" t="n">
        <x:v>24</x:v>
      </x:c>
      <x:c r="G12" s="7" t="str">
        <x:f>IF(ABS(E12-F12)&lt;0.000001,"PASS","FAIL")</x:f>
        <x:v>PASS</x:v>
      </x:c>
    </x:row>
    <x:row r="13">
      <x:c r="B13" s="7" t="str">
        <x:v>H07</x:v>
      </x:c>
      <x:c r="C13" s="7" t="str">
        <x:v>headline</x:v>
      </x:c>
      <x:c r="D13" s="7" t="str">
        <x:v>QE-02 count</x:v>
      </x:c>
      <x:c r="E13" s="7" t="n">
        <x:v>24</x:v>
      </x:c>
      <x:c r="F13" s="7" t="n">
        <x:v>24</x:v>
      </x:c>
      <x:c r="G13" s="7" t="str">
        <x:f>IF(ABS(E13-F13)&lt;0.000001,"PASS","FAIL")</x:f>
        <x:v>PASS</x:v>
      </x:c>
    </x:row>
    <x:row r="14">
      <x:c r="B14" s="7" t="str">
        <x:v>H08</x:v>
      </x:c>
      <x:c r="C14" s="7" t="str">
        <x:v>headline</x:v>
      </x:c>
      <x:c r="D14" s="7" t="str">
        <x:v>base source kg</x:v>
      </x:c>
      <x:c r="E14" s="7" t="n">
        <x:v>2400</x:v>
      </x:c>
      <x:c r="F14" s="7" t="n">
        <x:v>2400</x:v>
      </x:c>
      <x:c r="G14" s="7" t="str">
        <x:f>IF(ABS(E14-F14)&lt;0.000001,"PASS","FAIL")</x:f>
        <x:v>PASS</x:v>
      </x:c>
    </x:row>
    <x:row r="15">
      <x:c r="B15" s="7" t="str">
        <x:v>H09</x:v>
      </x:c>
      <x:c r="C15" s="7" t="str">
        <x:v>headline</x:v>
      </x:c>
      <x:c r="D15" s="7" t="str">
        <x:v>base rig-days</x:v>
      </x:c>
      <x:c r="E15" s="7" t="n">
        <x:v>120</x:v>
      </x:c>
      <x:c r="F15" s="7" t="n">
        <x:v>120</x:v>
      </x:c>
      <x:c r="G15" s="7" t="str">
        <x:f>IF(ABS(E15-F15)&lt;0.000001,"PASS","FAIL")</x:f>
        <x:v>PASS</x:v>
      </x:c>
    </x:row>
    <x:row r="16">
      <x:c r="B16" s="7" t="str">
        <x:v>H10</x:v>
      </x:c>
      <x:c r="C16" s="7" t="str">
        <x:v>headline</x:v>
      </x:c>
      <x:c r="D16" s="7" t="str">
        <x:v>reserve tokens</x:v>
      </x:c>
      <x:c r="E16" s="7" t="n">
        <x:v>6</x:v>
      </x:c>
      <x:c r="F16" s="7" t="n">
        <x:v>6</x:v>
      </x:c>
      <x:c r="G16" s="7" t="str">
        <x:f>IF(ABS(E16-F16)&lt;0.000001,"PASS","FAIL")</x:f>
        <x:v>PASS</x:v>
      </x:c>
    </x:row>
    <x:row r="17">
      <x:c r="B17" s="7" t="str">
        <x:v>H11</x:v>
      </x:c>
      <x:c r="C17" s="7" t="str">
        <x:v>headline</x:v>
      </x:c>
      <x:c r="D17" s="7" t="str">
        <x:v>reserve rig-days</x:v>
      </x:c>
      <x:c r="E17" s="7" t="n">
        <x:v>15</x:v>
      </x:c>
      <x:c r="F17" s="7" t="n">
        <x:v>15</x:v>
      </x:c>
      <x:c r="G17" s="7" t="str">
        <x:f>IF(ABS(E17-F17)&lt;0.000001,"PASS","FAIL")</x:f>
        <x:v>PASS</x:v>
      </x:c>
    </x:row>
    <x:row r="18">
      <x:c r="B18" s="7" t="str">
        <x:v>H12</x:v>
      </x:c>
      <x:c r="C18" s="7" t="str">
        <x:v>headline</x:v>
      </x:c>
      <x:c r="D18" s="7" t="str">
        <x:v>reference articles</x:v>
      </x:c>
      <x:c r="E18" s="7" t="n">
        <x:v>6</x:v>
      </x:c>
      <x:c r="F18" s="7" t="n">
        <x:v>6</x:v>
      </x:c>
      <x:c r="G18" s="7" t="str">
        <x:f>IF(ABS(E18-F18)&lt;0.000001,"PASS","FAIL")</x:f>
        <x:v>PASS</x:v>
      </x:c>
    </x:row>
    <x:row r="19">
      <x:c r="B19" s="7" t="str">
        <x:v>H13</x:v>
      </x:c>
      <x:c r="C19" s="7" t="str">
        <x:v>headline</x:v>
      </x:c>
      <x:c r="D19" s="7" t="str">
        <x:v>cell sections</x:v>
      </x:c>
      <x:c r="E19" s="7" t="n">
        <x:v>120</x:v>
      </x:c>
      <x:c r="F19" s="7" t="n">
        <x:v>120</x:v>
      </x:c>
      <x:c r="G19" s="7" t="str">
        <x:f>IF(ABS(E19-F19)&lt;0.000001,"PASS","FAIL")</x:f>
        <x:v>PASS</x:v>
      </x:c>
    </x:row>
    <x:row r="20">
      <x:c r="B20" s="7" t="str">
        <x:v>H14</x:v>
      </x:c>
      <x:c r="C20" s="7" t="str">
        <x:v>headline</x:v>
      </x:c>
      <x:c r="D20" s="7" t="str">
        <x:v>configuration masters</x:v>
      </x:c>
      <x:c r="E20" s="7" t="n">
        <x:v>6</x:v>
      </x:c>
      <x:c r="F20" s="7" t="n">
        <x:v>6</x:v>
      </x:c>
      <x:c r="G20" s="7" t="str">
        <x:f>IF(ABS(E20-F20)&lt;0.000001,"PASS","FAIL")</x:f>
        <x:v>PASS</x:v>
      </x:c>
    </x:row>
    <x:row r="21">
      <x:c r="B21" s="7" t="str">
        <x:v>H15</x:v>
      </x:c>
      <x:c r="C21" s="7" t="str">
        <x:v>headline</x:v>
      </x:c>
      <x:c r="D21" s="7" t="str">
        <x:v>source packages</x:v>
      </x:c>
      <x:c r="E21" s="7" t="n">
        <x:v>28</x:v>
      </x:c>
      <x:c r="F21" s="7" t="n">
        <x:v>28</x:v>
      </x:c>
      <x:c r="G21" s="7" t="str">
        <x:f>IF(ABS(E21-F21)&lt;0.000001,"PASS","FAIL")</x:f>
        <x:v>PASS</x:v>
      </x:c>
    </x:row>
    <x:row r="22">
      <x:c r="B22" s="7" t="str">
        <x:v>H16</x:v>
      </x:c>
      <x:c r="C22" s="7" t="str">
        <x:v>headline</x:v>
      </x:c>
      <x:c r="D22" s="7" t="str">
        <x:v>source characteristics</x:v>
      </x:c>
      <x:c r="E22" s="7" t="n">
        <x:v>280</x:v>
      </x:c>
      <x:c r="F22" s="7" t="n">
        <x:v>280</x:v>
      </x:c>
      <x:c r="G22" s="7" t="str">
        <x:f>IF(ABS(E22-F22)&lt;0.000001,"PASS","FAIL")</x:f>
        <x:v>PASS</x:v>
      </x:c>
    </x:row>
    <x:row r="23">
      <x:c r="B23" s="7" t="str">
        <x:v>H17</x:v>
      </x:c>
      <x:c r="C23" s="7" t="str">
        <x:v>headline</x:v>
      </x:c>
      <x:c r="D23" s="7" t="str">
        <x:v>water packages</x:v>
      </x:c>
      <x:c r="E23" s="7" t="n">
        <x:v>12</x:v>
      </x:c>
      <x:c r="F23" s="7" t="n">
        <x:v>12</x:v>
      </x:c>
      <x:c r="G23" s="7" t="str">
        <x:f>IF(ABS(E23-F23)&lt;0.000001,"PASS","FAIL")</x:f>
        <x:v>PASS</x:v>
      </x:c>
    </x:row>
    <x:row r="24">
      <x:c r="B24" s="7" t="str">
        <x:v>H18</x:v>
      </x:c>
      <x:c r="C24" s="7" t="str">
        <x:v>headline</x:v>
      </x:c>
      <x:c r="D24" s="7" t="str">
        <x:v>containment proofs</x:v>
      </x:c>
      <x:c r="E24" s="7" t="n">
        <x:v>6</x:v>
      </x:c>
      <x:c r="F24" s="7" t="n">
        <x:v>6</x:v>
      </x:c>
      <x:c r="G24" s="7" t="str">
        <x:f>IF(ABS(E24-F24)&lt;0.000001,"PASS","FAIL")</x:f>
        <x:v>PASS</x:v>
      </x:c>
    </x:row>
    <x:row r="25">
      <x:c r="B25" s="7" t="str">
        <x:v>H19</x:v>
      </x:c>
      <x:c r="C25" s="7" t="str">
        <x:v>headline</x:v>
      </x:c>
      <x:c r="D25" s="7" t="str">
        <x:v>receiver proofs</x:v>
      </x:c>
      <x:c r="E25" s="7" t="n">
        <x:v>24</x:v>
      </x:c>
      <x:c r="F25" s="7" t="n">
        <x:v>24</x:v>
      </x:c>
      <x:c r="G25" s="7" t="str">
        <x:f>IF(ABS(E25-F25)&lt;0.000001,"PASS","FAIL")</x:f>
        <x:v>PASS</x:v>
      </x:c>
    </x:row>
    <x:row r="26">
      <x:c r="B26" s="7" t="str">
        <x:v>H20</x:v>
      </x:c>
      <x:c r="C26" s="7" t="str">
        <x:v>headline</x:v>
      </x:c>
      <x:c r="D26" s="7" t="str">
        <x:v>control elements</x:v>
      </x:c>
      <x:c r="E26" s="7" t="n">
        <x:v>72</x:v>
      </x:c>
      <x:c r="F26" s="7" t="n">
        <x:v>72</x:v>
      </x:c>
      <x:c r="G26" s="7" t="str">
        <x:f>IF(ABS(E26-F26)&lt;0.000001,"PASS","FAIL")</x:f>
        <x:v>PASS</x:v>
      </x:c>
    </x:row>
    <x:row r="27">
      <x:c r="B27" s="7" t="str">
        <x:v>H21</x:v>
      </x:c>
      <x:c r="C27" s="7" t="str">
        <x:v>headline</x:v>
      </x:c>
      <x:c r="D27" s="7" t="str">
        <x:v>safeing paths</x:v>
      </x:c>
      <x:c r="E27" s="7" t="n">
        <x:v>216</x:v>
      </x:c>
      <x:c r="F27" s="7" t="n">
        <x:v>216</x:v>
      </x:c>
      <x:c r="G27" s="7" t="str">
        <x:f>IF(ABS(E27-F27)&lt;0.000001,"PASS","FAIL")</x:f>
        <x:v>PASS</x:v>
      </x:c>
    </x:row>
    <x:row r="28">
      <x:c r="B28" s="7" t="str">
        <x:v>H22</x:v>
      </x:c>
      <x:c r="C28" s="7" t="str">
        <x:v>headline</x:v>
      </x:c>
      <x:c r="D28" s="7" t="str">
        <x:v>path proofs</x:v>
      </x:c>
      <x:c r="E28" s="7" t="n">
        <x:v>216</x:v>
      </x:c>
      <x:c r="F28" s="7" t="n">
        <x:v>216</x:v>
      </x:c>
      <x:c r="G28" s="7" t="str">
        <x:f>IF(ABS(E28-F28)&lt;0.000001,"PASS","FAIL")</x:f>
        <x:v>PASS</x:v>
      </x:c>
    </x:row>
    <x:row r="29">
      <x:c r="B29" s="7" t="str">
        <x:v>H23</x:v>
      </x:c>
      <x:c r="C29" s="7" t="str">
        <x:v>headline</x:v>
      </x:c>
      <x:c r="D29" s="7" t="str">
        <x:v>walkdown records</x:v>
      </x:c>
      <x:c r="E29" s="7" t="n">
        <x:v>192</x:v>
      </x:c>
      <x:c r="F29" s="7" t="n">
        <x:v>192</x:v>
      </x:c>
      <x:c r="G29" s="7" t="str">
        <x:f>IF(ABS(E29-F29)&lt;0.000001,"PASS","FAIL")</x:f>
        <x:v>PASS</x:v>
      </x:c>
    </x:row>
    <x:row r="30">
      <x:c r="B30" s="7" t="str">
        <x:v>H24</x:v>
      </x:c>
      <x:c r="C30" s="7" t="str">
        <x:v>headline</x:v>
      </x:c>
      <x:c r="D30" s="7" t="str">
        <x:v>neighbor proofs</x:v>
      </x:c>
      <x:c r="E30" s="7" t="n">
        <x:v>144</x:v>
      </x:c>
      <x:c r="F30" s="7" t="n">
        <x:v>144</x:v>
      </x:c>
      <x:c r="G30" s="7" t="str">
        <x:f>IF(ABS(E30-F30)&lt;0.000001,"PASS","FAIL")</x:f>
        <x:v>PASS</x:v>
      </x:c>
    </x:row>
    <x:row r="31">
      <x:c r="B31" s="7" t="str">
        <x:v>H25</x:v>
      </x:c>
      <x:c r="C31" s="7" t="str">
        <x:v>headline</x:v>
      </x:c>
      <x:c r="D31" s="7" t="str">
        <x:v>event phases</x:v>
      </x:c>
      <x:c r="E31" s="7" t="n">
        <x:v>1152</x:v>
      </x:c>
      <x:c r="F31" s="7" t="n">
        <x:v>1152</x:v>
      </x:c>
      <x:c r="G31" s="7" t="str">
        <x:f>IF(ABS(E31-F31)&lt;0.000001,"PASS","FAIL")</x:f>
        <x:v>PASS</x:v>
      </x:c>
    </x:row>
    <x:row r="32">
      <x:c r="B32" s="7" t="str">
        <x:v>H26</x:v>
      </x:c>
      <x:c r="C32" s="7" t="str">
        <x:v>headline</x:v>
      </x:c>
      <x:c r="D32" s="7" t="str">
        <x:v>hold records</x:v>
      </x:c>
      <x:c r="E32" s="7" t="n">
        <x:v>1536</x:v>
      </x:c>
      <x:c r="F32" s="7" t="n">
        <x:v>1536</x:v>
      </x:c>
      <x:c r="G32" s="7" t="str">
        <x:f>IF(ABS(E32-F32)&lt;0.000001,"PASS","FAIL")</x:f>
        <x:v>PASS</x:v>
      </x:c>
    </x:row>
    <x:row r="33">
      <x:c r="B33" s="7" t="str">
        <x:v>H27</x:v>
      </x:c>
      <x:c r="C33" s="7" t="str">
        <x:v>headline</x:v>
      </x:c>
      <x:c r="D33" s="7" t="str">
        <x:v>evidence obligations</x:v>
      </x:c>
      <x:c r="E33" s="7" t="n">
        <x:v>576</x:v>
      </x:c>
      <x:c r="F33" s="7" t="n">
        <x:v>576</x:v>
      </x:c>
      <x:c r="G33" s="7" t="str">
        <x:f>IF(ABS(E33-F33)&lt;0.000001,"PASS","FAIL")</x:f>
        <x:v>PASS</x:v>
      </x:c>
    </x:row>
    <x:row r="34">
      <x:c r="B34" s="7" t="str">
        <x:v>H28</x:v>
      </x:c>
      <x:c r="C34" s="7" t="str">
        <x:v>headline</x:v>
      </x:c>
      <x:c r="D34" s="7" t="str">
        <x:v>samples</x:v>
      </x:c>
      <x:c r="E34" s="7" t="n">
        <x:v>336</x:v>
      </x:c>
      <x:c r="F34" s="7" t="n">
        <x:v>336</x:v>
      </x:c>
      <x:c r="G34" s="7" t="str">
        <x:f>IF(ABS(E34-F34)&lt;0.000001,"PASS","FAIL")</x:f>
        <x:v>PASS</x:v>
      </x:c>
    </x:row>
    <x:row r="35">
      <x:c r="B35" s="7" t="str">
        <x:v>H29</x:v>
      </x:c>
      <x:c r="C35" s="7" t="str">
        <x:v>headline</x:v>
      </x:c>
      <x:c r="D35" s="7" t="str">
        <x:v>physical gates</x:v>
      </x:c>
      <x:c r="E35" s="7" t="n">
        <x:v>5050</x:v>
      </x:c>
      <x:c r="F35" s="7" t="n">
        <x:v>5050</x:v>
      </x:c>
      <x:c r="G35" s="7" t="str">
        <x:f>IF(ABS(E35-F35)&lt;0.000001,"PASS","FAIL")</x:f>
        <x:v>PASS</x:v>
      </x:c>
    </x:row>
    <x:row r="36">
      <x:c r="B36" s="7" t="str">
        <x:v>H30</x:v>
      </x:c>
      <x:c r="C36" s="7" t="str">
        <x:v>headline</x:v>
      </x:c>
      <x:c r="D36" s="7" t="str">
        <x:v>technology campaigns</x:v>
      </x:c>
      <x:c r="E36" s="7" t="n">
        <x:v>8</x:v>
      </x:c>
      <x:c r="F36" s="7" t="n">
        <x:v>8</x:v>
      </x:c>
      <x:c r="G36" s="7" t="str">
        <x:f>IF(ABS(E36-F36)&lt;0.000001,"PASS","FAIL")</x:f>
        <x:v>PASS</x:v>
      </x:c>
    </x:row>
    <x:row r="37">
      <x:c r="B37" s="7" t="str">
        <x:v>PG-01</x:v>
      </x:c>
      <x:c r="C37" s="7" t="str">
        <x:v>planning</x:v>
      </x:c>
      <x:c r="D37" s="7" t="str">
        <x:v>class law</x:v>
      </x:c>
      <x:c r="E37" s="7" t="n">
        <x:v>1</x:v>
      </x:c>
      <x:c r="F37" s="7" t="n">
        <x:v>1</x:v>
      </x:c>
      <x:c r="G37" s="7" t="str">
        <x:f>IF(ABS(E37-F37)&lt;0.000001,"PASS","FAIL")</x:f>
        <x:v>PASS</x:v>
      </x:c>
    </x:row>
    <x:row r="38">
      <x:c r="B38" s="7" t="str">
        <x:v>PG-02</x:v>
      </x:c>
      <x:c r="C38" s="7" t="str">
        <x:v>planning</x:v>
      </x:c>
      <x:c r="D38" s="7" t="str">
        <x:v>article law</x:v>
      </x:c>
      <x:c r="E38" s="7" t="n">
        <x:v>1</x:v>
      </x:c>
      <x:c r="F38" s="7" t="n">
        <x:v>1</x:v>
      </x:c>
      <x:c r="G38" s="7" t="str">
        <x:f>IF(ABS(E38-F38)&lt;0.000001,"PASS","FAIL")</x:f>
        <x:v>PASS</x:v>
      </x:c>
    </x:row>
    <x:row r="39">
      <x:c r="B39" s="7" t="str">
        <x:v>PG-03</x:v>
      </x:c>
      <x:c r="C39" s="7" t="str">
        <x:v>planning</x:v>
      </x:c>
      <x:c r="D39" s="7" t="str">
        <x:v>route law</x:v>
      </x:c>
      <x:c r="E39" s="7" t="n">
        <x:v>1</x:v>
      </x:c>
      <x:c r="F39" s="7" t="n">
        <x:v>1</x:v>
      </x:c>
      <x:c r="G39" s="7" t="str">
        <x:f>IF(ABS(E39-F39)&lt;0.000001,"PASS","FAIL")</x:f>
        <x:v>PASS</x:v>
      </x:c>
    </x:row>
    <x:row r="40">
      <x:c r="B40" s="7" t="str">
        <x:v>PG-04</x:v>
      </x:c>
      <x:c r="C40" s="7" t="str">
        <x:v>planning</x:v>
      </x:c>
      <x:c r="D40" s="7" t="str">
        <x:v>source law</x:v>
      </x:c>
      <x:c r="E40" s="7" t="n">
        <x:v>1</x:v>
      </x:c>
      <x:c r="F40" s="7" t="n">
        <x:v>1</x:v>
      </x:c>
      <x:c r="G40" s="7" t="str">
        <x:f>IF(ABS(E40-F40)&lt;0.000001,"PASS","FAIL")</x:f>
        <x:v>PASS</x:v>
      </x:c>
    </x:row>
    <x:row r="41">
      <x:c r="B41" s="7" t="str">
        <x:v>PG-05</x:v>
      </x:c>
      <x:c r="C41" s="7" t="str">
        <x:v>planning</x:v>
      </x:c>
      <x:c r="D41" s="7" t="str">
        <x:v>water law</x:v>
      </x:c>
      <x:c r="E41" s="7" t="n">
        <x:v>1</x:v>
      </x:c>
      <x:c r="F41" s="7" t="n">
        <x:v>1</x:v>
      </x:c>
      <x:c r="G41" s="7" t="str">
        <x:f>IF(ABS(E41-F41)&lt;0.000001,"PASS","FAIL")</x:f>
        <x:v>PASS</x:v>
      </x:c>
    </x:row>
    <x:row r="42">
      <x:c r="B42" s="7" t="str">
        <x:v>PG-06</x:v>
      </x:c>
      <x:c r="C42" s="7" t="str">
        <x:v>planning</x:v>
      </x:c>
      <x:c r="D42" s="7" t="str">
        <x:v>ignition law</x:v>
      </x:c>
      <x:c r="E42" s="7" t="n">
        <x:v>1</x:v>
      </x:c>
      <x:c r="F42" s="7" t="n">
        <x:v>1</x:v>
      </x:c>
      <x:c r="G42" s="7" t="str">
        <x:f>IF(ABS(E42-F42)&lt;0.000001,"PASS","FAIL")</x:f>
        <x:v>PASS</x:v>
      </x:c>
    </x:row>
    <x:row r="43">
      <x:c r="B43" s="7" t="str">
        <x:v>PG-07</x:v>
      </x:c>
      <x:c r="C43" s="7" t="str">
        <x:v>planning</x:v>
      </x:c>
      <x:c r="D43" s="7" t="str">
        <x:v>containment law</x:v>
      </x:c>
      <x:c r="E43" s="7" t="n">
        <x:v>1</x:v>
      </x:c>
      <x:c r="F43" s="7" t="n">
        <x:v>1</x:v>
      </x:c>
      <x:c r="G43" s="7" t="str">
        <x:f>IF(ABS(E43-F43)&lt;0.000001,"PASS","FAIL")</x:f>
        <x:v>PASS</x:v>
      </x:c>
    </x:row>
    <x:row r="44">
      <x:c r="B44" s="7" t="str">
        <x:v>PG-08</x:v>
      </x:c>
      <x:c r="C44" s="7" t="str">
        <x:v>planning</x:v>
      </x:c>
      <x:c r="D44" s="7" t="str">
        <x:v>safeing law</x:v>
      </x:c>
      <x:c r="E44" s="7" t="n">
        <x:v>1</x:v>
      </x:c>
      <x:c r="F44" s="7" t="n">
        <x:v>1</x:v>
      </x:c>
      <x:c r="G44" s="7" t="str">
        <x:f>IF(ABS(E44-F44)&lt;0.000001,"PASS","FAIL")</x:f>
        <x:v>PASS</x:v>
      </x:c>
    </x:row>
    <x:row r="45">
      <x:c r="B45" s="7" t="str">
        <x:v>PG-09</x:v>
      </x:c>
      <x:c r="C45" s="7" t="str">
        <x:v>planning</x:v>
      </x:c>
      <x:c r="D45" s="7" t="str">
        <x:v>neighbor law</x:v>
      </x:c>
      <x:c r="E45" s="7" t="n">
        <x:v>1</x:v>
      </x:c>
      <x:c r="F45" s="7" t="n">
        <x:v>1</x:v>
      </x:c>
      <x:c r="G45" s="7" t="str">
        <x:f>IF(ABS(E45-F45)&lt;0.000001,"PASS","FAIL")</x:f>
        <x:v>PASS</x:v>
      </x:c>
    </x:row>
    <x:row r="46">
      <x:c r="B46" s="7" t="str">
        <x:v>PG-10</x:v>
      </x:c>
      <x:c r="C46" s="7" t="str">
        <x:v>planning</x:v>
      </x:c>
      <x:c r="D46" s="7" t="str">
        <x:v>time law</x:v>
      </x:c>
      <x:c r="E46" s="7" t="n">
        <x:v>1</x:v>
      </x:c>
      <x:c r="F46" s="7" t="n">
        <x:v>1</x:v>
      </x:c>
      <x:c r="G46" s="7" t="str">
        <x:f>IF(ABS(E46-F46)&lt;0.000001,"PASS","FAIL")</x:f>
        <x:v>PASS</x:v>
      </x:c>
    </x:row>
    <x:row r="47">
      <x:c r="B47" s="7" t="str">
        <x:v>PG-11</x:v>
      </x:c>
      <x:c r="C47" s="7" t="str">
        <x:v>planning</x:v>
      </x:c>
      <x:c r="D47" s="7" t="str">
        <x:v>hold law</x:v>
      </x:c>
      <x:c r="E47" s="7" t="n">
        <x:v>1</x:v>
      </x:c>
      <x:c r="F47" s="7" t="n">
        <x:v>1</x:v>
      </x:c>
      <x:c r="G47" s="7" t="str">
        <x:f>IF(ABS(E47-F47)&lt;0.000001,"PASS","FAIL")</x:f>
        <x:v>PASS</x:v>
      </x:c>
    </x:row>
    <x:row r="48">
      <x:c r="B48" s="7" t="str">
        <x:v>PG-12</x:v>
      </x:c>
      <x:c r="C48" s="7" t="str">
        <x:v>planning</x:v>
      </x:c>
      <x:c r="D48" s="7" t="str">
        <x:v>evidence law</x:v>
      </x:c>
      <x:c r="E48" s="7" t="n">
        <x:v>1</x:v>
      </x:c>
      <x:c r="F48" s="7" t="n">
        <x:v>1</x:v>
      </x:c>
      <x:c r="G48" s="7" t="str">
        <x:f>IF(ABS(E48-F48)&lt;0.000001,"PASS","FAIL")</x:f>
        <x:v>PASS</x:v>
      </x:c>
    </x:row>
    <x:row r="49">
      <x:c r="B49" s="7" t="str">
        <x:v>PG-13</x:v>
      </x:c>
      <x:c r="C49" s="7" t="str">
        <x:v>planning</x:v>
      </x:c>
      <x:c r="D49" s="7" t="str">
        <x:v>sample law</x:v>
      </x:c>
      <x:c r="E49" s="7" t="n">
        <x:v>1</x:v>
      </x:c>
      <x:c r="F49" s="7" t="n">
        <x:v>1</x:v>
      </x:c>
      <x:c r="G49" s="7" t="str">
        <x:f>IF(ABS(E49-F49)&lt;0.000001,"PASS","FAIL")</x:f>
        <x:v>PASS</x:v>
      </x:c>
    </x:row>
    <x:row r="50">
      <x:c r="B50" s="7" t="str">
        <x:v>PG-14</x:v>
      </x:c>
      <x:c r="C50" s="7" t="str">
        <x:v>planning</x:v>
      </x:c>
      <x:c r="D50" s="7" t="str">
        <x:v>validity law</x:v>
      </x:c>
      <x:c r="E50" s="7" t="n">
        <x:v>1</x:v>
      </x:c>
      <x:c r="F50" s="7" t="n">
        <x:v>1</x:v>
      </x:c>
      <x:c r="G50" s="7" t="str">
        <x:f>IF(ABS(E50-F50)&lt;0.000001,"PASS","FAIL")</x:f>
        <x:v>PASS</x:v>
      </x:c>
    </x:row>
    <x:row r="51">
      <x:c r="B51" s="7" t="str">
        <x:v>PG-15</x:v>
      </x:c>
      <x:c r="C51" s="7" t="str">
        <x:v>planning</x:v>
      </x:c>
      <x:c r="D51" s="7" t="str">
        <x:v>reserve law</x:v>
      </x:c>
      <x:c r="E51" s="7" t="n">
        <x:v>1</x:v>
      </x:c>
      <x:c r="F51" s="7" t="n">
        <x:v>1</x:v>
      </x:c>
      <x:c r="G51" s="7" t="str">
        <x:f>IF(ABS(E51-F51)&lt;0.000001,"PASS","FAIL")</x:f>
        <x:v>PASS</x:v>
      </x:c>
    </x:row>
    <x:row r="52">
      <x:c r="B52" s="7" t="str">
        <x:v>PG-16</x:v>
      </x:c>
      <x:c r="C52" s="7" t="str">
        <x:v>planning</x:v>
      </x:c>
      <x:c r="D52" s="7" t="str">
        <x:v>restart law</x:v>
      </x:c>
      <x:c r="E52" s="7" t="n">
        <x:v>1</x:v>
      </x:c>
      <x:c r="F52" s="7" t="n">
        <x:v>1</x:v>
      </x:c>
      <x:c r="G52" s="7" t="str">
        <x:f>IF(ABS(E52-F52)&lt;0.000001,"PASS","FAIL")</x:f>
        <x:v>PASS</x:v>
      </x:c>
    </x:row>
    <x:row r="53">
      <x:c r="B53" s="7" t="str">
        <x:v>PG-17</x:v>
      </x:c>
      <x:c r="C53" s="7" t="str">
        <x:v>planning</x:v>
      </x:c>
      <x:c r="D53" s="7" t="str">
        <x:v>uncertainty law</x:v>
      </x:c>
      <x:c r="E53" s="7" t="n">
        <x:v>1</x:v>
      </x:c>
      <x:c r="F53" s="7" t="n">
        <x:v>1</x:v>
      </x:c>
      <x:c r="G53" s="7" t="str">
        <x:f>IF(ABS(E53-F53)&lt;0.000001,"PASS","FAIL")</x:f>
        <x:v>PASS</x:v>
      </x:c>
    </x:row>
    <x:row r="54">
      <x:c r="B54" s="7" t="str">
        <x:v>PG-18</x:v>
      </x:c>
      <x:c r="C54" s="7" t="str">
        <x:v>planning</x:v>
      </x:c>
      <x:c r="D54" s="7" t="str">
        <x:v>environment law</x:v>
      </x:c>
      <x:c r="E54" s="7" t="n">
        <x:v>1</x:v>
      </x:c>
      <x:c r="F54" s="7" t="n">
        <x:v>1</x:v>
      </x:c>
      <x:c r="G54" s="7" t="str">
        <x:f>IF(ABS(E54-F54)&lt;0.000001,"PASS","FAIL")</x:f>
        <x:v>PASS</x:v>
      </x:c>
    </x:row>
    <x:row r="55">
      <x:c r="B55" s="7" t="str">
        <x:v>PG-19</x:v>
      </x:c>
      <x:c r="C55" s="7" t="str">
        <x:v>planning</x:v>
      </x:c>
      <x:c r="D55" s="7" t="str">
        <x:v>flow law</x:v>
      </x:c>
      <x:c r="E55" s="7" t="n">
        <x:v>1</x:v>
      </x:c>
      <x:c r="F55" s="7" t="n">
        <x:v>1</x:v>
      </x:c>
      <x:c r="G55" s="7" t="str">
        <x:f>IF(ABS(E55-F55)&lt;0.000001,"PASS","FAIL")</x:f>
        <x:v>PASS</x:v>
      </x:c>
    </x:row>
    <x:row r="56">
      <x:c r="B56" s="7" t="str">
        <x:v>PG-20</x:v>
      </x:c>
      <x:c r="C56" s="7" t="str">
        <x:v>planning</x:v>
      </x:c>
      <x:c r="D56" s="7" t="str">
        <x:v>thermal law</x:v>
      </x:c>
      <x:c r="E56" s="7" t="n">
        <x:v>1</x:v>
      </x:c>
      <x:c r="F56" s="7" t="n">
        <x:v>1</x:v>
      </x:c>
      <x:c r="G56" s="7" t="str">
        <x:f>IF(ABS(E56-F56)&lt;0.000001,"PASS","FAIL")</x:f>
        <x:v>PASS</x:v>
      </x:c>
    </x:row>
    <x:row r="57">
      <x:c r="B57" s="7" t="str">
        <x:v>PG-21</x:v>
      </x:c>
      <x:c r="C57" s="7" t="str">
        <x:v>planning</x:v>
      </x:c>
      <x:c r="D57" s="7" t="str">
        <x:v>water headroom</x:v>
      </x:c>
      <x:c r="E57" s="7" t="n">
        <x:v>1</x:v>
      </x:c>
      <x:c r="F57" s="7" t="n">
        <x:v>1</x:v>
      </x:c>
      <x:c r="G57" s="7" t="str">
        <x:f>IF(ABS(E57-F57)&lt;0.000001,"PASS","FAIL")</x:f>
        <x:v>PASS</x:v>
      </x:c>
    </x:row>
    <x:row r="58">
      <x:c r="B58" s="7" t="str">
        <x:v>PG-22</x:v>
      </x:c>
      <x:c r="C58" s="7" t="str">
        <x:v>planning</x:v>
      </x:c>
      <x:c r="D58" s="7" t="str">
        <x:v>capacity law</x:v>
      </x:c>
      <x:c r="E58" s="7" t="n">
        <x:v>1</x:v>
      </x:c>
      <x:c r="F58" s="7" t="n">
        <x:v>1</x:v>
      </x:c>
      <x:c r="G58" s="7" t="str">
        <x:f>IF(ABS(E58-F58)&lt;0.000001,"PASS","FAIL")</x:f>
        <x:v>PASS</x:v>
      </x:c>
    </x:row>
    <x:row r="59">
      <x:c r="B59" s="7" t="str">
        <x:v>PG-23</x:v>
      </x:c>
      <x:c r="C59" s="7" t="str">
        <x:v>planning</x:v>
      </x:c>
      <x:c r="D59" s="7" t="str">
        <x:v>source capacity</x:v>
      </x:c>
      <x:c r="E59" s="7" t="n">
        <x:v>1</x:v>
      </x:c>
      <x:c r="F59" s="7" t="n">
        <x:v>1</x:v>
      </x:c>
      <x:c r="G59" s="7" t="str">
        <x:f>IF(ABS(E59-F59)&lt;0.000001,"PASS","FAIL")</x:f>
        <x:v>PASS</x:v>
      </x:c>
    </x:row>
    <x:row r="60">
      <x:c r="B60" s="7" t="str">
        <x:v>PG-24</x:v>
      </x:c>
      <x:c r="C60" s="7" t="str">
        <x:v>planning</x:v>
      </x:c>
      <x:c r="D60" s="7" t="str">
        <x:v>workforce law</x:v>
      </x:c>
      <x:c r="E60" s="7" t="n">
        <x:v>1</x:v>
      </x:c>
      <x:c r="F60" s="7" t="n">
        <x:v>1</x:v>
      </x:c>
      <x:c r="G60" s="7" t="str">
        <x:f>IF(ABS(E60-F60)&lt;0.000001,"PASS","FAIL")</x:f>
        <x:v>PASS</x:v>
      </x:c>
    </x:row>
    <x:row r="61">
      <x:c r="B61" s="7" t="str">
        <x:v>PG-25</x:v>
      </x:c>
      <x:c r="C61" s="7" t="str">
        <x:v>planning</x:v>
      </x:c>
      <x:c r="D61" s="7" t="str">
        <x:v>capital law</x:v>
      </x:c>
      <x:c r="E61" s="7" t="n">
        <x:v>1</x:v>
      </x:c>
      <x:c r="F61" s="7" t="n">
        <x:v>1</x:v>
      </x:c>
      <x:c r="G61" s="7" t="str">
        <x:f>IF(ABS(E61-F61)&lt;0.000001,"PASS","FAIL")</x:f>
        <x:v>PASS</x:v>
      </x:c>
    </x:row>
    <x:row r="62">
      <x:c r="B62" s="7" t="str">
        <x:v>PG-26</x:v>
      </x:c>
      <x:c r="C62" s="7" t="str">
        <x:v>planning</x:v>
      </x:c>
      <x:c r="D62" s="7" t="str">
        <x:v>support law</x:v>
      </x:c>
      <x:c r="E62" s="7" t="n">
        <x:v>1</x:v>
      </x:c>
      <x:c r="F62" s="7" t="n">
        <x:v>1</x:v>
      </x:c>
      <x:c r="G62" s="7" t="str">
        <x:f>IF(ABS(E62-F62)&lt;0.000001,"PASS","FAIL")</x:f>
        <x:v>PASS</x:v>
      </x:c>
    </x:row>
    <x:row r="63">
      <x:c r="B63" s="7" t="str">
        <x:v>PG-27</x:v>
      </x:c>
      <x:c r="C63" s="7" t="str">
        <x:v>planning</x:v>
      </x:c>
      <x:c r="D63" s="7" t="str">
        <x:v>portfolio law</x:v>
      </x:c>
      <x:c r="E63" s="7" t="n">
        <x:v>1</x:v>
      </x:c>
      <x:c r="F63" s="7" t="n">
        <x:v>1</x:v>
      </x:c>
      <x:c r="G63" s="7" t="str">
        <x:f>IF(ABS(E63-F63)&lt;0.000001,"PASS","FAIL")</x:f>
        <x:v>PASS</x:v>
      </x:c>
    </x:row>
    <x:row r="64">
      <x:c r="B64" s="7" t="str">
        <x:v>PG-28</x:v>
      </x:c>
      <x:c r="C64" s="7" t="str">
        <x:v>planning</x:v>
      </x:c>
      <x:c r="D64" s="7" t="str">
        <x:v>technology law</x:v>
      </x:c>
      <x:c r="E64" s="7" t="n">
        <x:v>1</x:v>
      </x:c>
      <x:c r="F64" s="7" t="n">
        <x:v>1</x:v>
      </x:c>
      <x:c r="G64" s="7" t="str">
        <x:f>IF(ABS(E64-F64)&lt;0.000001,"PASS","FAIL")</x:f>
        <x:v>PASS</x:v>
      </x:c>
    </x:row>
    <x:row r="65">
      <x:c r="B65" s="7" t="str">
        <x:v>PG-29</x:v>
      </x:c>
      <x:c r="C65" s="7" t="str">
        <x:v>planning</x:v>
      </x:c>
      <x:c r="D65" s="7" t="str">
        <x:v>schedule law</x:v>
      </x:c>
      <x:c r="E65" s="7" t="n">
        <x:v>1</x:v>
      </x:c>
      <x:c r="F65" s="7" t="n">
        <x:v>1</x:v>
      </x:c>
      <x:c r="G65" s="7" t="str">
        <x:f>IF(ABS(E65-F65)&lt;0.000001,"PASS","FAIL")</x:f>
        <x:v>PASS</x:v>
      </x:c>
    </x:row>
    <x:row r="66">
      <x:c r="B66" s="7" t="str">
        <x:v>PG-30</x:v>
      </x:c>
      <x:c r="C66" s="7" t="str">
        <x:v>planning</x:v>
      </x:c>
      <x:c r="D66" s="7" t="str">
        <x:v>authority law</x:v>
      </x:c>
      <x:c r="E66" s="7" t="n">
        <x:v>1</x:v>
      </x:c>
      <x:c r="F66" s="7" t="n">
        <x:v>1</x:v>
      </x:c>
      <x:c r="G66" s="7" t="str">
        <x:f>IF(ABS(E66-F66)&lt;0.000001,"PASS","FAIL")</x:f>
        <x:v>PASS</x:v>
      </x:c>
    </x:row>
    <x:row r="67">
      <x:c r="B67" s="7" t="str">
        <x:v>PG-31</x:v>
      </x:c>
      <x:c r="C67" s="7" t="str">
        <x:v>planning</x:v>
      </x:c>
      <x:c r="D67" s="7" t="str">
        <x:v>rendering law</x:v>
      </x:c>
      <x:c r="E67" s="7" t="n">
        <x:v>1</x:v>
      </x:c>
      <x:c r="F67" s="7" t="n">
        <x:v>1</x:v>
      </x:c>
      <x:c r="G67" s="7" t="str">
        <x:f>IF(ABS(E67-F67)&lt;0.000001,"PASS","FAIL")</x:f>
        <x:v>PASS</x:v>
      </x:c>
    </x:row>
    <x:row r="68">
      <x:c r="B68" s="7" t="str">
        <x:v>PG-32</x:v>
      </x:c>
      <x:c r="C68" s="7" t="str">
        <x:v>planning</x:v>
      </x:c>
      <x:c r="D68" s="7" t="str">
        <x:v>physical law</x:v>
      </x:c>
      <x:c r="E68" s="7" t="n">
        <x:v>1</x:v>
      </x:c>
      <x:c r="F68" s="7" t="n">
        <x:v>1</x:v>
      </x:c>
      <x:c r="G68" s="7" t="str">
        <x:f>IF(ABS(E68-F68)&lt;0.000001,"PASS","FAIL")</x:f>
        <x:v>PASS</x:v>
      </x:c>
    </x:row>
    <x:row r="69">
      <x:c r="B69" s="7" t="str">
        <x:v>P01</x:v>
      </x:c>
      <x:c r="C69" s="7" t="str">
        <x:v>physical</x:v>
      </x:c>
      <x:c r="D69" s="7" t="str">
        <x:v>reference articles</x:v>
      </x:c>
      <x:c r="E69" s="7" t="n">
        <x:v>6</x:v>
      </x:c>
      <x:c r="F69" s="7" t="n">
        <x:v>6</x:v>
      </x:c>
      <x:c r="G69" s="7" t="str">
        <x:f>IF(ABS(E69-F69)&lt;0.000001,"PASS","FAIL")</x:f>
        <x:v>PASS</x:v>
      </x:c>
    </x:row>
    <x:row r="70">
      <x:c r="B70" s="7" t="str">
        <x:v>P02</x:v>
      </x:c>
      <x:c r="C70" s="7" t="str">
        <x:v>physical</x:v>
      </x:c>
      <x:c r="D70" s="7" t="str">
        <x:v>cell sections</x:v>
      </x:c>
      <x:c r="E70" s="7" t="n">
        <x:v>120</x:v>
      </x:c>
      <x:c r="F70" s="7" t="n">
        <x:v>120</x:v>
      </x:c>
      <x:c r="G70" s="7" t="str">
        <x:f>IF(ABS(E70-F70)&lt;0.000001,"PASS","FAIL")</x:f>
        <x:v>PASS</x:v>
      </x:c>
    </x:row>
    <x:row r="71">
      <x:c r="B71" s="7" t="str">
        <x:v>P03</x:v>
      </x:c>
      <x:c r="C71" s="7" t="str">
        <x:v>physical</x:v>
      </x:c>
      <x:c r="D71" s="7" t="str">
        <x:v>configuration masters</x:v>
      </x:c>
      <x:c r="E71" s="7" t="n">
        <x:v>6</x:v>
      </x:c>
      <x:c r="F71" s="7" t="n">
        <x:v>6</x:v>
      </x:c>
      <x:c r="G71" s="7" t="str">
        <x:f>IF(ABS(E71-F71)&lt;0.000001,"PASS","FAIL")</x:f>
        <x:v>PASS</x:v>
      </x:c>
    </x:row>
    <x:row r="72">
      <x:c r="B72" s="7" t="str">
        <x:v>P04</x:v>
      </x:c>
      <x:c r="C72" s="7" t="str">
        <x:v>physical</x:v>
      </x:c>
      <x:c r="D72" s="7" t="str">
        <x:v>source packages</x:v>
      </x:c>
      <x:c r="E72" s="7" t="n">
        <x:v>28</x:v>
      </x:c>
      <x:c r="F72" s="7" t="n">
        <x:v>28</x:v>
      </x:c>
      <x:c r="G72" s="7" t="str">
        <x:f>IF(ABS(E72-F72)&lt;0.000001,"PASS","FAIL")</x:f>
        <x:v>PASS</x:v>
      </x:c>
    </x:row>
    <x:row r="73">
      <x:c r="B73" s="7" t="str">
        <x:v>P05</x:v>
      </x:c>
      <x:c r="C73" s="7" t="str">
        <x:v>physical</x:v>
      </x:c>
      <x:c r="D73" s="7" t="str">
        <x:v>source characteristics</x:v>
      </x:c>
      <x:c r="E73" s="7" t="n">
        <x:v>280</x:v>
      </x:c>
      <x:c r="F73" s="7" t="n">
        <x:v>280</x:v>
      </x:c>
      <x:c r="G73" s="7" t="str">
        <x:f>IF(ABS(E73-F73)&lt;0.000001,"PASS","FAIL")</x:f>
        <x:v>PASS</x:v>
      </x:c>
    </x:row>
    <x:row r="74">
      <x:c r="B74" s="7" t="str">
        <x:v>P06</x:v>
      </x:c>
      <x:c r="C74" s="7" t="str">
        <x:v>physical</x:v>
      </x:c>
      <x:c r="D74" s="7" t="str">
        <x:v>water packages</x:v>
      </x:c>
      <x:c r="E74" s="7" t="n">
        <x:v>12</x:v>
      </x:c>
      <x:c r="F74" s="7" t="n">
        <x:v>12</x:v>
      </x:c>
      <x:c r="G74" s="7" t="str">
        <x:f>IF(ABS(E74-F74)&lt;0.000001,"PASS","FAIL")</x:f>
        <x:v>PASS</x:v>
      </x:c>
    </x:row>
    <x:row r="75">
      <x:c r="B75" s="7" t="str">
        <x:v>P07</x:v>
      </x:c>
      <x:c r="C75" s="7" t="str">
        <x:v>physical</x:v>
      </x:c>
      <x:c r="D75" s="7" t="str">
        <x:v>containment proofs</x:v>
      </x:c>
      <x:c r="E75" s="7" t="n">
        <x:v>6</x:v>
      </x:c>
      <x:c r="F75" s="7" t="n">
        <x:v>6</x:v>
      </x:c>
      <x:c r="G75" s="7" t="str">
        <x:f>IF(ABS(E75-F75)&lt;0.000001,"PASS","FAIL")</x:f>
        <x:v>PASS</x:v>
      </x:c>
    </x:row>
    <x:row r="76">
      <x:c r="B76" s="7" t="str">
        <x:v>P08</x:v>
      </x:c>
      <x:c r="C76" s="7" t="str">
        <x:v>physical</x:v>
      </x:c>
      <x:c r="D76" s="7" t="str">
        <x:v>receiver proofs</x:v>
      </x:c>
      <x:c r="E76" s="7" t="n">
        <x:v>24</x:v>
      </x:c>
      <x:c r="F76" s="7" t="n">
        <x:v>24</x:v>
      </x:c>
      <x:c r="G76" s="7" t="str">
        <x:f>IF(ABS(E76-F76)&lt;0.000001,"PASS","FAIL")</x:f>
        <x:v>PASS</x:v>
      </x:c>
    </x:row>
    <x:row r="77">
      <x:c r="B77" s="7" t="str">
        <x:v>P09</x:v>
      </x:c>
      <x:c r="C77" s="7" t="str">
        <x:v>physical</x:v>
      </x:c>
      <x:c r="D77" s="7" t="str">
        <x:v>control elements</x:v>
      </x:c>
      <x:c r="E77" s="7" t="n">
        <x:v>72</x:v>
      </x:c>
      <x:c r="F77" s="7" t="n">
        <x:v>72</x:v>
      </x:c>
      <x:c r="G77" s="7" t="str">
        <x:f>IF(ABS(E77-F77)&lt;0.000001,"PASS","FAIL")</x:f>
        <x:v>PASS</x:v>
      </x:c>
    </x:row>
    <x:row r="78">
      <x:c r="B78" s="7" t="str">
        <x:v>P10</x:v>
      </x:c>
      <x:c r="C78" s="7" t="str">
        <x:v>physical</x:v>
      </x:c>
      <x:c r="D78" s="7" t="str">
        <x:v>safeing paths</x:v>
      </x:c>
      <x:c r="E78" s="7" t="n">
        <x:v>216</x:v>
      </x:c>
      <x:c r="F78" s="7" t="n">
        <x:v>216</x:v>
      </x:c>
      <x:c r="G78" s="7" t="str">
        <x:f>IF(ABS(E78-F78)&lt;0.000001,"PASS","FAIL")</x:f>
        <x:v>PASS</x:v>
      </x:c>
    </x:row>
    <x:row r="79">
      <x:c r="B79" s="7" t="str">
        <x:v>P11</x:v>
      </x:c>
      <x:c r="C79" s="7" t="str">
        <x:v>physical</x:v>
      </x:c>
      <x:c r="D79" s="7" t="str">
        <x:v>path proofs</x:v>
      </x:c>
      <x:c r="E79" s="7" t="n">
        <x:v>216</x:v>
      </x:c>
      <x:c r="F79" s="7" t="n">
        <x:v>216</x:v>
      </x:c>
      <x:c r="G79" s="7" t="str">
        <x:f>IF(ABS(E79-F79)&lt;0.000001,"PASS","FAIL")</x:f>
        <x:v>PASS</x:v>
      </x:c>
    </x:row>
    <x:row r="80">
      <x:c r="B80" s="7" t="str">
        <x:v>P12</x:v>
      </x:c>
      <x:c r="C80" s="7" t="str">
        <x:v>physical</x:v>
      </x:c>
      <x:c r="D80" s="7" t="str">
        <x:v>walkdowns</x:v>
      </x:c>
      <x:c r="E80" s="7" t="n">
        <x:v>192</x:v>
      </x:c>
      <x:c r="F80" s="7" t="n">
        <x:v>192</x:v>
      </x:c>
      <x:c r="G80" s="7" t="str">
        <x:f>IF(ABS(E80-F80)&lt;0.000001,"PASS","FAIL")</x:f>
        <x:v>PASS</x:v>
      </x:c>
    </x:row>
    <x:row r="81">
      <x:c r="B81" s="7" t="str">
        <x:v>P13</x:v>
      </x:c>
      <x:c r="C81" s="7" t="str">
        <x:v>physical</x:v>
      </x:c>
      <x:c r="D81" s="7" t="str">
        <x:v>neighbor proofs</x:v>
      </x:c>
      <x:c r="E81" s="7" t="n">
        <x:v>144</x:v>
      </x:c>
      <x:c r="F81" s="7" t="n">
        <x:v>144</x:v>
      </x:c>
      <x:c r="G81" s="7" t="str">
        <x:f>IF(ABS(E81-F81)&lt;0.000001,"PASS","FAIL")</x:f>
        <x:v>PASS</x:v>
      </x:c>
    </x:row>
    <x:row r="82">
      <x:c r="B82" s="7" t="str">
        <x:v>P14</x:v>
      </x:c>
      <x:c r="C82" s="7" t="str">
        <x:v>physical</x:v>
      </x:c>
      <x:c r="D82" s="7" t="str">
        <x:v>event phases</x:v>
      </x:c>
      <x:c r="E82" s="7" t="n">
        <x:v>1152</x:v>
      </x:c>
      <x:c r="F82" s="7" t="n">
        <x:v>1152</x:v>
      </x:c>
      <x:c r="G82" s="7" t="str">
        <x:f>IF(ABS(E82-F82)&lt;0.000001,"PASS","FAIL")</x:f>
        <x:v>PASS</x:v>
      </x:c>
    </x:row>
    <x:row r="83">
      <x:c r="B83" s="7" t="str">
        <x:v>P15</x:v>
      </x:c>
      <x:c r="C83" s="7" t="str">
        <x:v>physical</x:v>
      </x:c>
      <x:c r="D83" s="7" t="str">
        <x:v>hold records</x:v>
      </x:c>
      <x:c r="E83" s="7" t="n">
        <x:v>1536</x:v>
      </x:c>
      <x:c r="F83" s="7" t="n">
        <x:v>1536</x:v>
      </x:c>
      <x:c r="G83" s="7" t="str">
        <x:f>IF(ABS(E83-F83)&lt;0.000001,"PASS","FAIL")</x:f>
        <x:v>PASS</x:v>
      </x:c>
    </x:row>
    <x:row r="84">
      <x:c r="B84" s="7" t="str">
        <x:v>P16</x:v>
      </x:c>
      <x:c r="C84" s="7" t="str">
        <x:v>physical</x:v>
      </x:c>
      <x:c r="D84" s="7" t="str">
        <x:v>evidence obligations</x:v>
      </x:c>
      <x:c r="E84" s="7" t="n">
        <x:v>576</x:v>
      </x:c>
      <x:c r="F84" s="7" t="n">
        <x:v>576</x:v>
      </x:c>
      <x:c r="G84" s="7" t="str">
        <x:f>IF(ABS(E84-F84)&lt;0.000001,"PASS","FAIL")</x:f>
        <x:v>PASS</x:v>
      </x:c>
    </x:row>
    <x:row r="85">
      <x:c r="B85" s="7" t="str">
        <x:v>P17</x:v>
      </x:c>
      <x:c r="C85" s="7" t="str">
        <x:v>physical</x:v>
      </x:c>
      <x:c r="D85" s="7" t="str">
        <x:v>samples</x:v>
      </x:c>
      <x:c r="E85" s="7" t="n">
        <x:v>336</x:v>
      </x:c>
      <x:c r="F85" s="7" t="n">
        <x:v>336</x:v>
      </x:c>
      <x:c r="G85" s="7" t="str">
        <x:f>IF(ABS(E85-F85)&lt;0.000001,"PASS","FAIL")</x:f>
        <x:v>PASS</x:v>
      </x:c>
    </x:row>
    <x:row r="86">
      <x:c r="B86" s="7" t="str">
        <x:v>P18</x:v>
      </x:c>
      <x:c r="C86" s="7" t="str">
        <x:v>physical</x:v>
      </x:c>
      <x:c r="D86" s="7" t="str">
        <x:v>event issue records</x:v>
      </x:c>
      <x:c r="E86" s="7" t="n">
        <x:v>48</x:v>
      </x:c>
      <x:c r="F86" s="7" t="n">
        <x:v>48</x:v>
      </x:c>
      <x:c r="G86" s="7" t="str">
        <x:f>IF(ABS(E86-F86)&lt;0.000001,"PASS","FAIL")</x:f>
        <x:v>PASS</x:v>
      </x:c>
    </x:row>
    <x:row r="87">
      <x:c r="B87" s="7" t="str">
        <x:v>P19</x:v>
      </x:c>
      <x:c r="C87" s="7" t="str">
        <x:v>physical</x:v>
      </x:c>
      <x:c r="D87" s="7" t="str">
        <x:v>event result records</x:v>
      </x:c>
      <x:c r="E87" s="7" t="n">
        <x:v>48</x:v>
      </x:c>
      <x:c r="F87" s="7" t="n">
        <x:v>48</x:v>
      </x:c>
      <x:c r="G87" s="7" t="str">
        <x:f>IF(ABS(E87-F87)&lt;0.000001,"PASS","FAIL")</x:f>
        <x:v>PASS</x:v>
      </x:c>
    </x:row>
    <x:row r="88">
      <x:c r="B88" s="7" t="str">
        <x:v>P20</x:v>
      </x:c>
      <x:c r="C88" s="7" t="str">
        <x:v>physical</x:v>
      </x:c>
      <x:c r="D88" s="7" t="str">
        <x:v>uncertainty budgets</x:v>
      </x:c>
      <x:c r="E88" s="7" t="n">
        <x:v>24</x:v>
      </x:c>
      <x:c r="F88" s="7" t="n">
        <x:v>24</x:v>
      </x:c>
      <x:c r="G88" s="7" t="str">
        <x:f>IF(ABS(E88-F88)&lt;0.000001,"PASS","FAIL")</x:f>
        <x:v>PASS</x:v>
      </x:c>
    </x:row>
    <x:row r="89">
      <x:c r="B89" s="7" t="str">
        <x:v>P21</x:v>
      </x:c>
      <x:c r="C89" s="7" t="str">
        <x:v>physical</x:v>
      </x:c>
      <x:c r="D89" s="7" t="str">
        <x:v>technology campaigns</x:v>
      </x:c>
      <x:c r="E89" s="7" t="n">
        <x:v>8</x:v>
      </x:c>
      <x:c r="F89" s="7" t="n">
        <x:v>8</x:v>
      </x:c>
      <x:c r="G89" s="7" t="str">
        <x:f>IF(ABS(E89-F89)&lt;0.000001,"PASS","FAIL")</x:f>
        <x:v>PASS</x:v>
      </x:c>
    </x:row>
    <x:row r="90">
      <x:c r="B90" s="7" t="str">
        <x:v>P22</x:v>
      </x:c>
      <x:c r="C90" s="7" t="str">
        <x:v>physical</x:v>
      </x:c>
      <x:c r="D90" s="7" t="str">
        <x:v>physical total</x:v>
      </x:c>
      <x:c r="E90" s="7" t="n">
        <x:v>5050</x:v>
      </x:c>
      <x:c r="F90" s="7" t="n">
        <x:v>5050</x:v>
      </x:c>
      <x:c r="G90" s="7" t="str">
        <x:f>IF(ABS(E90-F90)&lt;0.000001,"PASS","FAIL")</x:f>
        <x:v>PASS</x:v>
      </x:c>
    </x:row>
    <x:row r="91">
      <x:c r="B91" s="7" t="str">
        <x:v>P23</x:v>
      </x:c>
      <x:c r="C91" s="7" t="str">
        <x:v>physical</x:v>
      </x:c>
      <x:c r="D91" s="7" t="str">
        <x:v>open physical rows</x:v>
      </x:c>
      <x:c r="E91" s="7" t="n">
        <x:v>5050</x:v>
      </x:c>
      <x:c r="F91" s="7" t="n">
        <x:v>5050</x:v>
      </x:c>
      <x:c r="G91" s="7" t="str">
        <x:f>IF(ABS(E91-F91)&lt;0.000001,"PASS","FAIL")</x:f>
        <x:v>PASS</x:v>
      </x:c>
    </x:row>
    <x:row r="92">
      <x:c r="B92" s="7" t="str">
        <x:v>P24</x:v>
      </x:c>
      <x:c r="C92" s="7" t="str">
        <x:v>physical</x:v>
      </x:c>
      <x:c r="D92" s="7" t="str">
        <x:v>accepted physical rows</x:v>
      </x:c>
      <x:c r="E92" s="7" t="n">
        <x:v>0</x:v>
      </x:c>
      <x:c r="F92" s="7" t="n">
        <x:v>0</x:v>
      </x:c>
      <x:c r="G92" s="7" t="str">
        <x:f>IF(ABS(E92-F92)&lt;0.000001,"PASS","FAIL")</x:f>
        <x:v>PASS</x:v>
      </x:c>
    </x:row>
    <x:row r="93">
      <x:c r="B93" s="7" t="str">
        <x:v>P25</x:v>
      </x:c>
      <x:c r="C93" s="7" t="str">
        <x:v>physical</x:v>
      </x:c>
      <x:c r="D93" s="7" t="str">
        <x:v>base source t</x:v>
      </x:c>
      <x:c r="E93" s="7" t="n">
        <x:v>2.4</x:v>
      </x:c>
      <x:c r="F93" s="7" t="n">
        <x:v>2.4</x:v>
      </x:c>
      <x:c r="G93" s="7" t="str">
        <x:f>IF(ABS(E93-F93)&lt;0.000001,"PASS","FAIL")</x:f>
        <x:v>PASS</x:v>
      </x:c>
    </x:row>
    <x:row r="94">
      <x:c r="B94" s="7" t="str">
        <x:v>P26</x:v>
      </x:c>
      <x:c r="C94" s="7" t="str">
        <x:v>physical</x:v>
      </x:c>
      <x:c r="D94" s="7" t="str">
        <x:v>gross custody t</x:v>
      </x:c>
      <x:c r="E94" s="7" t="n">
        <x:v>3.5</x:v>
      </x:c>
      <x:c r="F94" s="7" t="n">
        <x:v>3.5</x:v>
      </x:c>
      <x:c r="G94" s="7" t="str">
        <x:f>IF(ABS(E94-F94)&lt;0.000001,"PASS","FAIL")</x:f>
        <x:v>PASS</x:v>
      </x:c>
    </x:row>
    <x:row r="95">
      <x:c r="B95" s="7" t="str">
        <x:v>P27</x:v>
      </x:c>
      <x:c r="C95" s="7" t="str">
        <x:v>physical</x:v>
      </x:c>
      <x:c r="D95" s="7" t="str">
        <x:v>water margin m3</x:v>
      </x:c>
      <x:c r="E95" s="7" t="n">
        <x:v>5</x:v>
      </x:c>
      <x:c r="F95" s="7" t="n">
        <x:v>5</x:v>
      </x:c>
      <x:c r="G95" s="7" t="str">
        <x:f>IF(ABS(E95-F95)&lt;0.000001,"PASS","FAIL")</x:f>
        <x:v>PASS</x:v>
      </x:c>
    </x:row>
    <x:row r="96">
      <x:c r="B96" s="7" t="str">
        <x:v>P28</x:v>
      </x:c>
      <x:c r="C96" s="7" t="str">
        <x:v>physical</x:v>
      </x:c>
      <x:c r="D96" s="7" t="str">
        <x:v>U95 kg</x:v>
      </x:c>
      <x:c r="E96" s="7" t="n">
        <x:v>1.1357816691600546</x:v>
      </x:c>
      <x:c r="F96" s="7" t="n">
        <x:v>1.1357816691600546</x:v>
      </x:c>
      <x:c r="G96" s="7" t="str">
        <x:f>IF(ABS(E96-F96)&lt;0.000001,"PASS","FAIL")</x:f>
        <x:v>PASS</x:v>
      </x:c>
    </x:row>
    <x:row r="97">
      <x:c r="B97" s="7" t="str">
        <x:v>P29</x:v>
      </x:c>
      <x:c r="C97" s="7" t="str">
        <x:v>physical</x:v>
      </x:c>
      <x:c r="D97" s="7" t="str">
        <x:v>low-source 150 mm hold-up kg</x:v>
      </x:c>
      <x:c r="E97" s="7" t="n">
        <x:v>169.64600329384885</x:v>
      </x:c>
      <x:c r="F97" s="7" t="n">
        <x:v>169.64600329384882</x:v>
      </x:c>
      <x:c r="G97" s="7" t="str">
        <x:f>IF(ABS(E97-F97)&lt;0.000001,"PASS","FAIL")</x:f>
        <x:v>PASS</x:v>
      </x:c>
    </x:row>
    <x:row r="98">
      <x:c r="B98" s="7" t="str">
        <x:v>P30</x:v>
      </x:c>
      <x:c r="C98" s="7" t="str">
        <x:v>physical</x:v>
      </x:c>
      <x:c r="D98" s="7" t="str">
        <x:v>low-source insert hold-up kg</x:v>
      </x:c>
      <x:c r="E98" s="7" t="n">
        <x:v>12.063715789784807</x:v>
      </x:c>
      <x:c r="F98" s="7" t="n">
        <x:v>12.063715789784807</x:v>
      </x:c>
      <x:c r="G98" s="7" t="str">
        <x:f>IF(ABS(E98-F98)&lt;0.000001,"PASS","FAIL")</x:f>
        <x:v>PASS</x:v>
      </x:c>
    </x:row>
    <x:row r="99">
      <x:c r="B99" s="7" t="str">
        <x:v>P31</x:v>
      </x:c>
      <x:c r="C99" s="7" t="str">
        <x:v>physical</x:v>
      </x:c>
      <x:c r="D99" s="7" t="str">
        <x:v>QE-02 pan source depth m</x:v>
      </x:c>
      <x:c r="E99" s="7" t="n">
        <x:v>0.05</x:v>
      </x:c>
      <x:c r="F99" s="7" t="n">
        <x:v>0.05</x:v>
      </x:c>
      <x:c r="G99" s="7" t="str">
        <x:f>IF(ABS(E99-F99)&lt;0.000001,"PASS","FAIL")</x:f>
        <x:v>PASS</x:v>
      </x:c>
    </x:row>
    <x:row r="100">
      <x:c r="B100" s="7" t="str">
        <x:v>P32</x:v>
      </x:c>
      <x:c r="C100" s="7" t="str">
        <x:v>physical</x:v>
      </x:c>
      <x:c r="D100" s="7" t="str">
        <x:v>AM-06 QE-02 HRR MW</x:v>
      </x:c>
      <x:c r="E100" s="7" t="n">
        <x:v>5.85585</x:v>
      </x:c>
      <x:c r="F100" s="7" t="n">
        <x:v>5.85585</x:v>
      </x:c>
      <x:c r="G100" s="7" t="str">
        <x:f>IF(ABS(E100-F100)&lt;0.000001,"PASS","FAIL")</x:f>
        <x:v>PASS</x:v>
      </x:c>
    </x:row>
    <x:row r="101">
      <x:c r="B101" s="7" t="str">
        <x:v>P33</x:v>
      </x:c>
      <x:c r="C101" s="7" t="str">
        <x:v>physical</x:v>
      </x:c>
      <x:c r="D101" s="7" t="str">
        <x:v>AM-06 QE-02 radiant MW</x:v>
      </x:c>
      <x:c r="E101" s="7" t="n">
        <x:v>2.0495475</x:v>
      </x:c>
      <x:c r="F101" s="7" t="n">
        <x:v>2.0495475</x:v>
      </x:c>
      <x:c r="G101" s="7" t="str">
        <x:f>IF(ABS(E101-F101)&lt;0.000001,"PASS","FAIL")</x:f>
        <x:v>PASS</x:v>
      </x:c>
    </x:row>
    <x:row r="102">
      <x:c r="B102" s="7" t="str">
        <x:v>P34</x:v>
      </x:c>
      <x:c r="C102" s="7" t="str">
        <x:v>physical</x:v>
      </x:c>
      <x:c r="D102" s="7" t="str">
        <x:v>AM-06 QE-02 burn min</x:v>
      </x:c>
      <x:c r="E102" s="7" t="n">
        <x:v>12.121212121212121</x:v>
      </x:c>
      <x:c r="F102" s="7" t="n">
        <x:v>12.12121212121212</x:v>
      </x:c>
      <x:c r="G102" s="7" t="str">
        <x:f>IF(ABS(E102-F102)&lt;0.000001,"PASS","FAIL")</x:f>
        <x:v>PASS</x:v>
      </x:c>
    </x:row>
    <x:row r="103">
      <x:c r="B103" s="7" t="str">
        <x:v>P35</x:v>
      </x:c>
      <x:c r="C103" s="7" t="str">
        <x:v>physical</x:v>
      </x:c>
      <x:c r="D103" s="7" t="str">
        <x:v>AM-06 QE-02 screen m</x:v>
      </x:c>
      <x:c r="E103" s="7" t="n">
        <x:v>10.09634240279983</x:v>
      </x:c>
      <x:c r="F103" s="7" t="n">
        <x:v>10.09634240279983</x:v>
      </x:c>
      <x:c r="G103" s="7" t="str">
        <x:f>IF(ABS(E103-F103)&lt;0.000001,"PASS","FAIL")</x:f>
        <x:v>PASS</x:v>
      </x:c>
    </x:row>
    <x:row r="104">
      <x:c r="B104" s="7" t="str">
        <x:v>P36</x:v>
      </x:c>
      <x:c r="C104" s="7" t="str">
        <x:v>physical</x:v>
      </x:c>
      <x:c r="D104" s="7" t="str">
        <x:v>public boundary m</x:v>
      </x:c>
      <x:c r="E104" s="7" t="n">
        <x:v>200</x:v>
      </x:c>
      <x:c r="F104" s="7" t="n">
        <x:v>200</x:v>
      </x:c>
      <x:c r="G104" s="7" t="str">
        <x:f>IF(ABS(E104-F104)&lt;0.000001,"PASS","FAIL")</x:f>
        <x:v>PASS</x:v>
      </x:c>
    </x:row>
    <x:row r="105">
      <x:c r="B105" s="7" t="str">
        <x:v>P37</x:v>
      </x:c>
      <x:c r="C105" s="7" t="str">
        <x:v>physical</x:v>
      </x:c>
      <x:c r="D105" s="7" t="str">
        <x:v>workforce</x:v>
      </x:c>
      <x:c r="E105" s="7" t="n">
        <x:v>384</x:v>
      </x:c>
      <x:c r="F105" s="7" t="n">
        <x:v>384</x:v>
      </x:c>
      <x:c r="G105" s="7" t="str">
        <x:f>IF(ABS(E105-F105)&lt;0.000001,"PASS","FAIL")</x:f>
        <x:v>PASS</x:v>
      </x:c>
    </x:row>
    <x:row r="106">
      <x:c r="B106" s="7" t="str">
        <x:v>P38</x:v>
      </x:c>
      <x:c r="C106" s="7" t="str">
        <x:v>physical</x:v>
      </x:c>
      <x:c r="D106" s="7" t="str">
        <x:v>capital USD M</x:v>
      </x:c>
      <x:c r="E106" s="7" t="n">
        <x:v>360</x:v>
      </x:c>
      <x:c r="F106" s="7" t="n">
        <x:v>360</x:v>
      </x:c>
      <x:c r="G106" s="7" t="str">
        <x:f>IF(ABS(E106-F106)&lt;0.000001,"PASS","FAIL")</x:f>
        <x:v>PASS</x:v>
      </x:c>
    </x:row>
    <x:row r="107">
      <x:c r="B107" s="7" t="str">
        <x:v>P39</x:v>
      </x:c>
      <x:c r="C107" s="7" t="str">
        <x:v>physical</x:v>
      </x:c>
      <x:c r="D107" s="7" t="str">
        <x:v>annual USD M</x:v>
      </x:c>
      <x:c r="E107" s="7" t="n">
        <x:v>168</x:v>
      </x:c>
      <x:c r="F107" s="7" t="n">
        <x:v>168</x:v>
      </x:c>
      <x:c r="G107" s="7" t="str">
        <x:f>IF(ABS(E107-F107)&lt;0.000001,"PASS","FAIL")</x:f>
        <x:v>PASS</x:v>
      </x:c>
    </x:row>
    <x:row r="108">
      <x:c r="B108" s="7" t="str">
        <x:v>P40</x:v>
      </x:c>
      <x:c r="C108" s="7" t="str">
        <x:v>physical</x:v>
      </x:c>
      <x:c r="D108" s="7" t="str">
        <x:v>24-month exposure USD M</x:v>
      </x:c>
      <x:c r="E108" s="7" t="n">
        <x:v>696</x:v>
      </x:c>
      <x:c r="F108" s="7" t="n">
        <x:v>696</x:v>
      </x:c>
      <x:c r="G108" s="7" t="str">
        <x:f>IF(ABS(E108-F108)&lt;0.000001,"PASS","FAIL")</x:f>
        <x:v>PASS</x:v>
      </x:c>
    </x:row>
    <x:row r="109">
      <x:c r="B109" s="7" t="str">
        <x:v>P41</x:v>
      </x:c>
      <x:c r="C109" s="7" t="str">
        <x:v>physical</x:v>
      </x:c>
      <x:c r="D109" s="7" t="str">
        <x:v>portfolio increment</x:v>
      </x:c>
      <x:c r="E109" s="7" t="n">
        <x:v>0</x:v>
      </x:c>
      <x:c r="F109" s="7" t="n">
        <x:v>0</x:v>
      </x:c>
      <x:c r="G109" s="7" t="str">
        <x:f>IF(ABS(E109-F109)&lt;0.000001,"PASS","FAIL")</x:f>
        <x:v>PASS</x:v>
      </x:c>
    </x:row>
    <x:row r="110">
      <x:c r="B110" s="7" t="str">
        <x:v>P42</x:v>
      </x:c>
      <x:c r="C110" s="7" t="str">
        <x:v>physical</x:v>
      </x:c>
      <x:c r="D110" s="7" t="str">
        <x:v>technology cross-classified USD M</x:v>
      </x:c>
      <x:c r="E110" s="7" t="n">
        <x:v>470</x:v>
      </x:c>
      <x:c r="F110" s="7" t="n">
        <x:v>470</x:v>
      </x:c>
      <x:c r="G110" s="7" t="str">
        <x:f>IF(ABS(E110-F110)&lt;0.000001,"PASS","FAIL")</x:f>
        <x:v>PASS</x:v>
      </x:c>
    </x:row>
    <x:row r="111">
      <x:c r="B111" s="7" t="str">
        <x:v>P43</x:v>
      </x:c>
      <x:c r="C111" s="7" t="str">
        <x:v>physical</x:v>
      </x:c>
      <x:c r="D111" s="7" t="str">
        <x:v>event issue article requirement</x:v>
      </x:c>
      <x:c r="E111" s="7" t="n">
        <x:v>1</x:v>
      </x:c>
      <x:c r="F111" s="7" t="n">
        <x:v>1</x:v>
      </x:c>
      <x:c r="G111" s="7" t="str">
        <x:f>IF(ABS(E111-F111)&lt;0.000001,"PASS","FAIL")</x:f>
        <x:v>PASS</x:v>
      </x:c>
    </x:row>
    <x:row r="112">
      <x:c r="B112" s="7" t="str">
        <x:v>P44</x:v>
      </x:c>
      <x:c r="C112" s="7" t="str">
        <x:v>physical</x:v>
      </x:c>
      <x:c r="D112" s="7" t="str">
        <x:v>event issue section requirement</x:v>
      </x:c>
      <x:c r="E112" s="7" t="n">
        <x:v>20</x:v>
      </x:c>
      <x:c r="F112" s="7" t="n">
        <x:v>20</x:v>
      </x:c>
      <x:c r="G112" s="7" t="str">
        <x:f>IF(ABS(E112-F112)&lt;0.000001,"PASS","FAIL")</x:f>
        <x:v>PASS</x:v>
      </x:c>
    </x:row>
    <x:row r="113">
      <x:c r="B113" s="7" t="str">
        <x:v>P45</x:v>
      </x:c>
      <x:c r="C113" s="7" t="str">
        <x:v>physical</x:v>
      </x:c>
      <x:c r="D113" s="7" t="str">
        <x:v>event issue path requirement</x:v>
      </x:c>
      <x:c r="E113" s="7" t="n">
        <x:v>36</x:v>
      </x:c>
      <x:c r="F113" s="7" t="n">
        <x:v>36</x:v>
      </x:c>
      <x:c r="G113" s="7" t="str">
        <x:f>IF(ABS(E113-F113)&lt;0.000001,"PASS","FAIL")</x:f>
        <x:v>PASS</x:v>
      </x:c>
    </x:row>
    <x:row r="114">
      <x:c r="B114" s="7" t="str">
        <x:v>P46</x:v>
      </x:c>
      <x:c r="C114" s="7" t="str">
        <x:v>physical</x:v>
      </x:c>
      <x:c r="D114" s="7" t="str">
        <x:v>event issue hold requirement</x:v>
      </x:c>
      <x:c r="E114" s="7" t="n">
        <x:v>32</x:v>
      </x:c>
      <x:c r="F114" s="7" t="n">
        <x:v>32</x:v>
      </x:c>
      <x:c r="G114" s="7" t="str">
        <x:f>IF(ABS(E114-F114)&lt;0.000001,"PASS","FAIL")</x:f>
        <x:v>PASS</x:v>
      </x:c>
    </x:row>
    <x:row r="115">
      <x:c r="B115" s="7" t="str">
        <x:v>P47</x:v>
      </x:c>
      <x:c r="C115" s="7" t="str">
        <x:v>physical</x:v>
      </x:c>
      <x:c r="D115" s="7" t="str">
        <x:v>QE-01 samples/event</x:v>
      </x:c>
      <x:c r="E115" s="7" t="n">
        <x:v>6</x:v>
      </x:c>
      <x:c r="F115" s="7" t="n">
        <x:v>6</x:v>
      </x:c>
      <x:c r="G115" s="7" t="str">
        <x:f>IF(ABS(E115-F115)&lt;0.000001,"PASS","FAIL")</x:f>
        <x:v>PASS</x:v>
      </x:c>
    </x:row>
    <x:row r="116">
      <x:c r="B116" s="7" t="str">
        <x:v>P48</x:v>
      </x:c>
      <x:c r="C116" s="7" t="str">
        <x:v>physical</x:v>
      </x:c>
      <x:c r="D116" s="7" t="str">
        <x:v>QE-02 samples/event</x:v>
      </x:c>
      <x:c r="E116" s="7" t="n">
        <x:v>8</x:v>
      </x:c>
      <x:c r="F116" s="7" t="n">
        <x:v>8</x:v>
      </x:c>
      <x:c r="G116" s="7" t="str">
        <x:f>IF(ABS(E116-F116)&lt;0.000001,"PASS","FAIL")</x:f>
        <x:v>PASS</x:v>
      </x:c>
    </x:row>
    <x:row r="117">
      <x:c r="B117" s="7" t="str">
        <x:v>P49</x:v>
      </x:c>
      <x:c r="C117" s="7" t="str">
        <x:v>physical</x:v>
      </x:c>
      <x:c r="D117" s="7" t="str">
        <x:v>downstream blocked</x:v>
      </x:c>
      <x:c r="E117" s="7" t="n">
        <x:v>8</x:v>
      </x:c>
      <x:c r="F117" s="7" t="n">
        <x:v>8</x:v>
      </x:c>
      <x:c r="G117" s="7" t="str">
        <x:f>IF(ABS(E117-F117)&lt;0.000001,"PASS","FAIL")</x:f>
        <x:v>PASS</x:v>
      </x:c>
    </x:row>
    <x:row r="118">
      <x:c r="B118" s="7" t="str">
        <x:v>P50</x:v>
      </x:c>
      <x:c r="C118" s="7" t="str">
        <x:v>physical</x:v>
      </x:c>
      <x:c r="D118" s="7" t="str">
        <x:v>rendering authority</x:v>
      </x:c>
      <x:c r="E118" s="7" t="n">
        <x:v>0</x:v>
      </x:c>
      <x:c r="F118" s="7" t="n">
        <x:v>0</x:v>
      </x:c>
      <x:c r="G118" s="7" t="str">
        <x:f>IF(ABS(E118-F118)&lt;0.000001,"PASS","FAIL")</x:f>
        <x:v>PASS</x:v>
      </x:c>
    </x:row>
    <x:row r="119">
      <x:c r="B119" s="7" t="str">
        <x:v>RG-01</x:v>
      </x:c>
      <x:c r="C119" s="7" t="str">
        <x:v>downstream</x:v>
      </x:c>
      <x:c r="D119" s="7" t="str">
        <x:v>configuration release</x:v>
      </x:c>
      <x:c r="E119" s="7" t="n">
        <x:v>0</x:v>
      </x:c>
      <x:c r="F119" s="7" t="n">
        <x:v>0</x:v>
      </x:c>
      <x:c r="G119" s="7" t="str">
        <x:f>IF(ABS(E119-F119)&lt;0.000001,"PASS","FAIL")</x:f>
        <x:v>PASS</x:v>
      </x:c>
    </x:row>
    <x:row r="120">
      <x:c r="B120" s="7" t="str">
        <x:v>RG-02</x:v>
      </x:c>
      <x:c r="C120" s="7" t="str">
        <x:v>downstream</x:v>
      </x:c>
      <x:c r="D120" s="7" t="str">
        <x:v>source-package release</x:v>
      </x:c>
      <x:c r="E120" s="7" t="n">
        <x:v>0</x:v>
      </x:c>
      <x:c r="F120" s="7" t="n">
        <x:v>0</x:v>
      </x:c>
      <x:c r="G120" s="7" t="str">
        <x:f>IF(ABS(E120-F120)&lt;0.000001,"PASS","FAIL")</x:f>
        <x:v>PASS</x:v>
      </x:c>
    </x:row>
    <x:row r="121">
      <x:c r="B121" s="7" t="str">
        <x:v>RG-03</x:v>
      </x:c>
      <x:c r="C121" s="7" t="str">
        <x:v>downstream</x:v>
      </x:c>
      <x:c r="D121" s="7" t="str">
        <x:v>QE-01 issue</x:v>
      </x:c>
      <x:c r="E121" s="7" t="n">
        <x:v>0</x:v>
      </x:c>
      <x:c r="F121" s="7" t="n">
        <x:v>0</x:v>
      </x:c>
      <x:c r="G121" s="7" t="str">
        <x:f>IF(ABS(E121-F121)&lt;0.000001,"PASS","FAIL")</x:f>
        <x:v>PASS</x:v>
      </x:c>
    </x:row>
    <x:row r="122">
      <x:c r="B122" s="7" t="str">
        <x:v>RG-04</x:v>
      </x:c>
      <x:c r="C122" s="7" t="str">
        <x:v>downstream</x:v>
      </x:c>
      <x:c r="D122" s="7" t="str">
        <x:v>QE-02 issue</x:v>
      </x:c>
      <x:c r="E122" s="7" t="n">
        <x:v>0</x:v>
      </x:c>
      <x:c r="F122" s="7" t="n">
        <x:v>0</x:v>
      </x:c>
      <x:c r="G122" s="7" t="str">
        <x:f>IF(ABS(E122-F122)&lt;0.000001,"PASS","FAIL")</x:f>
        <x:v>PASS</x:v>
      </x:c>
    </x:row>
    <x:row r="123">
      <x:c r="B123" s="7" t="str">
        <x:v>RG-05</x:v>
      </x:c>
      <x:c r="C123" s="7" t="str">
        <x:v>downstream</x:v>
      </x:c>
      <x:c r="D123" s="7" t="str">
        <x:v>AM-05 method release</x:v>
      </x:c>
      <x:c r="E123" s="7" t="n">
        <x:v>0</x:v>
      </x:c>
      <x:c r="F123" s="7" t="n">
        <x:v>0</x:v>
      </x:c>
      <x:c r="G123" s="7" t="str">
        <x:f>IF(ABS(E123-F123)&lt;0.000001,"PASS","FAIL")</x:f>
        <x:v>PASS</x:v>
      </x:c>
    </x:row>
    <x:row r="124">
      <x:c r="B124" s="7" t="str">
        <x:v>RG-06</x:v>
      </x:c>
      <x:c r="C124" s="7" t="str">
        <x:v>downstream</x:v>
      </x:c>
      <x:c r="D124" s="7" t="str">
        <x:v>AM-06 method release</x:v>
      </x:c>
      <x:c r="E124" s="7" t="n">
        <x:v>0</x:v>
      </x:c>
      <x:c r="F124" s="7" t="n">
        <x:v>0</x:v>
      </x:c>
      <x:c r="G124" s="7" t="str">
        <x:f>IF(ABS(E124-F124)&lt;0.000001,"PASS","FAIL")</x:f>
        <x:v>PASS</x:v>
      </x:c>
    </x:row>
    <x:row r="125">
      <x:c r="B125" s="7" t="str">
        <x:v>RG-07</x:v>
      </x:c>
      <x:c r="C125" s="7" t="str">
        <x:v>downstream</x:v>
      </x:c>
      <x:c r="D125" s="7" t="str">
        <x:v>candidate entry</x:v>
      </x:c>
      <x:c r="E125" s="7" t="n">
        <x:v>0</x:v>
      </x:c>
      <x:c r="F125" s="7" t="n">
        <x:v>0</x:v>
      </x:c>
      <x:c r="G125" s="7" t="str">
        <x:f>IF(ABS(E125-F125)&lt;0.000001,"PASS","FAIL")</x:f>
        <x:v>PASS</x:v>
      </x:c>
    </x:row>
    <x:row r="126">
      <x:c r="B126" s="7" t="str">
        <x:v>RG-08</x:v>
      </x:c>
      <x:c r="C126" s="7" t="str">
        <x:v>downstream</x:v>
      </x:c>
      <x:c r="D126" s="7" t="str">
        <x:v>exterior rendering</x:v>
      </x:c>
      <x:c r="E126" s="7" t="n">
        <x:v>0</x:v>
      </x:c>
      <x:c r="F126" s="7" t="n">
        <x:v>0</x:v>
      </x:c>
      <x:c r="G126" s="7" t="str">
        <x:f>IF(ABS(E126-F126)&lt;0.000001,"PASS","FAIL")</x:f>
        <x:v>PASS</x:v>
      </x:c>
    </x:row>
  </x:sheetData>
  <x:conditionalFormatting sqref="G7:G126">
    <x:cfRule type="containsText" dxfId="261" priority="1" operator="containsText" text="FAIL"/>
    <x:cfRule type="containsText" dxfId="262" priority="2" operator="containsText" text="INVALID"/>
    <x:cfRule type="containsText" dxfId="263" priority="3" operator="containsText" text="BLOCKED"/>
    <x:cfRule type="containsText" dxfId="264" priority="4" operator="containsText" text="OPEN"/>
    <x:cfRule type="containsText" dxfId="265" priority="5" operator="containsText" text="HELD"/>
    <x:cfRule type="containsText" dxfId="266" priority="6" operator="containsText" text="DORMANT"/>
    <x:cfRule type="containsText" dxfId="267" priority="7" operator="containsText" text="PASS"/>
    <x:cfRule type="containsText" dxfId="268" priority="8" operator="containsText" text="VALID"/>
    <x:cfRule type="containsText" dxfId="269" priority="9" operator="containsText" text="ISSUED"/>
  </x:conditionalFormatting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8" hidden="0" customWidth="1"/>
    <x:col min="4" max="4" width="77" hidden="0" customWidth="1"/>
    <x:col min="5" max="5" width="27" hidden="0" customWidth="1"/>
  </x:cols>
  <x:sheetData>
    <x:row r="2">
      <x:c r="B2" s="1" t="str">
        <x:v>Internal authority and derivation register</x:v>
      </x:c>
    </x:row>
    <x:row r="3">
      <x:c r="B3" s="2" t="str">
        <x:v>No external site is used in this pass. Every number is either inherited from a named internal predecessor, declared as an RAE-1 design assumption, or derived in the workbook.</x:v>
      </x:c>
    </x:row>
    <x:row r="6" ht="24" customHeight="1">
      <x:c r="B6" s="6" t="str">
        <x:v>Source</x:v>
      </x:c>
      <x:c r="C6" s="6" t="str">
        <x:v>Authority</x:v>
      </x:c>
      <x:c r="D6" s="6" t="str">
        <x:v>Use</x:v>
      </x:c>
      <x:c r="E6" s="6" t="str">
        <x:v>Class</x:v>
      </x:c>
    </x:row>
    <x:row r="7" ht="38" customHeight="1">
      <x:c r="B7" s="7" t="str">
        <x:v>SRC-01</x:v>
      </x:c>
      <x:c r="C7" s="7" t="str">
        <x:v>SBD-1</x:v>
      </x:c>
      <x:c r="D7" s="10" t="str">
        <x:v>system boundary and 150 mm reference route</x:v>
      </x:c>
      <x:c r="E7" s="7" t="str">
        <x:v>internal predecessor</x:v>
      </x:c>
    </x:row>
    <x:row r="8" ht="38" customHeight="1">
      <x:c r="B8" s="7" t="str">
        <x:v>SRC-02</x:v>
      </x:c>
      <x:c r="C8" s="7" t="str">
        <x:v>RFA-1</x:v>
      </x:c>
      <x:c r="D8" s="10" t="str">
        <x:v>source properties and thermal screens</x:v>
      </x:c>
      <x:c r="E8" s="7" t="str">
        <x:v>internal predecessor</x:v>
      </x:c>
    </x:row>
    <x:row r="9" ht="38" customHeight="1">
      <x:c r="B9" s="7" t="str">
        <x:v>SRC-03</x:v>
      </x:c>
      <x:c r="C9" s="7" t="str">
        <x:v>RFE-1</x:v>
      </x:c>
      <x:c r="D9" s="10" t="str">
        <x:v>terminal-source timing and evidence interval</x:v>
      </x:c>
      <x:c r="E9" s="7" t="str">
        <x:v>internal predecessor</x:v>
      </x:c>
    </x:row>
    <x:row r="10" ht="38" customHeight="1">
      <x:c r="B10" s="7" t="str">
        <x:v>SRC-04</x:v>
      </x:c>
      <x:c r="C10" s="7" t="str">
        <x:v>RFP-1</x:v>
      </x:c>
      <x:c r="D10" s="10" t="str">
        <x:v>six public rigs, site boundary and casualty systems</x:v>
      </x:c>
      <x:c r="E10" s="7" t="str">
        <x:v>internal predecessor</x:v>
      </x:c>
    </x:row>
    <x:row r="11" ht="38" customHeight="1">
      <x:c r="B11" s="7" t="str">
        <x:v>SRC-05</x:v>
      </x:c>
      <x:c r="C11" s="7" t="str">
        <x:v>MCR-1</x:v>
      </x:c>
      <x:c r="D11" s="10" t="str">
        <x:v>full-source reference mass</x:v>
      </x:c>
      <x:c r="E11" s="7" t="str">
        <x:v>internal predecessor</x:v>
      </x:c>
    </x:row>
    <x:row r="12" ht="38" customHeight="1">
      <x:c r="B12" s="7" t="str">
        <x:v>SRC-06</x:v>
      </x:c>
      <x:c r="C12" s="7" t="str">
        <x:v>RAS-1</x:v>
      </x:c>
      <x:c r="D12" s="10" t="str">
        <x:v>quarter-source safety case, ancestry and reserve</x:v>
      </x:c>
      <x:c r="E12" s="7" t="str">
        <x:v>parent program</x:v>
      </x:c>
    </x:row>
    <x:row r="13" ht="38" customHeight="1">
      <x:c r="B13" s="7" t="str">
        <x:v>SRC-07</x:v>
      </x:c>
      <x:c r="C13" s="7" t="str">
        <x:v>RAE-1</x:v>
      </x:c>
      <x:c r="D13" s="10" t="str">
        <x:v>this executable entry dossier constitution</x:v>
      </x:c>
      <x:c r="E13" s="7" t="str">
        <x:v>current authority</x:v>
      </x:c>
    </x:row>
    <x:row r="14" ht="38" customHeight="1">
      <x:c r="B14" s="7" t="str">
        <x:v>SRC-08</x:v>
      </x:c>
      <x:c r="C14" s="7" t="str">
        <x:v>engineering equations</x:v>
      </x:c>
      <x:c r="D14" s="10" t="str">
        <x:v>continuity, Reynolds, Froude, Weber and point-source radiation</x:v>
      </x:c>
      <x:c r="E14" s="7" t="str">
        <x:v>first-principles calculation</x:v>
      </x:c>
    </x:row>
    <x:row r="15" ht="38" customHeight="1">
      <x:c r="B15" s="7" t="str">
        <x:v>SRC-09</x:v>
      </x:c>
      <x:c r="C15" s="7" t="str">
        <x:v>financial boundary</x:v>
      </x:c>
      <x:c r="D15" s="10" t="str">
        <x:v>RAE-1 is fully nested within RAS-1</x:v>
      </x:c>
      <x:c r="E15" s="7" t="str">
        <x:v>portfolio rule</x:v>
      </x:c>
    </x:row>
    <x:row r="16" ht="38" customHeight="1">
      <x:c r="B16" s="7" t="str">
        <x:v>SRC-10</x:v>
      </x:c>
      <x:c r="C16" s="7" t="str">
        <x:v>rendering hold</x:v>
      </x:c>
      <x:c r="D16" s="10" t="str">
        <x:v>exterior form remains downstream of physical research</x:v>
      </x:c>
      <x:c r="E16" s="7" t="str">
        <x:v>user direction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7" hidden="0" customWidth="1"/>
    <x:col min="3" max="3" width="112" hidden="0" customWidth="1"/>
  </x:cols>
  <x:sheetData>
    <x:row r="2">
      <x:c r="B2" s="1" t="str">
        <x:v>How to use RAE-1</x:v>
      </x:c>
    </x:row>
    <x:row r="3">
      <x:c r="B3" s="2" t="str">
        <x:v>The workbook is an execution constitution, not a readiness claim.</x:v>
      </x:c>
    </x:row>
    <x:row r="6" ht="24" customHeight="1">
      <x:c r="B6" s="6" t="str">
        <x:v>Topic</x:v>
      </x:c>
      <x:c r="C6" s="6" t="str">
        <x:v>Guidance</x:v>
      </x:c>
    </x:row>
    <x:row r="7" ht="46" customHeight="1">
      <x:c r="B7" s="7" t="str">
        <x:v>Purpose</x:v>
      </x:c>
      <x:c r="C7" s="10" t="str">
        <x:v>Turn the Root A low-source entry concept into an executable physical dossier constitution.</x:v>
      </x:c>
    </x:row>
    <x:row r="8" ht="46" customHeight="1">
      <x:c r="B8" s="7" t="str">
        <x:v>What this workbook does</x:v>
      </x:c>
      <x:c r="C8" s="10" t="str">
        <x:v>Defines the public reference article, serialized physical objects, event law, evidence law, finance boundary and withheld authorities.</x:v>
      </x:c>
    </x:row>
    <x:row r="9" ht="46" customHeight="1">
      <x:c r="B9" s="7" t="str">
        <x:v>What it does not do</x:v>
      </x:c>
      <x:c r="C9" s="10" t="str">
        <x:v>It does not qualify the 150 mm route, a candidate mechanism, production hardware or exterior form.</x:v>
      </x:c>
    </x:row>
    <x:row r="10" ht="46" customHeight="1">
      <x:c r="B10" s="7" t="str">
        <x:v>How to read</x:v>
      </x:c>
      <x:c r="C10" s="10" t="str">
        <x:v>Start with Summary and Decision Logic. Use Flow Regime for the article choice, Event Issue for minimum dossier content, and Physical Gates for acceptance state.</x:v>
      </x:c>
    </x:row>
    <x:row r="11" ht="46" customHeight="1">
      <x:c r="B11" s="7" t="str">
        <x:v>Blue tables</x:v>
      </x:c>
      <x:c r="C11" s="10" t="str">
        <x:v>Stable definitions, planning allocations or inherited parameters.</x:v>
      </x:c>
    </x:row>
    <x:row r="12" ht="46" customHeight="1">
      <x:c r="B12" s="7" t="str">
        <x:v>Amber/open state</x:v>
      </x:c>
      <x:c r="C12" s="10" t="str">
        <x:v>A physical object is required but not yet built and accepted.</x:v>
      </x:c>
    </x:row>
    <x:row r="13" ht="46" customHeight="1">
      <x:c r="B13" s="7" t="str">
        <x:v>Green/pass state</x:v>
      </x:c>
      <x:c r="C13" s="10" t="str">
        <x:v>Only a named physical record may earn this state after independent acceptance.</x:v>
      </x:c>
    </x:row>
    <x:row r="14" ht="46" customHeight="1">
      <x:c r="B14" s="7" t="str">
        <x:v>Red/blocked state</x:v>
      </x:c>
      <x:c r="C14" s="10" t="str">
        <x:v>Authority is withheld or a required condition failed.</x:v>
      </x:c>
    </x:row>
    <x:row r="15" ht="46" customHeight="1">
      <x:c r="B15" s="7" t="str">
        <x:v>Candidate-water rule</x:v>
      </x:c>
      <x:c r="C15" s="10" t="str">
        <x:v>QE-01 and QE-02 plan zero candidate water. Casualty water is measured and armed but earns no candidate credit.</x:v>
      </x:c>
    </x:row>
    <x:row r="16" ht="46" customHeight="1">
      <x:c r="B16" s="7" t="str">
        <x:v>Source rule</x:v>
      </x:c>
      <x:c r="C16" s="10" t="str">
        <x:v>QE-02 uses a 100 kg aliquot and the 40 mm article. That article does not qualify the 150 mm full-source route.</x:v>
      </x:c>
    </x:row>
    <x:row r="17" ht="46" customHeight="1">
      <x:c r="B17" s="7" t="str">
        <x:v>Validity rule</x:v>
      </x:c>
      <x:c r="C17" s="10" t="str">
        <x:v>A valid adverse event remains in the result set. Reserve applies only to an invalid attempt.</x:v>
      </x:c>
    </x:row>
    <x:row r="18" ht="46" customHeight="1">
      <x:c r="B18" s="7" t="str">
        <x:v>Finance rule</x:v>
      </x:c>
      <x:c r="C18" s="10" t="str">
        <x:v>$360M capital and $168M/year are gross RAE-1 allocations fully inside RAS-1; net portfolio extension is zero.</x:v>
      </x:c>
    </x:row>
    <x:row r="19" ht="46" customHeight="1">
      <x:c r="B19" s="7" t="str">
        <x:v>Technology rule</x:v>
      </x:c>
      <x:c r="C19" s="10" t="str">
        <x:v>$470M is a cross-classified mission-technology allocation inside RAS-1, not an added capital line.</x:v>
      </x:c>
    </x:row>
    <x:row r="20" ht="46" customHeight="1">
      <x:c r="B20" s="7" t="str">
        <x:v>Rendering rule</x:v>
      </x:c>
      <x:c r="C20" s="10" t="str">
        <x:v>Exterior renderings remain withheld until physical article and architecture research constrain form.</x:v>
      </x:c>
    </x:row>
    <x:row r="21" ht="46" customHeight="1">
      <x:c r="B21" s="7" t="str">
        <x:v>Next research object</x:v>
      </x:c>
      <x:c r="C21" s="10" t="str">
        <x:v>RAP-1: physical reference-article, safeing-path and measurement proof campaign before any source event.</x:v>
      </x:c>
    </x:row>
  </x:sheetData>
  <x:pageMargins left="0.7" right="0.7" top="0.75" bottom="0.75" header="0.3" footer="0.3"/>
</x:worksheet>
</file>